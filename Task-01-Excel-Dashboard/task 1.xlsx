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Internship\"/>
    </mc:Choice>
  </mc:AlternateContent>
  <xr:revisionPtr revIDLastSave="0" documentId="13_ncr:1_{7FC99026-957D-4E95-A75D-C7B0655297FE}" xr6:coauthVersionLast="47" xr6:coauthVersionMax="47" xr10:uidLastSave="{00000000-0000-0000-0000-000000000000}"/>
  <bookViews>
    <workbookView showSheetTabs="0" xWindow="-108" yWindow="-108" windowWidth="23256" windowHeight="12456" activeTab="5" xr2:uid="{00000000-000D-0000-FFFF-FFFF00000000}"/>
  </bookViews>
  <sheets>
    <sheet name="data table" sheetId="1" r:id="rId1"/>
    <sheet name="Most populated" sheetId="3" r:id="rId2"/>
    <sheet name="least populated" sheetId="4" r:id="rId3"/>
    <sheet name="population range" sheetId="7" r:id="rId4"/>
    <sheet name="Growth rate" sheetId="10" r:id="rId5"/>
    <sheet name="dash board" sheetId="12" r:id="rId6"/>
  </sheets>
  <definedNames>
    <definedName name="_xlnm._FilterDatabase" localSheetId="0" hidden="1">'data table'!$A$1:$D$14076</definedName>
    <definedName name="_xlchart.v1.0" hidden="1">'population range'!$J$2:$J$9</definedName>
    <definedName name="_xlchart.v1.1" hidden="1">'population range'!$K$2:$K$9</definedName>
    <definedName name="_xlchart.v1.2" hidden="1">'population range'!$O$1</definedName>
    <definedName name="_xlchart.v1.3" hidden="1">'population range'!$J$2:$J$9</definedName>
    <definedName name="_xlchart.v1.4" hidden="1">'population range'!$K$2:$K$9</definedName>
    <definedName name="_xlchart.v1.5" hidden="1">'population range'!$O$1</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 i="7" l="1"/>
  <c r="K9" i="7"/>
  <c r="K8" i="7"/>
  <c r="K7" i="7"/>
  <c r="K6" i="7"/>
  <c r="K5" i="7"/>
  <c r="K4" i="7"/>
  <c r="K3" i="7"/>
  <c r="K2" i="7"/>
  <c r="H34" i="12"/>
  <c r="J34" i="12"/>
  <c r="L34" i="12"/>
  <c r="F34" i="12"/>
  <c r="D34" i="12"/>
  <c r="D6" i="12"/>
  <c r="O2" i="10"/>
  <c r="O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70" i="10"/>
  <c r="O171" i="10"/>
  <c r="O172" i="10"/>
  <c r="O173" i="10"/>
  <c r="O174" i="10"/>
  <c r="O175" i="10"/>
  <c r="O176" i="10"/>
  <c r="O177" i="10"/>
  <c r="O178" i="10"/>
  <c r="O179" i="10"/>
  <c r="O180" i="10"/>
  <c r="O181" i="10"/>
  <c r="O182" i="10"/>
  <c r="O183" i="10"/>
  <c r="O184" i="10"/>
  <c r="O185" i="10"/>
  <c r="O186" i="10"/>
  <c r="O187" i="10"/>
  <c r="O188" i="10"/>
  <c r="O189" i="10"/>
  <c r="O190" i="10"/>
  <c r="O191" i="10"/>
  <c r="O192" i="10"/>
  <c r="O193" i="10"/>
  <c r="O194" i="10"/>
  <c r="O195" i="10"/>
  <c r="O196" i="10"/>
  <c r="O197" i="10"/>
  <c r="O198" i="10"/>
  <c r="O199" i="10"/>
  <c r="O200" i="10"/>
  <c r="O201" i="10"/>
  <c r="O202" i="10"/>
  <c r="O203" i="10"/>
  <c r="O204" i="10"/>
  <c r="O205" i="10"/>
  <c r="O206" i="10"/>
  <c r="O207" i="10"/>
  <c r="O208" i="10"/>
  <c r="O209" i="10"/>
  <c r="O210" i="10"/>
  <c r="O211" i="10"/>
  <c r="O212" i="10"/>
  <c r="O213" i="10"/>
  <c r="O214" i="10"/>
  <c r="O215" i="10"/>
  <c r="O216" i="10"/>
  <c r="O217" i="10"/>
  <c r="O218" i="10"/>
  <c r="B2" i="10"/>
  <c r="B11" i="10"/>
  <c r="B61" i="10"/>
  <c r="B165" i="10"/>
  <c r="B76" i="10"/>
  <c r="B135" i="10"/>
  <c r="B14" i="10"/>
  <c r="B19" i="10"/>
  <c r="B166" i="10"/>
  <c r="B144" i="10"/>
  <c r="B167" i="10"/>
  <c r="B150" i="10"/>
  <c r="B123" i="10"/>
  <c r="B188" i="10"/>
  <c r="B125" i="10"/>
  <c r="B98" i="10"/>
  <c r="B103" i="10"/>
  <c r="B197" i="10"/>
  <c r="B207" i="10"/>
  <c r="B190" i="10"/>
  <c r="B64" i="10"/>
  <c r="B38" i="10"/>
  <c r="B175" i="10"/>
  <c r="B94" i="10"/>
  <c r="B102" i="10"/>
  <c r="B212" i="10"/>
  <c r="B60" i="10"/>
  <c r="B118" i="10"/>
  <c r="B54" i="10"/>
  <c r="B46" i="10"/>
  <c r="B218" i="10"/>
  <c r="B58" i="10"/>
  <c r="B51" i="10"/>
  <c r="B129" i="10"/>
  <c r="B107" i="10"/>
  <c r="B40" i="10"/>
  <c r="B137" i="10"/>
  <c r="B12" i="10"/>
  <c r="B112" i="10"/>
  <c r="B25" i="10"/>
  <c r="B176" i="10"/>
  <c r="B132" i="10"/>
  <c r="B148" i="10"/>
  <c r="B99" i="10"/>
  <c r="B70" i="10"/>
  <c r="B20" i="10"/>
  <c r="B34" i="10"/>
  <c r="B83" i="10"/>
  <c r="B13" i="10"/>
  <c r="B214" i="10"/>
  <c r="B177" i="10"/>
  <c r="B192" i="10"/>
  <c r="B136" i="10"/>
  <c r="B204" i="10"/>
  <c r="B187" i="10"/>
  <c r="B8" i="10"/>
  <c r="B206" i="10"/>
  <c r="B95" i="10"/>
  <c r="B80" i="10"/>
  <c r="B72" i="10"/>
  <c r="B140" i="10"/>
  <c r="B21" i="10"/>
  <c r="B90" i="10"/>
  <c r="B205" i="10"/>
  <c r="B92" i="10"/>
  <c r="B31" i="10"/>
  <c r="B169" i="10"/>
  <c r="B139" i="10"/>
  <c r="B191" i="10"/>
  <c r="B179" i="10"/>
  <c r="B100" i="10"/>
  <c r="B55" i="10"/>
  <c r="B22" i="10"/>
  <c r="B210" i="10"/>
  <c r="B203" i="10"/>
  <c r="B56" i="10"/>
  <c r="B157" i="10"/>
  <c r="B194" i="10"/>
  <c r="B160" i="10"/>
  <c r="B195" i="10"/>
  <c r="B133" i="10"/>
  <c r="B67" i="10"/>
  <c r="B75" i="10"/>
  <c r="B84" i="10"/>
  <c r="B178" i="10"/>
  <c r="B114" i="10"/>
  <c r="B45" i="10"/>
  <c r="B131" i="10"/>
  <c r="B213" i="10"/>
  <c r="B138" i="10"/>
  <c r="B104" i="10"/>
  <c r="B110" i="10"/>
  <c r="B73" i="10"/>
  <c r="B27" i="10"/>
  <c r="B153" i="10"/>
  <c r="B162" i="10"/>
  <c r="B62" i="10"/>
  <c r="B201" i="10"/>
  <c r="B163" i="10"/>
  <c r="B185" i="10"/>
  <c r="B9" i="10"/>
  <c r="B146" i="10"/>
  <c r="B18" i="10"/>
  <c r="B121" i="10"/>
  <c r="B142" i="10"/>
  <c r="B149" i="10"/>
  <c r="B174" i="10"/>
  <c r="B5" i="10"/>
  <c r="B105" i="10"/>
  <c r="B89" i="10"/>
  <c r="B216" i="10"/>
  <c r="B108" i="10"/>
  <c r="B111" i="10"/>
  <c r="B59" i="10"/>
  <c r="B57" i="10"/>
  <c r="B130" i="10"/>
  <c r="B208" i="10"/>
  <c r="B147" i="10"/>
  <c r="B79" i="10"/>
  <c r="B30" i="10"/>
  <c r="B35" i="10"/>
  <c r="B68" i="10"/>
  <c r="B37" i="10"/>
  <c r="B66" i="10"/>
  <c r="B159" i="10"/>
  <c r="B127" i="10"/>
  <c r="B29" i="10"/>
  <c r="B156" i="10"/>
  <c r="B93" i="10"/>
  <c r="B124" i="10"/>
  <c r="B202" i="10"/>
  <c r="B158" i="10"/>
  <c r="B91" i="10"/>
  <c r="B189" i="10"/>
  <c r="B106" i="10"/>
  <c r="B48" i="10"/>
  <c r="B128" i="10"/>
  <c r="B49" i="10"/>
  <c r="B126" i="10"/>
  <c r="B117" i="10"/>
  <c r="B172" i="10"/>
  <c r="B88" i="10"/>
  <c r="B143" i="10"/>
  <c r="B82" i="10"/>
  <c r="B16" i="10"/>
  <c r="B47" i="10"/>
  <c r="B193" i="10"/>
  <c r="B52" i="10"/>
  <c r="B173" i="10"/>
  <c r="B10" i="10"/>
  <c r="B42" i="10"/>
  <c r="B154" i="10"/>
  <c r="B78" i="10"/>
  <c r="B43" i="10"/>
  <c r="B86" i="10"/>
  <c r="B101" i="10"/>
  <c r="B74" i="10"/>
  <c r="B196" i="10"/>
  <c r="B198" i="10"/>
  <c r="B181" i="10"/>
  <c r="B4" i="10"/>
  <c r="B209" i="10"/>
  <c r="B199" i="10"/>
  <c r="B63" i="10"/>
  <c r="B152" i="10"/>
  <c r="B145" i="10"/>
  <c r="B97" i="10"/>
  <c r="B7" i="10"/>
  <c r="B41" i="10"/>
  <c r="B211" i="10"/>
  <c r="B119" i="10"/>
  <c r="B85" i="10"/>
  <c r="B87" i="10"/>
  <c r="B6" i="10"/>
  <c r="B184" i="10"/>
  <c r="B182" i="10"/>
  <c r="B36" i="10"/>
  <c r="B26" i="10"/>
  <c r="B81" i="10"/>
  <c r="B77" i="10"/>
  <c r="B170" i="10"/>
  <c r="B141" i="10"/>
  <c r="B217" i="10"/>
  <c r="B151" i="10"/>
  <c r="B32" i="10"/>
  <c r="B200" i="10"/>
  <c r="B33" i="10"/>
  <c r="B134" i="10"/>
  <c r="B180" i="10"/>
  <c r="B164" i="10"/>
  <c r="B44" i="10"/>
  <c r="B53" i="10"/>
  <c r="B23" i="10"/>
  <c r="B122" i="10"/>
  <c r="B116" i="10"/>
  <c r="B39" i="10"/>
  <c r="B171" i="10"/>
  <c r="B168" i="10"/>
  <c r="B120" i="10"/>
  <c r="B115" i="10"/>
  <c r="B65" i="10"/>
  <c r="B15" i="10"/>
  <c r="B161" i="10"/>
  <c r="B28" i="10"/>
  <c r="B215" i="10"/>
  <c r="B3" i="10"/>
  <c r="B186" i="10"/>
  <c r="B155" i="10"/>
  <c r="B183" i="10"/>
  <c r="B69" i="10"/>
  <c r="B50" i="10"/>
  <c r="B96" i="10"/>
  <c r="B113" i="10"/>
  <c r="B109" i="10"/>
  <c r="B17" i="10"/>
  <c r="B24" i="10"/>
  <c r="B71" i="10"/>
  <c r="K10" i="1"/>
  <c r="K9" i="1"/>
  <c r="K8" i="1"/>
  <c r="K7" i="1"/>
  <c r="K6" i="1"/>
  <c r="K5" i="1"/>
  <c r="K4" i="1"/>
  <c r="K2" i="1"/>
  <c r="E2" i="4"/>
  <c r="F1" i="3"/>
</calcChain>
</file>

<file path=xl/sharedStrings.xml><?xml version="1.0" encoding="utf-8"?>
<sst xmlns="http://schemas.openxmlformats.org/spreadsheetml/2006/main" count="28661" uniqueCount="470">
  <si>
    <t>Country Name</t>
  </si>
  <si>
    <t>Country Code</t>
  </si>
  <si>
    <t>Year</t>
  </si>
  <si>
    <t>Population</t>
  </si>
  <si>
    <t>Afghanistan</t>
  </si>
  <si>
    <t>AFG</t>
  </si>
  <si>
    <t>Albania</t>
  </si>
  <si>
    <t>ALB</t>
  </si>
  <si>
    <t>Algeria</t>
  </si>
  <si>
    <t>DZA</t>
  </si>
  <si>
    <t>American Samoa</t>
  </si>
  <si>
    <t>ASM</t>
  </si>
  <si>
    <t>Andorra</t>
  </si>
  <si>
    <t>AND</t>
  </si>
  <si>
    <t>Angola</t>
  </si>
  <si>
    <t>AGO</t>
  </si>
  <si>
    <t>Antigua and Barbuda</t>
  </si>
  <si>
    <t>ATG</t>
  </si>
  <si>
    <t>Argentina</t>
  </si>
  <si>
    <t>ARG</t>
  </si>
  <si>
    <t>Armenia</t>
  </si>
  <si>
    <t>ARM</t>
  </si>
  <si>
    <t>Aruba</t>
  </si>
  <si>
    <t>ABW</t>
  </si>
  <si>
    <t>Australia</t>
  </si>
  <si>
    <t>AUS</t>
  </si>
  <si>
    <t>Austria</t>
  </si>
  <si>
    <t>AUT</t>
  </si>
  <si>
    <t>Azerbaijan</t>
  </si>
  <si>
    <t>AZE</t>
  </si>
  <si>
    <t>Bahamas, The</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</si>
  <si>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</si>
  <si>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</si>
  <si>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</si>
  <si>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</si>
  <si>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</si>
  <si>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</si>
  <si>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</si>
  <si>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</si>
  <si>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</si>
  <si>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</si>
  <si>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</si>
  <si>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</si>
  <si>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</si>
  <si>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</si>
  <si>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</si>
  <si>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</si>
  <si>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</si>
  <si>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</si>
  <si>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</si>
  <si>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</si>
  <si>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</si>
  <si>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</si>
  <si>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</si>
  <si>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</si>
  <si>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</si>
  <si>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</si>
  <si>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</si>
  <si>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</si>
  <si>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</si>
  <si>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</si>
  <si>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</si>
  <si>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</si>
  <si>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</si>
  <si>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</si>
  <si>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</si>
  <si>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</si>
  <si>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</si>
  <si>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</si>
  <si>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</si>
  <si>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</si>
  <si>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</si>
  <si>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</si>
  <si>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</si>
  <si>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</si>
  <si>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</si>
  <si>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</si>
  <si>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</si>
  <si>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</si>
  <si>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</si>
  <si>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</si>
  <si>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</si>
  <si>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</si>
  <si>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</si>
  <si>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</si>
  <si>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</si>
  <si>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</si>
  <si>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</si>
  <si>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</si>
  <si>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</si>
  <si>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</si>
  <si>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</si>
  <si>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</si>
  <si>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</si>
  <si>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</si>
  <si>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</si>
  <si>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</si>
  <si>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</si>
  <si>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Cote d'Ivoire</t>
  </si>
  <si>
    <t>CIV</t>
  </si>
  <si>
    <t>Croatia</t>
  </si>
  <si>
    <t>HRV</t>
  </si>
  <si>
    <t>Cuba</t>
  </si>
  <si>
    <t>CUB</t>
  </si>
  <si>
    <t>Curacao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</si>
  <si>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</si>
  <si>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</si>
  <si>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</si>
  <si>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</si>
  <si>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</si>
  <si>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</si>
  <si>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</si>
  <si>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</si>
  <si>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</si>
  <si>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</si>
  <si>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</si>
  <si>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</si>
  <si>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</si>
  <si>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</si>
  <si>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</si>
  <si>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</si>
  <si>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</si>
  <si>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</si>
  <si>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</si>
  <si>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</si>
  <si>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</si>
  <si>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</si>
  <si>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</si>
  <si>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</si>
  <si>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</si>
  <si>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</si>
  <si>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</si>
  <si>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</si>
  <si>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</si>
  <si>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</si>
  <si>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</si>
  <si>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</si>
  <si>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</si>
  <si>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</si>
  <si>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</si>
  <si>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</si>
  <si>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</si>
  <si>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</si>
  <si>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</si>
  <si>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</si>
  <si>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</si>
  <si>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</si>
  <si>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</si>
  <si>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</si>
  <si>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</si>
  <si>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</si>
  <si>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</si>
  <si>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</si>
  <si>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</si>
  <si>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</si>
  <si>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</si>
  <si>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</si>
  <si>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</si>
  <si>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</si>
  <si>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</si>
  <si>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</si>
  <si>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</si>
  <si>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</si>
  <si>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</si>
  <si>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</si>
  <si>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</si>
  <si>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</si>
  <si>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</si>
  <si>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</si>
  <si>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</si>
  <si>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</si>
  <si>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</si>
  <si>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</si>
  <si>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</si>
  <si>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</si>
  <si>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</si>
  <si>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</si>
  <si>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</si>
  <si>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</si>
  <si>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</si>
  <si>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</si>
  <si>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</si>
  <si>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</si>
  <si>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</si>
  <si>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</si>
  <si>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</si>
  <si>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</si>
  <si>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</si>
  <si>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</si>
  <si>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</si>
  <si>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</si>
  <si>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</si>
  <si>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</si>
  <si>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</si>
  <si>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</si>
  <si>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</si>
  <si>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</si>
  <si>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</si>
  <si>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</si>
  <si>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</si>
  <si>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</si>
  <si>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</si>
  <si>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</si>
  <si>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</si>
  <si>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</si>
  <si>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</si>
  <si>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</si>
  <si>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</si>
  <si>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</si>
  <si>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</si>
  <si>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</si>
  <si>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</si>
  <si>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</si>
  <si>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</si>
  <si>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</si>
  <si>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</si>
  <si>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</si>
  <si>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</si>
  <si>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</si>
  <si>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</si>
  <si>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</si>
  <si>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</si>
  <si>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</si>
  <si>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</si>
  <si>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</si>
  <si>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</si>
  <si>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</si>
  <si>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</si>
  <si>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</si>
  <si>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</si>
  <si>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</si>
  <si>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</si>
  <si>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</si>
  <si>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</si>
  <si>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</si>
  <si>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</si>
  <si>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</si>
  <si>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</si>
  <si>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</si>
  <si>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</si>
  <si>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</si>
  <si>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</si>
  <si>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</si>
  <si>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</si>
  <si>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</si>
  <si>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</si>
  <si>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</si>
  <si>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</si>
  <si>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</si>
  <si>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</si>
  <si>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</si>
  <si>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</si>
  <si>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</si>
  <si>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</si>
  <si>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</si>
  <si>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</si>
  <si>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</si>
  <si>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</si>
  <si>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</si>
  <si>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</si>
  <si>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</si>
  <si>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</si>
  <si>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</si>
  <si>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</si>
  <si>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</si>
  <si>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</si>
  <si>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</si>
  <si>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</si>
  <si>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</si>
  <si>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</si>
  <si>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</si>
  <si>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</si>
  <si>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</si>
  <si>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</si>
  <si>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</si>
  <si>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</si>
  <si>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</si>
  <si>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</si>
  <si>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</si>
  <si>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</si>
  <si>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</si>
  <si>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</si>
  <si>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</si>
  <si>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</si>
  <si>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</si>
  <si>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</si>
  <si>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</si>
  <si>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</si>
  <si>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</si>
  <si>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</si>
  <si>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</si>
  <si>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</si>
  <si>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</si>
  <si>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</si>
  <si>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</si>
  <si>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</si>
  <si>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</si>
  <si>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</si>
  <si>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</si>
  <si>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</si>
  <si>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</si>
  <si>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</si>
  <si>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</si>
  <si>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</si>
  <si>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</si>
  <si>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</si>
  <si>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</si>
  <si>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</si>
  <si>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</si>
  <si>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</si>
  <si>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</si>
  <si>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</si>
  <si>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</si>
  <si>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</si>
  <si>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</si>
  <si>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</si>
  <si>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</si>
  <si>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</si>
  <si>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</si>
  <si>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</si>
  <si>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</si>
  <si>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</si>
  <si>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</si>
  <si>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</si>
  <si>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</si>
  <si>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</si>
  <si>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</si>
  <si>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</si>
  <si>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</si>
  <si>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</si>
  <si>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</si>
  <si>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</si>
  <si>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</si>
  <si>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</si>
  <si>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</si>
  <si>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</si>
  <si>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</si>
  <si>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</si>
  <si>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</si>
  <si>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</si>
  <si>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</si>
  <si>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</si>
  <si>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</si>
  <si>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</si>
  <si>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</si>
  <si>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</si>
  <si>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</si>
  <si>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</si>
  <si>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</si>
  <si>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</si>
  <si>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</si>
  <si>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</si>
  <si>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</si>
  <si>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</si>
  <si>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</si>
  <si>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</si>
  <si>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Somalia</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</si>
  <si>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</si>
  <si>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</si>
  <si>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</si>
  <si>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</si>
  <si>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</si>
  <si>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</si>
  <si>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</si>
  <si>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</si>
  <si>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</si>
  <si>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</si>
  <si>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</si>
  <si>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</si>
  <si>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</si>
  <si>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</si>
  <si>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</si>
  <si>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</si>
  <si>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</si>
  <si>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</si>
  <si>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</si>
  <si>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</si>
  <si>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</si>
  <si>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</si>
  <si>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</si>
  <si>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</si>
  <si>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</si>
  <si>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</si>
  <si>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</si>
  <si>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Tajikistan</t>
  </si>
  <si>
    <t>TJK</t>
  </si>
  <si>
    <t>Tanzania</t>
  </si>
  <si>
    <t>TZA</t>
  </si>
  <si>
    <t>Thailand</t>
  </si>
  <si>
    <t>THA</t>
  </si>
  <si>
    <t>Timor-Leste</t>
  </si>
  <si>
    <t>TLS</t>
  </si>
  <si>
    <t>Togo</t>
  </si>
  <si>
    <t>TGO</t>
  </si>
  <si>
    <t>Tonga</t>
  </si>
  <si>
    <t>TON</t>
  </si>
  <si>
    <t>Trinidad and Tobago</t>
  </si>
  <si>
    <t>TTO</t>
  </si>
  <si>
    <t>Tunisia</t>
  </si>
  <si>
    <t>TUN</t>
  </si>
  <si>
    <t>Turkiye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</si>
  <si>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</si>
  <si>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</si>
  <si>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</si>
  <si>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</si>
  <si>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</si>
  <si>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</si>
  <si>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</si>
  <si>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</si>
  <si>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</si>
  <si>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</si>
  <si>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</si>
  <si>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</si>
  <si>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</si>
  <si>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</si>
  <si>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</si>
  <si>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</si>
  <si>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</si>
  <si>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</si>
  <si>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</si>
  <si>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</si>
  <si>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</si>
  <si>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</si>
  <si>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</si>
  <si>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</si>
  <si>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</si>
  <si>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 Nam</t>
  </si>
  <si>
    <t>VNM</t>
  </si>
  <si>
    <t>Virgin Islands (U.S.)</t>
  </si>
  <si>
    <t>VIR</t>
  </si>
  <si>
    <t>West Bank and Gaza</t>
  </si>
  <si>
    <t>PSE</t>
  </si>
  <si>
    <t>Yemen, Rep.</t>
  </si>
  <si>
    <t>YEM</t>
  </si>
  <si>
    <t>Zambia</t>
  </si>
  <si>
    <t>ZMB</t>
  </si>
  <si>
    <t>Zimbabwe</t>
  </si>
  <si>
    <t>ZWE</t>
  </si>
  <si>
    <t>fastest growing country</t>
  </si>
  <si>
    <t>most populated country</t>
  </si>
  <si>
    <t>least populated country</t>
  </si>
  <si>
    <t>population trend</t>
  </si>
  <si>
    <t>population range</t>
  </si>
  <si>
    <t>50M to 100M</t>
  </si>
  <si>
    <t>number of countries</t>
  </si>
  <si>
    <t>100M to 200M</t>
  </si>
  <si>
    <t>Under 5 Million</t>
  </si>
  <si>
    <t>5M to 20M</t>
  </si>
  <si>
    <t>20M to 50M</t>
  </si>
  <si>
    <t>200M to 500M</t>
  </si>
  <si>
    <t>Row Labels</t>
  </si>
  <si>
    <t>Grand Total</t>
  </si>
  <si>
    <t>Sum of Population</t>
  </si>
  <si>
    <t>Population Range</t>
  </si>
  <si>
    <t>500M to 1 Billion</t>
  </si>
  <si>
    <t>Above 1 Billion</t>
  </si>
  <si>
    <t>Select year</t>
  </si>
  <si>
    <t>year</t>
  </si>
  <si>
    <t>Population 1960</t>
  </si>
  <si>
    <t>Population 2024</t>
  </si>
  <si>
    <t>growth(times)</t>
  </si>
  <si>
    <t>Total Population</t>
  </si>
  <si>
    <t>Most Populated</t>
  </si>
  <si>
    <t>Least Populated</t>
  </si>
  <si>
    <t>Fastest Growing</t>
  </si>
  <si>
    <t>Slowest Growing</t>
  </si>
  <si>
    <t>1971</t>
  </si>
  <si>
    <t>Select year:</t>
  </si>
  <si>
    <t>PRODIGY INFOTECH - Data Science Task 01</t>
  </si>
  <si>
    <t>World Bank Population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</si>
</sst>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Arial"/>
    </font>
    <font>
      <sz val="10"/>
      <name val="Arial"/>
    </font>
    <font>
      <b/>
      <sz val="11"/>
      <color theme="0"/>
      <name val="Calibri"/>
      <family val="2"/>
      <scheme val="minor"/>
    </font>
    <font>
      <b/>
      <sz val="11"/>
      <color theme="1"/>
      <name val="Calibri"/>
      <family val="2"/>
      <scheme val="minor"/>
    </font>
    <font>
      <sz val="11"/>
      <color theme="0"/>
      <name val="Calibri"/>
      <family val="2"/>
      <scheme val="minor"/>
    </font>
    <font>
      <sz val="8"/>
      <name val="Calibri"/>
      <family val="2"/>
      <scheme val="minor"/>
    </font>
    <font>
      <sz val="20"/>
      <color theme="0"/>
      <name val="Calibri"/>
      <family val="2"/>
      <scheme val="minor"/>
    </font>
    <font>
      <b/>
      <sz val="11"/>
      <color rgb="FFFFFFFF"/>
      <name val="Arial"/>
      <family val="2"/>
    </font>
    <font>
      <b/>
      <sz val="11"/>
      <color theme="1"/>
      <name val="Arial"/>
      <family val="2"/>
    </font>
    <font>
      <b/>
      <sz val="11"/>
      <color theme="0"/>
      <name val="Arial"/>
      <family val="2"/>
    </font>
    <font>
      <sz val="11"/>
      <color theme="1"/>
      <name val="Arial"/>
      <family val="2"/>
    </font>
  </fonts>
  <fills count="6">
    <fill>
      <patternFill patternType="none"/>
    </fill>
    <fill>
      <patternFill patternType="gray125"/>
    </fill>
    <fill>
      <patternFill patternType="solid">
        <fgColor rgb="FF1F4E79"/>
        <bgColor rgb="FF1F4E79"/>
      </patternFill>
    </fill>
    <fill>
      <patternFill patternType="solid">
        <fgColor rgb="FFEBF3FB"/>
        <bgColor rgb="FFEBF3FB"/>
      </patternFill>
    </fill>
    <fill>
      <patternFill patternType="solid">
        <fgColor rgb="FFA5A5A5"/>
      </patternFill>
    </fill>
    <fill>
      <patternFill patternType="solid">
        <fgColor theme="4"/>
      </patternFill>
    </fill>
  </fills>
  <borders count="7">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
      <left style="double">
        <color rgb="FF3F3F3F"/>
      </left>
      <right style="double">
        <color rgb="FF3F3F3F"/>
      </right>
      <top style="double">
        <color rgb="FF3F3F3F"/>
      </top>
      <bottom style="double">
        <color rgb="FF3F3F3F"/>
      </bottom>
      <diagonal/>
    </border>
    <border>
      <left style="double">
        <color rgb="FF3F3F3F"/>
      </left>
      <right/>
      <top/>
      <bottom/>
      <diagonal/>
    </border>
    <border>
      <left style="thin">
        <color rgb="FFCCCCCC"/>
      </left>
      <right style="thin">
        <color theme="0"/>
      </right>
      <top/>
      <bottom style="thick">
        <color theme="0"/>
      </bottom>
      <diagonal/>
    </border>
    <border>
      <left style="thin">
        <color rgb="FFCCCCCC"/>
      </left>
      <right/>
      <top/>
      <bottom style="thick">
        <color theme="0"/>
      </bottom>
      <diagonal/>
    </border>
  </borders>
  <cellStyleXfs count="3">
    <xf numFmtId="0" fontId="0" fillId="0" borderId="0"/>
    <xf numFmtId="0" fontId="3" fillId="4" borderId="3" applyNumberFormat="0" applyAlignment="0" applyProtection="0"/>
    <xf numFmtId="0" fontId="5" fillId="5" borderId="0" applyNumberFormat="0" applyBorder="0" applyAlignment="0" applyProtection="0"/>
  </cellStyleXfs>
  <cellXfs count="31">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left"/>
    </xf>
    <xf numFmtId="0" fontId="2" fillId="3" borderId="1" xfId="0" applyFont="1" applyFill="1" applyBorder="1" applyAlignment="1">
      <alignment horizontal="center"/>
    </xf>
    <xf numFmtId="3" fontId="2" fillId="3" borderId="1" xfId="0" applyNumberFormat="1" applyFont="1" applyFill="1" applyBorder="1" applyAlignment="1">
      <alignment horizontal="center"/>
    </xf>
    <xf numFmtId="0" fontId="2" fillId="0" borderId="1" xfId="0" applyFont="1" applyBorder="1" applyAlignment="1">
      <alignment horizontal="left"/>
    </xf>
    <xf numFmtId="0" fontId="2" fillId="0" borderId="1" xfId="0" applyFont="1" applyBorder="1" applyAlignment="1">
      <alignment horizontal="center"/>
    </xf>
    <xf numFmtId="3" fontId="2" fillId="0" borderId="1" xfId="0" applyNumberFormat="1" applyFont="1" applyBorder="1" applyAlignment="1">
      <alignment horizontal="center"/>
    </xf>
    <xf numFmtId="0" fontId="1" fillId="2" borderId="0" xfId="0" applyFont="1" applyFill="1" applyAlignment="1">
      <alignment horizontal="center" vertical="center"/>
    </xf>
    <xf numFmtId="2" fontId="0" fillId="0" borderId="0" xfId="0" applyNumberFormat="1"/>
    <xf numFmtId="0" fontId="1" fillId="2" borderId="2" xfId="0" applyFont="1" applyFill="1" applyBorder="1" applyAlignment="1">
      <alignment horizontal="center" vertical="center"/>
    </xf>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vertical="center" wrapText="1"/>
    </xf>
    <xf numFmtId="0" fontId="4" fillId="0" borderId="0" xfId="0" applyFont="1"/>
    <xf numFmtId="0" fontId="0" fillId="0" borderId="1" xfId="0" applyBorder="1"/>
    <xf numFmtId="3" fontId="2" fillId="0" borderId="0" xfId="0" applyNumberFormat="1" applyFont="1" applyAlignment="1">
      <alignment horizontal="center"/>
    </xf>
    <xf numFmtId="3" fontId="2" fillId="3" borderId="0" xfId="0" applyNumberFormat="1" applyFont="1" applyFill="1" applyAlignment="1">
      <alignment horizontal="center"/>
    </xf>
    <xf numFmtId="0" fontId="8" fillId="2" borderId="5" xfId="0" applyFont="1" applyFill="1" applyBorder="1" applyAlignment="1">
      <alignment horizontal="center" vertical="center"/>
    </xf>
    <xf numFmtId="0" fontId="8" fillId="2" borderId="6" xfId="2" applyFont="1" applyFill="1" applyBorder="1" applyAlignment="1">
      <alignment horizontal="center" vertical="center"/>
    </xf>
    <xf numFmtId="0" fontId="9" fillId="0" borderId="0" xfId="0" applyFont="1" applyAlignment="1">
      <alignment horizontal="center"/>
    </xf>
    <xf numFmtId="0" fontId="0" fillId="0" borderId="0" xfId="0" applyAlignment="1">
      <alignment horizontal="center"/>
    </xf>
    <xf numFmtId="0" fontId="11" fillId="0" borderId="0" xfId="0" applyFont="1" applyAlignment="1">
      <alignment horizontal="center"/>
    </xf>
    <xf numFmtId="0" fontId="7" fillId="5" borderId="0" xfId="2" applyFont="1" applyAlignment="1">
      <alignment horizontal="center"/>
    </xf>
    <xf numFmtId="0" fontId="3" fillId="4" borderId="4" xfId="1" applyBorder="1" applyAlignment="1">
      <alignment horizontal="center"/>
    </xf>
    <xf numFmtId="0" fontId="3" fillId="4" borderId="0" xfId="1" applyBorder="1" applyAlignment="1">
      <alignment horizontal="center"/>
    </xf>
    <xf numFmtId="0" fontId="8" fillId="2" borderId="2" xfId="2" applyFont="1" applyFill="1" applyBorder="1" applyAlignment="1">
      <alignment horizontal="center" vertical="center"/>
    </xf>
    <xf numFmtId="0" fontId="8" fillId="2" borderId="0" xfId="2" applyFont="1" applyFill="1" applyBorder="1" applyAlignment="1">
      <alignment horizontal="center" vertical="center"/>
    </xf>
    <xf numFmtId="0" fontId="3" fillId="5" borderId="0" xfId="2" applyFont="1" applyAlignment="1">
      <alignment horizontal="center" vertical="center"/>
    </xf>
    <xf numFmtId="0" fontId="10" fillId="5" borderId="0" xfId="2" applyFont="1" applyAlignment="1">
      <alignment horizontal="center" vertical="center"/>
    </xf>
  </cellXfs>
  <cellStyles count="3">
    <cellStyle name="Accent1" xfId="2" builtinId="29"/>
    <cellStyle name="Check Cell" xfId="1" builtinId="23"/>
    <cellStyle name="Normal" xfId="0" builtinId="0"/>
  </cellStyles>
  <dxfs count="13">
    <dxf>
      <font>
        <b val="0"/>
        <i val="0"/>
        <strike val="0"/>
        <condense val="0"/>
        <extend val="0"/>
        <outline val="0"/>
        <shadow val="0"/>
        <u val="none"/>
        <vertAlign val="baseline"/>
        <sz val="10"/>
        <color auto="1"/>
        <name val="Arial"/>
        <scheme val="none"/>
      </font>
      <numFmt numFmtId="3" formatCode="#,##0"/>
      <fill>
        <patternFill patternType="solid">
          <fgColor rgb="FFEBF3FB"/>
          <bgColor rgb="FFEBF3FB"/>
        </patternFill>
      </fill>
      <alignment horizontal="center" vertical="bottom"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rgb="FFEBF3FB"/>
          <bgColor rgb="FFEBF3FB"/>
        </patternFill>
      </fill>
      <alignment horizontal="center" vertical="bottom"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sz val="10"/>
        <color auto="1"/>
        <name val="Arial"/>
        <scheme val="none"/>
      </font>
      <numFmt numFmtId="3" formatCode="#,##0"/>
      <fill>
        <patternFill patternType="solid">
          <fgColor rgb="FFEBF3FB"/>
          <bgColor rgb="FFEBF3FB"/>
        </patternFill>
      </fill>
      <alignment horizontal="left" vertical="bottom"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rgb="FFEBF3FB"/>
          <bgColor rgb="FFEBF3FB"/>
        </patternFill>
      </fill>
      <alignment horizontal="left" vertical="bottom"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0"/>
        <color auto="1"/>
        <name val="Arial"/>
        <scheme val="none"/>
      </font>
      <numFmt numFmtId="3" formatCode="#,##0"/>
      <fill>
        <patternFill patternType="solid">
          <fgColor rgb="FFEBF3FB"/>
          <bgColor rgb="FFEBF3FB"/>
        </patternFill>
      </fill>
      <alignment horizontal="center" vertical="bottom"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rgb="FFEBF3FB"/>
          <bgColor rgb="FFEBF3FB"/>
        </patternFill>
      </fill>
      <alignment horizontal="center" vertical="bottom"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sz val="10"/>
        <color auto="1"/>
        <name val="Arial"/>
        <scheme val="none"/>
      </font>
      <numFmt numFmtId="3" formatCode="#,##0"/>
      <fill>
        <patternFill patternType="solid">
          <fgColor rgb="FFEBF3FB"/>
          <bgColor rgb="FFEBF3FB"/>
        </patternFill>
      </fill>
      <alignment horizontal="left" vertical="bottom"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rgb="FFEBF3FB"/>
          <bgColor rgb="FFEBF3FB"/>
        </patternFill>
      </fill>
      <alignment horizontal="left" vertical="bottom"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i val="0"/>
        <strike val="0"/>
        <condense val="0"/>
        <extend val="0"/>
        <outline val="0"/>
        <shadow val="0"/>
        <u val="none"/>
        <vertAlign val="baseline"/>
        <sz val="11"/>
        <color theme="1"/>
        <name val="Calibri"/>
        <family val="2"/>
        <scheme val="minor"/>
      </font>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rgb="FFFFFFFF"/>
        <name val="Arial"/>
        <scheme val="none"/>
      </font>
      <fill>
        <patternFill patternType="solid">
          <fgColor rgb="FF1F4E79"/>
          <bgColor rgb="FF1F4E79"/>
        </patternFill>
      </fill>
      <alignment horizontal="center" vertical="center" textRotation="0" wrapText="0" indent="0" justifyLastLine="0" shrinkToFit="0" readingOrder="0"/>
    </dxf>
  </dxfs>
  <tableStyles count="0" defaultTableStyle="TableStyleMedium9" defaultPivotStyle="PivotStyleLight16"/>
  <colors>
    <mruColors>
      <color rgb="FF2A2A40"/>
      <color rgb="FFF5F5F5"/>
      <color rgb="FF1E1E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1.xlsx]Most populated!PivotTable1</c:name>
    <c:fmtId val="2"/>
  </c:pivotSource>
  <c:chart>
    <c:title>
      <c:tx>
        <c:strRef>
          <c:f>'Most populated'!$F$1</c:f>
          <c:strCache>
            <c:ptCount val="1"/>
            <c:pt idx="0">
              <c:v>Top 10 Most Populated Countries - 1960</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populated'!$F$1</c:f>
              <c:strCache>
                <c:ptCount val="1"/>
                <c:pt idx="0">
                  <c:v>Total</c:v>
                </c:pt>
              </c:strCache>
            </c:strRef>
          </c:tx>
          <c:spPr>
            <a:solidFill>
              <a:schemeClr val="accent1"/>
            </a:solidFill>
            <a:ln>
              <a:noFill/>
            </a:ln>
            <a:effectLst/>
          </c:spPr>
          <c:invertIfNegative val="0"/>
          <c:cat>
            <c:strRef>
              <c:f>'Most populated'!$F$1</c:f>
              <c:strCache>
                <c:ptCount val="10"/>
                <c:pt idx="0">
                  <c:v>China</c:v>
                </c:pt>
                <c:pt idx="1">
                  <c:v>India</c:v>
                </c:pt>
                <c:pt idx="2">
                  <c:v>United States</c:v>
                </c:pt>
                <c:pt idx="3">
                  <c:v>Russian Federation</c:v>
                </c:pt>
                <c:pt idx="4">
                  <c:v>Japan</c:v>
                </c:pt>
                <c:pt idx="5">
                  <c:v>Indonesia</c:v>
                </c:pt>
                <c:pt idx="6">
                  <c:v>Germany</c:v>
                </c:pt>
                <c:pt idx="7">
                  <c:v>Brazil</c:v>
                </c:pt>
                <c:pt idx="8">
                  <c:v>United Kingdom</c:v>
                </c:pt>
                <c:pt idx="9">
                  <c:v>Bangladesh</c:v>
                </c:pt>
              </c:strCache>
            </c:strRef>
          </c:cat>
          <c:val>
            <c:numRef>
              <c:f>'Most populated'!$F$1</c:f>
              <c:numCache>
                <c:formatCode>#,##0</c:formatCode>
                <c:ptCount val="10"/>
                <c:pt idx="0">
                  <c:v>667070000</c:v>
                </c:pt>
                <c:pt idx="1">
                  <c:v>435990338</c:v>
                </c:pt>
                <c:pt idx="2">
                  <c:v>180671000</c:v>
                </c:pt>
                <c:pt idx="3">
                  <c:v>119897000</c:v>
                </c:pt>
                <c:pt idx="4">
                  <c:v>93216000</c:v>
                </c:pt>
                <c:pt idx="5">
                  <c:v>88296070</c:v>
                </c:pt>
                <c:pt idx="6">
                  <c:v>72814900</c:v>
                </c:pt>
                <c:pt idx="7">
                  <c:v>72388126</c:v>
                </c:pt>
                <c:pt idx="8">
                  <c:v>52400000</c:v>
                </c:pt>
                <c:pt idx="9">
                  <c:v>51828660</c:v>
                </c:pt>
              </c:numCache>
            </c:numRef>
          </c:val>
          <c:extLst>
            <c:ext xmlns:c16="http://schemas.microsoft.com/office/drawing/2014/chart" uri="{C3380CC4-5D6E-409C-BE32-E72D297353CC}">
              <c16:uniqueId val="{00000000-ECEB-4FC4-B7CE-C462817B6D6B}"/>
            </c:ext>
          </c:extLst>
        </c:ser>
        <c:dLbls>
          <c:showLegendKey val="0"/>
          <c:showVal val="0"/>
          <c:showCatName val="0"/>
          <c:showSerName val="0"/>
          <c:showPercent val="0"/>
          <c:showBubbleSize val="0"/>
        </c:dLbls>
        <c:gapWidth val="182"/>
        <c:axId val="1207208768"/>
        <c:axId val="1207207808"/>
      </c:barChart>
      <c:catAx>
        <c:axId val="12072087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207808"/>
        <c:crosses val="autoZero"/>
        <c:auto val="1"/>
        <c:lblAlgn val="ctr"/>
        <c:lblOffset val="100"/>
        <c:noMultiLvlLbl val="0"/>
      </c:catAx>
      <c:valAx>
        <c:axId val="12072078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Population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20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1.xlsx]least populated!PivotTable2</c:name>
    <c:fmtId val="2"/>
  </c:pivotSource>
  <c:chart>
    <c:title>
      <c:tx>
        <c:strRef>
          <c:f>'least populated'!$E$2</c:f>
          <c:strCache>
            <c:ptCount val="1"/>
            <c:pt idx="0">
              <c:v>Top 10 Least populated Countries - 1960</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'least populated'!$E$2</c:f>
              <c:strCache>
                <c:ptCount val="1"/>
                <c:pt idx="0">
                  <c:v>Total</c:v>
                </c:pt>
              </c:strCache>
            </c:strRef>
          </c:tx>
          <c:spPr>
            <a:solidFill>
              <a:schemeClr val="accent1"/>
            </a:solidFill>
            <a:ln>
              <a:noFill/>
            </a:ln>
            <a:effectLst/>
          </c:spPr>
          <c:invertIfNegative val="0"/>
          <c:cat>
            <c:strRef>
              <c:f>'least populated'!$E$2</c:f>
              <c:strCache>
                <c:ptCount val="10"/>
                <c:pt idx="0">
                  <c:v>Sint Maarten (Dutch part)</c:v>
                </c:pt>
                <c:pt idx="1">
                  <c:v>St. Martin (French part)</c:v>
                </c:pt>
                <c:pt idx="2">
                  <c:v>Nauru</c:v>
                </c:pt>
                <c:pt idx="3">
                  <c:v>Tuvalu</c:v>
                </c:pt>
                <c:pt idx="4">
                  <c:v>Turks and Caicos Islands</c:v>
                </c:pt>
                <c:pt idx="5">
                  <c:v>British Virgin Islands</c:v>
                </c:pt>
                <c:pt idx="6">
                  <c:v>Cayman Islands</c:v>
                </c:pt>
                <c:pt idx="7">
                  <c:v>Northern Mariana Islands</c:v>
                </c:pt>
                <c:pt idx="8">
                  <c:v>Palau</c:v>
                </c:pt>
                <c:pt idx="9">
                  <c:v>Andorra</c:v>
                </c:pt>
              </c:strCache>
            </c:strRef>
          </c:cat>
          <c:val>
            <c:numRef>
              <c:f>'least populated'!$E$2</c:f>
              <c:numCache>
                <c:formatCode>#,##0</c:formatCode>
                <c:ptCount val="10"/>
                <c:pt idx="0">
                  <c:v>2715</c:v>
                </c:pt>
                <c:pt idx="1">
                  <c:v>4250</c:v>
                </c:pt>
                <c:pt idx="2">
                  <c:v>4607</c:v>
                </c:pt>
                <c:pt idx="3">
                  <c:v>5598</c:v>
                </c:pt>
                <c:pt idx="4">
                  <c:v>5599</c:v>
                </c:pt>
                <c:pt idx="5">
                  <c:v>7950</c:v>
                </c:pt>
                <c:pt idx="6">
                  <c:v>8428</c:v>
                </c:pt>
                <c:pt idx="7">
                  <c:v>8736</c:v>
                </c:pt>
                <c:pt idx="8">
                  <c:v>9328</c:v>
                </c:pt>
                <c:pt idx="9">
                  <c:v>9510</c:v>
                </c:pt>
              </c:numCache>
            </c:numRef>
          </c:val>
          <c:extLst>
            <c:ext xmlns:c16="http://schemas.microsoft.com/office/drawing/2014/chart" uri="{C3380CC4-5D6E-409C-BE32-E72D297353CC}">
              <c16:uniqueId val="{00000000-094D-4E64-BF74-E9E05C3F71A7}"/>
            </c:ext>
          </c:extLst>
        </c:ser>
        <c:dLbls>
          <c:showLegendKey val="0"/>
          <c:showVal val="0"/>
          <c:showCatName val="0"/>
          <c:showSerName val="0"/>
          <c:showPercent val="0"/>
          <c:showBubbleSize val="0"/>
        </c:dLbls>
        <c:gapWidth val="182"/>
        <c:axId val="1198659184"/>
        <c:axId val="987862240"/>
      </c:barChart>
      <c:catAx>
        <c:axId val="1198659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862240"/>
        <c:crosses val="autoZero"/>
        <c:auto val="1"/>
        <c:lblAlgn val="ctr"/>
        <c:lblOffset val="100"/>
        <c:noMultiLvlLbl val="0"/>
      </c:catAx>
      <c:valAx>
        <c:axId val="987862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Population(in</a:t>
                </a:r>
                <a:r>
                  <a:rPr lang="en-IN" baseline="0"/>
                  <a:t> million)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65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Fastest</a:t>
            </a:r>
            <a:r>
              <a:rPr lang="en-IN" baseline="0"/>
              <a:t> Growing countries 1960 to 2024</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cat>
            <c:strRef>
              <c:f>'Growth rate'!$A$3:$A$12</c:f>
              <c:strCache>
                <c:ptCount val="10"/>
                <c:pt idx="0">
                  <c:v>United Arab Emirates</c:v>
                </c:pt>
                <c:pt idx="1">
                  <c:v>Qatar</c:v>
                </c:pt>
                <c:pt idx="2">
                  <c:v>Kuwait</c:v>
                </c:pt>
                <c:pt idx="3">
                  <c:v>Sint Maarten (Dutch part)</c:v>
                </c:pt>
                <c:pt idx="4">
                  <c:v>Saudi Arabia</c:v>
                </c:pt>
                <c:pt idx="5">
                  <c:v>Djibouti</c:v>
                </c:pt>
                <c:pt idx="6">
                  <c:v>Jordan</c:v>
                </c:pt>
                <c:pt idx="7">
                  <c:v>Oman</c:v>
                </c:pt>
                <c:pt idx="8">
                  <c:v>Bahrain</c:v>
                </c:pt>
                <c:pt idx="9">
                  <c:v>Cayman Islands</c:v>
                </c:pt>
              </c:strCache>
            </c:strRef>
          </c:cat>
          <c:val>
            <c:numRef>
              <c:f>'Growth rate'!$B$3:$B$12</c:f>
              <c:numCache>
                <c:formatCode>General</c:formatCode>
                <c:ptCount val="10"/>
                <c:pt idx="0">
                  <c:v>82.819231882071662</c:v>
                </c:pt>
                <c:pt idx="1">
                  <c:v>79.36189947236879</c:v>
                </c:pt>
                <c:pt idx="2">
                  <c:v>15.990037291840803</c:v>
                </c:pt>
                <c:pt idx="3">
                  <c:v>15.966850828729282</c:v>
                </c:pt>
                <c:pt idx="4">
                  <c:v>14.494636000694751</c:v>
                </c:pt>
                <c:pt idx="5">
                  <c:v>13.585999256021575</c:v>
                </c:pt>
                <c:pt idx="6">
                  <c:v>13.536342769701607</c:v>
                </c:pt>
                <c:pt idx="7">
                  <c:v>9.9560553078786391</c:v>
                </c:pt>
                <c:pt idx="8">
                  <c:v>9.6005487167400911</c:v>
                </c:pt>
                <c:pt idx="9">
                  <c:v>8.8344803037494071</c:v>
                </c:pt>
              </c:numCache>
            </c:numRef>
          </c:val>
          <c:extLst>
            <c:ext xmlns:c16="http://schemas.microsoft.com/office/drawing/2014/chart" uri="{C3380CC4-5D6E-409C-BE32-E72D297353CC}">
              <c16:uniqueId val="{00000000-5E4B-48CC-AC6E-77C04A4CFE8A}"/>
            </c:ext>
          </c:extLst>
        </c:ser>
        <c:dLbls>
          <c:showLegendKey val="0"/>
          <c:showVal val="0"/>
          <c:showCatName val="0"/>
          <c:showSerName val="0"/>
          <c:showPercent val="0"/>
          <c:showBubbleSize val="0"/>
        </c:dLbls>
        <c:gapWidth val="182"/>
        <c:axId val="1346758495"/>
        <c:axId val="1346758975"/>
      </c:barChart>
      <c:catAx>
        <c:axId val="13467584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Country</a:t>
                </a:r>
                <a:r>
                  <a:rPr lang="en-IN" baseline="0"/>
                  <a:t>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758975"/>
        <c:crosses val="autoZero"/>
        <c:auto val="1"/>
        <c:lblAlgn val="ctr"/>
        <c:lblOffset val="100"/>
        <c:noMultiLvlLbl val="0"/>
      </c:catAx>
      <c:valAx>
        <c:axId val="1346758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Growth</a:t>
                </a:r>
                <a:r>
                  <a:rPr lang="en-IN" baseline="0"/>
                  <a:t> Rate(times)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75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Slowest Growing Countries 1960 to 2024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rgbClr val="FF0000"/>
            </a:solidFill>
            <a:ln>
              <a:noFill/>
            </a:ln>
            <a:effectLst/>
          </c:spPr>
          <c:invertIfNegative val="0"/>
          <c:cat>
            <c:strRef>
              <c:f>'Growth rate'!$N$2:$N$11</c:f>
              <c:strCache>
                <c:ptCount val="10"/>
                <c:pt idx="0">
                  <c:v>Bulgaria</c:v>
                </c:pt>
                <c:pt idx="1">
                  <c:v>St. Kitts and Nevis</c:v>
                </c:pt>
                <c:pt idx="2">
                  <c:v>Latvia</c:v>
                </c:pt>
                <c:pt idx="3">
                  <c:v>Ukraine</c:v>
                </c:pt>
                <c:pt idx="4">
                  <c:v>Croatia</c:v>
                </c:pt>
                <c:pt idx="5">
                  <c:v>Hungary</c:v>
                </c:pt>
                <c:pt idx="6">
                  <c:v>Bosnia and Herzegovina</c:v>
                </c:pt>
                <c:pt idx="7">
                  <c:v>Serbia</c:v>
                </c:pt>
                <c:pt idx="8">
                  <c:v>Georgia</c:v>
                </c:pt>
                <c:pt idx="9">
                  <c:v>Romania</c:v>
                </c:pt>
              </c:strCache>
            </c:strRef>
          </c:cat>
          <c:val>
            <c:numRef>
              <c:f>'Growth rate'!$O$2:$O$11</c:f>
              <c:numCache>
                <c:formatCode>General</c:formatCode>
                <c:ptCount val="10"/>
                <c:pt idx="0">
                  <c:v>0.81912541592658494</c:v>
                </c:pt>
                <c:pt idx="1">
                  <c:v>0.83932986919906827</c:v>
                </c:pt>
                <c:pt idx="2">
                  <c:v>0.87810440367396381</c:v>
                </c:pt>
                <c:pt idx="3">
                  <c:v>0.88408693209217526</c:v>
                </c:pt>
                <c:pt idx="4">
                  <c:v>0.93384806123210551</c:v>
                </c:pt>
                <c:pt idx="5">
                  <c:v>0.9578106381802316</c:v>
                </c:pt>
                <c:pt idx="6">
                  <c:v>0.96430527268854183</c:v>
                </c:pt>
                <c:pt idx="7">
                  <c:v>0.99219911697438401</c:v>
                </c:pt>
                <c:pt idx="8">
                  <c:v>1.0077490673688831</c:v>
                </c:pt>
                <c:pt idx="9">
                  <c:v>1.0359883967456778</c:v>
                </c:pt>
              </c:numCache>
            </c:numRef>
          </c:val>
          <c:extLst>
            <c:ext xmlns:c16="http://schemas.microsoft.com/office/drawing/2014/chart" uri="{C3380CC4-5D6E-409C-BE32-E72D297353CC}">
              <c16:uniqueId val="{00000000-ED3A-4857-B38D-641E1C270D31}"/>
            </c:ext>
          </c:extLst>
        </c:ser>
        <c:dLbls>
          <c:showLegendKey val="0"/>
          <c:showVal val="0"/>
          <c:showCatName val="0"/>
          <c:showSerName val="0"/>
          <c:showPercent val="0"/>
          <c:showBubbleSize val="0"/>
        </c:dLbls>
        <c:gapWidth val="182"/>
        <c:axId val="1545765919"/>
        <c:axId val="1545764959"/>
      </c:barChart>
      <c:catAx>
        <c:axId val="15457659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Country</a:t>
                </a:r>
                <a:r>
                  <a:rPr lang="en-IN" baseline="0"/>
                  <a:t> Name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64959"/>
        <c:crosses val="autoZero"/>
        <c:auto val="1"/>
        <c:lblAlgn val="ctr"/>
        <c:lblOffset val="100"/>
        <c:noMultiLvlLbl val="0"/>
      </c:catAx>
      <c:valAx>
        <c:axId val="1545764959"/>
        <c:scaling>
          <c:orientation val="minMax"/>
          <c:max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Growth</a:t>
                </a:r>
                <a:r>
                  <a:rPr lang="en-IN" baseline="0"/>
                  <a:t> Rate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65919"/>
        <c:crosses val="autoZero"/>
        <c:crossBetween val="between"/>
        <c:min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1.xlsx]Most populated!PivotTable1</c:name>
    <c:fmtId val="5"/>
  </c:pivotSource>
  <c:chart>
    <c:title>
      <c:tx>
        <c:strRef>
          <c:f>'Most populated'!$F$1</c:f>
          <c:strCache>
            <c:ptCount val="1"/>
            <c:pt idx="0">
              <c:v>Top 10 Most Populated Countries - 1960</c:v>
            </c:pt>
          </c:strCache>
        </c:strRef>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numFmt formatCode="#,##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alpha val="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populated'!$F$1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numFmt formatCode="#,##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alpha val="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'Most populated'!$F$1</c:f>
              <c:strCache>
                <c:ptCount val="10"/>
                <c:pt idx="0">
                  <c:v>China</c:v>
                </c:pt>
                <c:pt idx="1">
                  <c:v>India</c:v>
                </c:pt>
                <c:pt idx="2">
                  <c:v>United States</c:v>
                </c:pt>
                <c:pt idx="3">
                  <c:v>Russian Federation</c:v>
                </c:pt>
                <c:pt idx="4">
                  <c:v>Japan</c:v>
                </c:pt>
                <c:pt idx="5">
                  <c:v>Indonesia</c:v>
                </c:pt>
                <c:pt idx="6">
                  <c:v>Germany</c:v>
                </c:pt>
                <c:pt idx="7">
                  <c:v>Brazil</c:v>
                </c:pt>
                <c:pt idx="8">
                  <c:v>United Kingdom</c:v>
                </c:pt>
                <c:pt idx="9">
                  <c:v>Bangladesh</c:v>
                </c:pt>
              </c:strCache>
            </c:strRef>
          </c:cat>
          <c:val>
            <c:numRef>
              <c:f>'Most populated'!$F$1</c:f>
              <c:numCache>
                <c:formatCode>#,##0</c:formatCode>
                <c:ptCount val="10"/>
                <c:pt idx="0">
                  <c:v>667070000</c:v>
                </c:pt>
                <c:pt idx="1">
                  <c:v>435990338</c:v>
                </c:pt>
                <c:pt idx="2">
                  <c:v>180671000</c:v>
                </c:pt>
                <c:pt idx="3">
                  <c:v>119897000</c:v>
                </c:pt>
                <c:pt idx="4">
                  <c:v>93216000</c:v>
                </c:pt>
                <c:pt idx="5">
                  <c:v>88296070</c:v>
                </c:pt>
                <c:pt idx="6">
                  <c:v>72814900</c:v>
                </c:pt>
                <c:pt idx="7">
                  <c:v>72388126</c:v>
                </c:pt>
                <c:pt idx="8">
                  <c:v>52400000</c:v>
                </c:pt>
                <c:pt idx="9">
                  <c:v>51828660</c:v>
                </c:pt>
              </c:numCache>
            </c:numRef>
          </c:val>
          <c:extLst>
            <c:ext xmlns:c16="http://schemas.microsoft.com/office/drawing/2014/chart" uri="{C3380CC4-5D6E-409C-BE32-E72D297353CC}">
              <c16:uniqueId val="{00000000-85CD-44F0-B2AB-C7B30F8A63D5}"/>
            </c:ext>
          </c:extLst>
        </c:ser>
        <c:dLbls>
          <c:dLblPos val="inEnd"/>
          <c:showLegendKey val="0"/>
          <c:showVal val="1"/>
          <c:showCatName val="0"/>
          <c:showSerName val="0"/>
          <c:showPercent val="0"/>
          <c:showBubbleSize val="0"/>
        </c:dLbls>
        <c:gapWidth val="65"/>
        <c:axId val="1207208768"/>
        <c:axId val="1207207808"/>
      </c:barChart>
      <c:catAx>
        <c:axId val="120720876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Country Name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7207808"/>
        <c:crosses val="autoZero"/>
        <c:auto val="1"/>
        <c:lblAlgn val="ctr"/>
        <c:lblOffset val="100"/>
        <c:noMultiLvlLbl val="0"/>
      </c:catAx>
      <c:valAx>
        <c:axId val="120720780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Population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0720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1.xlsx]least populated!PivotTable2</c:name>
    <c:fmtId val="4"/>
  </c:pivotSource>
  <c:chart>
    <c:title>
      <c:tx>
        <c:strRef>
          <c:f>'least populated'!$E$2</c:f>
          <c:strCache>
            <c:ptCount val="1"/>
            <c:pt idx="0">
              <c:v>Top 10 Least populated Countries - 1960</c:v>
            </c:pt>
          </c:strCache>
        </c:strRef>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alpha val="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'least populated'!$E$2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alpha val="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'least populated'!$E$2</c:f>
              <c:strCache>
                <c:ptCount val="10"/>
                <c:pt idx="0">
                  <c:v>Sint Maarten (Dutch part)</c:v>
                </c:pt>
                <c:pt idx="1">
                  <c:v>St. Martin (French part)</c:v>
                </c:pt>
                <c:pt idx="2">
                  <c:v>Nauru</c:v>
                </c:pt>
                <c:pt idx="3">
                  <c:v>Tuvalu</c:v>
                </c:pt>
                <c:pt idx="4">
                  <c:v>Turks and Caicos Islands</c:v>
                </c:pt>
                <c:pt idx="5">
                  <c:v>British Virgin Islands</c:v>
                </c:pt>
                <c:pt idx="6">
                  <c:v>Cayman Islands</c:v>
                </c:pt>
                <c:pt idx="7">
                  <c:v>Northern Mariana Islands</c:v>
                </c:pt>
                <c:pt idx="8">
                  <c:v>Palau</c:v>
                </c:pt>
                <c:pt idx="9">
                  <c:v>Andorra</c:v>
                </c:pt>
              </c:strCache>
            </c:strRef>
          </c:cat>
          <c:val>
            <c:numRef>
              <c:f>'least populated'!$E$2</c:f>
              <c:numCache>
                <c:formatCode>#,##0</c:formatCode>
                <c:ptCount val="10"/>
                <c:pt idx="0">
                  <c:v>2715</c:v>
                </c:pt>
                <c:pt idx="1">
                  <c:v>4250</c:v>
                </c:pt>
                <c:pt idx="2">
                  <c:v>4607</c:v>
                </c:pt>
                <c:pt idx="3">
                  <c:v>5598</c:v>
                </c:pt>
                <c:pt idx="4">
                  <c:v>5599</c:v>
                </c:pt>
                <c:pt idx="5">
                  <c:v>7950</c:v>
                </c:pt>
                <c:pt idx="6">
                  <c:v>8428</c:v>
                </c:pt>
                <c:pt idx="7">
                  <c:v>8736</c:v>
                </c:pt>
                <c:pt idx="8">
                  <c:v>9328</c:v>
                </c:pt>
                <c:pt idx="9">
                  <c:v>9510</c:v>
                </c:pt>
              </c:numCache>
            </c:numRef>
          </c:val>
          <c:extLst>
            <c:ext xmlns:c16="http://schemas.microsoft.com/office/drawing/2014/chart" uri="{C3380CC4-5D6E-409C-BE32-E72D297353CC}">
              <c16:uniqueId val="{00000001-2CFC-4A08-8F61-41BD4C623B9E}"/>
            </c:ext>
          </c:extLst>
        </c:ser>
        <c:dLbls>
          <c:dLblPos val="inEnd"/>
          <c:showLegendKey val="0"/>
          <c:showVal val="1"/>
          <c:showCatName val="0"/>
          <c:showSerName val="0"/>
          <c:showPercent val="0"/>
          <c:showBubbleSize val="0"/>
        </c:dLbls>
        <c:gapWidth val="65"/>
        <c:axId val="1198659184"/>
        <c:axId val="987862240"/>
      </c:barChart>
      <c:catAx>
        <c:axId val="119865918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Country</a:t>
                </a:r>
                <a:r>
                  <a:rPr lang="en-IN" baseline="0"/>
                  <a:t> Name</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7862240"/>
        <c:crosses val="autoZero"/>
        <c:auto val="1"/>
        <c:lblAlgn val="ctr"/>
        <c:lblOffset val="100"/>
        <c:noMultiLvlLbl val="0"/>
      </c:catAx>
      <c:valAx>
        <c:axId val="9878622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Population(in million)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9865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10 Fastest Growing countries 1960 to 2024</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delete val="1"/>
          </c:dLbls>
          <c:cat>
            <c:strRef>
              <c:f>'Growth rate'!$A$3:$A$12</c:f>
              <c:strCache>
                <c:ptCount val="10"/>
                <c:pt idx="0">
                  <c:v>United Arab Emirates</c:v>
                </c:pt>
                <c:pt idx="1">
                  <c:v>Qatar</c:v>
                </c:pt>
                <c:pt idx="2">
                  <c:v>Kuwait</c:v>
                </c:pt>
                <c:pt idx="3">
                  <c:v>Sint Maarten (Dutch part)</c:v>
                </c:pt>
                <c:pt idx="4">
                  <c:v>Saudi Arabia</c:v>
                </c:pt>
                <c:pt idx="5">
                  <c:v>Djibouti</c:v>
                </c:pt>
                <c:pt idx="6">
                  <c:v>Jordan</c:v>
                </c:pt>
                <c:pt idx="7">
                  <c:v>Oman</c:v>
                </c:pt>
                <c:pt idx="8">
                  <c:v>Bahrain</c:v>
                </c:pt>
                <c:pt idx="9">
                  <c:v>Cayman Islands</c:v>
                </c:pt>
              </c:strCache>
            </c:strRef>
          </c:cat>
          <c:val>
            <c:numRef>
              <c:f>'Growth rate'!$B$3:$B$12</c:f>
              <c:numCache>
                <c:formatCode>General</c:formatCode>
                <c:ptCount val="10"/>
                <c:pt idx="0">
                  <c:v>82.819231882071662</c:v>
                </c:pt>
                <c:pt idx="1">
                  <c:v>79.36189947236879</c:v>
                </c:pt>
                <c:pt idx="2">
                  <c:v>15.990037291840803</c:v>
                </c:pt>
                <c:pt idx="3">
                  <c:v>15.966850828729282</c:v>
                </c:pt>
                <c:pt idx="4">
                  <c:v>14.494636000694751</c:v>
                </c:pt>
                <c:pt idx="5">
                  <c:v>13.585999256021575</c:v>
                </c:pt>
                <c:pt idx="6">
                  <c:v>13.536342769701607</c:v>
                </c:pt>
                <c:pt idx="7">
                  <c:v>9.9560553078786391</c:v>
                </c:pt>
                <c:pt idx="8">
                  <c:v>9.6005487167400911</c:v>
                </c:pt>
                <c:pt idx="9">
                  <c:v>8.8344803037494071</c:v>
                </c:pt>
              </c:numCache>
            </c:numRef>
          </c:val>
          <c:extLst>
            <c:ext xmlns:c16="http://schemas.microsoft.com/office/drawing/2014/chart" uri="{C3380CC4-5D6E-409C-BE32-E72D297353CC}">
              <c16:uniqueId val="{00000000-F9B2-427C-B1AE-E3E3F969B953}"/>
            </c:ext>
          </c:extLst>
        </c:ser>
        <c:dLbls>
          <c:dLblPos val="inEnd"/>
          <c:showLegendKey val="0"/>
          <c:showVal val="1"/>
          <c:showCatName val="0"/>
          <c:showSerName val="0"/>
          <c:showPercent val="0"/>
          <c:showBubbleSize val="0"/>
        </c:dLbls>
        <c:gapWidth val="65"/>
        <c:axId val="1346758495"/>
        <c:axId val="1346758975"/>
      </c:barChart>
      <c:catAx>
        <c:axId val="134675849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Country Name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6758975"/>
        <c:crosses val="autoZero"/>
        <c:auto val="1"/>
        <c:lblAlgn val="ctr"/>
        <c:lblOffset val="100"/>
        <c:noMultiLvlLbl val="0"/>
      </c:catAx>
      <c:valAx>
        <c:axId val="134675897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Growth Rate(times)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4675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10 Slowest Growing Countries 1960 to 2024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rgbClr val="FF0000">
                <a:alpha val="85000"/>
              </a:srgbClr>
            </a:solidFill>
            <a:ln w="9525" cap="flat" cmpd="sng" algn="ctr">
              <a:solidFill>
                <a:schemeClr val="lt1">
                  <a:alpha val="50000"/>
                </a:schemeClr>
              </a:solidFill>
              <a:round/>
            </a:ln>
            <a:effectLst/>
          </c:spPr>
          <c:invertIfNegative val="0"/>
          <c:dLbls>
            <c:delete val="1"/>
          </c:dLbls>
          <c:cat>
            <c:strRef>
              <c:f>'Growth rate'!$N$2:$N$11</c:f>
              <c:strCache>
                <c:ptCount val="10"/>
                <c:pt idx="0">
                  <c:v>Bulgaria</c:v>
                </c:pt>
                <c:pt idx="1">
                  <c:v>St. Kitts and Nevis</c:v>
                </c:pt>
                <c:pt idx="2">
                  <c:v>Latvia</c:v>
                </c:pt>
                <c:pt idx="3">
                  <c:v>Ukraine</c:v>
                </c:pt>
                <c:pt idx="4">
                  <c:v>Croatia</c:v>
                </c:pt>
                <c:pt idx="5">
                  <c:v>Hungary</c:v>
                </c:pt>
                <c:pt idx="6">
                  <c:v>Bosnia and Herzegovina</c:v>
                </c:pt>
                <c:pt idx="7">
                  <c:v>Serbia</c:v>
                </c:pt>
                <c:pt idx="8">
                  <c:v>Georgia</c:v>
                </c:pt>
                <c:pt idx="9">
                  <c:v>Romania</c:v>
                </c:pt>
              </c:strCache>
            </c:strRef>
          </c:cat>
          <c:val>
            <c:numRef>
              <c:f>'Growth rate'!$O$2:$O$11</c:f>
              <c:numCache>
                <c:formatCode>General</c:formatCode>
                <c:ptCount val="10"/>
                <c:pt idx="0">
                  <c:v>0.81912541592658494</c:v>
                </c:pt>
                <c:pt idx="1">
                  <c:v>0.83932986919906827</c:v>
                </c:pt>
                <c:pt idx="2">
                  <c:v>0.87810440367396381</c:v>
                </c:pt>
                <c:pt idx="3">
                  <c:v>0.88408693209217526</c:v>
                </c:pt>
                <c:pt idx="4">
                  <c:v>0.93384806123210551</c:v>
                </c:pt>
                <c:pt idx="5">
                  <c:v>0.9578106381802316</c:v>
                </c:pt>
                <c:pt idx="6">
                  <c:v>0.96430527268854183</c:v>
                </c:pt>
                <c:pt idx="7">
                  <c:v>0.99219911697438401</c:v>
                </c:pt>
                <c:pt idx="8">
                  <c:v>1.0077490673688831</c:v>
                </c:pt>
                <c:pt idx="9">
                  <c:v>1.0359883967456778</c:v>
                </c:pt>
              </c:numCache>
            </c:numRef>
          </c:val>
          <c:extLst>
            <c:ext xmlns:c16="http://schemas.microsoft.com/office/drawing/2014/chart" uri="{C3380CC4-5D6E-409C-BE32-E72D297353CC}">
              <c16:uniqueId val="{00000000-03C2-4603-ACA1-800BFE5FAE4F}"/>
            </c:ext>
          </c:extLst>
        </c:ser>
        <c:dLbls>
          <c:dLblPos val="inEnd"/>
          <c:showLegendKey val="0"/>
          <c:showVal val="1"/>
          <c:showCatName val="0"/>
          <c:showSerName val="0"/>
          <c:showPercent val="0"/>
          <c:showBubbleSize val="0"/>
        </c:dLbls>
        <c:gapWidth val="65"/>
        <c:axId val="1545765919"/>
        <c:axId val="1545764959"/>
      </c:barChart>
      <c:catAx>
        <c:axId val="154576591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Country Name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5764959"/>
        <c:crosses val="autoZero"/>
        <c:auto val="1"/>
        <c:lblAlgn val="ctr"/>
        <c:lblOffset val="100"/>
        <c:noMultiLvlLbl val="0"/>
      </c:catAx>
      <c:valAx>
        <c:axId val="1545764959"/>
        <c:scaling>
          <c:orientation val="minMax"/>
          <c:max val="1.5"/>
          <c:min val="0"/>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Growth Rate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45765919"/>
        <c:crosses val="autoZero"/>
        <c:crossBetween val="between"/>
        <c:min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f>_xlchart.v1.2</cx:f>
          <cx:v>Population Distribution - 1973</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Population Distribution - 1973</a:t>
          </a:r>
        </a:p>
      </cx:txPr>
    </cx:title>
    <cx:plotArea>
      <cx:plotAreaRegion>
        <cx:series layoutId="clusteredColumn" uniqueId="{00000000-833E-46DD-9E55-00EBC4720A1C}" formatIdx="0">
          <cx:tx>
            <cx:txData>
              <cx:f>_xlchart.v1.1</cx:f>
              <cx:v>133 50 18 8 4 1 2 0</cx:v>
            </cx:txData>
          </cx:tx>
          <cx:dataId val="0"/>
          <cx:layoutPr>
            <cx:aggregation/>
          </cx:layoutPr>
        </cx:series>
      </cx:plotAreaRegion>
      <cx:axis id="0">
        <cx:catScaling gapWidth="0"/>
        <cx:title>
          <cx:tx>
            <cx:txData>
              <cx:v>Population Range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Population Range</a:t>
              </a:r>
            </a:p>
          </cx:txPr>
        </cx:title>
        <cx:tickLabels/>
      </cx:axis>
      <cx:axis id="1">
        <cx:valScaling/>
        <cx:title>
          <cx:tx>
            <cx:txData>
              <cx:v>No of Countries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No of Countries</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_xlchart.v1.4</cx:f>
      </cx:numDim>
    </cx:data>
  </cx:chartData>
  <cx:chart>
    <cx:title pos="t" align="ctr" overlay="0">
      <cx:tx>
        <cx:txData>
          <cx:f>_xlchart.v1.5</cx:f>
          <cx:v>Population Distribution - 1973</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Population Distribution - 1973</a:t>
          </a:r>
        </a:p>
      </cx:txPr>
    </cx:title>
    <cx:plotArea>
      <cx:plotAreaRegion>
        <cx:series layoutId="clusteredColumn" uniqueId="{00000000-833E-46DD-9E55-00EBC4720A1C}" formatIdx="0">
          <cx:tx>
            <cx:txData>
              <cx:f>_xlchart.v1.4</cx:f>
              <cx:v>133 50 18 8 4 1 2 0</cx:v>
            </cx:txData>
          </cx:tx>
          <cx:dataId val="0"/>
          <cx:layoutPr>
            <cx:aggregation/>
          </cx:layoutPr>
        </cx:series>
      </cx:plotAreaRegion>
      <cx:axis id="0">
        <cx:catScaling gapWidth="0"/>
        <cx:tickLabels/>
      </cx:axis>
      <cx:axis id="1" hidden="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60960</xdr:colOff>
      <xdr:row>4</xdr:row>
      <xdr:rowOff>140970</xdr:rowOff>
    </xdr:from>
    <xdr:to>
      <xdr:col>11</xdr:col>
      <xdr:colOff>365760</xdr:colOff>
      <xdr:row>19</xdr:row>
      <xdr:rowOff>140970</xdr:rowOff>
    </xdr:to>
    <xdr:graphicFrame macro="">
      <xdr:nvGraphicFramePr>
        <xdr:cNvPr id="2" name="Chart 1">
          <a:extLst>
            <a:ext uri="{FF2B5EF4-FFF2-40B4-BE49-F238E27FC236}">
              <a16:creationId xmlns:a16="http://schemas.microsoft.com/office/drawing/2014/main" id="{BC19D068-9F4F-CE9E-B4F2-BD5D03A80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480060</xdr:colOff>
      <xdr:row>6</xdr:row>
      <xdr:rowOff>41910</xdr:rowOff>
    </xdr:from>
    <xdr:to>
      <xdr:col>10</xdr:col>
      <xdr:colOff>175260</xdr:colOff>
      <xdr:row>21</xdr:row>
      <xdr:rowOff>41910</xdr:rowOff>
    </xdr:to>
    <xdr:graphicFrame macro="">
      <xdr:nvGraphicFramePr>
        <xdr:cNvPr id="2" name="Chart 1">
          <a:extLst>
            <a:ext uri="{FF2B5EF4-FFF2-40B4-BE49-F238E27FC236}">
              <a16:creationId xmlns:a16="http://schemas.microsoft.com/office/drawing/2014/main" id="{078B848F-E271-D671-4428-E75F79C2F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495300</xdr:colOff>
      <xdr:row>4</xdr:row>
      <xdr:rowOff>95250</xdr:rowOff>
    </xdr:from>
    <xdr:to>
      <xdr:col>21</xdr:col>
      <xdr:colOff>396240</xdr:colOff>
      <xdr:row>19</xdr:row>
      <xdr:rowOff>95250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A8B5F8A-AE7C-6CF9-4308-A4E0F9B8F8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742420" y="842010"/>
              <a:ext cx="35585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160020</xdr:colOff>
      <xdr:row>5</xdr:row>
      <xdr:rowOff>118110</xdr:rowOff>
    </xdr:from>
    <xdr:to>
      <xdr:col>11</xdr:col>
      <xdr:colOff>297180</xdr:colOff>
      <xdr:row>20</xdr:row>
      <xdr:rowOff>118110</xdr:rowOff>
    </xdr:to>
    <xdr:graphicFrame macro="">
      <xdr:nvGraphicFramePr>
        <xdr:cNvPr id="4" name="Chart 3">
          <a:extLst>
            <a:ext uri="{FF2B5EF4-FFF2-40B4-BE49-F238E27FC236}">
              <a16:creationId xmlns:a16="http://schemas.microsoft.com/office/drawing/2014/main" id="{8587FF95-41DC-BC46-5497-FEE71ECDB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601980</xdr:colOff>
      <xdr:row>5</xdr:row>
      <xdr:rowOff>179070</xdr:rowOff>
    </xdr:from>
    <xdr:to>
      <xdr:col>23</xdr:col>
      <xdr:colOff>601980</xdr:colOff>
      <xdr:row>20</xdr:row>
      <xdr:rowOff>179070</xdr:rowOff>
    </xdr:to>
    <xdr:graphicFrame macro="">
      <xdr:nvGraphicFramePr>
        <xdr:cNvPr id="5" name="Chart 4">
          <a:extLst>
            <a:ext uri="{FF2B5EF4-FFF2-40B4-BE49-F238E27FC236}">
              <a16:creationId xmlns:a16="http://schemas.microsoft.com/office/drawing/2014/main" id="{73483672-CA9D-637E-A484-F2E4746D1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321658</xdr:colOff>
      <xdr:row>37</xdr:row>
      <xdr:rowOff>15171</xdr:rowOff>
    </xdr:from>
    <xdr:to>
      <xdr:col>13</xdr:col>
      <xdr:colOff>10733</xdr:colOff>
      <xdr:row>52</xdr:row>
      <xdr:rowOff>62194</xdr:rowOff>
    </xdr:to>
    <xdr:graphicFrame macro="">
      <xdr:nvGraphicFramePr>
        <xdr:cNvPr id="2" name="Chart 1">
          <a:extLst>
            <a:ext uri="{FF2B5EF4-FFF2-40B4-BE49-F238E27FC236}">
              <a16:creationId xmlns:a16="http://schemas.microsoft.com/office/drawing/2014/main" id="{25707068-7D4D-40D4-942A-D48838B66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36</xdr:row>
      <xdr:rowOff>179292</xdr:rowOff>
    </xdr:from>
    <xdr:to>
      <xdr:col>6</xdr:col>
      <xdr:colOff>257577</xdr:colOff>
      <xdr:row>52</xdr:row>
      <xdr:rowOff>47444</xdr:rowOff>
    </xdr:to>
    <xdr:graphicFrame macro="">
      <xdr:nvGraphicFramePr>
        <xdr:cNvPr id="3" name="Chart 2">
          <a:extLst>
            <a:ext uri="{FF2B5EF4-FFF2-40B4-BE49-F238E27FC236}">
              <a16:creationId xmlns:a16="http://schemas.microsoft.com/office/drawing/2014/main" id="{8F51D0A9-A60C-49B4-BF65-EA931DAFD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7257</xdr:colOff>
      <xdr:row>6</xdr:row>
      <xdr:rowOff>171394</xdr:rowOff>
    </xdr:from>
    <xdr:to>
      <xdr:col>13</xdr:col>
      <xdr:colOff>7257</xdr:colOff>
      <xdr:row>28</xdr:row>
      <xdr:rowOff>94342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5B98CA5-5900-420C-BFC2-62553B3073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257" y="1405108"/>
              <a:ext cx="12939486" cy="39143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53</xdr:row>
      <xdr:rowOff>168089</xdr:rowOff>
    </xdr:from>
    <xdr:to>
      <xdr:col>6</xdr:col>
      <xdr:colOff>279042</xdr:colOff>
      <xdr:row>68</xdr:row>
      <xdr:rowOff>123897</xdr:rowOff>
    </xdr:to>
    <xdr:graphicFrame macro="">
      <xdr:nvGraphicFramePr>
        <xdr:cNvPr id="5" name="Chart 4">
          <a:extLst>
            <a:ext uri="{FF2B5EF4-FFF2-40B4-BE49-F238E27FC236}">
              <a16:creationId xmlns:a16="http://schemas.microsoft.com/office/drawing/2014/main" id="{6F62E59C-5367-458E-AFE5-142A16B90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335071</xdr:colOff>
      <xdr:row>53</xdr:row>
      <xdr:rowOff>179293</xdr:rowOff>
    </xdr:from>
    <xdr:to>
      <xdr:col>13</xdr:col>
      <xdr:colOff>51925</xdr:colOff>
      <xdr:row>68</xdr:row>
      <xdr:rowOff>135101</xdr:rowOff>
    </xdr:to>
    <xdr:graphicFrame macro="">
      <xdr:nvGraphicFramePr>
        <xdr:cNvPr id="6" name="Chart 5">
          <a:extLst>
            <a:ext uri="{FF2B5EF4-FFF2-40B4-BE49-F238E27FC236}">
              <a16:creationId xmlns:a16="http://schemas.microsoft.com/office/drawing/2014/main" id="{0296F68C-EA99-4207-8E4A-706BF8AE7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399142</xdr:colOff>
      <xdr:row>29</xdr:row>
      <xdr:rowOff>53967</xdr:rowOff>
    </xdr:from>
    <xdr:to>
      <xdr:col>2</xdr:col>
      <xdr:colOff>237435</xdr:colOff>
      <xdr:row>36</xdr:row>
      <xdr:rowOff>129236</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85B79AB2-7DD0-4FB4-A6E4-54D6C91768E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99142" y="5512525"/>
              <a:ext cx="1816562" cy="1357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dma-sri" refreshedDate="46191.414411111109" createdVersion="8" refreshedVersion="8" minRefreshableVersion="3" recordCount="14075" xr:uid="{4F95CE8C-2B42-4851-8116-DB04295448C2}">
  <cacheSource type="worksheet">
    <worksheetSource ref="A1:D14076" sheet="data table"/>
  </cacheSource>
  <cacheFields count="4">
    <cacheField name="Country Name" numFmtId="0">
      <sharedItems count="217">
        <s v="Afghanistan"/>
        <s v="Albania"/>
        <s v="Algeria"/>
        <s v="American Samoa"/>
        <s v="Andorra"/>
        <s v="Angola"/>
        <s v="Antigua and Barbuda"/>
        <s v="Argentina"/>
        <s v="Armenia"/>
        <s v="Aruba"/>
        <s v="Australia"/>
        <s v="Austria"/>
        <s v="Azerbaijan"/>
        <s v="Bahamas, The"/>
        <s v="Bahrain"/>
        <s v="Bangladesh"/>
        <s v="Barbados"/>
        <s v="Belarus"/>
        <s v="Belgium"/>
        <s v="Belize"/>
        <s v="Benin"/>
        <s v="Bermuda"/>
        <s v="Bhutan"/>
        <s v="Bolivia"/>
        <s v="Bosnia and Herzegovina"/>
        <s v="Botswana"/>
        <s v="Brazil"/>
        <s v="British Virgin Islands"/>
        <s v="Brunei Darussalam"/>
        <s v="Bulgaria"/>
        <s v="Burkina Faso"/>
        <s v="Burundi"/>
        <s v="Cabo Verde"/>
        <s v="Cambodia"/>
        <s v="Cameroon"/>
        <s v="Canada"/>
        <s v="Cayman Islands"/>
        <s v="Central African Republic"/>
        <s v="Chad"/>
        <s v="Channel Islands"/>
        <s v="Chile"/>
        <s v="China"/>
        <s v="Colombia"/>
        <s v="Comoros"/>
        <s v="Congo, Dem. Rep."/>
        <s v="Congo, Rep."/>
        <s v="Costa Rica"/>
        <s v="Cote d'Ivoire"/>
        <s v="Croatia"/>
        <s v="Cuba"/>
        <s v="Curacao"/>
        <s v="Cyprus"/>
        <s v="Czechia"/>
        <s v="Denmark"/>
        <s v="Djibouti"/>
        <s v="Dominica"/>
        <s v="Dominican Republic"/>
        <s v="Ecuador"/>
        <s v="Egypt, Arab Rep."/>
        <s v="El Salvador"/>
        <s v="Equatorial Guinea"/>
        <s v="Eritrea"/>
        <s v="Estonia"/>
        <s v="Eswatini"/>
        <s v="Ethiopia"/>
        <s v="Faroe Islands"/>
        <s v="Fiji"/>
        <s v="Finland"/>
        <s v="France"/>
        <s v="French Polynesia"/>
        <s v="Gabon"/>
        <s v="Gambia, The"/>
        <s v="Georgia"/>
        <s v="Germany"/>
        <s v="Ghana"/>
        <s v="Gibraltar"/>
        <s v="Greece"/>
        <s v="Greenland"/>
        <s v="Grenada"/>
        <s v="Guam"/>
        <s v="Guatemala"/>
        <s v="Guinea"/>
        <s v="Guinea-Bissau"/>
        <s v="Guyana"/>
        <s v="Haiti"/>
        <s v="Honduras"/>
        <s v="Hong Kong SAR, China"/>
        <s v="Hungary"/>
        <s v="Iceland"/>
        <s v="India"/>
        <s v="Indonesia"/>
        <s v="Iran, Islamic Rep."/>
        <s v="Iraq"/>
        <s v="Ireland"/>
        <s v="Isle of Man"/>
        <s v="Israel"/>
        <s v="Italy"/>
        <s v="Jamaica"/>
        <s v="Japan"/>
        <s v="Jordan"/>
        <s v="Kazakhstan"/>
        <s v="Kenya"/>
        <s v="Kiribati"/>
        <s v="Korea, Dem. People's Rep."/>
        <s v="Korea, Rep."/>
        <s v="Kosovo"/>
        <s v="Kuwait"/>
        <s v="Kyrgyz Republic"/>
        <s v="Lao PDR"/>
        <s v="Latvia"/>
        <s v="Lebanon"/>
        <s v="Lesotho"/>
        <s v="Liberia"/>
        <s v="Libya"/>
        <s v="Liechtenstein"/>
        <s v="Lithuania"/>
        <s v="Luxembourg"/>
        <s v="Macao SAR, China"/>
        <s v="Madagascar"/>
        <s v="Malawi"/>
        <s v="Malaysia"/>
        <s v="Maldives"/>
        <s v="Mali"/>
        <s v="Malta"/>
        <s v="Marshall Islands"/>
        <s v="Mauritania"/>
        <s v="Mauritius"/>
        <s v="Mexico"/>
        <s v="Micronesia, Fed. Sts."/>
        <s v="Moldova"/>
        <s v="Monaco"/>
        <s v="Mongolia"/>
        <s v="Montenegro"/>
        <s v="Morocco"/>
        <s v="Mozambique"/>
        <s v="Myanmar"/>
        <s v="Namibia"/>
        <s v="Nauru"/>
        <s v="Nepal"/>
        <s v="Netherlands"/>
        <s v="New Caledonia"/>
        <s v="New Zealand"/>
        <s v="Nicaragua"/>
        <s v="Niger"/>
        <s v="Nigeria"/>
        <s v="North Macedonia"/>
        <s v="Northern Mariana Islands"/>
        <s v="Norway"/>
        <s v="Oman"/>
        <s v="Pakistan"/>
        <s v="Palau"/>
        <s v="Panama"/>
        <s v="Papua New Guinea"/>
        <s v="Paraguay"/>
        <s v="Peru"/>
        <s v="Philippines"/>
        <s v="Poland"/>
        <s v="Portugal"/>
        <s v="Puerto Rico (US)"/>
        <s v="Qatar"/>
        <s v="Romania"/>
        <s v="Russian Federation"/>
        <s v="Rwanda"/>
        <s v="Samoa"/>
        <s v="San Marino"/>
        <s v="Sao Tome and Principe"/>
        <s v="Saudi Arabia"/>
        <s v="Senegal"/>
        <s v="Serbia"/>
        <s v="Seychelles"/>
        <s v="Sierra Leone"/>
        <s v="Singapore"/>
        <s v="Sint Maarten (Dutch part)"/>
        <s v="Slovak Republic"/>
        <s v="Slovenia"/>
        <s v="Solomon Islands"/>
        <s v="Somalia"/>
        <s v="South Africa"/>
        <s v="South Sudan"/>
        <s v="Spain"/>
        <s v="Sri Lanka"/>
        <s v="St. Kitts and Nevis"/>
        <s v="St. Lucia"/>
        <s v="St. Martin (French part)"/>
        <s v="St. Vincent and the Grenadines"/>
        <s v="Sudan"/>
        <s v="Suriname"/>
        <s v="Sweden"/>
        <s v="Switzerland"/>
        <s v="Syrian Arab Republic"/>
        <s v="Tajikistan"/>
        <s v="Tanzania"/>
        <s v="Thailand"/>
        <s v="Timor-Leste"/>
        <s v="Togo"/>
        <s v="Tonga"/>
        <s v="Trinidad and Tobago"/>
        <s v="Tunisia"/>
        <s v="Turkiye"/>
        <s v="Turkmenistan"/>
        <s v="Turks and Caicos Islands"/>
        <s v="Tuvalu"/>
        <s v="Uganda"/>
        <s v="Ukraine"/>
        <s v="United Arab Emirates"/>
        <s v="United Kingdom"/>
        <s v="United States"/>
        <s v="Uruguay"/>
        <s v="Uzbekistan"/>
        <s v="Vanuatu"/>
        <s v="Venezuela, RB"/>
        <s v="Viet Nam"/>
        <s v="Virgin Islands (U.S.)"/>
        <s v="West Bank and Gaza"/>
        <s v="Yemen, Rep."/>
        <s v="Zambia"/>
        <s v="Zimbabwe"/>
      </sharedItems>
    </cacheField>
    <cacheField name="Country Code" numFmtId="0">
      <sharedItems/>
    </cacheField>
    <cacheField name="Year" numFmtId="0">
      <sharedItems containsSemiMixedTypes="0" containsString="0" containsNumber="1" containsInteger="1" minValue="1960" maxValue="2024" count="65">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sharedItems>
    </cacheField>
    <cacheField name="Population" numFmtId="3">
      <sharedItems containsSemiMixedTypes="0" containsString="0" containsNumber="1" containsInteger="1" minValue="2715" maxValue="1450935791"/>
    </cacheField>
  </cacheFields>
  <extLst>
    <ext xmlns:x14="http://schemas.microsoft.com/office/spreadsheetml/2009/9/main" uri="{725AE2AE-9491-48be-B2B4-4EB974FC3084}">
      <x14:pivotCacheDefinition pivotCacheId="1013832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75">
  <r>
    <x v="0"/>
    <s v="AFG"/>
    <x v="0"/>
    <n v="9035043"/>
  </r>
  <r>
    <x v="0"/>
    <s v="AFG"/>
    <x v="1"/>
    <n v="9214083"/>
  </r>
  <r>
    <x v="0"/>
    <s v="AFG"/>
    <x v="2"/>
    <n v="9404406"/>
  </r>
  <r>
    <x v="0"/>
    <s v="AFG"/>
    <x v="3"/>
    <n v="9604487"/>
  </r>
  <r>
    <x v="0"/>
    <s v="AFG"/>
    <x v="4"/>
    <n v="9814318"/>
  </r>
  <r>
    <x v="0"/>
    <s v="AFG"/>
    <x v="5"/>
    <n v="10036008"/>
  </r>
  <r>
    <x v="0"/>
    <s v="AFG"/>
    <x v="6"/>
    <n v="10266395"/>
  </r>
  <r>
    <x v="0"/>
    <s v="AFG"/>
    <x v="7"/>
    <n v="10505959"/>
  </r>
  <r>
    <x v="0"/>
    <s v="AFG"/>
    <x v="8"/>
    <n v="10756922"/>
  </r>
  <r>
    <x v="0"/>
    <s v="AFG"/>
    <x v="9"/>
    <n v="11017409"/>
  </r>
  <r>
    <x v="0"/>
    <s v="AFG"/>
    <x v="10"/>
    <n v="11290128"/>
  </r>
  <r>
    <x v="0"/>
    <s v="AFG"/>
    <x v="11"/>
    <n v="11567667"/>
  </r>
  <r>
    <x v="0"/>
    <s v="AFG"/>
    <x v="12"/>
    <n v="11853696"/>
  </r>
  <r>
    <x v="0"/>
    <s v="AFG"/>
    <x v="13"/>
    <n v="12157999"/>
  </r>
  <r>
    <x v="0"/>
    <s v="AFG"/>
    <x v="14"/>
    <n v="12469127"/>
  </r>
  <r>
    <x v="0"/>
    <s v="AFG"/>
    <x v="15"/>
    <n v="12773954"/>
  </r>
  <r>
    <x v="0"/>
    <s v="AFG"/>
    <x v="16"/>
    <n v="13059851"/>
  </r>
  <r>
    <x v="0"/>
    <s v="AFG"/>
    <x v="17"/>
    <n v="13340756"/>
  </r>
  <r>
    <x v="0"/>
    <s v="AFG"/>
    <x v="18"/>
    <n v="13611441"/>
  </r>
  <r>
    <x v="0"/>
    <s v="AFG"/>
    <x v="19"/>
    <n v="13655567"/>
  </r>
  <r>
    <x v="0"/>
    <s v="AFG"/>
    <x v="20"/>
    <n v="13169311"/>
  </r>
  <r>
    <x v="0"/>
    <s v="AFG"/>
    <x v="21"/>
    <n v="11937581"/>
  </r>
  <r>
    <x v="0"/>
    <s v="AFG"/>
    <x v="22"/>
    <n v="10991378"/>
  </r>
  <r>
    <x v="0"/>
    <s v="AFG"/>
    <x v="23"/>
    <n v="10917982"/>
  </r>
  <r>
    <x v="0"/>
    <s v="AFG"/>
    <x v="24"/>
    <n v="11190221"/>
  </r>
  <r>
    <x v="0"/>
    <s v="AFG"/>
    <x v="25"/>
    <n v="11426852"/>
  </r>
  <r>
    <x v="0"/>
    <s v="AFG"/>
    <x v="26"/>
    <n v="11420074"/>
  </r>
  <r>
    <x v="0"/>
    <s v="AFG"/>
    <x v="27"/>
    <n v="11387818"/>
  </r>
  <r>
    <x v="0"/>
    <s v="AFG"/>
    <x v="28"/>
    <n v="11523298"/>
  </r>
  <r>
    <x v="0"/>
    <s v="AFG"/>
    <x v="29"/>
    <n v="11874088"/>
  </r>
  <r>
    <x v="0"/>
    <s v="AFG"/>
    <x v="30"/>
    <n v="12045660"/>
  </r>
  <r>
    <x v="0"/>
    <s v="AFG"/>
    <x v="31"/>
    <n v="12238879"/>
  </r>
  <r>
    <x v="0"/>
    <s v="AFG"/>
    <x v="32"/>
    <n v="13278974"/>
  </r>
  <r>
    <x v="0"/>
    <s v="AFG"/>
    <x v="33"/>
    <n v="14943172"/>
  </r>
  <r>
    <x v="0"/>
    <s v="AFG"/>
    <x v="34"/>
    <n v="16250794"/>
  </r>
  <r>
    <x v="0"/>
    <s v="AFG"/>
    <x v="35"/>
    <n v="17065836"/>
  </r>
  <r>
    <x v="0"/>
    <s v="AFG"/>
    <x v="36"/>
    <n v="17763266"/>
  </r>
  <r>
    <x v="0"/>
    <s v="AFG"/>
    <x v="37"/>
    <n v="18452091"/>
  </r>
  <r>
    <x v="0"/>
    <s v="AFG"/>
    <x v="38"/>
    <n v="19159996"/>
  </r>
  <r>
    <x v="0"/>
    <s v="AFG"/>
    <x v="39"/>
    <n v="19887785"/>
  </r>
  <r>
    <x v="0"/>
    <s v="AFG"/>
    <x v="40"/>
    <n v="20130327"/>
  </r>
  <r>
    <x v="0"/>
    <s v="AFG"/>
    <x v="41"/>
    <n v="20284307"/>
  </r>
  <r>
    <x v="0"/>
    <s v="AFG"/>
    <x v="42"/>
    <n v="21378117"/>
  </r>
  <r>
    <x v="0"/>
    <s v="AFG"/>
    <x v="43"/>
    <n v="22733049"/>
  </r>
  <r>
    <x v="0"/>
    <s v="AFG"/>
    <x v="44"/>
    <n v="23560654"/>
  </r>
  <r>
    <x v="0"/>
    <s v="AFG"/>
    <x v="45"/>
    <n v="24404567"/>
  </r>
  <r>
    <x v="0"/>
    <s v="AFG"/>
    <x v="46"/>
    <n v="25424094"/>
  </r>
  <r>
    <x v="0"/>
    <s v="AFG"/>
    <x v="47"/>
    <n v="25909852"/>
  </r>
  <r>
    <x v="0"/>
    <s v="AFG"/>
    <x v="48"/>
    <n v="26482622"/>
  </r>
  <r>
    <x v="0"/>
    <s v="AFG"/>
    <x v="49"/>
    <n v="27466101"/>
  </r>
  <r>
    <x v="0"/>
    <s v="AFG"/>
    <x v="50"/>
    <n v="28284089"/>
  </r>
  <r>
    <x v="0"/>
    <s v="AFG"/>
    <x v="51"/>
    <n v="29347708"/>
  </r>
  <r>
    <x v="0"/>
    <s v="AFG"/>
    <x v="52"/>
    <n v="30560034"/>
  </r>
  <r>
    <x v="0"/>
    <s v="AFG"/>
    <x v="53"/>
    <n v="31622704"/>
  </r>
  <r>
    <x v="0"/>
    <s v="AFG"/>
    <x v="54"/>
    <n v="32792523"/>
  </r>
  <r>
    <x v="0"/>
    <s v="AFG"/>
    <x v="55"/>
    <n v="33831764"/>
  </r>
  <r>
    <x v="0"/>
    <s v="AFG"/>
    <x v="56"/>
    <n v="34700612"/>
  </r>
  <r>
    <x v="0"/>
    <s v="AFG"/>
    <x v="57"/>
    <n v="35688935"/>
  </r>
  <r>
    <x v="0"/>
    <s v="AFG"/>
    <x v="58"/>
    <n v="36743039"/>
  </r>
  <r>
    <x v="0"/>
    <s v="AFG"/>
    <x v="59"/>
    <n v="37856121"/>
  </r>
  <r>
    <x v="0"/>
    <s v="AFG"/>
    <x v="60"/>
    <n v="39068979"/>
  </r>
  <r>
    <x v="0"/>
    <s v="AFG"/>
    <x v="61"/>
    <n v="40000412"/>
  </r>
  <r>
    <x v="0"/>
    <s v="AFG"/>
    <x v="62"/>
    <n v="40578842"/>
  </r>
  <r>
    <x v="0"/>
    <s v="AFG"/>
    <x v="63"/>
    <n v="41454761"/>
  </r>
  <r>
    <x v="0"/>
    <s v="AFG"/>
    <x v="64"/>
    <n v="42647492"/>
  </r>
  <r>
    <x v="1"/>
    <s v="ALB"/>
    <x v="0"/>
    <n v="1608800"/>
  </r>
  <r>
    <x v="1"/>
    <s v="ALB"/>
    <x v="1"/>
    <n v="1659800"/>
  </r>
  <r>
    <x v="1"/>
    <s v="ALB"/>
    <x v="2"/>
    <n v="1711319"/>
  </r>
  <r>
    <x v="1"/>
    <s v="ALB"/>
    <x v="3"/>
    <n v="1762621"/>
  </r>
  <r>
    <x v="1"/>
    <s v="ALB"/>
    <x v="4"/>
    <n v="1814135"/>
  </r>
  <r>
    <x v="1"/>
    <s v="ALB"/>
    <x v="5"/>
    <n v="1864791"/>
  </r>
  <r>
    <x v="1"/>
    <s v="ALB"/>
    <x v="6"/>
    <n v="1914573"/>
  </r>
  <r>
    <x v="1"/>
    <s v="ALB"/>
    <x v="7"/>
    <n v="1965598"/>
  </r>
  <r>
    <x v="1"/>
    <s v="ALB"/>
    <x v="8"/>
    <n v="2022272"/>
  </r>
  <r>
    <x v="1"/>
    <s v="ALB"/>
    <x v="9"/>
    <n v="2081695"/>
  </r>
  <r>
    <x v="1"/>
    <s v="ALB"/>
    <x v="10"/>
    <n v="2135479"/>
  </r>
  <r>
    <x v="1"/>
    <s v="ALB"/>
    <x v="11"/>
    <n v="2187853"/>
  </r>
  <r>
    <x v="1"/>
    <s v="ALB"/>
    <x v="12"/>
    <n v="2243126"/>
  </r>
  <r>
    <x v="1"/>
    <s v="ALB"/>
    <x v="13"/>
    <n v="2296752"/>
  </r>
  <r>
    <x v="1"/>
    <s v="ALB"/>
    <x v="14"/>
    <n v="2350124"/>
  </r>
  <r>
    <x v="1"/>
    <s v="ALB"/>
    <x v="15"/>
    <n v="2404831"/>
  </r>
  <r>
    <x v="1"/>
    <s v="ALB"/>
    <x v="16"/>
    <n v="2458526"/>
  </r>
  <r>
    <x v="1"/>
    <s v="ALB"/>
    <x v="17"/>
    <n v="2513546"/>
  </r>
  <r>
    <x v="1"/>
    <s v="ALB"/>
    <x v="18"/>
    <n v="2566266"/>
  </r>
  <r>
    <x v="1"/>
    <s v="ALB"/>
    <x v="19"/>
    <n v="2617832"/>
  </r>
  <r>
    <x v="1"/>
    <s v="ALB"/>
    <x v="20"/>
    <n v="2671997"/>
  </r>
  <r>
    <x v="1"/>
    <s v="ALB"/>
    <x v="21"/>
    <n v="2726056"/>
  </r>
  <r>
    <x v="1"/>
    <s v="ALB"/>
    <x v="22"/>
    <n v="2784278"/>
  </r>
  <r>
    <x v="1"/>
    <s v="ALB"/>
    <x v="23"/>
    <n v="2843960"/>
  </r>
  <r>
    <x v="1"/>
    <s v="ALB"/>
    <x v="24"/>
    <n v="2904429"/>
  </r>
  <r>
    <x v="1"/>
    <s v="ALB"/>
    <x v="25"/>
    <n v="2964762"/>
  </r>
  <r>
    <x v="1"/>
    <s v="ALB"/>
    <x v="26"/>
    <n v="3022635"/>
  </r>
  <r>
    <x v="1"/>
    <s v="ALB"/>
    <x v="27"/>
    <n v="3083605"/>
  </r>
  <r>
    <x v="1"/>
    <s v="ALB"/>
    <x v="28"/>
    <n v="3142336"/>
  </r>
  <r>
    <x v="1"/>
    <s v="ALB"/>
    <x v="29"/>
    <n v="3227943"/>
  </r>
  <r>
    <x v="1"/>
    <s v="ALB"/>
    <x v="30"/>
    <n v="3286542"/>
  </r>
  <r>
    <x v="1"/>
    <s v="ALB"/>
    <x v="31"/>
    <n v="3266790"/>
  </r>
  <r>
    <x v="1"/>
    <s v="ALB"/>
    <x v="32"/>
    <n v="3247039"/>
  </r>
  <r>
    <x v="1"/>
    <s v="ALB"/>
    <x v="33"/>
    <n v="3227287"/>
  </r>
  <r>
    <x v="1"/>
    <s v="ALB"/>
    <x v="34"/>
    <n v="3207536"/>
  </r>
  <r>
    <x v="1"/>
    <s v="ALB"/>
    <x v="35"/>
    <n v="3187784"/>
  </r>
  <r>
    <x v="1"/>
    <s v="ALB"/>
    <x v="36"/>
    <n v="3168033"/>
  </r>
  <r>
    <x v="1"/>
    <s v="ALB"/>
    <x v="37"/>
    <n v="3148281"/>
  </r>
  <r>
    <x v="1"/>
    <s v="ALB"/>
    <x v="38"/>
    <n v="3128530"/>
  </r>
  <r>
    <x v="1"/>
    <s v="ALB"/>
    <x v="39"/>
    <n v="3108778"/>
  </r>
  <r>
    <x v="1"/>
    <s v="ALB"/>
    <x v="40"/>
    <n v="3089027"/>
  </r>
  <r>
    <x v="1"/>
    <s v="ALB"/>
    <x v="41"/>
    <n v="3060173"/>
  </r>
  <r>
    <x v="1"/>
    <s v="ALB"/>
    <x v="42"/>
    <n v="3051010"/>
  </r>
  <r>
    <x v="1"/>
    <s v="ALB"/>
    <x v="43"/>
    <n v="3039616"/>
  </r>
  <r>
    <x v="1"/>
    <s v="ALB"/>
    <x v="44"/>
    <n v="3026939"/>
  </r>
  <r>
    <x v="1"/>
    <s v="ALB"/>
    <x v="45"/>
    <n v="3011487"/>
  </r>
  <r>
    <x v="1"/>
    <s v="ALB"/>
    <x v="46"/>
    <n v="2992547"/>
  </r>
  <r>
    <x v="1"/>
    <s v="ALB"/>
    <x v="47"/>
    <n v="2970017"/>
  </r>
  <r>
    <x v="1"/>
    <s v="ALB"/>
    <x v="48"/>
    <n v="2947314"/>
  </r>
  <r>
    <x v="1"/>
    <s v="ALB"/>
    <x v="49"/>
    <n v="2927519"/>
  </r>
  <r>
    <x v="1"/>
    <s v="ALB"/>
    <x v="50"/>
    <n v="2913021"/>
  </r>
  <r>
    <x v="1"/>
    <s v="ALB"/>
    <x v="51"/>
    <n v="2905195"/>
  </r>
  <r>
    <x v="1"/>
    <s v="ALB"/>
    <x v="52"/>
    <n v="2900401"/>
  </r>
  <r>
    <x v="1"/>
    <s v="ALB"/>
    <x v="53"/>
    <n v="2895092"/>
  </r>
  <r>
    <x v="1"/>
    <s v="ALB"/>
    <x v="54"/>
    <n v="2889104"/>
  </r>
  <r>
    <x v="1"/>
    <s v="ALB"/>
    <x v="55"/>
    <n v="2880703"/>
  </r>
  <r>
    <x v="1"/>
    <s v="ALB"/>
    <x v="56"/>
    <n v="2876101"/>
  </r>
  <r>
    <x v="1"/>
    <s v="ALB"/>
    <x v="57"/>
    <n v="2873457"/>
  </r>
  <r>
    <x v="1"/>
    <s v="ALB"/>
    <x v="58"/>
    <n v="2866376"/>
  </r>
  <r>
    <x v="1"/>
    <s v="ALB"/>
    <x v="59"/>
    <n v="2854191"/>
  </r>
  <r>
    <x v="1"/>
    <s v="ALB"/>
    <x v="60"/>
    <n v="2837849"/>
  </r>
  <r>
    <x v="1"/>
    <s v="ALB"/>
    <x v="61"/>
    <n v="2811666"/>
  </r>
  <r>
    <x v="1"/>
    <s v="ALB"/>
    <x v="62"/>
    <n v="2777689"/>
  </r>
  <r>
    <x v="1"/>
    <s v="ALB"/>
    <x v="63"/>
    <n v="2745972"/>
  </r>
  <r>
    <x v="1"/>
    <s v="ALB"/>
    <x v="64"/>
    <n v="2714617"/>
  </r>
  <r>
    <x v="2"/>
    <s v="DZA"/>
    <x v="0"/>
    <n v="11424922"/>
  </r>
  <r>
    <x v="2"/>
    <s v="DZA"/>
    <x v="1"/>
    <n v="11628883"/>
  </r>
  <r>
    <x v="2"/>
    <s v="DZA"/>
    <x v="2"/>
    <n v="11800771"/>
  </r>
  <r>
    <x v="2"/>
    <s v="DZA"/>
    <x v="3"/>
    <n v="11982118"/>
  </r>
  <r>
    <x v="2"/>
    <s v="DZA"/>
    <x v="4"/>
    <n v="12179813"/>
  </r>
  <r>
    <x v="2"/>
    <s v="DZA"/>
    <x v="5"/>
    <n v="12365976"/>
  </r>
  <r>
    <x v="2"/>
    <s v="DZA"/>
    <x v="6"/>
    <n v="12590069"/>
  </r>
  <r>
    <x v="2"/>
    <s v="DZA"/>
    <x v="7"/>
    <n v="12876118"/>
  </r>
  <r>
    <x v="2"/>
    <s v="DZA"/>
    <x v="8"/>
    <n v="13172614"/>
  </r>
  <r>
    <x v="2"/>
    <s v="DZA"/>
    <x v="9"/>
    <n v="13475960"/>
  </r>
  <r>
    <x v="2"/>
    <s v="DZA"/>
    <x v="10"/>
    <n v="13783719"/>
  </r>
  <r>
    <x v="2"/>
    <s v="DZA"/>
    <x v="11"/>
    <n v="14098936"/>
  </r>
  <r>
    <x v="2"/>
    <s v="DZA"/>
    <x v="12"/>
    <n v="14427072"/>
  </r>
  <r>
    <x v="2"/>
    <s v="DZA"/>
    <x v="13"/>
    <n v="14771147"/>
  </r>
  <r>
    <x v="2"/>
    <s v="DZA"/>
    <x v="14"/>
    <n v="15133502"/>
  </r>
  <r>
    <x v="2"/>
    <s v="DZA"/>
    <x v="15"/>
    <n v="15678596"/>
  </r>
  <r>
    <x v="2"/>
    <s v="DZA"/>
    <x v="16"/>
    <n v="16409170"/>
  </r>
  <r>
    <x v="2"/>
    <s v="DZA"/>
    <x v="17"/>
    <n v="17015994"/>
  </r>
  <r>
    <x v="2"/>
    <s v="DZA"/>
    <x v="18"/>
    <n v="17506974"/>
  </r>
  <r>
    <x v="2"/>
    <s v="DZA"/>
    <x v="19"/>
    <n v="18036655"/>
  </r>
  <r>
    <x v="2"/>
    <s v="DZA"/>
    <x v="20"/>
    <n v="18607174"/>
  </r>
  <r>
    <x v="2"/>
    <s v="DZA"/>
    <x v="21"/>
    <n v="19220704"/>
  </r>
  <r>
    <x v="2"/>
    <s v="DZA"/>
    <x v="22"/>
    <n v="19872348"/>
  </r>
  <r>
    <x v="2"/>
    <s v="DZA"/>
    <x v="23"/>
    <n v="20558115"/>
  </r>
  <r>
    <x v="2"/>
    <s v="DZA"/>
    <x v="24"/>
    <n v="21271969"/>
  </r>
  <r>
    <x v="2"/>
    <s v="DZA"/>
    <x v="25"/>
    <n v="22008544"/>
  </r>
  <r>
    <x v="2"/>
    <s v="DZA"/>
    <x v="26"/>
    <n v="22745499"/>
  </r>
  <r>
    <x v="2"/>
    <s v="DZA"/>
    <x v="27"/>
    <n v="23443624"/>
  </r>
  <r>
    <x v="2"/>
    <s v="DZA"/>
    <x v="28"/>
    <n v="24109536"/>
  </r>
  <r>
    <x v="2"/>
    <s v="DZA"/>
    <x v="29"/>
    <n v="24754485"/>
  </r>
  <r>
    <x v="2"/>
    <s v="DZA"/>
    <x v="30"/>
    <n v="25375810"/>
  </r>
  <r>
    <x v="2"/>
    <s v="DZA"/>
    <x v="31"/>
    <n v="25987928"/>
  </r>
  <r>
    <x v="2"/>
    <s v="DZA"/>
    <x v="32"/>
    <n v="26628568"/>
  </r>
  <r>
    <x v="2"/>
    <s v="DZA"/>
    <x v="33"/>
    <n v="27277048"/>
  </r>
  <r>
    <x v="2"/>
    <s v="DZA"/>
    <x v="34"/>
    <n v="27887279"/>
  </r>
  <r>
    <x v="2"/>
    <s v="DZA"/>
    <x v="35"/>
    <n v="28470191"/>
  </r>
  <r>
    <x v="2"/>
    <s v="DZA"/>
    <x v="36"/>
    <n v="29033044"/>
  </r>
  <r>
    <x v="2"/>
    <s v="DZA"/>
    <x v="37"/>
    <n v="29579301"/>
  </r>
  <r>
    <x v="2"/>
    <s v="DZA"/>
    <x v="38"/>
    <n v="30054133"/>
  </r>
  <r>
    <x v="2"/>
    <s v="DZA"/>
    <x v="39"/>
    <n v="30474354"/>
  </r>
  <r>
    <x v="2"/>
    <s v="DZA"/>
    <x v="40"/>
    <n v="30903893"/>
  </r>
  <r>
    <x v="2"/>
    <s v="DZA"/>
    <x v="41"/>
    <n v="31331221"/>
  </r>
  <r>
    <x v="2"/>
    <s v="DZA"/>
    <x v="42"/>
    <n v="31750835"/>
  </r>
  <r>
    <x v="2"/>
    <s v="DZA"/>
    <x v="43"/>
    <n v="32175818"/>
  </r>
  <r>
    <x v="2"/>
    <s v="DZA"/>
    <x v="44"/>
    <n v="32628286"/>
  </r>
  <r>
    <x v="2"/>
    <s v="DZA"/>
    <x v="45"/>
    <n v="33109249"/>
  </r>
  <r>
    <x v="2"/>
    <s v="DZA"/>
    <x v="46"/>
    <n v="33623506"/>
  </r>
  <r>
    <x v="2"/>
    <s v="DZA"/>
    <x v="47"/>
    <n v="34189416"/>
  </r>
  <r>
    <x v="2"/>
    <s v="DZA"/>
    <x v="48"/>
    <n v="34816961"/>
  </r>
  <r>
    <x v="2"/>
    <s v="DZA"/>
    <x v="49"/>
    <n v="35490445"/>
  </r>
  <r>
    <x v="2"/>
    <s v="DZA"/>
    <x v="50"/>
    <n v="36188236"/>
  </r>
  <r>
    <x v="2"/>
    <s v="DZA"/>
    <x v="51"/>
    <n v="36903376"/>
  </r>
  <r>
    <x v="2"/>
    <s v="DZA"/>
    <x v="52"/>
    <n v="37646166"/>
  </r>
  <r>
    <x v="2"/>
    <s v="DZA"/>
    <x v="53"/>
    <n v="38414171"/>
  </r>
  <r>
    <x v="2"/>
    <s v="DZA"/>
    <x v="54"/>
    <n v="39205031"/>
  </r>
  <r>
    <x v="2"/>
    <s v="DZA"/>
    <x v="55"/>
    <n v="40019529"/>
  </r>
  <r>
    <x v="2"/>
    <s v="DZA"/>
    <x v="56"/>
    <n v="40850721"/>
  </r>
  <r>
    <x v="2"/>
    <s v="DZA"/>
    <x v="57"/>
    <n v="41689299"/>
  </r>
  <r>
    <x v="2"/>
    <s v="DZA"/>
    <x v="58"/>
    <n v="42505035"/>
  </r>
  <r>
    <x v="2"/>
    <s v="DZA"/>
    <x v="59"/>
    <n v="43294546"/>
  </r>
  <r>
    <x v="2"/>
    <s v="DZA"/>
    <x v="60"/>
    <n v="44042091"/>
  </r>
  <r>
    <x v="2"/>
    <s v="DZA"/>
    <x v="61"/>
    <n v="44761099"/>
  </r>
  <r>
    <x v="2"/>
    <s v="DZA"/>
    <x v="62"/>
    <n v="45477389"/>
  </r>
  <r>
    <x v="2"/>
    <s v="DZA"/>
    <x v="63"/>
    <n v="46164219"/>
  </r>
  <r>
    <x v="2"/>
    <s v="DZA"/>
    <x v="64"/>
    <n v="46814308"/>
  </r>
  <r>
    <x v="3"/>
    <s v="ASM"/>
    <x v="0"/>
    <n v="20133"/>
  </r>
  <r>
    <x v="3"/>
    <s v="ASM"/>
    <x v="1"/>
    <n v="20666"/>
  </r>
  <r>
    <x v="3"/>
    <s v="ASM"/>
    <x v="2"/>
    <n v="21298"/>
  </r>
  <r>
    <x v="3"/>
    <s v="ASM"/>
    <x v="3"/>
    <n v="21966"/>
  </r>
  <r>
    <x v="3"/>
    <s v="ASM"/>
    <x v="4"/>
    <n v="22673"/>
  </r>
  <r>
    <x v="3"/>
    <s v="ASM"/>
    <x v="5"/>
    <n v="23406"/>
  </r>
  <r>
    <x v="3"/>
    <s v="ASM"/>
    <x v="6"/>
    <n v="24136"/>
  </r>
  <r>
    <x v="3"/>
    <s v="ASM"/>
    <x v="7"/>
    <n v="24863"/>
  </r>
  <r>
    <x v="3"/>
    <s v="ASM"/>
    <x v="8"/>
    <n v="25614"/>
  </r>
  <r>
    <x v="3"/>
    <s v="ASM"/>
    <x v="9"/>
    <n v="26375"/>
  </r>
  <r>
    <x v="3"/>
    <s v="ASM"/>
    <x v="10"/>
    <n v="27026"/>
  </r>
  <r>
    <x v="3"/>
    <s v="ASM"/>
    <x v="11"/>
    <n v="27533"/>
  </r>
  <r>
    <x v="3"/>
    <s v="ASM"/>
    <x v="12"/>
    <n v="27995"/>
  </r>
  <r>
    <x v="3"/>
    <s v="ASM"/>
    <x v="13"/>
    <n v="28436"/>
  </r>
  <r>
    <x v="3"/>
    <s v="ASM"/>
    <x v="14"/>
    <n v="28875"/>
  </r>
  <r>
    <x v="3"/>
    <s v="ASM"/>
    <x v="15"/>
    <n v="29390"/>
  </r>
  <r>
    <x v="3"/>
    <s v="ASM"/>
    <x v="16"/>
    <n v="29959"/>
  </r>
  <r>
    <x v="3"/>
    <s v="ASM"/>
    <x v="17"/>
    <n v="30521"/>
  </r>
  <r>
    <x v="3"/>
    <s v="ASM"/>
    <x v="18"/>
    <n v="31076"/>
  </r>
  <r>
    <x v="3"/>
    <s v="ASM"/>
    <x v="19"/>
    <n v="31611"/>
  </r>
  <r>
    <x v="3"/>
    <s v="ASM"/>
    <x v="20"/>
    <n v="32403"/>
  </r>
  <r>
    <x v="3"/>
    <s v="ASM"/>
    <x v="21"/>
    <n v="33584"/>
  </r>
  <r>
    <x v="3"/>
    <s v="ASM"/>
    <x v="22"/>
    <n v="34909"/>
  </r>
  <r>
    <x v="3"/>
    <s v="ASM"/>
    <x v="23"/>
    <n v="36271"/>
  </r>
  <r>
    <x v="3"/>
    <s v="ASM"/>
    <x v="24"/>
    <n v="37667"/>
  </r>
  <r>
    <x v="3"/>
    <s v="ASM"/>
    <x v="25"/>
    <n v="39103"/>
  </r>
  <r>
    <x v="3"/>
    <s v="ASM"/>
    <x v="26"/>
    <n v="40571"/>
  </r>
  <r>
    <x v="3"/>
    <s v="ASM"/>
    <x v="27"/>
    <n v="42072"/>
  </r>
  <r>
    <x v="3"/>
    <s v="ASM"/>
    <x v="28"/>
    <n v="43615"/>
  </r>
  <r>
    <x v="3"/>
    <s v="ASM"/>
    <x v="29"/>
    <n v="45191"/>
  </r>
  <r>
    <x v="3"/>
    <s v="ASM"/>
    <x v="30"/>
    <n v="46640"/>
  </r>
  <r>
    <x v="3"/>
    <s v="ASM"/>
    <x v="31"/>
    <n v="47882"/>
  </r>
  <r>
    <x v="3"/>
    <s v="ASM"/>
    <x v="32"/>
    <n v="49038"/>
  </r>
  <r>
    <x v="3"/>
    <s v="ASM"/>
    <x v="33"/>
    <n v="50159"/>
  </r>
  <r>
    <x v="3"/>
    <s v="ASM"/>
    <x v="34"/>
    <n v="51251"/>
  </r>
  <r>
    <x v="3"/>
    <s v="ASM"/>
    <x v="35"/>
    <n v="52316"/>
  </r>
  <r>
    <x v="3"/>
    <s v="ASM"/>
    <x v="36"/>
    <n v="53353"/>
  </r>
  <r>
    <x v="3"/>
    <s v="ASM"/>
    <x v="37"/>
    <n v="54362"/>
  </r>
  <r>
    <x v="3"/>
    <s v="ASM"/>
    <x v="38"/>
    <n v="55334"/>
  </r>
  <r>
    <x v="3"/>
    <s v="ASM"/>
    <x v="39"/>
    <n v="56248"/>
  </r>
  <r>
    <x v="3"/>
    <s v="ASM"/>
    <x v="40"/>
    <n v="56855"/>
  </r>
  <r>
    <x v="3"/>
    <s v="ASM"/>
    <x v="41"/>
    <n v="57053"/>
  </r>
  <r>
    <x v="3"/>
    <s v="ASM"/>
    <x v="42"/>
    <n v="57062"/>
  </r>
  <r>
    <x v="3"/>
    <s v="ASM"/>
    <x v="43"/>
    <n v="56971"/>
  </r>
  <r>
    <x v="3"/>
    <s v="ASM"/>
    <x v="44"/>
    <n v="56818"/>
  </r>
  <r>
    <x v="3"/>
    <s v="ASM"/>
    <x v="45"/>
    <n v="56617"/>
  </r>
  <r>
    <x v="3"/>
    <s v="ASM"/>
    <x v="46"/>
    <n v="56374"/>
  </r>
  <r>
    <x v="3"/>
    <s v="ASM"/>
    <x v="47"/>
    <n v="56113"/>
  </r>
  <r>
    <x v="3"/>
    <s v="ASM"/>
    <x v="48"/>
    <n v="55828"/>
  </r>
  <r>
    <x v="3"/>
    <s v="ASM"/>
    <x v="49"/>
    <n v="55528"/>
  </r>
  <r>
    <x v="3"/>
    <s v="ASM"/>
    <x v="50"/>
    <n v="55228"/>
  </r>
  <r>
    <x v="3"/>
    <s v="ASM"/>
    <x v="51"/>
    <n v="54895"/>
  </r>
  <r>
    <x v="3"/>
    <s v="ASM"/>
    <x v="52"/>
    <n v="54489"/>
  </r>
  <r>
    <x v="3"/>
    <s v="ASM"/>
    <x v="53"/>
    <n v="54006"/>
  </r>
  <r>
    <x v="3"/>
    <s v="ASM"/>
    <x v="54"/>
    <n v="53466"/>
  </r>
  <r>
    <x v="3"/>
    <s v="ASM"/>
    <x v="55"/>
    <n v="52878"/>
  </r>
  <r>
    <x v="3"/>
    <s v="ASM"/>
    <x v="56"/>
    <n v="52245"/>
  </r>
  <r>
    <x v="3"/>
    <s v="ASM"/>
    <x v="57"/>
    <n v="51586"/>
  </r>
  <r>
    <x v="3"/>
    <s v="ASM"/>
    <x v="58"/>
    <n v="50908"/>
  </r>
  <r>
    <x v="3"/>
    <s v="ASM"/>
    <x v="59"/>
    <n v="50209"/>
  </r>
  <r>
    <x v="3"/>
    <s v="ASM"/>
    <x v="60"/>
    <n v="49761"/>
  </r>
  <r>
    <x v="3"/>
    <s v="ASM"/>
    <x v="61"/>
    <n v="49225"/>
  </r>
  <r>
    <x v="3"/>
    <s v="ASM"/>
    <x v="62"/>
    <n v="48342"/>
  </r>
  <r>
    <x v="3"/>
    <s v="ASM"/>
    <x v="63"/>
    <n v="47521"/>
  </r>
  <r>
    <x v="3"/>
    <s v="ASM"/>
    <x v="64"/>
    <n v="46765"/>
  </r>
  <r>
    <x v="4"/>
    <s v="AND"/>
    <x v="0"/>
    <n v="9510"/>
  </r>
  <r>
    <x v="4"/>
    <s v="AND"/>
    <x v="1"/>
    <n v="10283"/>
  </r>
  <r>
    <x v="4"/>
    <s v="AND"/>
    <x v="2"/>
    <n v="11086"/>
  </r>
  <r>
    <x v="4"/>
    <s v="AND"/>
    <x v="3"/>
    <n v="11915"/>
  </r>
  <r>
    <x v="4"/>
    <s v="AND"/>
    <x v="4"/>
    <n v="12764"/>
  </r>
  <r>
    <x v="4"/>
    <s v="AND"/>
    <x v="5"/>
    <n v="13634"/>
  </r>
  <r>
    <x v="4"/>
    <s v="AND"/>
    <x v="6"/>
    <n v="14626"/>
  </r>
  <r>
    <x v="4"/>
    <s v="AND"/>
    <x v="7"/>
    <n v="15837"/>
  </r>
  <r>
    <x v="4"/>
    <s v="AND"/>
    <x v="8"/>
    <n v="17176"/>
  </r>
  <r>
    <x v="4"/>
    <s v="AND"/>
    <x v="9"/>
    <n v="18555"/>
  </r>
  <r>
    <x v="4"/>
    <s v="AND"/>
    <x v="10"/>
    <n v="19977"/>
  </r>
  <r>
    <x v="4"/>
    <s v="AND"/>
    <x v="11"/>
    <n v="21442"/>
  </r>
  <r>
    <x v="4"/>
    <s v="AND"/>
    <x v="12"/>
    <n v="22957"/>
  </r>
  <r>
    <x v="4"/>
    <s v="AND"/>
    <x v="13"/>
    <n v="24523"/>
  </r>
  <r>
    <x v="4"/>
    <s v="AND"/>
    <x v="14"/>
    <n v="26130"/>
  </r>
  <r>
    <x v="4"/>
    <s v="AND"/>
    <x v="15"/>
    <n v="27773"/>
  </r>
  <r>
    <x v="4"/>
    <s v="AND"/>
    <x v="16"/>
    <n v="29436"/>
  </r>
  <r>
    <x v="4"/>
    <s v="AND"/>
    <x v="17"/>
    <n v="31097"/>
  </r>
  <r>
    <x v="4"/>
    <s v="AND"/>
    <x v="18"/>
    <n v="32735"/>
  </r>
  <r>
    <x v="4"/>
    <s v="AND"/>
    <x v="19"/>
    <n v="34306"/>
  </r>
  <r>
    <x v="4"/>
    <s v="AND"/>
    <x v="20"/>
    <n v="35782"/>
  </r>
  <r>
    <x v="4"/>
    <s v="AND"/>
    <x v="21"/>
    <n v="37169"/>
  </r>
  <r>
    <x v="4"/>
    <s v="AND"/>
    <x v="22"/>
    <n v="38764"/>
  </r>
  <r>
    <x v="4"/>
    <s v="AND"/>
    <x v="23"/>
    <n v="40565"/>
  </r>
  <r>
    <x v="4"/>
    <s v="AND"/>
    <x v="24"/>
    <n v="42273"/>
  </r>
  <r>
    <x v="4"/>
    <s v="AND"/>
    <x v="25"/>
    <n v="43825"/>
  </r>
  <r>
    <x v="4"/>
    <s v="AND"/>
    <x v="26"/>
    <n v="45734"/>
  </r>
  <r>
    <x v="4"/>
    <s v="AND"/>
    <x v="27"/>
    <n v="47653"/>
  </r>
  <r>
    <x v="4"/>
    <s v="AND"/>
    <x v="28"/>
    <n v="49416"/>
  </r>
  <r>
    <x v="4"/>
    <s v="AND"/>
    <x v="29"/>
    <n v="50620"/>
  </r>
  <r>
    <x v="4"/>
    <s v="AND"/>
    <x v="30"/>
    <n v="52597"/>
  </r>
  <r>
    <x v="4"/>
    <s v="AND"/>
    <x v="31"/>
    <n v="56667"/>
  </r>
  <r>
    <x v="4"/>
    <s v="AND"/>
    <x v="32"/>
    <n v="60200"/>
  </r>
  <r>
    <x v="4"/>
    <s v="AND"/>
    <x v="33"/>
    <n v="63272"/>
  </r>
  <r>
    <x v="4"/>
    <s v="AND"/>
    <x v="34"/>
    <n v="64612"/>
  </r>
  <r>
    <x v="4"/>
    <s v="AND"/>
    <x v="35"/>
    <n v="63912"/>
  </r>
  <r>
    <x v="4"/>
    <s v="AND"/>
    <x v="36"/>
    <n v="63984"/>
  </r>
  <r>
    <x v="4"/>
    <s v="AND"/>
    <x v="37"/>
    <n v="64700"/>
  </r>
  <r>
    <x v="4"/>
    <s v="AND"/>
    <x v="38"/>
    <n v="65382"/>
  </r>
  <r>
    <x v="4"/>
    <s v="AND"/>
    <x v="39"/>
    <n v="65710"/>
  </r>
  <r>
    <x v="4"/>
    <s v="AND"/>
    <x v="40"/>
    <n v="65685"/>
  </r>
  <r>
    <x v="4"/>
    <s v="AND"/>
    <x v="41"/>
    <n v="65852"/>
  </r>
  <r>
    <x v="4"/>
    <s v="AND"/>
    <x v="42"/>
    <n v="66506"/>
  </r>
  <r>
    <x v="4"/>
    <s v="AND"/>
    <x v="43"/>
    <n v="69486"/>
  </r>
  <r>
    <x v="4"/>
    <s v="AND"/>
    <x v="44"/>
    <n v="74325"/>
  </r>
  <r>
    <x v="4"/>
    <s v="AND"/>
    <x v="45"/>
    <n v="77421"/>
  </r>
  <r>
    <x v="4"/>
    <s v="AND"/>
    <x v="46"/>
    <n v="79585"/>
  </r>
  <r>
    <x v="4"/>
    <s v="AND"/>
    <x v="47"/>
    <n v="81877"/>
  </r>
  <r>
    <x v="4"/>
    <s v="AND"/>
    <x v="48"/>
    <n v="83495"/>
  </r>
  <r>
    <x v="4"/>
    <s v="AND"/>
    <x v="49"/>
    <n v="83888"/>
  </r>
  <r>
    <x v="4"/>
    <s v="AND"/>
    <x v="50"/>
    <n v="80706"/>
  </r>
  <r>
    <x v="4"/>
    <s v="AND"/>
    <x v="51"/>
    <n v="77783"/>
  </r>
  <r>
    <x v="4"/>
    <s v="AND"/>
    <x v="52"/>
    <n v="76834"/>
  </r>
  <r>
    <x v="4"/>
    <s v="AND"/>
    <x v="53"/>
    <n v="75194"/>
  </r>
  <r>
    <x v="4"/>
    <s v="AND"/>
    <x v="54"/>
    <n v="73737"/>
  </r>
  <r>
    <x v="4"/>
    <s v="AND"/>
    <x v="55"/>
    <n v="72174"/>
  </r>
  <r>
    <x v="4"/>
    <s v="AND"/>
    <x v="56"/>
    <n v="72181"/>
  </r>
  <r>
    <x v="4"/>
    <s v="AND"/>
    <x v="57"/>
    <n v="73763"/>
  </r>
  <r>
    <x v="4"/>
    <s v="AND"/>
    <x v="58"/>
    <n v="75162"/>
  </r>
  <r>
    <x v="4"/>
    <s v="AND"/>
    <x v="59"/>
    <n v="76474"/>
  </r>
  <r>
    <x v="4"/>
    <s v="AND"/>
    <x v="60"/>
    <n v="77380"/>
  </r>
  <r>
    <x v="4"/>
    <s v="AND"/>
    <x v="61"/>
    <n v="78364"/>
  </r>
  <r>
    <x v="4"/>
    <s v="AND"/>
    <x v="62"/>
    <n v="79705"/>
  </r>
  <r>
    <x v="4"/>
    <s v="AND"/>
    <x v="63"/>
    <n v="80856"/>
  </r>
  <r>
    <x v="4"/>
    <s v="AND"/>
    <x v="64"/>
    <n v="81938"/>
  </r>
  <r>
    <x v="5"/>
    <s v="AGO"/>
    <x v="0"/>
    <n v="5231654"/>
  </r>
  <r>
    <x v="5"/>
    <s v="AGO"/>
    <x v="1"/>
    <n v="5301583"/>
  </r>
  <r>
    <x v="5"/>
    <s v="AGO"/>
    <x v="2"/>
    <n v="5354310"/>
  </r>
  <r>
    <x v="5"/>
    <s v="AGO"/>
    <x v="3"/>
    <n v="5408320"/>
  </r>
  <r>
    <x v="5"/>
    <s v="AGO"/>
    <x v="4"/>
    <n v="5464187"/>
  </r>
  <r>
    <x v="5"/>
    <s v="AGO"/>
    <x v="5"/>
    <n v="5521981"/>
  </r>
  <r>
    <x v="5"/>
    <s v="AGO"/>
    <x v="6"/>
    <n v="5581386"/>
  </r>
  <r>
    <x v="5"/>
    <s v="AGO"/>
    <x v="7"/>
    <n v="5641807"/>
  </r>
  <r>
    <x v="5"/>
    <s v="AGO"/>
    <x v="8"/>
    <n v="5702699"/>
  </r>
  <r>
    <x v="5"/>
    <s v="AGO"/>
    <x v="9"/>
    <n v="5763685"/>
  </r>
  <r>
    <x v="5"/>
    <s v="AGO"/>
    <x v="10"/>
    <n v="5852788"/>
  </r>
  <r>
    <x v="5"/>
    <s v="AGO"/>
    <x v="11"/>
    <n v="5991102"/>
  </r>
  <r>
    <x v="5"/>
    <s v="AGO"/>
    <x v="12"/>
    <n v="6174262"/>
  </r>
  <r>
    <x v="5"/>
    <s v="AGO"/>
    <x v="13"/>
    <n v="6388528"/>
  </r>
  <r>
    <x v="5"/>
    <s v="AGO"/>
    <x v="14"/>
    <n v="6613367"/>
  </r>
  <r>
    <x v="5"/>
    <s v="AGO"/>
    <x v="15"/>
    <n v="6842947"/>
  </r>
  <r>
    <x v="5"/>
    <s v="AGO"/>
    <x v="16"/>
    <n v="7074664"/>
  </r>
  <r>
    <x v="5"/>
    <s v="AGO"/>
    <x v="17"/>
    <n v="7317829"/>
  </r>
  <r>
    <x v="5"/>
    <s v="AGO"/>
    <x v="18"/>
    <n v="7576734"/>
  </r>
  <r>
    <x v="5"/>
    <s v="AGO"/>
    <x v="19"/>
    <n v="7847207"/>
  </r>
  <r>
    <x v="5"/>
    <s v="AGO"/>
    <x v="20"/>
    <n v="8133872"/>
  </r>
  <r>
    <x v="5"/>
    <s v="AGO"/>
    <x v="21"/>
    <n v="8435607"/>
  </r>
  <r>
    <x v="5"/>
    <s v="AGO"/>
    <x v="22"/>
    <n v="8751648"/>
  </r>
  <r>
    <x v="5"/>
    <s v="AGO"/>
    <x v="23"/>
    <n v="9082983"/>
  </r>
  <r>
    <x v="5"/>
    <s v="AGO"/>
    <x v="24"/>
    <n v="9425917"/>
  </r>
  <r>
    <x v="5"/>
    <s v="AGO"/>
    <x v="25"/>
    <n v="9779120"/>
  </r>
  <r>
    <x v="5"/>
    <s v="AGO"/>
    <x v="26"/>
    <n v="10139450"/>
  </r>
  <r>
    <x v="5"/>
    <s v="AGO"/>
    <x v="27"/>
    <n v="10497858"/>
  </r>
  <r>
    <x v="5"/>
    <s v="AGO"/>
    <x v="28"/>
    <n v="10861291"/>
  </r>
  <r>
    <x v="5"/>
    <s v="AGO"/>
    <x v="29"/>
    <n v="11238562"/>
  </r>
  <r>
    <x v="5"/>
    <s v="AGO"/>
    <x v="30"/>
    <n v="11626360"/>
  </r>
  <r>
    <x v="5"/>
    <s v="AGO"/>
    <x v="31"/>
    <n v="12023529"/>
  </r>
  <r>
    <x v="5"/>
    <s v="AGO"/>
    <x v="32"/>
    <n v="12423712"/>
  </r>
  <r>
    <x v="5"/>
    <s v="AGO"/>
    <x v="33"/>
    <n v="12827135"/>
  </r>
  <r>
    <x v="5"/>
    <s v="AGO"/>
    <x v="34"/>
    <n v="13249764"/>
  </r>
  <r>
    <x v="5"/>
    <s v="AGO"/>
    <x v="35"/>
    <n v="13699778"/>
  </r>
  <r>
    <x v="5"/>
    <s v="AGO"/>
    <x v="36"/>
    <n v="14170973"/>
  </r>
  <r>
    <x v="5"/>
    <s v="AGO"/>
    <x v="37"/>
    <n v="14660413"/>
  </r>
  <r>
    <x v="5"/>
    <s v="AGO"/>
    <x v="38"/>
    <n v="15159370"/>
  </r>
  <r>
    <x v="5"/>
    <s v="AGO"/>
    <x v="39"/>
    <n v="15667235"/>
  </r>
  <r>
    <x v="5"/>
    <s v="AGO"/>
    <x v="40"/>
    <n v="16194869"/>
  </r>
  <r>
    <x v="5"/>
    <s v="AGO"/>
    <x v="41"/>
    <n v="16747208"/>
  </r>
  <r>
    <x v="5"/>
    <s v="AGO"/>
    <x v="42"/>
    <n v="17327699"/>
  </r>
  <r>
    <x v="5"/>
    <s v="AGO"/>
    <x v="43"/>
    <n v="17943712"/>
  </r>
  <r>
    <x v="5"/>
    <s v="AGO"/>
    <x v="44"/>
    <n v="18600423"/>
  </r>
  <r>
    <x v="5"/>
    <s v="AGO"/>
    <x v="45"/>
    <n v="19291161"/>
  </r>
  <r>
    <x v="5"/>
    <s v="AGO"/>
    <x v="46"/>
    <n v="20015279"/>
  </r>
  <r>
    <x v="5"/>
    <s v="AGO"/>
    <x v="47"/>
    <n v="20778561"/>
  </r>
  <r>
    <x v="5"/>
    <s v="AGO"/>
    <x v="48"/>
    <n v="21578655"/>
  </r>
  <r>
    <x v="5"/>
    <s v="AGO"/>
    <x v="49"/>
    <n v="22414773"/>
  </r>
  <r>
    <x v="5"/>
    <s v="AGO"/>
    <x v="50"/>
    <n v="23294825"/>
  </r>
  <r>
    <x v="5"/>
    <s v="AGO"/>
    <x v="51"/>
    <n v="24218352"/>
  </r>
  <r>
    <x v="5"/>
    <s v="AGO"/>
    <x v="52"/>
    <n v="25177394"/>
  </r>
  <r>
    <x v="5"/>
    <s v="AGO"/>
    <x v="53"/>
    <n v="26165620"/>
  </r>
  <r>
    <x v="5"/>
    <s v="AGO"/>
    <x v="54"/>
    <n v="27160769"/>
  </r>
  <r>
    <x v="5"/>
    <s v="AGO"/>
    <x v="55"/>
    <n v="28157798"/>
  </r>
  <r>
    <x v="5"/>
    <s v="AGO"/>
    <x v="56"/>
    <n v="29183070"/>
  </r>
  <r>
    <x v="5"/>
    <s v="AGO"/>
    <x v="57"/>
    <n v="30234839"/>
  </r>
  <r>
    <x v="5"/>
    <s v="AGO"/>
    <x v="58"/>
    <n v="31297155"/>
  </r>
  <r>
    <x v="5"/>
    <s v="AGO"/>
    <x v="59"/>
    <n v="32375632"/>
  </r>
  <r>
    <x v="5"/>
    <s v="AGO"/>
    <x v="60"/>
    <n v="33451132"/>
  </r>
  <r>
    <x v="5"/>
    <s v="AGO"/>
    <x v="61"/>
    <n v="34532429"/>
  </r>
  <r>
    <x v="5"/>
    <s v="AGO"/>
    <x v="62"/>
    <n v="35635029"/>
  </r>
  <r>
    <x v="5"/>
    <s v="AGO"/>
    <x v="63"/>
    <n v="36749906"/>
  </r>
  <r>
    <x v="5"/>
    <s v="AGO"/>
    <x v="64"/>
    <n v="37885849"/>
  </r>
  <r>
    <x v="6"/>
    <s v="ATG"/>
    <x v="0"/>
    <n v="55603"/>
  </r>
  <r>
    <x v="6"/>
    <s v="ATG"/>
    <x v="1"/>
    <n v="56540"/>
  </r>
  <r>
    <x v="6"/>
    <s v="ATG"/>
    <x v="2"/>
    <n v="57336"/>
  </r>
  <r>
    <x v="6"/>
    <s v="ATG"/>
    <x v="3"/>
    <n v="58138"/>
  </r>
  <r>
    <x v="6"/>
    <s v="ATG"/>
    <x v="4"/>
    <n v="59020"/>
  </r>
  <r>
    <x v="6"/>
    <s v="ATG"/>
    <x v="5"/>
    <n v="59970"/>
  </r>
  <r>
    <x v="6"/>
    <s v="ATG"/>
    <x v="6"/>
    <n v="60900"/>
  </r>
  <r>
    <x v="6"/>
    <s v="ATG"/>
    <x v="7"/>
    <n v="61837"/>
  </r>
  <r>
    <x v="6"/>
    <s v="ATG"/>
    <x v="8"/>
    <n v="62809"/>
  </r>
  <r>
    <x v="6"/>
    <s v="ATG"/>
    <x v="9"/>
    <n v="63819"/>
  </r>
  <r>
    <x v="6"/>
    <s v="ATG"/>
    <x v="10"/>
    <n v="64528"/>
  </r>
  <r>
    <x v="6"/>
    <s v="ATG"/>
    <x v="11"/>
    <n v="64729"/>
  </r>
  <r>
    <x v="6"/>
    <s v="ATG"/>
    <x v="12"/>
    <n v="64615"/>
  </r>
  <r>
    <x v="6"/>
    <s v="ATG"/>
    <x v="13"/>
    <n v="64342"/>
  </r>
  <r>
    <x v="6"/>
    <s v="ATG"/>
    <x v="14"/>
    <n v="64058"/>
  </r>
  <r>
    <x v="6"/>
    <s v="ATG"/>
    <x v="15"/>
    <n v="63839"/>
  </r>
  <r>
    <x v="6"/>
    <s v="ATG"/>
    <x v="16"/>
    <n v="63762"/>
  </r>
  <r>
    <x v="6"/>
    <s v="ATG"/>
    <x v="17"/>
    <n v="63862"/>
  </r>
  <r>
    <x v="6"/>
    <s v="ATG"/>
    <x v="18"/>
    <n v="64038"/>
  </r>
  <r>
    <x v="6"/>
    <s v="ATG"/>
    <x v="19"/>
    <n v="64274"/>
  </r>
  <r>
    <x v="6"/>
    <s v="ATG"/>
    <x v="20"/>
    <n v="64513"/>
  </r>
  <r>
    <x v="6"/>
    <s v="ATG"/>
    <x v="21"/>
    <n v="64665"/>
  </r>
  <r>
    <x v="6"/>
    <s v="ATG"/>
    <x v="22"/>
    <n v="64785"/>
  </r>
  <r>
    <x v="6"/>
    <s v="ATG"/>
    <x v="23"/>
    <n v="64934"/>
  </r>
  <r>
    <x v="6"/>
    <s v="ATG"/>
    <x v="24"/>
    <n v="64882"/>
  </r>
  <r>
    <x v="6"/>
    <s v="ATG"/>
    <x v="25"/>
    <n v="64591"/>
  </r>
  <r>
    <x v="6"/>
    <s v="ATG"/>
    <x v="26"/>
    <n v="64276"/>
  </r>
  <r>
    <x v="6"/>
    <s v="ATG"/>
    <x v="27"/>
    <n v="63946"/>
  </r>
  <r>
    <x v="6"/>
    <s v="ATG"/>
    <x v="28"/>
    <n v="63623"/>
  </r>
  <r>
    <x v="6"/>
    <s v="ATG"/>
    <x v="29"/>
    <n v="63325"/>
  </r>
  <r>
    <x v="6"/>
    <s v="ATG"/>
    <x v="30"/>
    <n v="63066"/>
  </r>
  <r>
    <x v="6"/>
    <s v="ATG"/>
    <x v="31"/>
    <n v="63387"/>
  </r>
  <r>
    <x v="6"/>
    <s v="ATG"/>
    <x v="32"/>
    <n v="64404"/>
  </r>
  <r>
    <x v="6"/>
    <s v="ATG"/>
    <x v="33"/>
    <n v="65587"/>
  </r>
  <r>
    <x v="6"/>
    <s v="ATG"/>
    <x v="34"/>
    <n v="66843"/>
  </r>
  <r>
    <x v="6"/>
    <s v="ATG"/>
    <x v="35"/>
    <n v="68189"/>
  </r>
  <r>
    <x v="6"/>
    <s v="ATG"/>
    <x v="36"/>
    <n v="69612"/>
  </r>
  <r>
    <x v="6"/>
    <s v="ATG"/>
    <x v="37"/>
    <n v="71053"/>
  </r>
  <r>
    <x v="6"/>
    <s v="ATG"/>
    <x v="38"/>
    <n v="72412"/>
  </r>
  <r>
    <x v="6"/>
    <s v="ATG"/>
    <x v="39"/>
    <n v="73666"/>
  </r>
  <r>
    <x v="6"/>
    <s v="ATG"/>
    <x v="40"/>
    <n v="74912"/>
  </r>
  <r>
    <x v="6"/>
    <s v="ATG"/>
    <x v="41"/>
    <n v="76069"/>
  </r>
  <r>
    <x v="6"/>
    <s v="ATG"/>
    <x v="42"/>
    <n v="77032"/>
  </r>
  <r>
    <x v="6"/>
    <s v="ATG"/>
    <x v="43"/>
    <n v="77884"/>
  </r>
  <r>
    <x v="6"/>
    <s v="ATG"/>
    <x v="44"/>
    <n v="78719"/>
  </r>
  <r>
    <x v="6"/>
    <s v="ATG"/>
    <x v="45"/>
    <n v="79611"/>
  </r>
  <r>
    <x v="6"/>
    <s v="ATG"/>
    <x v="46"/>
    <n v="80604"/>
  </r>
  <r>
    <x v="6"/>
    <s v="ATG"/>
    <x v="47"/>
    <n v="81704"/>
  </r>
  <r>
    <x v="6"/>
    <s v="ATG"/>
    <x v="48"/>
    <n v="82912"/>
  </r>
  <r>
    <x v="6"/>
    <s v="ATG"/>
    <x v="49"/>
    <n v="84173"/>
  </r>
  <r>
    <x v="6"/>
    <s v="ATG"/>
    <x v="50"/>
    <n v="85320"/>
  </r>
  <r>
    <x v="6"/>
    <s v="ATG"/>
    <x v="51"/>
    <n v="86332"/>
  </r>
  <r>
    <x v="6"/>
    <s v="ATG"/>
    <x v="52"/>
    <n v="87260"/>
  </r>
  <r>
    <x v="6"/>
    <s v="ATG"/>
    <x v="53"/>
    <n v="88064"/>
  </r>
  <r>
    <x v="6"/>
    <s v="ATG"/>
    <x v="54"/>
    <n v="88765"/>
  </r>
  <r>
    <x v="6"/>
    <s v="ATG"/>
    <x v="55"/>
    <n v="89409"/>
  </r>
  <r>
    <x v="6"/>
    <s v="ATG"/>
    <x v="56"/>
    <n v="89969"/>
  </r>
  <r>
    <x v="6"/>
    <s v="ATG"/>
    <x v="57"/>
    <n v="90468"/>
  </r>
  <r>
    <x v="6"/>
    <s v="ATG"/>
    <x v="58"/>
    <n v="90926"/>
  </r>
  <r>
    <x v="6"/>
    <s v="ATG"/>
    <x v="59"/>
    <n v="91364"/>
  </r>
  <r>
    <x v="6"/>
    <s v="ATG"/>
    <x v="60"/>
    <n v="91846"/>
  </r>
  <r>
    <x v="6"/>
    <s v="ATG"/>
    <x v="61"/>
    <n v="92349"/>
  </r>
  <r>
    <x v="6"/>
    <s v="ATG"/>
    <x v="62"/>
    <n v="92840"/>
  </r>
  <r>
    <x v="6"/>
    <s v="ATG"/>
    <x v="63"/>
    <n v="93316"/>
  </r>
  <r>
    <x v="6"/>
    <s v="ATG"/>
    <x v="64"/>
    <n v="93772"/>
  </r>
  <r>
    <x v="7"/>
    <s v="ARG"/>
    <x v="0"/>
    <n v="20386045"/>
  </r>
  <r>
    <x v="7"/>
    <s v="ARG"/>
    <x v="1"/>
    <n v="20726276"/>
  </r>
  <r>
    <x v="7"/>
    <s v="ARG"/>
    <x v="2"/>
    <n v="21072538"/>
  </r>
  <r>
    <x v="7"/>
    <s v="ARG"/>
    <x v="3"/>
    <n v="21421705"/>
  </r>
  <r>
    <x v="7"/>
    <s v="ARG"/>
    <x v="4"/>
    <n v="21769453"/>
  </r>
  <r>
    <x v="7"/>
    <s v="ARG"/>
    <x v="5"/>
    <n v="22112629"/>
  </r>
  <r>
    <x v="7"/>
    <s v="ARG"/>
    <x v="6"/>
    <n v="22453893"/>
  </r>
  <r>
    <x v="7"/>
    <s v="ARG"/>
    <x v="7"/>
    <n v="22799059"/>
  </r>
  <r>
    <x v="7"/>
    <s v="ARG"/>
    <x v="8"/>
    <n v="23150583"/>
  </r>
  <r>
    <x v="7"/>
    <s v="ARG"/>
    <x v="9"/>
    <n v="23508711"/>
  </r>
  <r>
    <x v="7"/>
    <s v="ARG"/>
    <x v="10"/>
    <n v="23878327"/>
  </r>
  <r>
    <x v="7"/>
    <s v="ARG"/>
    <x v="11"/>
    <n v="24257208"/>
  </r>
  <r>
    <x v="7"/>
    <s v="ARG"/>
    <x v="12"/>
    <n v="24644328"/>
  </r>
  <r>
    <x v="7"/>
    <s v="ARG"/>
    <x v="13"/>
    <n v="25046005"/>
  </r>
  <r>
    <x v="7"/>
    <s v="ARG"/>
    <x v="14"/>
    <n v="25461351"/>
  </r>
  <r>
    <x v="7"/>
    <s v="ARG"/>
    <x v="15"/>
    <n v="25874107"/>
  </r>
  <r>
    <x v="7"/>
    <s v="ARG"/>
    <x v="16"/>
    <n v="26282283"/>
  </r>
  <r>
    <x v="7"/>
    <s v="ARG"/>
    <x v="17"/>
    <n v="26701805"/>
  </r>
  <r>
    <x v="7"/>
    <s v="ARG"/>
    <x v="18"/>
    <n v="27132158"/>
  </r>
  <r>
    <x v="7"/>
    <s v="ARG"/>
    <x v="19"/>
    <n v="27568895"/>
  </r>
  <r>
    <x v="7"/>
    <s v="ARG"/>
    <x v="20"/>
    <n v="28011596"/>
  </r>
  <r>
    <x v="7"/>
    <s v="ARG"/>
    <x v="21"/>
    <n v="28463959"/>
  </r>
  <r>
    <x v="7"/>
    <s v="ARG"/>
    <x v="22"/>
    <n v="28924262"/>
  </r>
  <r>
    <x v="7"/>
    <s v="ARG"/>
    <x v="23"/>
    <n v="29391332"/>
  </r>
  <r>
    <x v="7"/>
    <s v="ARG"/>
    <x v="24"/>
    <n v="29863093"/>
  </r>
  <r>
    <x v="7"/>
    <s v="ARG"/>
    <x v="25"/>
    <n v="30336441"/>
  </r>
  <r>
    <x v="7"/>
    <s v="ARG"/>
    <x v="26"/>
    <n v="30811980"/>
  </r>
  <r>
    <x v="7"/>
    <s v="ARG"/>
    <x v="27"/>
    <n v="31291762"/>
  </r>
  <r>
    <x v="7"/>
    <s v="ARG"/>
    <x v="28"/>
    <n v="31780532"/>
  </r>
  <r>
    <x v="7"/>
    <s v="ARG"/>
    <x v="29"/>
    <n v="32270948"/>
  </r>
  <r>
    <x v="7"/>
    <s v="ARG"/>
    <x v="30"/>
    <n v="32755901"/>
  </r>
  <r>
    <x v="7"/>
    <s v="ARG"/>
    <x v="31"/>
    <n v="33230294"/>
  </r>
  <r>
    <x v="7"/>
    <s v="ARG"/>
    <x v="32"/>
    <n v="33693527"/>
  </r>
  <r>
    <x v="7"/>
    <s v="ARG"/>
    <x v="33"/>
    <n v="34152717"/>
  </r>
  <r>
    <x v="7"/>
    <s v="ARG"/>
    <x v="34"/>
    <n v="34613491"/>
  </r>
  <r>
    <x v="7"/>
    <s v="ARG"/>
    <x v="35"/>
    <n v="35070020"/>
  </r>
  <r>
    <x v="7"/>
    <s v="ARG"/>
    <x v="36"/>
    <n v="35513793"/>
  </r>
  <r>
    <x v="7"/>
    <s v="ARG"/>
    <x v="37"/>
    <n v="35947791"/>
  </r>
  <r>
    <x v="7"/>
    <s v="ARG"/>
    <x v="38"/>
    <n v="36372860"/>
  </r>
  <r>
    <x v="7"/>
    <s v="ARG"/>
    <x v="39"/>
    <n v="36794682"/>
  </r>
  <r>
    <x v="7"/>
    <s v="ARG"/>
    <x v="40"/>
    <n v="37213984"/>
  </r>
  <r>
    <x v="7"/>
    <s v="ARG"/>
    <x v="41"/>
    <n v="37624825"/>
  </r>
  <r>
    <x v="7"/>
    <s v="ARG"/>
    <x v="42"/>
    <n v="38029349"/>
  </r>
  <r>
    <x v="7"/>
    <s v="ARG"/>
    <x v="43"/>
    <n v="38424282"/>
  </r>
  <r>
    <x v="7"/>
    <s v="ARG"/>
    <x v="44"/>
    <n v="38815916"/>
  </r>
  <r>
    <x v="7"/>
    <s v="ARG"/>
    <x v="45"/>
    <n v="39216789"/>
  </r>
  <r>
    <x v="7"/>
    <s v="ARG"/>
    <x v="46"/>
    <n v="39622115"/>
  </r>
  <r>
    <x v="7"/>
    <s v="ARG"/>
    <x v="47"/>
    <n v="40016763"/>
  </r>
  <r>
    <x v="7"/>
    <s v="ARG"/>
    <x v="48"/>
    <n v="40424148"/>
  </r>
  <r>
    <x v="7"/>
    <s v="ARG"/>
    <x v="49"/>
    <n v="40854831"/>
  </r>
  <r>
    <x v="7"/>
    <s v="ARG"/>
    <x v="50"/>
    <n v="41288694"/>
  </r>
  <r>
    <x v="7"/>
    <s v="ARG"/>
    <x v="51"/>
    <n v="41730660"/>
  </r>
  <r>
    <x v="7"/>
    <s v="ARG"/>
    <x v="52"/>
    <n v="42161721"/>
  </r>
  <r>
    <x v="7"/>
    <s v="ARG"/>
    <x v="53"/>
    <n v="42582455"/>
  </r>
  <r>
    <x v="7"/>
    <s v="ARG"/>
    <x v="54"/>
    <n v="43024071"/>
  </r>
  <r>
    <x v="7"/>
    <s v="ARG"/>
    <x v="55"/>
    <n v="43477012"/>
  </r>
  <r>
    <x v="7"/>
    <s v="ARG"/>
    <x v="56"/>
    <n v="43900313"/>
  </r>
  <r>
    <x v="7"/>
    <s v="ARG"/>
    <x v="57"/>
    <n v="44288894"/>
  </r>
  <r>
    <x v="7"/>
    <s v="ARG"/>
    <x v="58"/>
    <n v="44654882"/>
  </r>
  <r>
    <x v="7"/>
    <s v="ARG"/>
    <x v="59"/>
    <n v="44973465"/>
  </r>
  <r>
    <x v="7"/>
    <s v="ARG"/>
    <x v="60"/>
    <n v="45191965"/>
  </r>
  <r>
    <x v="7"/>
    <s v="ARG"/>
    <x v="61"/>
    <n v="45312281"/>
  </r>
  <r>
    <x v="7"/>
    <s v="ARG"/>
    <x v="62"/>
    <n v="45407904"/>
  </r>
  <r>
    <x v="7"/>
    <s v="ARG"/>
    <x v="63"/>
    <n v="45538401"/>
  </r>
  <r>
    <x v="7"/>
    <s v="ARG"/>
    <x v="64"/>
    <n v="45696159"/>
  </r>
  <r>
    <x v="8"/>
    <s v="ARM"/>
    <x v="0"/>
    <n v="1863705"/>
  </r>
  <r>
    <x v="8"/>
    <s v="ARM"/>
    <x v="1"/>
    <n v="1927484"/>
  </r>
  <r>
    <x v="8"/>
    <s v="ARM"/>
    <x v="2"/>
    <n v="1991689"/>
  </r>
  <r>
    <x v="8"/>
    <s v="ARM"/>
    <x v="3"/>
    <n v="2056023"/>
  </r>
  <r>
    <x v="8"/>
    <s v="ARM"/>
    <x v="4"/>
    <n v="2120135"/>
  </r>
  <r>
    <x v="8"/>
    <s v="ARM"/>
    <x v="5"/>
    <n v="2183635"/>
  </r>
  <r>
    <x v="8"/>
    <s v="ARM"/>
    <x v="6"/>
    <n v="2246159"/>
  </r>
  <r>
    <x v="8"/>
    <s v="ARM"/>
    <x v="7"/>
    <n v="2307492"/>
  </r>
  <r>
    <x v="8"/>
    <s v="ARM"/>
    <x v="8"/>
    <n v="2367319"/>
  </r>
  <r>
    <x v="8"/>
    <s v="ARM"/>
    <x v="9"/>
    <n v="2424030"/>
  </r>
  <r>
    <x v="8"/>
    <s v="ARM"/>
    <x v="10"/>
    <n v="2475633"/>
  </r>
  <r>
    <x v="8"/>
    <s v="ARM"/>
    <x v="11"/>
    <n v="2525345"/>
  </r>
  <r>
    <x v="8"/>
    <s v="ARM"/>
    <x v="12"/>
    <n v="2577079"/>
  </r>
  <r>
    <x v="8"/>
    <s v="ARM"/>
    <x v="13"/>
    <n v="2630860"/>
  </r>
  <r>
    <x v="8"/>
    <s v="ARM"/>
    <x v="14"/>
    <n v="2686445"/>
  </r>
  <r>
    <x v="8"/>
    <s v="ARM"/>
    <x v="15"/>
    <n v="2743660"/>
  </r>
  <r>
    <x v="8"/>
    <s v="ARM"/>
    <x v="16"/>
    <n v="2818165"/>
  </r>
  <r>
    <x v="8"/>
    <s v="ARM"/>
    <x v="17"/>
    <n v="2912827"/>
  </r>
  <r>
    <x v="8"/>
    <s v="ARM"/>
    <x v="18"/>
    <n v="3012807"/>
  </r>
  <r>
    <x v="8"/>
    <s v="ARM"/>
    <x v="19"/>
    <n v="3078501"/>
  </r>
  <r>
    <x v="8"/>
    <s v="ARM"/>
    <x v="20"/>
    <n v="3107415"/>
  </r>
  <r>
    <x v="8"/>
    <s v="ARM"/>
    <x v="21"/>
    <n v="3135349"/>
  </r>
  <r>
    <x v="8"/>
    <s v="ARM"/>
    <x v="22"/>
    <n v="3163144"/>
  </r>
  <r>
    <x v="8"/>
    <s v="ARM"/>
    <x v="23"/>
    <n v="3191539"/>
  </r>
  <r>
    <x v="8"/>
    <s v="ARM"/>
    <x v="24"/>
    <n v="3224547"/>
  </r>
  <r>
    <x v="8"/>
    <s v="ARM"/>
    <x v="25"/>
    <n v="3260432"/>
  </r>
  <r>
    <x v="8"/>
    <s v="ARM"/>
    <x v="26"/>
    <n v="3294847"/>
  </r>
  <r>
    <x v="8"/>
    <s v="ARM"/>
    <x v="27"/>
    <n v="3328520"/>
  </r>
  <r>
    <x v="8"/>
    <s v="ARM"/>
    <x v="28"/>
    <n v="3355125"/>
  </r>
  <r>
    <x v="8"/>
    <s v="ARM"/>
    <x v="29"/>
    <n v="3443100"/>
  </r>
  <r>
    <x v="8"/>
    <s v="ARM"/>
    <x v="30"/>
    <n v="3552128"/>
  </r>
  <r>
    <x v="8"/>
    <s v="ARM"/>
    <x v="31"/>
    <n v="3613977"/>
  </r>
  <r>
    <x v="8"/>
    <s v="ARM"/>
    <x v="32"/>
    <n v="3571861"/>
  </r>
  <r>
    <x v="8"/>
    <s v="ARM"/>
    <x v="33"/>
    <n v="3453332"/>
  </r>
  <r>
    <x v="8"/>
    <s v="ARM"/>
    <x v="34"/>
    <n v="3364610"/>
  </r>
  <r>
    <x v="8"/>
    <s v="ARM"/>
    <x v="35"/>
    <n v="3307581"/>
  </r>
  <r>
    <x v="8"/>
    <s v="ARM"/>
    <x v="36"/>
    <n v="3278735"/>
  </r>
  <r>
    <x v="8"/>
    <s v="ARM"/>
    <x v="37"/>
    <n v="3246289"/>
  </r>
  <r>
    <x v="8"/>
    <s v="ARM"/>
    <x v="38"/>
    <n v="3208401"/>
  </r>
  <r>
    <x v="8"/>
    <s v="ARM"/>
    <x v="39"/>
    <n v="3167286"/>
  </r>
  <r>
    <x v="8"/>
    <s v="ARM"/>
    <x v="40"/>
    <n v="3221100"/>
  </r>
  <r>
    <x v="8"/>
    <s v="ARM"/>
    <x v="41"/>
    <n v="3211800"/>
  </r>
  <r>
    <x v="8"/>
    <s v="ARM"/>
    <x v="42"/>
    <n v="3199800"/>
  </r>
  <r>
    <x v="8"/>
    <s v="ARM"/>
    <x v="43"/>
    <n v="3182500"/>
  </r>
  <r>
    <x v="8"/>
    <s v="ARM"/>
    <x v="44"/>
    <n v="3164900"/>
  </r>
  <r>
    <x v="8"/>
    <s v="ARM"/>
    <x v="45"/>
    <n v="3146400"/>
  </r>
  <r>
    <x v="8"/>
    <s v="ARM"/>
    <x v="46"/>
    <n v="3127100"/>
  </r>
  <r>
    <x v="8"/>
    <s v="ARM"/>
    <x v="47"/>
    <n v="3107400"/>
  </r>
  <r>
    <x v="8"/>
    <s v="ARM"/>
    <x v="48"/>
    <n v="3087100"/>
  </r>
  <r>
    <x v="8"/>
    <s v="ARM"/>
    <x v="49"/>
    <n v="3066000"/>
  </r>
  <r>
    <x v="8"/>
    <s v="ARM"/>
    <x v="50"/>
    <n v="3044800"/>
  </r>
  <r>
    <x v="8"/>
    <s v="ARM"/>
    <x v="51"/>
    <n v="3027900"/>
  </r>
  <r>
    <x v="8"/>
    <s v="ARM"/>
    <x v="52"/>
    <n v="3024100"/>
  </r>
  <r>
    <x v="8"/>
    <s v="ARM"/>
    <x v="53"/>
    <n v="3022000"/>
  </r>
  <r>
    <x v="8"/>
    <s v="ARM"/>
    <x v="54"/>
    <n v="3013800"/>
  </r>
  <r>
    <x v="8"/>
    <s v="ARM"/>
    <x v="55"/>
    <n v="3004600"/>
  </r>
  <r>
    <x v="8"/>
    <s v="ARM"/>
    <x v="56"/>
    <n v="2992300"/>
  </r>
  <r>
    <x v="8"/>
    <s v="ARM"/>
    <x v="57"/>
    <n v="2979400"/>
  </r>
  <r>
    <x v="8"/>
    <s v="ARM"/>
    <x v="58"/>
    <n v="2969000"/>
  </r>
  <r>
    <x v="8"/>
    <s v="ARM"/>
    <x v="59"/>
    <n v="2962500"/>
  </r>
  <r>
    <x v="8"/>
    <s v="ARM"/>
    <x v="60"/>
    <n v="2961500"/>
  </r>
  <r>
    <x v="8"/>
    <s v="ARM"/>
    <x v="61"/>
    <n v="2962300"/>
  </r>
  <r>
    <x v="8"/>
    <s v="ARM"/>
    <x v="62"/>
    <n v="2969200"/>
  </r>
  <r>
    <x v="8"/>
    <s v="ARM"/>
    <x v="63"/>
    <n v="2964300"/>
  </r>
  <r>
    <x v="8"/>
    <s v="ARM"/>
    <x v="64"/>
    <n v="3033500"/>
  </r>
  <r>
    <x v="9"/>
    <s v="ABW"/>
    <x v="0"/>
    <n v="54922"/>
  </r>
  <r>
    <x v="9"/>
    <s v="ABW"/>
    <x v="1"/>
    <n v="55578"/>
  </r>
  <r>
    <x v="9"/>
    <s v="ABW"/>
    <x v="2"/>
    <n v="56320"/>
  </r>
  <r>
    <x v="9"/>
    <s v="ABW"/>
    <x v="3"/>
    <n v="57002"/>
  </r>
  <r>
    <x v="9"/>
    <s v="ABW"/>
    <x v="4"/>
    <n v="57619"/>
  </r>
  <r>
    <x v="9"/>
    <s v="ABW"/>
    <x v="5"/>
    <n v="58190"/>
  </r>
  <r>
    <x v="9"/>
    <s v="ABW"/>
    <x v="6"/>
    <n v="58694"/>
  </r>
  <r>
    <x v="9"/>
    <s v="ABW"/>
    <x v="7"/>
    <n v="58990"/>
  </r>
  <r>
    <x v="9"/>
    <s v="ABW"/>
    <x v="8"/>
    <n v="59069"/>
  </r>
  <r>
    <x v="9"/>
    <s v="ABW"/>
    <x v="9"/>
    <n v="59052"/>
  </r>
  <r>
    <x v="9"/>
    <s v="ABW"/>
    <x v="10"/>
    <n v="58950"/>
  </r>
  <r>
    <x v="9"/>
    <s v="ABW"/>
    <x v="11"/>
    <n v="58781"/>
  </r>
  <r>
    <x v="9"/>
    <s v="ABW"/>
    <x v="12"/>
    <n v="58047"/>
  </r>
  <r>
    <x v="9"/>
    <s v="ABW"/>
    <x v="13"/>
    <n v="58299"/>
  </r>
  <r>
    <x v="9"/>
    <s v="ABW"/>
    <x v="14"/>
    <n v="58349"/>
  </r>
  <r>
    <x v="9"/>
    <s v="ABW"/>
    <x v="15"/>
    <n v="58295"/>
  </r>
  <r>
    <x v="9"/>
    <s v="ABW"/>
    <x v="16"/>
    <n v="58368"/>
  </r>
  <r>
    <x v="9"/>
    <s v="ABW"/>
    <x v="17"/>
    <n v="58580"/>
  </r>
  <r>
    <x v="9"/>
    <s v="ABW"/>
    <x v="18"/>
    <n v="58776"/>
  </r>
  <r>
    <x v="9"/>
    <s v="ABW"/>
    <x v="19"/>
    <n v="59191"/>
  </r>
  <r>
    <x v="9"/>
    <s v="ABW"/>
    <x v="20"/>
    <n v="59909"/>
  </r>
  <r>
    <x v="9"/>
    <s v="ABW"/>
    <x v="21"/>
    <n v="60563"/>
  </r>
  <r>
    <x v="9"/>
    <s v="ABW"/>
    <x v="22"/>
    <n v="61276"/>
  </r>
  <r>
    <x v="9"/>
    <s v="ABW"/>
    <x v="23"/>
    <n v="62228"/>
  </r>
  <r>
    <x v="9"/>
    <s v="ABW"/>
    <x v="24"/>
    <n v="62901"/>
  </r>
  <r>
    <x v="9"/>
    <s v="ABW"/>
    <x v="25"/>
    <n v="61728"/>
  </r>
  <r>
    <x v="9"/>
    <s v="ABW"/>
    <x v="26"/>
    <n v="59931"/>
  </r>
  <r>
    <x v="9"/>
    <s v="ABW"/>
    <x v="27"/>
    <n v="59159"/>
  </r>
  <r>
    <x v="9"/>
    <s v="ABW"/>
    <x v="28"/>
    <n v="59331"/>
  </r>
  <r>
    <x v="9"/>
    <s v="ABW"/>
    <x v="29"/>
    <n v="60443"/>
  </r>
  <r>
    <x v="9"/>
    <s v="ABW"/>
    <x v="30"/>
    <n v="62753"/>
  </r>
  <r>
    <x v="9"/>
    <s v="ABW"/>
    <x v="31"/>
    <n v="65896"/>
  </r>
  <r>
    <x v="9"/>
    <s v="ABW"/>
    <x v="32"/>
    <n v="69005"/>
  </r>
  <r>
    <x v="9"/>
    <s v="ABW"/>
    <x v="33"/>
    <n v="73685"/>
  </r>
  <r>
    <x v="9"/>
    <s v="ABW"/>
    <x v="34"/>
    <n v="77595"/>
  </r>
  <r>
    <x v="9"/>
    <s v="ABW"/>
    <x v="35"/>
    <n v="79805"/>
  </r>
  <r>
    <x v="9"/>
    <s v="ABW"/>
    <x v="36"/>
    <n v="83021"/>
  </r>
  <r>
    <x v="9"/>
    <s v="ABW"/>
    <x v="37"/>
    <n v="86301"/>
  </r>
  <r>
    <x v="9"/>
    <s v="ABW"/>
    <x v="38"/>
    <n v="88451"/>
  </r>
  <r>
    <x v="9"/>
    <s v="ABW"/>
    <x v="39"/>
    <n v="89659"/>
  </r>
  <r>
    <x v="9"/>
    <s v="ABW"/>
    <x v="40"/>
    <n v="90588"/>
  </r>
  <r>
    <x v="9"/>
    <s v="ABW"/>
    <x v="41"/>
    <n v="91439"/>
  </r>
  <r>
    <x v="9"/>
    <s v="ABW"/>
    <x v="42"/>
    <n v="92074"/>
  </r>
  <r>
    <x v="9"/>
    <s v="ABW"/>
    <x v="43"/>
    <n v="93128"/>
  </r>
  <r>
    <x v="9"/>
    <s v="ABW"/>
    <x v="44"/>
    <n v="95138"/>
  </r>
  <r>
    <x v="9"/>
    <s v="ABW"/>
    <x v="45"/>
    <n v="97635"/>
  </r>
  <r>
    <x v="9"/>
    <s v="ABW"/>
    <x v="46"/>
    <n v="99405"/>
  </r>
  <r>
    <x v="9"/>
    <s v="ABW"/>
    <x v="47"/>
    <n v="100150"/>
  </r>
  <r>
    <x v="9"/>
    <s v="ABW"/>
    <x v="48"/>
    <n v="100917"/>
  </r>
  <r>
    <x v="9"/>
    <s v="ABW"/>
    <x v="49"/>
    <n v="101604"/>
  </r>
  <r>
    <x v="9"/>
    <s v="ABW"/>
    <x v="50"/>
    <n v="101838"/>
  </r>
  <r>
    <x v="9"/>
    <s v="ABW"/>
    <x v="51"/>
    <n v="102591"/>
  </r>
  <r>
    <x v="9"/>
    <s v="ABW"/>
    <x v="52"/>
    <n v="104110"/>
  </r>
  <r>
    <x v="9"/>
    <s v="ABW"/>
    <x v="53"/>
    <n v="105675"/>
  </r>
  <r>
    <x v="9"/>
    <s v="ABW"/>
    <x v="54"/>
    <n v="106807"/>
  </r>
  <r>
    <x v="9"/>
    <s v="ABW"/>
    <x v="55"/>
    <n v="107906"/>
  </r>
  <r>
    <x v="9"/>
    <s v="ABW"/>
    <x v="56"/>
    <n v="108727"/>
  </r>
  <r>
    <x v="9"/>
    <s v="ABW"/>
    <x v="57"/>
    <n v="108735"/>
  </r>
  <r>
    <x v="9"/>
    <s v="ABW"/>
    <x v="58"/>
    <n v="108908"/>
  </r>
  <r>
    <x v="9"/>
    <s v="ABW"/>
    <x v="59"/>
    <n v="109203"/>
  </r>
  <r>
    <x v="9"/>
    <s v="ABW"/>
    <x v="60"/>
    <n v="108587"/>
  </r>
  <r>
    <x v="9"/>
    <s v="ABW"/>
    <x v="61"/>
    <n v="107700"/>
  </r>
  <r>
    <x v="9"/>
    <s v="ABW"/>
    <x v="62"/>
    <n v="107310"/>
  </r>
  <r>
    <x v="9"/>
    <s v="ABW"/>
    <x v="63"/>
    <n v="107359"/>
  </r>
  <r>
    <x v="9"/>
    <s v="ABW"/>
    <x v="64"/>
    <n v="107624"/>
  </r>
  <r>
    <x v="10"/>
    <s v="AUS"/>
    <x v="0"/>
    <n v="10276477"/>
  </r>
  <r>
    <x v="10"/>
    <s v="AUS"/>
    <x v="1"/>
    <n v="10483000"/>
  </r>
  <r>
    <x v="10"/>
    <s v="AUS"/>
    <x v="2"/>
    <n v="10742000"/>
  </r>
  <r>
    <x v="10"/>
    <s v="AUS"/>
    <x v="3"/>
    <n v="10950000"/>
  </r>
  <r>
    <x v="10"/>
    <s v="AUS"/>
    <x v="4"/>
    <n v="11167000"/>
  </r>
  <r>
    <x v="10"/>
    <s v="AUS"/>
    <x v="5"/>
    <n v="11388000"/>
  </r>
  <r>
    <x v="10"/>
    <s v="AUS"/>
    <x v="6"/>
    <n v="11651000"/>
  </r>
  <r>
    <x v="10"/>
    <s v="AUS"/>
    <x v="7"/>
    <n v="11799000"/>
  </r>
  <r>
    <x v="10"/>
    <s v="AUS"/>
    <x v="8"/>
    <n v="12009000"/>
  </r>
  <r>
    <x v="10"/>
    <s v="AUS"/>
    <x v="9"/>
    <n v="12263000"/>
  </r>
  <r>
    <x v="10"/>
    <s v="AUS"/>
    <x v="10"/>
    <n v="12507000"/>
  </r>
  <r>
    <x v="10"/>
    <s v="AUS"/>
    <x v="11"/>
    <n v="12937000"/>
  </r>
  <r>
    <x v="10"/>
    <s v="AUS"/>
    <x v="12"/>
    <n v="13177000"/>
  </r>
  <r>
    <x v="10"/>
    <s v="AUS"/>
    <x v="13"/>
    <n v="13380000"/>
  </r>
  <r>
    <x v="10"/>
    <s v="AUS"/>
    <x v="14"/>
    <n v="13723000"/>
  </r>
  <r>
    <x v="10"/>
    <s v="AUS"/>
    <x v="15"/>
    <n v="13893000"/>
  </r>
  <r>
    <x v="10"/>
    <s v="AUS"/>
    <x v="16"/>
    <n v="14033000"/>
  </r>
  <r>
    <x v="10"/>
    <s v="AUS"/>
    <x v="17"/>
    <n v="14192000"/>
  </r>
  <r>
    <x v="10"/>
    <s v="AUS"/>
    <x v="18"/>
    <n v="14358000"/>
  </r>
  <r>
    <x v="10"/>
    <s v="AUS"/>
    <x v="19"/>
    <n v="14514000"/>
  </r>
  <r>
    <x v="10"/>
    <s v="AUS"/>
    <x v="20"/>
    <n v="14692000"/>
  </r>
  <r>
    <x v="10"/>
    <s v="AUS"/>
    <x v="21"/>
    <n v="14923260"/>
  </r>
  <r>
    <x v="10"/>
    <s v="AUS"/>
    <x v="22"/>
    <n v="15184247"/>
  </r>
  <r>
    <x v="10"/>
    <s v="AUS"/>
    <x v="23"/>
    <n v="15393472"/>
  </r>
  <r>
    <x v="10"/>
    <s v="AUS"/>
    <x v="24"/>
    <n v="15579391"/>
  </r>
  <r>
    <x v="10"/>
    <s v="AUS"/>
    <x v="25"/>
    <n v="15788312"/>
  </r>
  <r>
    <x v="10"/>
    <s v="AUS"/>
    <x v="26"/>
    <n v="16018350"/>
  </r>
  <r>
    <x v="10"/>
    <s v="AUS"/>
    <x v="27"/>
    <n v="16263874"/>
  </r>
  <r>
    <x v="10"/>
    <s v="AUS"/>
    <x v="28"/>
    <n v="16532164"/>
  </r>
  <r>
    <x v="10"/>
    <s v="AUS"/>
    <x v="29"/>
    <n v="16814416"/>
  </r>
  <r>
    <x v="10"/>
    <s v="AUS"/>
    <x v="30"/>
    <n v="17065128"/>
  </r>
  <r>
    <x v="10"/>
    <s v="AUS"/>
    <x v="31"/>
    <n v="17284036"/>
  </r>
  <r>
    <x v="10"/>
    <s v="AUS"/>
    <x v="32"/>
    <n v="17478635"/>
  </r>
  <r>
    <x v="10"/>
    <s v="AUS"/>
    <x v="33"/>
    <n v="17634808"/>
  </r>
  <r>
    <x v="10"/>
    <s v="AUS"/>
    <x v="34"/>
    <n v="17805468"/>
  </r>
  <r>
    <x v="10"/>
    <s v="AUS"/>
    <x v="35"/>
    <n v="18004882"/>
  </r>
  <r>
    <x v="10"/>
    <s v="AUS"/>
    <x v="36"/>
    <n v="18224767"/>
  </r>
  <r>
    <x v="10"/>
    <s v="AUS"/>
    <x v="37"/>
    <n v="18423037"/>
  </r>
  <r>
    <x v="10"/>
    <s v="AUS"/>
    <x v="38"/>
    <n v="18607584"/>
  </r>
  <r>
    <x v="10"/>
    <s v="AUS"/>
    <x v="39"/>
    <n v="18812264"/>
  </r>
  <r>
    <x v="10"/>
    <s v="AUS"/>
    <x v="40"/>
    <n v="19028802"/>
  </r>
  <r>
    <x v="10"/>
    <s v="AUS"/>
    <x v="41"/>
    <n v="19274701"/>
  </r>
  <r>
    <x v="10"/>
    <s v="AUS"/>
    <x v="42"/>
    <n v="19495210"/>
  </r>
  <r>
    <x v="10"/>
    <s v="AUS"/>
    <x v="43"/>
    <n v="19720737"/>
  </r>
  <r>
    <x v="10"/>
    <s v="AUS"/>
    <x v="44"/>
    <n v="19932722"/>
  </r>
  <r>
    <x v="10"/>
    <s v="AUS"/>
    <x v="45"/>
    <n v="20176844"/>
  </r>
  <r>
    <x v="10"/>
    <s v="AUS"/>
    <x v="46"/>
    <n v="20450966"/>
  </r>
  <r>
    <x v="10"/>
    <s v="AUS"/>
    <x v="47"/>
    <n v="20827622"/>
  </r>
  <r>
    <x v="10"/>
    <s v="AUS"/>
    <x v="48"/>
    <n v="21249199"/>
  </r>
  <r>
    <x v="10"/>
    <s v="AUS"/>
    <x v="49"/>
    <n v="21691653"/>
  </r>
  <r>
    <x v="10"/>
    <s v="AUS"/>
    <x v="50"/>
    <n v="22031750"/>
  </r>
  <r>
    <x v="10"/>
    <s v="AUS"/>
    <x v="51"/>
    <n v="22340024"/>
  </r>
  <r>
    <x v="10"/>
    <s v="AUS"/>
    <x v="52"/>
    <n v="22733465"/>
  </r>
  <r>
    <x v="10"/>
    <s v="AUS"/>
    <x v="53"/>
    <n v="23128129"/>
  </r>
  <r>
    <x v="10"/>
    <s v="AUS"/>
    <x v="54"/>
    <n v="23475686"/>
  </r>
  <r>
    <x v="10"/>
    <s v="AUS"/>
    <x v="55"/>
    <n v="23815995"/>
  </r>
  <r>
    <x v="10"/>
    <s v="AUS"/>
    <x v="56"/>
    <n v="24190907"/>
  </r>
  <r>
    <x v="10"/>
    <s v="AUS"/>
    <x v="57"/>
    <n v="24592588"/>
  </r>
  <r>
    <x v="10"/>
    <s v="AUS"/>
    <x v="58"/>
    <n v="24963258"/>
  </r>
  <r>
    <x v="10"/>
    <s v="AUS"/>
    <x v="59"/>
    <n v="25334826"/>
  </r>
  <r>
    <x v="10"/>
    <s v="AUS"/>
    <x v="60"/>
    <n v="25649248"/>
  </r>
  <r>
    <x v="10"/>
    <s v="AUS"/>
    <x v="61"/>
    <n v="25685412"/>
  </r>
  <r>
    <x v="10"/>
    <s v="AUS"/>
    <x v="62"/>
    <n v="26014399"/>
  </r>
  <r>
    <x v="10"/>
    <s v="AUS"/>
    <x v="63"/>
    <n v="26652777"/>
  </r>
  <r>
    <x v="10"/>
    <s v="AUS"/>
    <x v="64"/>
    <n v="27204809"/>
  </r>
  <r>
    <x v="11"/>
    <s v="AUT"/>
    <x v="0"/>
    <n v="7047539"/>
  </r>
  <r>
    <x v="11"/>
    <s v="AUT"/>
    <x v="1"/>
    <n v="7086299"/>
  </r>
  <r>
    <x v="11"/>
    <s v="AUT"/>
    <x v="2"/>
    <n v="7129864"/>
  </r>
  <r>
    <x v="11"/>
    <s v="AUT"/>
    <x v="3"/>
    <n v="7175811"/>
  </r>
  <r>
    <x v="11"/>
    <s v="AUT"/>
    <x v="4"/>
    <n v="7223801"/>
  </r>
  <r>
    <x v="11"/>
    <s v="AUT"/>
    <x v="5"/>
    <n v="7270889"/>
  </r>
  <r>
    <x v="11"/>
    <s v="AUT"/>
    <x v="6"/>
    <n v="7322066"/>
  </r>
  <r>
    <x v="11"/>
    <s v="AUT"/>
    <x v="7"/>
    <n v="7376998"/>
  </r>
  <r>
    <x v="11"/>
    <s v="AUT"/>
    <x v="8"/>
    <n v="7415403"/>
  </r>
  <r>
    <x v="11"/>
    <s v="AUT"/>
    <x v="9"/>
    <n v="7441055"/>
  </r>
  <r>
    <x v="11"/>
    <s v="AUT"/>
    <x v="10"/>
    <n v="7467086"/>
  </r>
  <r>
    <x v="11"/>
    <s v="AUT"/>
    <x v="11"/>
    <n v="7500482"/>
  </r>
  <r>
    <x v="11"/>
    <s v="AUT"/>
    <x v="12"/>
    <n v="7544201"/>
  </r>
  <r>
    <x v="11"/>
    <s v="AUT"/>
    <x v="13"/>
    <n v="7586115"/>
  </r>
  <r>
    <x v="11"/>
    <s v="AUT"/>
    <x v="14"/>
    <n v="7599038"/>
  </r>
  <r>
    <x v="11"/>
    <s v="AUT"/>
    <x v="15"/>
    <n v="7578903"/>
  </r>
  <r>
    <x v="11"/>
    <s v="AUT"/>
    <x v="16"/>
    <n v="7565525"/>
  </r>
  <r>
    <x v="11"/>
    <s v="AUT"/>
    <x v="17"/>
    <n v="7568430"/>
  </r>
  <r>
    <x v="11"/>
    <s v="AUT"/>
    <x v="18"/>
    <n v="7562305"/>
  </r>
  <r>
    <x v="11"/>
    <s v="AUT"/>
    <x v="19"/>
    <n v="7549425"/>
  </r>
  <r>
    <x v="11"/>
    <s v="AUT"/>
    <x v="20"/>
    <n v="7549433"/>
  </r>
  <r>
    <x v="11"/>
    <s v="AUT"/>
    <x v="21"/>
    <n v="7568710"/>
  </r>
  <r>
    <x v="11"/>
    <s v="AUT"/>
    <x v="22"/>
    <n v="7574140"/>
  </r>
  <r>
    <x v="11"/>
    <s v="AUT"/>
    <x v="23"/>
    <n v="7561910"/>
  </r>
  <r>
    <x v="11"/>
    <s v="AUT"/>
    <x v="24"/>
    <n v="7561434"/>
  </r>
  <r>
    <x v="11"/>
    <s v="AUT"/>
    <x v="25"/>
    <n v="7564985"/>
  </r>
  <r>
    <x v="11"/>
    <s v="AUT"/>
    <x v="26"/>
    <n v="7569794"/>
  </r>
  <r>
    <x v="11"/>
    <s v="AUT"/>
    <x v="27"/>
    <n v="7574586"/>
  </r>
  <r>
    <x v="11"/>
    <s v="AUT"/>
    <x v="28"/>
    <n v="7585317"/>
  </r>
  <r>
    <x v="11"/>
    <s v="AUT"/>
    <x v="29"/>
    <n v="7619567"/>
  </r>
  <r>
    <x v="11"/>
    <s v="AUT"/>
    <x v="30"/>
    <n v="7677850"/>
  </r>
  <r>
    <x v="11"/>
    <s v="AUT"/>
    <x v="31"/>
    <n v="7754891"/>
  </r>
  <r>
    <x v="11"/>
    <s v="AUT"/>
    <x v="32"/>
    <n v="7840709"/>
  </r>
  <r>
    <x v="11"/>
    <s v="AUT"/>
    <x v="33"/>
    <n v="7905633"/>
  </r>
  <r>
    <x v="11"/>
    <s v="AUT"/>
    <x v="34"/>
    <n v="7936118"/>
  </r>
  <r>
    <x v="11"/>
    <s v="AUT"/>
    <x v="35"/>
    <n v="7948278"/>
  </r>
  <r>
    <x v="11"/>
    <s v="AUT"/>
    <x v="36"/>
    <n v="7959017"/>
  </r>
  <r>
    <x v="11"/>
    <s v="AUT"/>
    <x v="37"/>
    <n v="7968041"/>
  </r>
  <r>
    <x v="11"/>
    <s v="AUT"/>
    <x v="38"/>
    <n v="7976789"/>
  </r>
  <r>
    <x v="11"/>
    <s v="AUT"/>
    <x v="39"/>
    <n v="7992324"/>
  </r>
  <r>
    <x v="11"/>
    <s v="AUT"/>
    <x v="40"/>
    <n v="8011566"/>
  </r>
  <r>
    <x v="11"/>
    <s v="AUT"/>
    <x v="41"/>
    <n v="8042293"/>
  </r>
  <r>
    <x v="11"/>
    <s v="AUT"/>
    <x v="42"/>
    <n v="8081957"/>
  </r>
  <r>
    <x v="11"/>
    <s v="AUT"/>
    <x v="43"/>
    <n v="8121423"/>
  </r>
  <r>
    <x v="11"/>
    <s v="AUT"/>
    <x v="44"/>
    <n v="8171966"/>
  </r>
  <r>
    <x v="11"/>
    <s v="AUT"/>
    <x v="45"/>
    <n v="8227829"/>
  </r>
  <r>
    <x v="11"/>
    <s v="AUT"/>
    <x v="46"/>
    <n v="8268641"/>
  </r>
  <r>
    <x v="11"/>
    <s v="AUT"/>
    <x v="47"/>
    <n v="8295487"/>
  </r>
  <r>
    <x v="11"/>
    <s v="AUT"/>
    <x v="48"/>
    <n v="8321496"/>
  </r>
  <r>
    <x v="11"/>
    <s v="AUT"/>
    <x v="49"/>
    <n v="8343323"/>
  </r>
  <r>
    <x v="11"/>
    <s v="AUT"/>
    <x v="50"/>
    <n v="8363404"/>
  </r>
  <r>
    <x v="11"/>
    <s v="AUT"/>
    <x v="51"/>
    <n v="8391643"/>
  </r>
  <r>
    <x v="11"/>
    <s v="AUT"/>
    <x v="52"/>
    <n v="8429991"/>
  </r>
  <r>
    <x v="11"/>
    <s v="AUT"/>
    <x v="53"/>
    <n v="8479823"/>
  </r>
  <r>
    <x v="11"/>
    <s v="AUT"/>
    <x v="54"/>
    <n v="8546356"/>
  </r>
  <r>
    <x v="11"/>
    <s v="AUT"/>
    <x v="55"/>
    <n v="8642699"/>
  </r>
  <r>
    <x v="11"/>
    <s v="AUT"/>
    <x v="56"/>
    <n v="8736668"/>
  </r>
  <r>
    <x v="11"/>
    <s v="AUT"/>
    <x v="57"/>
    <n v="8797566"/>
  </r>
  <r>
    <x v="11"/>
    <s v="AUT"/>
    <x v="58"/>
    <n v="8840521"/>
  </r>
  <r>
    <x v="11"/>
    <s v="AUT"/>
    <x v="59"/>
    <n v="8879920"/>
  </r>
  <r>
    <x v="11"/>
    <s v="AUT"/>
    <x v="60"/>
    <n v="8916864"/>
  </r>
  <r>
    <x v="11"/>
    <s v="AUT"/>
    <x v="61"/>
    <n v="8955797"/>
  </r>
  <r>
    <x v="11"/>
    <s v="AUT"/>
    <x v="62"/>
    <n v="9041851"/>
  </r>
  <r>
    <x v="11"/>
    <s v="AUT"/>
    <x v="63"/>
    <n v="9131761"/>
  </r>
  <r>
    <x v="11"/>
    <s v="AUT"/>
    <x v="64"/>
    <n v="9178482"/>
  </r>
  <r>
    <x v="12"/>
    <s v="AZE"/>
    <x v="0"/>
    <n v="3894500"/>
  </r>
  <r>
    <x v="12"/>
    <s v="AZE"/>
    <x v="1"/>
    <n v="4045750"/>
  </r>
  <r>
    <x v="12"/>
    <s v="AZE"/>
    <x v="2"/>
    <n v="4168150"/>
  </r>
  <r>
    <x v="12"/>
    <s v="AZE"/>
    <x v="3"/>
    <n v="4293550"/>
  </r>
  <r>
    <x v="12"/>
    <s v="AZE"/>
    <x v="4"/>
    <n v="4439250"/>
  </r>
  <r>
    <x v="12"/>
    <s v="AZE"/>
    <x v="5"/>
    <n v="4574650"/>
  </r>
  <r>
    <x v="12"/>
    <s v="AZE"/>
    <x v="6"/>
    <n v="4708150"/>
  </r>
  <r>
    <x v="12"/>
    <s v="AZE"/>
    <x v="7"/>
    <n v="4832000"/>
  </r>
  <r>
    <x v="12"/>
    <s v="AZE"/>
    <x v="8"/>
    <n v="4948500"/>
  </r>
  <r>
    <x v="12"/>
    <s v="AZE"/>
    <x v="9"/>
    <n v="5063300"/>
  </r>
  <r>
    <x v="12"/>
    <s v="AZE"/>
    <x v="10"/>
    <n v="5172050"/>
  </r>
  <r>
    <x v="12"/>
    <s v="AZE"/>
    <x v="11"/>
    <n v="5282950"/>
  </r>
  <r>
    <x v="12"/>
    <s v="AZE"/>
    <x v="12"/>
    <n v="5391450"/>
  </r>
  <r>
    <x v="12"/>
    <s v="AZE"/>
    <x v="13"/>
    <n v="5493900"/>
  </r>
  <r>
    <x v="12"/>
    <s v="AZE"/>
    <x v="14"/>
    <n v="5594100"/>
  </r>
  <r>
    <x v="12"/>
    <s v="AZE"/>
    <x v="15"/>
    <n v="5689050"/>
  </r>
  <r>
    <x v="12"/>
    <s v="AZE"/>
    <x v="16"/>
    <n v="5781000"/>
  </r>
  <r>
    <x v="12"/>
    <s v="AZE"/>
    <x v="17"/>
    <n v="5876150"/>
  </r>
  <r>
    <x v="12"/>
    <s v="AZE"/>
    <x v="18"/>
    <n v="5976150"/>
  </r>
  <r>
    <x v="12"/>
    <s v="AZE"/>
    <x v="19"/>
    <n v="6071300"/>
  </r>
  <r>
    <x v="12"/>
    <s v="AZE"/>
    <x v="20"/>
    <n v="6160500"/>
  </r>
  <r>
    <x v="12"/>
    <s v="AZE"/>
    <x v="21"/>
    <n v="6257750"/>
  </r>
  <r>
    <x v="12"/>
    <s v="AZE"/>
    <x v="22"/>
    <n v="6357550"/>
  </r>
  <r>
    <x v="12"/>
    <s v="AZE"/>
    <x v="23"/>
    <n v="6459800"/>
  </r>
  <r>
    <x v="12"/>
    <s v="AZE"/>
    <x v="24"/>
    <n v="6567850"/>
  </r>
  <r>
    <x v="12"/>
    <s v="AZE"/>
    <x v="25"/>
    <n v="6670150"/>
  </r>
  <r>
    <x v="12"/>
    <s v="AZE"/>
    <x v="26"/>
    <n v="6770300"/>
  </r>
  <r>
    <x v="12"/>
    <s v="AZE"/>
    <x v="27"/>
    <n v="6875350"/>
  </r>
  <r>
    <x v="12"/>
    <s v="AZE"/>
    <x v="28"/>
    <n v="6974600"/>
  </r>
  <r>
    <x v="12"/>
    <s v="AZE"/>
    <x v="29"/>
    <n v="7076550"/>
  </r>
  <r>
    <x v="12"/>
    <s v="AZE"/>
    <x v="30"/>
    <n v="7175200"/>
  </r>
  <r>
    <x v="12"/>
    <s v="AZE"/>
    <x v="31"/>
    <n v="7271300"/>
  </r>
  <r>
    <x v="12"/>
    <s v="AZE"/>
    <x v="32"/>
    <n v="7382050"/>
  </r>
  <r>
    <x v="12"/>
    <s v="AZE"/>
    <x v="33"/>
    <n v="7494800"/>
  </r>
  <r>
    <x v="12"/>
    <s v="AZE"/>
    <x v="34"/>
    <n v="7596550"/>
  </r>
  <r>
    <x v="12"/>
    <s v="AZE"/>
    <x v="35"/>
    <n v="7684850"/>
  </r>
  <r>
    <x v="12"/>
    <s v="AZE"/>
    <x v="36"/>
    <n v="7763000"/>
  </r>
  <r>
    <x v="12"/>
    <s v="AZE"/>
    <x v="37"/>
    <n v="7838250"/>
  </r>
  <r>
    <x v="12"/>
    <s v="AZE"/>
    <x v="38"/>
    <n v="7913000"/>
  </r>
  <r>
    <x v="12"/>
    <s v="AZE"/>
    <x v="39"/>
    <n v="7982750"/>
  </r>
  <r>
    <x v="12"/>
    <s v="AZE"/>
    <x v="40"/>
    <n v="8048600"/>
  </r>
  <r>
    <x v="12"/>
    <s v="AZE"/>
    <x v="41"/>
    <n v="8111200"/>
  </r>
  <r>
    <x v="12"/>
    <s v="AZE"/>
    <x v="42"/>
    <n v="8171950"/>
  </r>
  <r>
    <x v="12"/>
    <s v="AZE"/>
    <x v="43"/>
    <n v="8234100"/>
  </r>
  <r>
    <x v="12"/>
    <s v="AZE"/>
    <x v="44"/>
    <n v="8306500"/>
  </r>
  <r>
    <x v="12"/>
    <s v="AZE"/>
    <x v="45"/>
    <n v="8391850"/>
  </r>
  <r>
    <x v="12"/>
    <s v="AZE"/>
    <x v="46"/>
    <n v="8484550"/>
  </r>
  <r>
    <x v="12"/>
    <s v="AZE"/>
    <x v="47"/>
    <n v="8581300"/>
  </r>
  <r>
    <x v="12"/>
    <s v="AZE"/>
    <x v="48"/>
    <n v="8763400"/>
  </r>
  <r>
    <x v="12"/>
    <s v="AZE"/>
    <x v="49"/>
    <n v="8947243"/>
  </r>
  <r>
    <x v="12"/>
    <s v="AZE"/>
    <x v="50"/>
    <n v="9054332"/>
  </r>
  <r>
    <x v="12"/>
    <s v="AZE"/>
    <x v="51"/>
    <n v="9173082"/>
  </r>
  <r>
    <x v="12"/>
    <s v="AZE"/>
    <x v="52"/>
    <n v="9295784"/>
  </r>
  <r>
    <x v="12"/>
    <s v="AZE"/>
    <x v="53"/>
    <n v="9416801"/>
  </r>
  <r>
    <x v="12"/>
    <s v="AZE"/>
    <x v="54"/>
    <n v="9535079"/>
  </r>
  <r>
    <x v="12"/>
    <s v="AZE"/>
    <x v="55"/>
    <n v="9649341"/>
  </r>
  <r>
    <x v="12"/>
    <s v="AZE"/>
    <x v="56"/>
    <n v="9757812"/>
  </r>
  <r>
    <x v="12"/>
    <s v="AZE"/>
    <x v="57"/>
    <n v="9854033"/>
  </r>
  <r>
    <x v="12"/>
    <s v="AZE"/>
    <x v="58"/>
    <n v="9939771"/>
  </r>
  <r>
    <x v="12"/>
    <s v="AZE"/>
    <x v="59"/>
    <n v="10024283"/>
  </r>
  <r>
    <x v="12"/>
    <s v="AZE"/>
    <x v="60"/>
    <n v="10093121"/>
  </r>
  <r>
    <x v="12"/>
    <s v="AZE"/>
    <x v="61"/>
    <n v="10137750"/>
  </r>
  <r>
    <x v="12"/>
    <s v="AZE"/>
    <x v="62"/>
    <n v="10141756"/>
  </r>
  <r>
    <x v="12"/>
    <s v="AZE"/>
    <x v="63"/>
    <n v="10153958"/>
  </r>
  <r>
    <x v="12"/>
    <s v="AZE"/>
    <x v="64"/>
    <n v="10202850"/>
  </r>
  <r>
    <x v="13"/>
    <s v="BHS"/>
    <x v="0"/>
    <n v="116317"/>
  </r>
  <r>
    <x v="13"/>
    <s v="BHS"/>
    <x v="1"/>
    <n v="122197"/>
  </r>
  <r>
    <x v="13"/>
    <s v="BHS"/>
    <x v="2"/>
    <n v="128493"/>
  </r>
  <r>
    <x v="13"/>
    <s v="BHS"/>
    <x v="3"/>
    <n v="135087"/>
  </r>
  <r>
    <x v="13"/>
    <s v="BHS"/>
    <x v="4"/>
    <n v="141528"/>
  </r>
  <r>
    <x v="13"/>
    <s v="BHS"/>
    <x v="5"/>
    <n v="147952"/>
  </r>
  <r>
    <x v="13"/>
    <s v="BHS"/>
    <x v="6"/>
    <n v="154874"/>
  </r>
  <r>
    <x v="13"/>
    <s v="BHS"/>
    <x v="7"/>
    <n v="162267"/>
  </r>
  <r>
    <x v="13"/>
    <s v="BHS"/>
    <x v="8"/>
    <n v="170089"/>
  </r>
  <r>
    <x v="13"/>
    <s v="BHS"/>
    <x v="9"/>
    <n v="177981"/>
  </r>
  <r>
    <x v="13"/>
    <s v="BHS"/>
    <x v="10"/>
    <n v="184982"/>
  </r>
  <r>
    <x v="13"/>
    <s v="BHS"/>
    <x v="11"/>
    <n v="190857"/>
  </r>
  <r>
    <x v="13"/>
    <s v="BHS"/>
    <x v="12"/>
    <n v="196055"/>
  </r>
  <r>
    <x v="13"/>
    <s v="BHS"/>
    <x v="13"/>
    <n v="200791"/>
  </r>
  <r>
    <x v="13"/>
    <s v="BHS"/>
    <x v="14"/>
    <n v="205342"/>
  </r>
  <r>
    <x v="13"/>
    <s v="BHS"/>
    <x v="15"/>
    <n v="209886"/>
  </r>
  <r>
    <x v="13"/>
    <s v="BHS"/>
    <x v="16"/>
    <n v="214501"/>
  </r>
  <r>
    <x v="13"/>
    <s v="BHS"/>
    <x v="17"/>
    <n v="219157"/>
  </r>
  <r>
    <x v="13"/>
    <s v="BHS"/>
    <x v="18"/>
    <n v="223761"/>
  </r>
  <r>
    <x v="13"/>
    <s v="BHS"/>
    <x v="19"/>
    <n v="228230"/>
  </r>
  <r>
    <x v="13"/>
    <s v="BHS"/>
    <x v="20"/>
    <n v="232526"/>
  </r>
  <r>
    <x v="13"/>
    <s v="BHS"/>
    <x v="21"/>
    <n v="236614"/>
  </r>
  <r>
    <x v="13"/>
    <s v="BHS"/>
    <x v="22"/>
    <n v="240614"/>
  </r>
  <r>
    <x v="13"/>
    <s v="BHS"/>
    <x v="23"/>
    <n v="244698"/>
  </r>
  <r>
    <x v="13"/>
    <s v="BHS"/>
    <x v="24"/>
    <n v="248863"/>
  </r>
  <r>
    <x v="13"/>
    <s v="BHS"/>
    <x v="25"/>
    <n v="253154"/>
  </r>
  <r>
    <x v="13"/>
    <s v="BHS"/>
    <x v="26"/>
    <n v="257536"/>
  </r>
  <r>
    <x v="13"/>
    <s v="BHS"/>
    <x v="27"/>
    <n v="261935"/>
  </r>
  <r>
    <x v="13"/>
    <s v="BHS"/>
    <x v="28"/>
    <n v="266448"/>
  </r>
  <r>
    <x v="13"/>
    <s v="BHS"/>
    <x v="29"/>
    <n v="271178"/>
  </r>
  <r>
    <x v="13"/>
    <s v="BHS"/>
    <x v="30"/>
    <n v="275945"/>
  </r>
  <r>
    <x v="13"/>
    <s v="BHS"/>
    <x v="31"/>
    <n v="280731"/>
  </r>
  <r>
    <x v="13"/>
    <s v="BHS"/>
    <x v="32"/>
    <n v="285927"/>
  </r>
  <r>
    <x v="13"/>
    <s v="BHS"/>
    <x v="33"/>
    <n v="291339"/>
  </r>
  <r>
    <x v="13"/>
    <s v="BHS"/>
    <x v="34"/>
    <n v="296509"/>
  </r>
  <r>
    <x v="13"/>
    <s v="BHS"/>
    <x v="35"/>
    <n v="301461"/>
  </r>
  <r>
    <x v="13"/>
    <s v="BHS"/>
    <x v="36"/>
    <n v="306268"/>
  </r>
  <r>
    <x v="13"/>
    <s v="BHS"/>
    <x v="37"/>
    <n v="310904"/>
  </r>
  <r>
    <x v="13"/>
    <s v="BHS"/>
    <x v="38"/>
    <n v="315368"/>
  </r>
  <r>
    <x v="13"/>
    <s v="BHS"/>
    <x v="39"/>
    <n v="319614"/>
  </r>
  <r>
    <x v="13"/>
    <s v="BHS"/>
    <x v="40"/>
    <n v="323835"/>
  </r>
  <r>
    <x v="13"/>
    <s v="BHS"/>
    <x v="41"/>
    <n v="327836"/>
  </r>
  <r>
    <x v="13"/>
    <s v="BHS"/>
    <x v="42"/>
    <n v="331614"/>
  </r>
  <r>
    <x v="13"/>
    <s v="BHS"/>
    <x v="43"/>
    <n v="335618"/>
  </r>
  <r>
    <x v="13"/>
    <s v="BHS"/>
    <x v="44"/>
    <n v="339782"/>
  </r>
  <r>
    <x v="13"/>
    <s v="BHS"/>
    <x v="45"/>
    <n v="343894"/>
  </r>
  <r>
    <x v="13"/>
    <s v="BHS"/>
    <x v="46"/>
    <n v="348375"/>
  </r>
  <r>
    <x v="13"/>
    <s v="BHS"/>
    <x v="47"/>
    <n v="353334"/>
  </r>
  <r>
    <x v="13"/>
    <s v="BHS"/>
    <x v="48"/>
    <n v="358120"/>
  </r>
  <r>
    <x v="13"/>
    <s v="BHS"/>
    <x v="49"/>
    <n v="362810"/>
  </r>
  <r>
    <x v="13"/>
    <s v="BHS"/>
    <x v="50"/>
    <n v="367478"/>
  </r>
  <r>
    <x v="13"/>
    <s v="BHS"/>
    <x v="51"/>
    <n v="371729"/>
  </r>
  <r>
    <x v="13"/>
    <s v="BHS"/>
    <x v="52"/>
    <n v="375469"/>
  </r>
  <r>
    <x v="13"/>
    <s v="BHS"/>
    <x v="53"/>
    <n v="378953"/>
  </r>
  <r>
    <x v="13"/>
    <s v="BHS"/>
    <x v="54"/>
    <n v="382298"/>
  </r>
  <r>
    <x v="13"/>
    <s v="BHS"/>
    <x v="55"/>
    <n v="385346"/>
  </r>
  <r>
    <x v="13"/>
    <s v="BHS"/>
    <x v="56"/>
    <n v="388055"/>
  </r>
  <r>
    <x v="13"/>
    <s v="BHS"/>
    <x v="57"/>
    <n v="390485"/>
  </r>
  <r>
    <x v="13"/>
    <s v="BHS"/>
    <x v="58"/>
    <n v="392717"/>
  </r>
  <r>
    <x v="13"/>
    <s v="BHS"/>
    <x v="59"/>
    <n v="394675"/>
  </r>
  <r>
    <x v="13"/>
    <s v="BHS"/>
    <x v="60"/>
    <n v="395863"/>
  </r>
  <r>
    <x v="13"/>
    <s v="BHS"/>
    <x v="61"/>
    <n v="396373"/>
  </r>
  <r>
    <x v="13"/>
    <s v="BHS"/>
    <x v="62"/>
    <n v="397538"/>
  </r>
  <r>
    <x v="13"/>
    <s v="BHS"/>
    <x v="63"/>
    <n v="399440"/>
  </r>
  <r>
    <x v="13"/>
    <s v="BHS"/>
    <x v="64"/>
    <n v="401283"/>
  </r>
  <r>
    <x v="14"/>
    <s v="BHR"/>
    <x v="0"/>
    <n v="165477"/>
  </r>
  <r>
    <x v="14"/>
    <s v="BHR"/>
    <x v="1"/>
    <n v="172346"/>
  </r>
  <r>
    <x v="14"/>
    <s v="BHR"/>
    <x v="2"/>
    <n v="179349"/>
  </r>
  <r>
    <x v="14"/>
    <s v="BHR"/>
    <x v="3"/>
    <n v="186501"/>
  </r>
  <r>
    <x v="14"/>
    <s v="BHR"/>
    <x v="4"/>
    <n v="193816"/>
  </r>
  <r>
    <x v="14"/>
    <s v="BHR"/>
    <x v="5"/>
    <n v="200866"/>
  </r>
  <r>
    <x v="14"/>
    <s v="BHR"/>
    <x v="6"/>
    <n v="207543"/>
  </r>
  <r>
    <x v="14"/>
    <s v="BHR"/>
    <x v="7"/>
    <n v="214189"/>
  </r>
  <r>
    <x v="14"/>
    <s v="BHR"/>
    <x v="8"/>
    <n v="219337"/>
  </r>
  <r>
    <x v="14"/>
    <s v="BHR"/>
    <x v="9"/>
    <n v="222469"/>
  </r>
  <r>
    <x v="14"/>
    <s v="BHR"/>
    <x v="10"/>
    <n v="224809"/>
  </r>
  <r>
    <x v="14"/>
    <s v="BHR"/>
    <x v="11"/>
    <n v="230733"/>
  </r>
  <r>
    <x v="14"/>
    <s v="BHR"/>
    <x v="12"/>
    <n v="242113"/>
  </r>
  <r>
    <x v="14"/>
    <s v="BHR"/>
    <x v="13"/>
    <n v="255320"/>
  </r>
  <r>
    <x v="14"/>
    <s v="BHR"/>
    <x v="14"/>
    <n v="269038"/>
  </r>
  <r>
    <x v="14"/>
    <s v="BHR"/>
    <x v="15"/>
    <n v="283243"/>
  </r>
  <r>
    <x v="14"/>
    <s v="BHR"/>
    <x v="16"/>
    <n v="297863"/>
  </r>
  <r>
    <x v="14"/>
    <s v="BHR"/>
    <x v="17"/>
    <n v="312823"/>
  </r>
  <r>
    <x v="14"/>
    <s v="BHR"/>
    <x v="18"/>
    <n v="328046"/>
  </r>
  <r>
    <x v="14"/>
    <s v="BHR"/>
    <x v="19"/>
    <n v="343457"/>
  </r>
  <r>
    <x v="14"/>
    <s v="BHR"/>
    <x v="20"/>
    <n v="358978"/>
  </r>
  <r>
    <x v="14"/>
    <s v="BHR"/>
    <x v="21"/>
    <n v="373524"/>
  </r>
  <r>
    <x v="14"/>
    <s v="BHR"/>
    <x v="22"/>
    <n v="386983"/>
  </r>
  <r>
    <x v="14"/>
    <s v="BHR"/>
    <x v="23"/>
    <n v="400707"/>
  </r>
  <r>
    <x v="14"/>
    <s v="BHR"/>
    <x v="24"/>
    <n v="415154"/>
  </r>
  <r>
    <x v="14"/>
    <s v="BHR"/>
    <x v="25"/>
    <n v="430358"/>
  </r>
  <r>
    <x v="14"/>
    <s v="BHR"/>
    <x v="26"/>
    <n v="446286"/>
  </r>
  <r>
    <x v="14"/>
    <s v="BHR"/>
    <x v="27"/>
    <n v="462854"/>
  </r>
  <r>
    <x v="14"/>
    <s v="BHR"/>
    <x v="28"/>
    <n v="479929"/>
  </r>
  <r>
    <x v="14"/>
    <s v="BHR"/>
    <x v="29"/>
    <n v="497327"/>
  </r>
  <r>
    <x v="14"/>
    <s v="BHR"/>
    <x v="30"/>
    <n v="514797"/>
  </r>
  <r>
    <x v="14"/>
    <s v="BHR"/>
    <x v="31"/>
    <n v="503052"/>
  </r>
  <r>
    <x v="14"/>
    <s v="BHR"/>
    <x v="32"/>
    <n v="516458"/>
  </r>
  <r>
    <x v="14"/>
    <s v="BHR"/>
    <x v="33"/>
    <n v="530225"/>
  </r>
  <r>
    <x v="14"/>
    <s v="BHR"/>
    <x v="34"/>
    <n v="544366"/>
  </r>
  <r>
    <x v="14"/>
    <s v="BHR"/>
    <x v="35"/>
    <n v="558879"/>
  </r>
  <r>
    <x v="14"/>
    <s v="BHR"/>
    <x v="36"/>
    <n v="573792"/>
  </r>
  <r>
    <x v="14"/>
    <s v="BHR"/>
    <x v="37"/>
    <n v="589115"/>
  </r>
  <r>
    <x v="14"/>
    <s v="BHR"/>
    <x v="38"/>
    <n v="604842"/>
  </r>
  <r>
    <x v="14"/>
    <s v="BHR"/>
    <x v="39"/>
    <n v="620989"/>
  </r>
  <r>
    <x v="14"/>
    <s v="BHR"/>
    <x v="40"/>
    <n v="637582"/>
  </r>
  <r>
    <x v="14"/>
    <s v="BHR"/>
    <x v="41"/>
    <n v="661316"/>
  </r>
  <r>
    <x v="14"/>
    <s v="BHR"/>
    <x v="42"/>
    <n v="710553"/>
  </r>
  <r>
    <x v="14"/>
    <s v="BHR"/>
    <x v="43"/>
    <n v="764517"/>
  </r>
  <r>
    <x v="14"/>
    <s v="BHR"/>
    <x v="44"/>
    <n v="823741"/>
  </r>
  <r>
    <x v="14"/>
    <s v="BHR"/>
    <x v="45"/>
    <n v="888822"/>
  </r>
  <r>
    <x v="14"/>
    <s v="BHR"/>
    <x v="46"/>
    <n v="960424"/>
  </r>
  <r>
    <x v="14"/>
    <s v="BHR"/>
    <x v="47"/>
    <n v="1039295"/>
  </r>
  <r>
    <x v="14"/>
    <s v="BHR"/>
    <x v="48"/>
    <n v="1103496"/>
  </r>
  <r>
    <x v="14"/>
    <s v="BHR"/>
    <x v="49"/>
    <n v="1178415"/>
  </r>
  <r>
    <x v="14"/>
    <s v="BHR"/>
    <x v="50"/>
    <n v="1228543"/>
  </r>
  <r>
    <x v="14"/>
    <s v="BHR"/>
    <x v="51"/>
    <n v="1195020"/>
  </r>
  <r>
    <x v="14"/>
    <s v="BHR"/>
    <x v="52"/>
    <n v="1208964"/>
  </r>
  <r>
    <x v="14"/>
    <s v="BHR"/>
    <x v="53"/>
    <n v="1253191"/>
  </r>
  <r>
    <x v="14"/>
    <s v="BHR"/>
    <x v="54"/>
    <n v="1314562"/>
  </r>
  <r>
    <x v="14"/>
    <s v="BHR"/>
    <x v="55"/>
    <n v="1370322"/>
  </r>
  <r>
    <x v="14"/>
    <s v="BHR"/>
    <x v="56"/>
    <n v="1423726"/>
  </r>
  <r>
    <x v="14"/>
    <s v="BHR"/>
    <x v="57"/>
    <n v="1501116"/>
  </r>
  <r>
    <x v="14"/>
    <s v="BHR"/>
    <x v="58"/>
    <n v="1503091"/>
  </r>
  <r>
    <x v="14"/>
    <s v="BHR"/>
    <x v="59"/>
    <n v="1483756"/>
  </r>
  <r>
    <x v="14"/>
    <s v="BHR"/>
    <x v="60"/>
    <n v="1472204"/>
  </r>
  <r>
    <x v="14"/>
    <s v="BHR"/>
    <x v="61"/>
    <n v="1504365"/>
  </r>
  <r>
    <x v="14"/>
    <s v="BHR"/>
    <x v="62"/>
    <n v="1524693"/>
  </r>
  <r>
    <x v="14"/>
    <s v="BHR"/>
    <x v="63"/>
    <n v="1577059"/>
  </r>
  <r>
    <x v="14"/>
    <s v="BHR"/>
    <x v="64"/>
    <n v="1588670"/>
  </r>
  <r>
    <x v="15"/>
    <s v="BGD"/>
    <x v="0"/>
    <n v="51828660"/>
  </r>
  <r>
    <x v="15"/>
    <s v="BGD"/>
    <x v="1"/>
    <n v="53310348"/>
  </r>
  <r>
    <x v="15"/>
    <s v="BGD"/>
    <x v="2"/>
    <n v="54881146"/>
  </r>
  <r>
    <x v="15"/>
    <s v="BGD"/>
    <x v="3"/>
    <n v="56504402"/>
  </r>
  <r>
    <x v="15"/>
    <s v="BGD"/>
    <x v="4"/>
    <n v="58178374"/>
  </r>
  <r>
    <x v="15"/>
    <s v="BGD"/>
    <x v="5"/>
    <n v="59902519"/>
  </r>
  <r>
    <x v="15"/>
    <s v="BGD"/>
    <x v="6"/>
    <n v="61669806"/>
  </r>
  <r>
    <x v="15"/>
    <s v="BGD"/>
    <x v="7"/>
    <n v="63510929"/>
  </r>
  <r>
    <x v="15"/>
    <s v="BGD"/>
    <x v="8"/>
    <n v="65408276"/>
  </r>
  <r>
    <x v="15"/>
    <s v="BGD"/>
    <x v="9"/>
    <n v="67294133"/>
  </r>
  <r>
    <x v="15"/>
    <s v="BGD"/>
    <x v="10"/>
    <n v="69058894"/>
  </r>
  <r>
    <x v="15"/>
    <s v="BGD"/>
    <x v="11"/>
    <n v="70276758"/>
  </r>
  <r>
    <x v="15"/>
    <s v="BGD"/>
    <x v="12"/>
    <n v="71641519"/>
  </r>
  <r>
    <x v="15"/>
    <s v="BGD"/>
    <x v="13"/>
    <n v="73722294"/>
  </r>
  <r>
    <x v="15"/>
    <s v="BGD"/>
    <x v="14"/>
    <n v="75839348"/>
  </r>
  <r>
    <x v="15"/>
    <s v="BGD"/>
    <x v="15"/>
    <n v="77854351"/>
  </r>
  <r>
    <x v="15"/>
    <s v="BGD"/>
    <x v="16"/>
    <n v="79855318"/>
  </r>
  <r>
    <x v="15"/>
    <s v="BGD"/>
    <x v="17"/>
    <n v="81867264"/>
  </r>
  <r>
    <x v="15"/>
    <s v="BGD"/>
    <x v="18"/>
    <n v="83889655"/>
  </r>
  <r>
    <x v="15"/>
    <s v="BGD"/>
    <x v="19"/>
    <n v="85935072"/>
  </r>
  <r>
    <x v="15"/>
    <s v="BGD"/>
    <x v="20"/>
    <n v="88016432"/>
  </r>
  <r>
    <x v="15"/>
    <s v="BGD"/>
    <x v="21"/>
    <n v="90303105"/>
  </r>
  <r>
    <x v="15"/>
    <s v="BGD"/>
    <x v="22"/>
    <n v="92814507"/>
  </r>
  <r>
    <x v="15"/>
    <s v="BGD"/>
    <x v="23"/>
    <n v="95335155"/>
  </r>
  <r>
    <x v="15"/>
    <s v="BGD"/>
    <x v="24"/>
    <n v="97814966"/>
  </r>
  <r>
    <x v="15"/>
    <s v="BGD"/>
    <x v="25"/>
    <n v="100253825"/>
  </r>
  <r>
    <x v="15"/>
    <s v="BGD"/>
    <x v="26"/>
    <n v="102635572"/>
  </r>
  <r>
    <x v="15"/>
    <s v="BGD"/>
    <x v="27"/>
    <n v="104959291"/>
  </r>
  <r>
    <x v="15"/>
    <s v="BGD"/>
    <x v="28"/>
    <n v="107216008"/>
  </r>
  <r>
    <x v="15"/>
    <s v="BGD"/>
    <x v="29"/>
    <n v="109433799"/>
  </r>
  <r>
    <x v="15"/>
    <s v="BGD"/>
    <x v="30"/>
    <n v="111633717"/>
  </r>
  <r>
    <x v="15"/>
    <s v="BGD"/>
    <x v="31"/>
    <n v="113787109"/>
  </r>
  <r>
    <x v="15"/>
    <s v="BGD"/>
    <x v="32"/>
    <n v="115952192"/>
  </r>
  <r>
    <x v="15"/>
    <s v="BGD"/>
    <x v="33"/>
    <n v="118132360"/>
  </r>
  <r>
    <x v="15"/>
    <s v="BGD"/>
    <x v="34"/>
    <n v="120343179"/>
  </r>
  <r>
    <x v="15"/>
    <s v="BGD"/>
    <x v="35"/>
    <n v="122600370"/>
  </r>
  <r>
    <x v="15"/>
    <s v="BGD"/>
    <x v="36"/>
    <n v="124862179"/>
  </r>
  <r>
    <x v="15"/>
    <s v="BGD"/>
    <x v="37"/>
    <n v="127198069"/>
  </r>
  <r>
    <x v="15"/>
    <s v="BGD"/>
    <x v="38"/>
    <n v="129622332"/>
  </r>
  <r>
    <x v="15"/>
    <s v="BGD"/>
    <x v="39"/>
    <n v="132108065"/>
  </r>
  <r>
    <x v="15"/>
    <s v="BGD"/>
    <x v="40"/>
    <n v="134544304"/>
  </r>
  <r>
    <x v="15"/>
    <s v="BGD"/>
    <x v="41"/>
    <n v="136805810"/>
  </r>
  <r>
    <x v="15"/>
    <s v="BGD"/>
    <x v="42"/>
    <n v="138933658"/>
  </r>
  <r>
    <x v="15"/>
    <s v="BGD"/>
    <x v="43"/>
    <n v="140970351"/>
  </r>
  <r>
    <x v="15"/>
    <s v="BGD"/>
    <x v="44"/>
    <n v="142902856"/>
  </r>
  <r>
    <x v="15"/>
    <s v="BGD"/>
    <x v="45"/>
    <n v="144715786"/>
  </r>
  <r>
    <x v="15"/>
    <s v="BGD"/>
    <x v="46"/>
    <n v="146405973"/>
  </r>
  <r>
    <x v="15"/>
    <s v="BGD"/>
    <x v="47"/>
    <n v="147989278"/>
  </r>
  <r>
    <x v="15"/>
    <s v="BGD"/>
    <x v="48"/>
    <n v="149474264"/>
  </r>
  <r>
    <x v="15"/>
    <s v="BGD"/>
    <x v="49"/>
    <n v="150873714"/>
  </r>
  <r>
    <x v="15"/>
    <s v="BGD"/>
    <x v="50"/>
    <n v="152201981"/>
  </r>
  <r>
    <x v="15"/>
    <s v="BGD"/>
    <x v="51"/>
    <n v="153591076"/>
  </r>
  <r>
    <x v="15"/>
    <s v="BGD"/>
    <x v="52"/>
    <n v="155070101"/>
  </r>
  <r>
    <x v="15"/>
    <s v="BGD"/>
    <x v="53"/>
    <n v="156532141"/>
  </r>
  <r>
    <x v="15"/>
    <s v="BGD"/>
    <x v="54"/>
    <n v="157964929"/>
  </r>
  <r>
    <x v="15"/>
    <s v="BGD"/>
    <x v="55"/>
    <n v="159383179"/>
  </r>
  <r>
    <x v="15"/>
    <s v="BGD"/>
    <x v="56"/>
    <n v="160811932"/>
  </r>
  <r>
    <x v="15"/>
    <s v="BGD"/>
    <x v="57"/>
    <n v="162186147"/>
  </r>
  <r>
    <x v="15"/>
    <s v="BGD"/>
    <x v="58"/>
    <n v="163523103"/>
  </r>
  <r>
    <x v="15"/>
    <s v="BGD"/>
    <x v="59"/>
    <n v="164913055"/>
  </r>
  <r>
    <x v="15"/>
    <s v="BGD"/>
    <x v="60"/>
    <n v="166298024"/>
  </r>
  <r>
    <x v="15"/>
    <s v="BGD"/>
    <x v="61"/>
    <n v="167658854"/>
  </r>
  <r>
    <x v="15"/>
    <s v="BGD"/>
    <x v="62"/>
    <n v="169384897"/>
  </r>
  <r>
    <x v="15"/>
    <s v="BGD"/>
    <x v="63"/>
    <n v="171466990"/>
  </r>
  <r>
    <x v="15"/>
    <s v="BGD"/>
    <x v="64"/>
    <n v="173562364"/>
  </r>
  <r>
    <x v="16"/>
    <s v="BRB"/>
    <x v="0"/>
    <n v="230893"/>
  </r>
  <r>
    <x v="16"/>
    <s v="BRB"/>
    <x v="1"/>
    <n v="233148"/>
  </r>
  <r>
    <x v="16"/>
    <s v="BRB"/>
    <x v="2"/>
    <n v="235224"/>
  </r>
  <r>
    <x v="16"/>
    <s v="BRB"/>
    <x v="3"/>
    <n v="237557"/>
  </r>
  <r>
    <x v="16"/>
    <s v="BRB"/>
    <x v="4"/>
    <n v="239958"/>
  </r>
  <r>
    <x v="16"/>
    <s v="BRB"/>
    <x v="5"/>
    <n v="242417"/>
  </r>
  <r>
    <x v="16"/>
    <s v="BRB"/>
    <x v="6"/>
    <n v="244996"/>
  </r>
  <r>
    <x v="16"/>
    <s v="BRB"/>
    <x v="7"/>
    <n v="247091"/>
  </r>
  <r>
    <x v="16"/>
    <s v="BRB"/>
    <x v="8"/>
    <n v="248540"/>
  </r>
  <r>
    <x v="16"/>
    <s v="BRB"/>
    <x v="9"/>
    <n v="249444"/>
  </r>
  <r>
    <x v="16"/>
    <s v="BRB"/>
    <x v="10"/>
    <n v="249387"/>
  </r>
  <r>
    <x v="16"/>
    <s v="BRB"/>
    <x v="11"/>
    <n v="249168"/>
  </r>
  <r>
    <x v="16"/>
    <s v="BRB"/>
    <x v="12"/>
    <n v="249658"/>
  </r>
  <r>
    <x v="16"/>
    <s v="BRB"/>
    <x v="13"/>
    <n v="250322"/>
  </r>
  <r>
    <x v="16"/>
    <s v="BRB"/>
    <x v="14"/>
    <n v="250777"/>
  </r>
  <r>
    <x v="16"/>
    <s v="BRB"/>
    <x v="15"/>
    <n v="251175"/>
  </r>
  <r>
    <x v="16"/>
    <s v="BRB"/>
    <x v="16"/>
    <n v="251442"/>
  </r>
  <r>
    <x v="16"/>
    <s v="BRB"/>
    <x v="17"/>
    <n v="251626"/>
  </r>
  <r>
    <x v="16"/>
    <s v="BRB"/>
    <x v="18"/>
    <n v="251551"/>
  </r>
  <r>
    <x v="16"/>
    <s v="BRB"/>
    <x v="19"/>
    <n v="251269"/>
  </r>
  <r>
    <x v="16"/>
    <s v="BRB"/>
    <x v="20"/>
    <n v="251524"/>
  </r>
  <r>
    <x v="16"/>
    <s v="BRB"/>
    <x v="21"/>
    <n v="252270"/>
  </r>
  <r>
    <x v="16"/>
    <s v="BRB"/>
    <x v="22"/>
    <n v="253095"/>
  </r>
  <r>
    <x v="16"/>
    <s v="BRB"/>
    <x v="23"/>
    <n v="253992"/>
  </r>
  <r>
    <x v="16"/>
    <s v="BRB"/>
    <x v="24"/>
    <n v="254920"/>
  </r>
  <r>
    <x v="16"/>
    <s v="BRB"/>
    <x v="25"/>
    <n v="255820"/>
  </r>
  <r>
    <x v="16"/>
    <s v="BRB"/>
    <x v="26"/>
    <n v="256618"/>
  </r>
  <r>
    <x v="16"/>
    <s v="BRB"/>
    <x v="27"/>
    <n v="257279"/>
  </r>
  <r>
    <x v="16"/>
    <s v="BRB"/>
    <x v="28"/>
    <n v="257763"/>
  </r>
  <r>
    <x v="16"/>
    <s v="BRB"/>
    <x v="29"/>
    <n v="258109"/>
  </r>
  <r>
    <x v="16"/>
    <s v="BRB"/>
    <x v="30"/>
    <n v="258582"/>
  </r>
  <r>
    <x v="16"/>
    <s v="BRB"/>
    <x v="31"/>
    <n v="259373"/>
  </r>
  <r>
    <x v="16"/>
    <s v="BRB"/>
    <x v="32"/>
    <n v="260267"/>
  </r>
  <r>
    <x v="16"/>
    <s v="BRB"/>
    <x v="33"/>
    <n v="261027"/>
  </r>
  <r>
    <x v="16"/>
    <s v="BRB"/>
    <x v="34"/>
    <n v="261620"/>
  </r>
  <r>
    <x v="16"/>
    <s v="BRB"/>
    <x v="35"/>
    <n v="262039"/>
  </r>
  <r>
    <x v="16"/>
    <s v="BRB"/>
    <x v="36"/>
    <n v="262284"/>
  </r>
  <r>
    <x v="16"/>
    <s v="BRB"/>
    <x v="37"/>
    <n v="262392"/>
  </r>
  <r>
    <x v="16"/>
    <s v="BRB"/>
    <x v="38"/>
    <n v="262436"/>
  </r>
  <r>
    <x v="16"/>
    <s v="BRB"/>
    <x v="39"/>
    <n v="262517"/>
  </r>
  <r>
    <x v="16"/>
    <s v="BRB"/>
    <x v="40"/>
    <n v="262063"/>
  </r>
  <r>
    <x v="16"/>
    <s v="BRB"/>
    <x v="41"/>
    <n v="262425"/>
  </r>
  <r>
    <x v="16"/>
    <s v="BRB"/>
    <x v="42"/>
    <n v="264148"/>
  </r>
  <r>
    <x v="16"/>
    <s v="BRB"/>
    <x v="43"/>
    <n v="265776"/>
  </r>
  <r>
    <x v="16"/>
    <s v="BRB"/>
    <x v="44"/>
    <n v="267298"/>
  </r>
  <r>
    <x v="16"/>
    <s v="BRB"/>
    <x v="45"/>
    <n v="268706"/>
  </r>
  <r>
    <x v="16"/>
    <s v="BRB"/>
    <x v="46"/>
    <n v="270002"/>
  </r>
  <r>
    <x v="16"/>
    <s v="BRB"/>
    <x v="47"/>
    <n v="271288"/>
  </r>
  <r>
    <x v="16"/>
    <s v="BRB"/>
    <x v="48"/>
    <n v="272714"/>
  </r>
  <r>
    <x v="16"/>
    <s v="BRB"/>
    <x v="49"/>
    <n v="274123"/>
  </r>
  <r>
    <x v="16"/>
    <s v="BRB"/>
    <x v="50"/>
    <n v="275243"/>
  </r>
  <r>
    <x v="16"/>
    <s v="BRB"/>
    <x v="51"/>
    <n v="276139"/>
  </r>
  <r>
    <x v="16"/>
    <s v="BRB"/>
    <x v="52"/>
    <n v="276938"/>
  </r>
  <r>
    <x v="16"/>
    <s v="BRB"/>
    <x v="53"/>
    <n v="277665"/>
  </r>
  <r>
    <x v="16"/>
    <s v="BRB"/>
    <x v="54"/>
    <n v="278348"/>
  </r>
  <r>
    <x v="16"/>
    <s v="BRB"/>
    <x v="55"/>
    <n v="278990"/>
  </r>
  <r>
    <x v="16"/>
    <s v="BRB"/>
    <x v="56"/>
    <n v="279598"/>
  </r>
  <r>
    <x v="16"/>
    <s v="BRB"/>
    <x v="57"/>
    <n v="280171"/>
  </r>
  <r>
    <x v="16"/>
    <s v="BRB"/>
    <x v="58"/>
    <n v="280711"/>
  </r>
  <r>
    <x v="16"/>
    <s v="BRB"/>
    <x v="59"/>
    <n v="281207"/>
  </r>
  <r>
    <x v="16"/>
    <s v="BRB"/>
    <x v="60"/>
    <n v="281698"/>
  </r>
  <r>
    <x v="16"/>
    <s v="BRB"/>
    <x v="61"/>
    <n v="282147"/>
  </r>
  <r>
    <x v="16"/>
    <s v="BRB"/>
    <x v="62"/>
    <n v="282318"/>
  </r>
  <r>
    <x v="16"/>
    <s v="BRB"/>
    <x v="63"/>
    <n v="282336"/>
  </r>
  <r>
    <x v="16"/>
    <s v="BRB"/>
    <x v="64"/>
    <n v="282467"/>
  </r>
  <r>
    <x v="17"/>
    <s v="BLR"/>
    <x v="0"/>
    <n v="8198000"/>
  </r>
  <r>
    <x v="17"/>
    <s v="BLR"/>
    <x v="1"/>
    <n v="8271216"/>
  </r>
  <r>
    <x v="17"/>
    <s v="BLR"/>
    <x v="2"/>
    <n v="8351928"/>
  </r>
  <r>
    <x v="17"/>
    <s v="BLR"/>
    <x v="3"/>
    <n v="8437232"/>
  </r>
  <r>
    <x v="17"/>
    <s v="BLR"/>
    <x v="4"/>
    <n v="8524224"/>
  </r>
  <r>
    <x v="17"/>
    <s v="BLR"/>
    <x v="5"/>
    <n v="8610000"/>
  </r>
  <r>
    <x v="17"/>
    <s v="BLR"/>
    <x v="6"/>
    <n v="8696496"/>
  </r>
  <r>
    <x v="17"/>
    <s v="BLR"/>
    <x v="7"/>
    <n v="8785648"/>
  </r>
  <r>
    <x v="17"/>
    <s v="BLR"/>
    <x v="8"/>
    <n v="8874552"/>
  </r>
  <r>
    <x v="17"/>
    <s v="BLR"/>
    <x v="9"/>
    <n v="8960304"/>
  </r>
  <r>
    <x v="17"/>
    <s v="BLR"/>
    <x v="10"/>
    <n v="9040000"/>
  </r>
  <r>
    <x v="17"/>
    <s v="BLR"/>
    <x v="11"/>
    <n v="9115576"/>
  </r>
  <r>
    <x v="17"/>
    <s v="BLR"/>
    <x v="12"/>
    <n v="9188968"/>
  </r>
  <r>
    <x v="17"/>
    <s v="BLR"/>
    <x v="13"/>
    <n v="9257272"/>
  </r>
  <r>
    <x v="17"/>
    <s v="BLR"/>
    <x v="14"/>
    <n v="9317584"/>
  </r>
  <r>
    <x v="17"/>
    <s v="BLR"/>
    <x v="15"/>
    <n v="9367000"/>
  </r>
  <r>
    <x v="17"/>
    <s v="BLR"/>
    <x v="16"/>
    <n v="9411000"/>
  </r>
  <r>
    <x v="17"/>
    <s v="BLR"/>
    <x v="17"/>
    <n v="9463000"/>
  </r>
  <r>
    <x v="17"/>
    <s v="BLR"/>
    <x v="18"/>
    <n v="9525000"/>
  </r>
  <r>
    <x v="17"/>
    <s v="BLR"/>
    <x v="19"/>
    <n v="9584000"/>
  </r>
  <r>
    <x v="17"/>
    <s v="BLR"/>
    <x v="20"/>
    <n v="9643000"/>
  </r>
  <r>
    <x v="17"/>
    <s v="BLR"/>
    <x v="21"/>
    <n v="9710000"/>
  </r>
  <r>
    <x v="17"/>
    <s v="BLR"/>
    <x v="22"/>
    <n v="9776000"/>
  </r>
  <r>
    <x v="17"/>
    <s v="BLR"/>
    <x v="23"/>
    <n v="9843000"/>
  </r>
  <r>
    <x v="17"/>
    <s v="BLR"/>
    <x v="24"/>
    <n v="9910000"/>
  </r>
  <r>
    <x v="17"/>
    <s v="BLR"/>
    <x v="25"/>
    <n v="9975000"/>
  </r>
  <r>
    <x v="17"/>
    <s v="BLR"/>
    <x v="26"/>
    <n v="10043000"/>
  </r>
  <r>
    <x v="17"/>
    <s v="BLR"/>
    <x v="27"/>
    <n v="10111000"/>
  </r>
  <r>
    <x v="17"/>
    <s v="BLR"/>
    <x v="28"/>
    <n v="10140000"/>
  </r>
  <r>
    <x v="17"/>
    <s v="BLR"/>
    <x v="29"/>
    <n v="10170000"/>
  </r>
  <r>
    <x v="17"/>
    <s v="BLR"/>
    <x v="30"/>
    <n v="10189348"/>
  </r>
  <r>
    <x v="17"/>
    <s v="BLR"/>
    <x v="31"/>
    <n v="10194050"/>
  </r>
  <r>
    <x v="17"/>
    <s v="BLR"/>
    <x v="32"/>
    <n v="10216470"/>
  </r>
  <r>
    <x v="17"/>
    <s v="BLR"/>
    <x v="33"/>
    <n v="10239050"/>
  </r>
  <r>
    <x v="17"/>
    <s v="BLR"/>
    <x v="34"/>
    <n v="10226955"/>
  </r>
  <r>
    <x v="17"/>
    <s v="BLR"/>
    <x v="35"/>
    <n v="10193831"/>
  </r>
  <r>
    <x v="17"/>
    <s v="BLR"/>
    <x v="36"/>
    <n v="10159569"/>
  </r>
  <r>
    <x v="17"/>
    <s v="BLR"/>
    <x v="37"/>
    <n v="10117433"/>
  </r>
  <r>
    <x v="17"/>
    <s v="BLR"/>
    <x v="38"/>
    <n v="10071963"/>
  </r>
  <r>
    <x v="17"/>
    <s v="BLR"/>
    <x v="39"/>
    <n v="10026738"/>
  </r>
  <r>
    <x v="17"/>
    <s v="BLR"/>
    <x v="40"/>
    <n v="9979610"/>
  </r>
  <r>
    <x v="17"/>
    <s v="BLR"/>
    <x v="41"/>
    <n v="9928549"/>
  </r>
  <r>
    <x v="17"/>
    <s v="BLR"/>
    <x v="42"/>
    <n v="9865548"/>
  </r>
  <r>
    <x v="17"/>
    <s v="BLR"/>
    <x v="43"/>
    <n v="9796749"/>
  </r>
  <r>
    <x v="17"/>
    <s v="BLR"/>
    <x v="44"/>
    <n v="9730146"/>
  </r>
  <r>
    <x v="17"/>
    <s v="BLR"/>
    <x v="45"/>
    <n v="9663915"/>
  </r>
  <r>
    <x v="17"/>
    <s v="BLR"/>
    <x v="46"/>
    <n v="9604924"/>
  </r>
  <r>
    <x v="17"/>
    <s v="BLR"/>
    <x v="47"/>
    <n v="9560953"/>
  </r>
  <r>
    <x v="17"/>
    <s v="BLR"/>
    <x v="48"/>
    <n v="9527985"/>
  </r>
  <r>
    <x v="17"/>
    <s v="BLR"/>
    <x v="49"/>
    <n v="9504583"/>
  </r>
  <r>
    <x v="17"/>
    <s v="BLR"/>
    <x v="50"/>
    <n v="9483836"/>
  </r>
  <r>
    <x v="17"/>
    <s v="BLR"/>
    <x v="51"/>
    <n v="9461643"/>
  </r>
  <r>
    <x v="17"/>
    <s v="BLR"/>
    <x v="52"/>
    <n v="9446836"/>
  </r>
  <r>
    <x v="17"/>
    <s v="BLR"/>
    <x v="53"/>
    <n v="9443211"/>
  </r>
  <r>
    <x v="17"/>
    <s v="BLR"/>
    <x v="54"/>
    <n v="9448515"/>
  </r>
  <r>
    <x v="17"/>
    <s v="BLR"/>
    <x v="55"/>
    <n v="9461076"/>
  </r>
  <r>
    <x v="17"/>
    <s v="BLR"/>
    <x v="56"/>
    <n v="9469379"/>
  </r>
  <r>
    <x v="17"/>
    <s v="BLR"/>
    <x v="57"/>
    <n v="9458989"/>
  </r>
  <r>
    <x v="17"/>
    <s v="BLR"/>
    <x v="58"/>
    <n v="9438785"/>
  </r>
  <r>
    <x v="17"/>
    <s v="BLR"/>
    <x v="59"/>
    <n v="9419758"/>
  </r>
  <r>
    <x v="17"/>
    <s v="BLR"/>
    <x v="60"/>
    <n v="9379952"/>
  </r>
  <r>
    <x v="17"/>
    <s v="BLR"/>
    <x v="61"/>
    <n v="9302585"/>
  </r>
  <r>
    <x v="17"/>
    <s v="BLR"/>
    <x v="62"/>
    <n v="9228071"/>
  </r>
  <r>
    <x v="17"/>
    <s v="BLR"/>
    <x v="63"/>
    <n v="9178298"/>
  </r>
  <r>
    <x v="17"/>
    <s v="BLR"/>
    <x v="64"/>
    <n v="9133712"/>
  </r>
  <r>
    <x v="18"/>
    <s v="BEL"/>
    <x v="0"/>
    <n v="9153489"/>
  </r>
  <r>
    <x v="18"/>
    <s v="BEL"/>
    <x v="1"/>
    <n v="9183948"/>
  </r>
  <r>
    <x v="18"/>
    <s v="BEL"/>
    <x v="2"/>
    <n v="9220578"/>
  </r>
  <r>
    <x v="18"/>
    <s v="BEL"/>
    <x v="3"/>
    <n v="9289770"/>
  </r>
  <r>
    <x v="18"/>
    <s v="BEL"/>
    <x v="4"/>
    <n v="9378113"/>
  </r>
  <r>
    <x v="18"/>
    <s v="BEL"/>
    <x v="5"/>
    <n v="9463667"/>
  </r>
  <r>
    <x v="18"/>
    <s v="BEL"/>
    <x v="6"/>
    <n v="9527807"/>
  </r>
  <r>
    <x v="18"/>
    <s v="BEL"/>
    <x v="7"/>
    <n v="9580991"/>
  </r>
  <r>
    <x v="18"/>
    <s v="BEL"/>
    <x v="8"/>
    <n v="9618756"/>
  </r>
  <r>
    <x v="18"/>
    <s v="BEL"/>
    <x v="9"/>
    <n v="9646032"/>
  </r>
  <r>
    <x v="18"/>
    <s v="BEL"/>
    <x v="10"/>
    <n v="9655549"/>
  </r>
  <r>
    <x v="18"/>
    <s v="BEL"/>
    <x v="11"/>
    <n v="9673162"/>
  </r>
  <r>
    <x v="18"/>
    <s v="BEL"/>
    <x v="12"/>
    <n v="9711115"/>
  </r>
  <r>
    <x v="18"/>
    <s v="BEL"/>
    <x v="13"/>
    <n v="9741720"/>
  </r>
  <r>
    <x v="18"/>
    <s v="BEL"/>
    <x v="14"/>
    <n v="9772419"/>
  </r>
  <r>
    <x v="18"/>
    <s v="BEL"/>
    <x v="15"/>
    <n v="9800700"/>
  </r>
  <r>
    <x v="18"/>
    <s v="BEL"/>
    <x v="16"/>
    <n v="9818227"/>
  </r>
  <r>
    <x v="18"/>
    <s v="BEL"/>
    <x v="17"/>
    <n v="9830358"/>
  </r>
  <r>
    <x v="18"/>
    <s v="BEL"/>
    <x v="18"/>
    <n v="9839534"/>
  </r>
  <r>
    <x v="18"/>
    <s v="BEL"/>
    <x v="19"/>
    <n v="9848382"/>
  </r>
  <r>
    <x v="18"/>
    <s v="BEL"/>
    <x v="20"/>
    <n v="9859242"/>
  </r>
  <r>
    <x v="18"/>
    <s v="BEL"/>
    <x v="21"/>
    <n v="9858982"/>
  </r>
  <r>
    <x v="18"/>
    <s v="BEL"/>
    <x v="22"/>
    <n v="9856303"/>
  </r>
  <r>
    <x v="18"/>
    <s v="BEL"/>
    <x v="23"/>
    <n v="9855520"/>
  </r>
  <r>
    <x v="18"/>
    <s v="BEL"/>
    <x v="24"/>
    <n v="9855372"/>
  </r>
  <r>
    <x v="18"/>
    <s v="BEL"/>
    <x v="25"/>
    <n v="9858308"/>
  </r>
  <r>
    <x v="18"/>
    <s v="BEL"/>
    <x v="26"/>
    <n v="9861823"/>
  </r>
  <r>
    <x v="18"/>
    <s v="BEL"/>
    <x v="27"/>
    <n v="9870234"/>
  </r>
  <r>
    <x v="18"/>
    <s v="BEL"/>
    <x v="28"/>
    <n v="9901664"/>
  </r>
  <r>
    <x v="18"/>
    <s v="BEL"/>
    <x v="29"/>
    <n v="9937697"/>
  </r>
  <r>
    <x v="18"/>
    <s v="BEL"/>
    <x v="30"/>
    <n v="9967379"/>
  </r>
  <r>
    <x v="18"/>
    <s v="BEL"/>
    <x v="31"/>
    <n v="10004486"/>
  </r>
  <r>
    <x v="18"/>
    <s v="BEL"/>
    <x v="32"/>
    <n v="10045158"/>
  </r>
  <r>
    <x v="18"/>
    <s v="BEL"/>
    <x v="33"/>
    <n v="10084475"/>
  </r>
  <r>
    <x v="18"/>
    <s v="BEL"/>
    <x v="34"/>
    <n v="10115603"/>
  </r>
  <r>
    <x v="18"/>
    <s v="BEL"/>
    <x v="35"/>
    <n v="10136811"/>
  </r>
  <r>
    <x v="18"/>
    <s v="BEL"/>
    <x v="36"/>
    <n v="10156637"/>
  </r>
  <r>
    <x v="18"/>
    <s v="BEL"/>
    <x v="37"/>
    <n v="10181245"/>
  </r>
  <r>
    <x v="18"/>
    <s v="BEL"/>
    <x v="38"/>
    <n v="10203008"/>
  </r>
  <r>
    <x v="18"/>
    <s v="BEL"/>
    <x v="39"/>
    <n v="10226419"/>
  </r>
  <r>
    <x v="18"/>
    <s v="BEL"/>
    <x v="40"/>
    <n v="10251250"/>
  </r>
  <r>
    <x v="18"/>
    <s v="BEL"/>
    <x v="41"/>
    <n v="10286570"/>
  </r>
  <r>
    <x v="18"/>
    <s v="BEL"/>
    <x v="42"/>
    <n v="10332785"/>
  </r>
  <r>
    <x v="18"/>
    <s v="BEL"/>
    <x v="43"/>
    <n v="10376133"/>
  </r>
  <r>
    <x v="18"/>
    <s v="BEL"/>
    <x v="44"/>
    <n v="10421137"/>
  </r>
  <r>
    <x v="18"/>
    <s v="BEL"/>
    <x v="45"/>
    <n v="10478617"/>
  </r>
  <r>
    <x v="18"/>
    <s v="BEL"/>
    <x v="46"/>
    <n v="10547958"/>
  </r>
  <r>
    <x v="18"/>
    <s v="BEL"/>
    <x v="47"/>
    <n v="10625700"/>
  </r>
  <r>
    <x v="18"/>
    <s v="BEL"/>
    <x v="48"/>
    <n v="10709973"/>
  </r>
  <r>
    <x v="18"/>
    <s v="BEL"/>
    <x v="49"/>
    <n v="10796493"/>
  </r>
  <r>
    <x v="18"/>
    <s v="BEL"/>
    <x v="50"/>
    <n v="10895586"/>
  </r>
  <r>
    <x v="18"/>
    <s v="BEL"/>
    <x v="51"/>
    <n v="11038264"/>
  </r>
  <r>
    <x v="18"/>
    <s v="BEL"/>
    <x v="52"/>
    <n v="11106932"/>
  </r>
  <r>
    <x v="18"/>
    <s v="BEL"/>
    <x v="53"/>
    <n v="11159407"/>
  </r>
  <r>
    <x v="18"/>
    <s v="BEL"/>
    <x v="54"/>
    <n v="11209057"/>
  </r>
  <r>
    <x v="18"/>
    <s v="BEL"/>
    <x v="55"/>
    <n v="11274196"/>
  </r>
  <r>
    <x v="18"/>
    <s v="BEL"/>
    <x v="56"/>
    <n v="11331422"/>
  </r>
  <r>
    <x v="18"/>
    <s v="BEL"/>
    <x v="57"/>
    <n v="11375158"/>
  </r>
  <r>
    <x v="18"/>
    <s v="BEL"/>
    <x v="58"/>
    <n v="11427054"/>
  </r>
  <r>
    <x v="18"/>
    <s v="BEL"/>
    <x v="59"/>
    <n v="11488980"/>
  </r>
  <r>
    <x v="18"/>
    <s v="BEL"/>
    <x v="60"/>
    <n v="11538604"/>
  </r>
  <r>
    <x v="18"/>
    <s v="BEL"/>
    <x v="61"/>
    <n v="11586195"/>
  </r>
  <r>
    <x v="18"/>
    <s v="BEL"/>
    <x v="62"/>
    <n v="11680210"/>
  </r>
  <r>
    <x v="18"/>
    <s v="BEL"/>
    <x v="63"/>
    <n v="11787423"/>
  </r>
  <r>
    <x v="18"/>
    <s v="BEL"/>
    <x v="64"/>
    <n v="11876844"/>
  </r>
  <r>
    <x v="19"/>
    <s v="BLZ"/>
    <x v="0"/>
    <n v="91318"/>
  </r>
  <r>
    <x v="19"/>
    <s v="BLZ"/>
    <x v="1"/>
    <n v="93632"/>
  </r>
  <r>
    <x v="19"/>
    <s v="BLZ"/>
    <x v="2"/>
    <n v="96042"/>
  </r>
  <r>
    <x v="19"/>
    <s v="BLZ"/>
    <x v="3"/>
    <n v="98704"/>
  </r>
  <r>
    <x v="19"/>
    <s v="BLZ"/>
    <x v="4"/>
    <n v="101603"/>
  </r>
  <r>
    <x v="19"/>
    <s v="BLZ"/>
    <x v="5"/>
    <n v="104675"/>
  </r>
  <r>
    <x v="19"/>
    <s v="BLZ"/>
    <x v="6"/>
    <n v="107906"/>
  </r>
  <r>
    <x v="19"/>
    <s v="BLZ"/>
    <x v="7"/>
    <n v="111272"/>
  </r>
  <r>
    <x v="19"/>
    <s v="BLZ"/>
    <x v="8"/>
    <n v="114713"/>
  </r>
  <r>
    <x v="19"/>
    <s v="BLZ"/>
    <x v="9"/>
    <n v="118040"/>
  </r>
  <r>
    <x v="19"/>
    <s v="BLZ"/>
    <x v="10"/>
    <n v="120736"/>
  </r>
  <r>
    <x v="19"/>
    <s v="BLZ"/>
    <x v="11"/>
    <n v="122805"/>
  </r>
  <r>
    <x v="19"/>
    <s v="BLZ"/>
    <x v="12"/>
    <n v="124676"/>
  </r>
  <r>
    <x v="19"/>
    <s v="BLZ"/>
    <x v="13"/>
    <n v="126445"/>
  </r>
  <r>
    <x v="19"/>
    <s v="BLZ"/>
    <x v="14"/>
    <n v="128185"/>
  </r>
  <r>
    <x v="19"/>
    <s v="BLZ"/>
    <x v="15"/>
    <n v="130387"/>
  </r>
  <r>
    <x v="19"/>
    <s v="BLZ"/>
    <x v="16"/>
    <n v="133099"/>
  </r>
  <r>
    <x v="19"/>
    <s v="BLZ"/>
    <x v="17"/>
    <n v="135887"/>
  </r>
  <r>
    <x v="19"/>
    <s v="BLZ"/>
    <x v="18"/>
    <n v="138713"/>
  </r>
  <r>
    <x v="19"/>
    <s v="BLZ"/>
    <x v="19"/>
    <n v="141678"/>
  </r>
  <r>
    <x v="19"/>
    <s v="BLZ"/>
    <x v="20"/>
    <n v="145062"/>
  </r>
  <r>
    <x v="19"/>
    <s v="BLZ"/>
    <x v="21"/>
    <n v="148786"/>
  </r>
  <r>
    <x v="19"/>
    <s v="BLZ"/>
    <x v="22"/>
    <n v="152548"/>
  </r>
  <r>
    <x v="19"/>
    <s v="BLZ"/>
    <x v="23"/>
    <n v="156297"/>
  </r>
  <r>
    <x v="19"/>
    <s v="BLZ"/>
    <x v="24"/>
    <n v="160044"/>
  </r>
  <r>
    <x v="19"/>
    <s v="BLZ"/>
    <x v="25"/>
    <n v="163796"/>
  </r>
  <r>
    <x v="19"/>
    <s v="BLZ"/>
    <x v="26"/>
    <n v="167554"/>
  </r>
  <r>
    <x v="19"/>
    <s v="BLZ"/>
    <x v="27"/>
    <n v="171338"/>
  </r>
  <r>
    <x v="19"/>
    <s v="BLZ"/>
    <x v="28"/>
    <n v="175180"/>
  </r>
  <r>
    <x v="19"/>
    <s v="BLZ"/>
    <x v="29"/>
    <n v="179107"/>
  </r>
  <r>
    <x v="19"/>
    <s v="BLZ"/>
    <x v="30"/>
    <n v="183076"/>
  </r>
  <r>
    <x v="19"/>
    <s v="BLZ"/>
    <x v="31"/>
    <n v="187040"/>
  </r>
  <r>
    <x v="19"/>
    <s v="BLZ"/>
    <x v="32"/>
    <n v="190983"/>
  </r>
  <r>
    <x v="19"/>
    <s v="BLZ"/>
    <x v="33"/>
    <n v="194902"/>
  </r>
  <r>
    <x v="19"/>
    <s v="BLZ"/>
    <x v="34"/>
    <n v="199097"/>
  </r>
  <r>
    <x v="19"/>
    <s v="BLZ"/>
    <x v="35"/>
    <n v="204146"/>
  </r>
  <r>
    <x v="19"/>
    <s v="BLZ"/>
    <x v="36"/>
    <n v="210310"/>
  </r>
  <r>
    <x v="19"/>
    <s v="BLZ"/>
    <x v="37"/>
    <n v="217446"/>
  </r>
  <r>
    <x v="19"/>
    <s v="BLZ"/>
    <x v="38"/>
    <n v="225173"/>
  </r>
  <r>
    <x v="19"/>
    <s v="BLZ"/>
    <x v="39"/>
    <n v="233059"/>
  </r>
  <r>
    <x v="19"/>
    <s v="BLZ"/>
    <x v="40"/>
    <n v="240799"/>
  </r>
  <r>
    <x v="19"/>
    <s v="BLZ"/>
    <x v="41"/>
    <n v="248379"/>
  </r>
  <r>
    <x v="19"/>
    <s v="BLZ"/>
    <x v="42"/>
    <n v="256009"/>
  </r>
  <r>
    <x v="19"/>
    <s v="BLZ"/>
    <x v="43"/>
    <n v="263780"/>
  </r>
  <r>
    <x v="19"/>
    <s v="BLZ"/>
    <x v="44"/>
    <n v="271688"/>
  </r>
  <r>
    <x v="19"/>
    <s v="BLZ"/>
    <x v="45"/>
    <n v="279731"/>
  </r>
  <r>
    <x v="19"/>
    <s v="BLZ"/>
    <x v="46"/>
    <n v="287878"/>
  </r>
  <r>
    <x v="19"/>
    <s v="BLZ"/>
    <x v="47"/>
    <n v="296100"/>
  </r>
  <r>
    <x v="19"/>
    <s v="BLZ"/>
    <x v="48"/>
    <n v="304361"/>
  </r>
  <r>
    <x v="19"/>
    <s v="BLZ"/>
    <x v="49"/>
    <n v="312614"/>
  </r>
  <r>
    <x v="19"/>
    <s v="BLZ"/>
    <x v="50"/>
    <n v="320245"/>
  </r>
  <r>
    <x v="19"/>
    <s v="BLZ"/>
    <x v="51"/>
    <n v="327298"/>
  </r>
  <r>
    <x v="19"/>
    <s v="BLZ"/>
    <x v="52"/>
    <n v="334414"/>
  </r>
  <r>
    <x v="19"/>
    <s v="BLZ"/>
    <x v="53"/>
    <n v="341627"/>
  </r>
  <r>
    <x v="19"/>
    <s v="BLZ"/>
    <x v="54"/>
    <n v="348923"/>
  </r>
  <r>
    <x v="19"/>
    <s v="BLZ"/>
    <x v="55"/>
    <n v="356333"/>
  </r>
  <r>
    <x v="19"/>
    <s v="BLZ"/>
    <x v="56"/>
    <n v="364705"/>
  </r>
  <r>
    <x v="19"/>
    <s v="BLZ"/>
    <x v="57"/>
    <n v="373202"/>
  </r>
  <r>
    <x v="19"/>
    <s v="BLZ"/>
    <x v="58"/>
    <n v="380226"/>
  </r>
  <r>
    <x v="19"/>
    <s v="BLZ"/>
    <x v="59"/>
    <n v="385829"/>
  </r>
  <r>
    <x v="19"/>
    <s v="BLZ"/>
    <x v="60"/>
    <n v="390812"/>
  </r>
  <r>
    <x v="19"/>
    <s v="BLZ"/>
    <x v="61"/>
    <n v="395346"/>
  </r>
  <r>
    <x v="19"/>
    <s v="BLZ"/>
    <x v="62"/>
    <n v="402733"/>
  </r>
  <r>
    <x v="19"/>
    <s v="BLZ"/>
    <x v="63"/>
    <n v="411106"/>
  </r>
  <r>
    <x v="19"/>
    <s v="BLZ"/>
    <x v="64"/>
    <n v="417072"/>
  </r>
  <r>
    <x v="20"/>
    <s v="BEN"/>
    <x v="0"/>
    <n v="2517286"/>
  </r>
  <r>
    <x v="20"/>
    <s v="BEN"/>
    <x v="1"/>
    <n v="2559223"/>
  </r>
  <r>
    <x v="20"/>
    <s v="BEN"/>
    <x v="2"/>
    <n v="2604659"/>
  </r>
  <r>
    <x v="20"/>
    <s v="BEN"/>
    <x v="3"/>
    <n v="2652908"/>
  </r>
  <r>
    <x v="20"/>
    <s v="BEN"/>
    <x v="4"/>
    <n v="2704003"/>
  </r>
  <r>
    <x v="20"/>
    <s v="BEN"/>
    <x v="5"/>
    <n v="2757936"/>
  </r>
  <r>
    <x v="20"/>
    <s v="BEN"/>
    <x v="6"/>
    <n v="2814317"/>
  </r>
  <r>
    <x v="20"/>
    <s v="BEN"/>
    <x v="7"/>
    <n v="2872997"/>
  </r>
  <r>
    <x v="20"/>
    <s v="BEN"/>
    <x v="8"/>
    <n v="2934257"/>
  </r>
  <r>
    <x v="20"/>
    <s v="BEN"/>
    <x v="9"/>
    <n v="2998222"/>
  </r>
  <r>
    <x v="20"/>
    <s v="BEN"/>
    <x v="10"/>
    <n v="3065057"/>
  </r>
  <r>
    <x v="20"/>
    <s v="BEN"/>
    <x v="11"/>
    <n v="3134767"/>
  </r>
  <r>
    <x v="20"/>
    <s v="BEN"/>
    <x v="12"/>
    <n v="3207543"/>
  </r>
  <r>
    <x v="20"/>
    <s v="BEN"/>
    <x v="13"/>
    <n v="3283496"/>
  </r>
  <r>
    <x v="20"/>
    <s v="BEN"/>
    <x v="14"/>
    <n v="3362633"/>
  </r>
  <r>
    <x v="20"/>
    <s v="BEN"/>
    <x v="15"/>
    <n v="3445407"/>
  </r>
  <r>
    <x v="20"/>
    <s v="BEN"/>
    <x v="16"/>
    <n v="3532196"/>
  </r>
  <r>
    <x v="20"/>
    <s v="BEN"/>
    <x v="17"/>
    <n v="3623202"/>
  </r>
  <r>
    <x v="20"/>
    <s v="BEN"/>
    <x v="18"/>
    <n v="3718305"/>
  </r>
  <r>
    <x v="20"/>
    <s v="BEN"/>
    <x v="19"/>
    <n v="3818528"/>
  </r>
  <r>
    <x v="20"/>
    <s v="BEN"/>
    <x v="20"/>
    <n v="3925251"/>
  </r>
  <r>
    <x v="20"/>
    <s v="BEN"/>
    <x v="21"/>
    <n v="4038307"/>
  </r>
  <r>
    <x v="20"/>
    <s v="BEN"/>
    <x v="22"/>
    <n v="4156596"/>
  </r>
  <r>
    <x v="20"/>
    <s v="BEN"/>
    <x v="23"/>
    <n v="4278978"/>
  </r>
  <r>
    <x v="20"/>
    <s v="BEN"/>
    <x v="24"/>
    <n v="4405895"/>
  </r>
  <r>
    <x v="20"/>
    <s v="BEN"/>
    <x v="25"/>
    <n v="4538012"/>
  </r>
  <r>
    <x v="20"/>
    <s v="BEN"/>
    <x v="26"/>
    <n v="4675420"/>
  </r>
  <r>
    <x v="20"/>
    <s v="BEN"/>
    <x v="27"/>
    <n v="4818486"/>
  </r>
  <r>
    <x v="20"/>
    <s v="BEN"/>
    <x v="28"/>
    <n v="4967341"/>
  </r>
  <r>
    <x v="20"/>
    <s v="BEN"/>
    <x v="29"/>
    <n v="5121657"/>
  </r>
  <r>
    <x v="20"/>
    <s v="BEN"/>
    <x v="30"/>
    <n v="5281479"/>
  </r>
  <r>
    <x v="20"/>
    <s v="BEN"/>
    <x v="31"/>
    <n v="5446932"/>
  </r>
  <r>
    <x v="20"/>
    <s v="BEN"/>
    <x v="32"/>
    <n v="5617844"/>
  </r>
  <r>
    <x v="20"/>
    <s v="BEN"/>
    <x v="33"/>
    <n v="5872706"/>
  </r>
  <r>
    <x v="20"/>
    <s v="BEN"/>
    <x v="34"/>
    <n v="6096506"/>
  </r>
  <r>
    <x v="20"/>
    <s v="BEN"/>
    <x v="35"/>
    <n v="6226773"/>
  </r>
  <r>
    <x v="20"/>
    <s v="BEN"/>
    <x v="36"/>
    <n v="6391858"/>
  </r>
  <r>
    <x v="20"/>
    <s v="BEN"/>
    <x v="37"/>
    <n v="6583365"/>
  </r>
  <r>
    <x v="20"/>
    <s v="BEN"/>
    <x v="38"/>
    <n v="6789489"/>
  </r>
  <r>
    <x v="20"/>
    <s v="BEN"/>
    <x v="39"/>
    <n v="7002818"/>
  </r>
  <r>
    <x v="20"/>
    <s v="BEN"/>
    <x v="40"/>
    <n v="7221619"/>
  </r>
  <r>
    <x v="20"/>
    <s v="BEN"/>
    <x v="41"/>
    <n v="7445596"/>
  </r>
  <r>
    <x v="20"/>
    <s v="BEN"/>
    <x v="42"/>
    <n v="7675426"/>
  </r>
  <r>
    <x v="20"/>
    <s v="BEN"/>
    <x v="43"/>
    <n v="7913070"/>
  </r>
  <r>
    <x v="20"/>
    <s v="BEN"/>
    <x v="44"/>
    <n v="8159094"/>
  </r>
  <r>
    <x v="20"/>
    <s v="BEN"/>
    <x v="45"/>
    <n v="8426144"/>
  </r>
  <r>
    <x v="20"/>
    <s v="BEN"/>
    <x v="46"/>
    <n v="8693242"/>
  </r>
  <r>
    <x v="20"/>
    <s v="BEN"/>
    <x v="47"/>
    <n v="8953969"/>
  </r>
  <r>
    <x v="20"/>
    <s v="BEN"/>
    <x v="48"/>
    <n v="9228466"/>
  </r>
  <r>
    <x v="20"/>
    <s v="BEN"/>
    <x v="49"/>
    <n v="9509423"/>
  </r>
  <r>
    <x v="20"/>
    <s v="BEN"/>
    <x v="50"/>
    <n v="9797484"/>
  </r>
  <r>
    <x v="20"/>
    <s v="BEN"/>
    <x v="51"/>
    <n v="10093623"/>
  </r>
  <r>
    <x v="20"/>
    <s v="BEN"/>
    <x v="52"/>
    <n v="10397657"/>
  </r>
  <r>
    <x v="20"/>
    <s v="BEN"/>
    <x v="53"/>
    <n v="10708834"/>
  </r>
  <r>
    <x v="20"/>
    <s v="BEN"/>
    <x v="54"/>
    <n v="11030004"/>
  </r>
  <r>
    <x v="20"/>
    <s v="BEN"/>
    <x v="55"/>
    <n v="11360681"/>
  </r>
  <r>
    <x v="20"/>
    <s v="BEN"/>
    <x v="56"/>
    <n v="11697842"/>
  </r>
  <r>
    <x v="20"/>
    <s v="BEN"/>
    <x v="57"/>
    <n v="12039780"/>
  </r>
  <r>
    <x v="20"/>
    <s v="BEN"/>
    <x v="58"/>
    <n v="12383347"/>
  </r>
  <r>
    <x v="20"/>
    <s v="BEN"/>
    <x v="59"/>
    <n v="12726755"/>
  </r>
  <r>
    <x v="20"/>
    <s v="BEN"/>
    <x v="60"/>
    <n v="13070169"/>
  </r>
  <r>
    <x v="20"/>
    <s v="BEN"/>
    <x v="61"/>
    <n v="13413417"/>
  </r>
  <r>
    <x v="20"/>
    <s v="BEN"/>
    <x v="62"/>
    <n v="13759501"/>
  </r>
  <r>
    <x v="20"/>
    <s v="BEN"/>
    <x v="63"/>
    <n v="14111034"/>
  </r>
  <r>
    <x v="20"/>
    <s v="BEN"/>
    <x v="64"/>
    <n v="14462724"/>
  </r>
  <r>
    <x v="21"/>
    <s v="BMU"/>
    <x v="0"/>
    <n v="42208"/>
  </r>
  <r>
    <x v="21"/>
    <s v="BMU"/>
    <x v="1"/>
    <n v="43123"/>
  </r>
  <r>
    <x v="21"/>
    <s v="BMU"/>
    <x v="2"/>
    <n v="44239"/>
  </r>
  <r>
    <x v="21"/>
    <s v="BMU"/>
    <x v="3"/>
    <n v="45340"/>
  </r>
  <r>
    <x v="21"/>
    <s v="BMU"/>
    <x v="4"/>
    <n v="46410"/>
  </r>
  <r>
    <x v="21"/>
    <s v="BMU"/>
    <x v="5"/>
    <n v="47461"/>
  </r>
  <r>
    <x v="21"/>
    <s v="BMU"/>
    <x v="6"/>
    <n v="48534"/>
  </r>
  <r>
    <x v="21"/>
    <s v="BMU"/>
    <x v="7"/>
    <n v="49514"/>
  </r>
  <r>
    <x v="21"/>
    <s v="BMU"/>
    <x v="8"/>
    <n v="50404"/>
  </r>
  <r>
    <x v="21"/>
    <s v="BMU"/>
    <x v="9"/>
    <n v="51306"/>
  </r>
  <r>
    <x v="21"/>
    <s v="BMU"/>
    <x v="10"/>
    <n v="52124"/>
  </r>
  <r>
    <x v="21"/>
    <s v="BMU"/>
    <x v="11"/>
    <n v="52607"/>
  </r>
  <r>
    <x v="21"/>
    <s v="BMU"/>
    <x v="12"/>
    <n v="52803"/>
  </r>
  <r>
    <x v="21"/>
    <s v="BMU"/>
    <x v="13"/>
    <n v="52946"/>
  </r>
  <r>
    <x v="21"/>
    <s v="BMU"/>
    <x v="14"/>
    <n v="53056"/>
  </r>
  <r>
    <x v="21"/>
    <s v="BMU"/>
    <x v="15"/>
    <n v="53129"/>
  </r>
  <r>
    <x v="21"/>
    <s v="BMU"/>
    <x v="16"/>
    <n v="53210"/>
  </r>
  <r>
    <x v="21"/>
    <s v="BMU"/>
    <x v="17"/>
    <n v="53322"/>
  </r>
  <r>
    <x v="21"/>
    <s v="BMU"/>
    <x v="18"/>
    <n v="53431"/>
  </r>
  <r>
    <x v="21"/>
    <s v="BMU"/>
    <x v="19"/>
    <n v="53517"/>
  </r>
  <r>
    <x v="21"/>
    <s v="BMU"/>
    <x v="20"/>
    <n v="53673"/>
  </r>
  <r>
    <x v="21"/>
    <s v="BMU"/>
    <x v="21"/>
    <n v="53997"/>
  </r>
  <r>
    <x v="21"/>
    <s v="BMU"/>
    <x v="22"/>
    <n v="54387"/>
  </r>
  <r>
    <x v="21"/>
    <s v="BMU"/>
    <x v="23"/>
    <n v="54777"/>
  </r>
  <r>
    <x v="21"/>
    <s v="BMU"/>
    <x v="24"/>
    <n v="55169"/>
  </r>
  <r>
    <x v="21"/>
    <s v="BMU"/>
    <x v="25"/>
    <n v="55547"/>
  </r>
  <r>
    <x v="21"/>
    <s v="BMU"/>
    <x v="26"/>
    <n v="55889"/>
  </r>
  <r>
    <x v="21"/>
    <s v="BMU"/>
    <x v="27"/>
    <n v="56265"/>
  </r>
  <r>
    <x v="21"/>
    <s v="BMU"/>
    <x v="28"/>
    <n v="56699"/>
  </r>
  <r>
    <x v="21"/>
    <s v="BMU"/>
    <x v="29"/>
    <n v="57129"/>
  </r>
  <r>
    <x v="21"/>
    <s v="BMU"/>
    <x v="30"/>
    <n v="57559"/>
  </r>
  <r>
    <x v="21"/>
    <s v="BMU"/>
    <x v="31"/>
    <n v="57984"/>
  </r>
  <r>
    <x v="21"/>
    <s v="BMU"/>
    <x v="32"/>
    <n v="58407"/>
  </r>
  <r>
    <x v="21"/>
    <s v="BMU"/>
    <x v="33"/>
    <n v="58816"/>
  </r>
  <r>
    <x v="21"/>
    <s v="BMU"/>
    <x v="34"/>
    <n v="59194"/>
  </r>
  <r>
    <x v="21"/>
    <s v="BMU"/>
    <x v="35"/>
    <n v="59526"/>
  </r>
  <r>
    <x v="21"/>
    <s v="BMU"/>
    <x v="36"/>
    <n v="59813"/>
  </r>
  <r>
    <x v="21"/>
    <s v="BMU"/>
    <x v="37"/>
    <n v="60177"/>
  </r>
  <r>
    <x v="21"/>
    <s v="BMU"/>
    <x v="38"/>
    <n v="60639"/>
  </r>
  <r>
    <x v="21"/>
    <s v="BMU"/>
    <x v="39"/>
    <n v="61124"/>
  </r>
  <r>
    <x v="21"/>
    <s v="BMU"/>
    <x v="40"/>
    <n v="61550"/>
  </r>
  <r>
    <x v="21"/>
    <s v="BMU"/>
    <x v="41"/>
    <n v="61867"/>
  </r>
  <r>
    <x v="21"/>
    <s v="BMU"/>
    <x v="42"/>
    <n v="62142"/>
  </r>
  <r>
    <x v="21"/>
    <s v="BMU"/>
    <x v="43"/>
    <n v="62386"/>
  </r>
  <r>
    <x v="21"/>
    <s v="BMU"/>
    <x v="44"/>
    <n v="62555"/>
  </r>
  <r>
    <x v="21"/>
    <s v="BMU"/>
    <x v="45"/>
    <n v="62711"/>
  </r>
  <r>
    <x v="21"/>
    <s v="BMU"/>
    <x v="46"/>
    <n v="62834"/>
  </r>
  <r>
    <x v="21"/>
    <s v="BMU"/>
    <x v="47"/>
    <n v="63010"/>
  </r>
  <r>
    <x v="21"/>
    <s v="BMU"/>
    <x v="48"/>
    <n v="63300"/>
  </r>
  <r>
    <x v="21"/>
    <s v="BMU"/>
    <x v="49"/>
    <n v="63565"/>
  </r>
  <r>
    <x v="21"/>
    <s v="BMU"/>
    <x v="50"/>
    <n v="63725"/>
  </r>
  <r>
    <x v="21"/>
    <s v="BMU"/>
    <x v="51"/>
    <n v="63733"/>
  </r>
  <r>
    <x v="21"/>
    <s v="BMU"/>
    <x v="52"/>
    <n v="63646"/>
  </r>
  <r>
    <x v="21"/>
    <s v="BMU"/>
    <x v="53"/>
    <n v="63574"/>
  </r>
  <r>
    <x v="21"/>
    <s v="BMU"/>
    <x v="54"/>
    <n v="63529"/>
  </r>
  <r>
    <x v="21"/>
    <s v="BMU"/>
    <x v="55"/>
    <n v="63464"/>
  </r>
  <r>
    <x v="21"/>
    <s v="BMU"/>
    <x v="56"/>
    <n v="63449"/>
  </r>
  <r>
    <x v="21"/>
    <s v="BMU"/>
    <x v="57"/>
    <n v="63578"/>
  </r>
  <r>
    <x v="21"/>
    <s v="BMU"/>
    <x v="58"/>
    <n v="63831"/>
  </r>
  <r>
    <x v="21"/>
    <s v="BMU"/>
    <x v="59"/>
    <n v="64107"/>
  </r>
  <r>
    <x v="21"/>
    <s v="BMU"/>
    <x v="60"/>
    <n v="64382"/>
  </r>
  <r>
    <x v="21"/>
    <s v="BMU"/>
    <x v="61"/>
    <n v="64648"/>
  </r>
  <r>
    <x v="21"/>
    <s v="BMU"/>
    <x v="62"/>
    <n v="64749"/>
  </r>
  <r>
    <x v="21"/>
    <s v="BMU"/>
    <x v="63"/>
    <n v="64698"/>
  </r>
  <r>
    <x v="21"/>
    <s v="BMU"/>
    <x v="64"/>
    <n v="64636"/>
  </r>
  <r>
    <x v="22"/>
    <s v="BTN"/>
    <x v="0"/>
    <n v="224084"/>
  </r>
  <r>
    <x v="22"/>
    <s v="BTN"/>
    <x v="1"/>
    <n v="230602"/>
  </r>
  <r>
    <x v="22"/>
    <s v="BTN"/>
    <x v="2"/>
    <n v="237636"/>
  </r>
  <r>
    <x v="22"/>
    <s v="BTN"/>
    <x v="3"/>
    <n v="245156"/>
  </r>
  <r>
    <x v="22"/>
    <s v="BTN"/>
    <x v="4"/>
    <n v="252987"/>
  </r>
  <r>
    <x v="22"/>
    <s v="BTN"/>
    <x v="5"/>
    <n v="261200"/>
  </r>
  <r>
    <x v="22"/>
    <s v="BTN"/>
    <x v="6"/>
    <n v="269820"/>
  </r>
  <r>
    <x v="22"/>
    <s v="BTN"/>
    <x v="7"/>
    <n v="278852"/>
  </r>
  <r>
    <x v="22"/>
    <s v="BTN"/>
    <x v="8"/>
    <n v="288311"/>
  </r>
  <r>
    <x v="22"/>
    <s v="BTN"/>
    <x v="9"/>
    <n v="298214"/>
  </r>
  <r>
    <x v="22"/>
    <s v="BTN"/>
    <x v="10"/>
    <n v="308528"/>
  </r>
  <r>
    <x v="22"/>
    <s v="BTN"/>
    <x v="11"/>
    <n v="319211"/>
  </r>
  <r>
    <x v="22"/>
    <s v="BTN"/>
    <x v="12"/>
    <n v="330264"/>
  </r>
  <r>
    <x v="22"/>
    <s v="BTN"/>
    <x v="13"/>
    <n v="341705"/>
  </r>
  <r>
    <x v="22"/>
    <s v="BTN"/>
    <x v="14"/>
    <n v="353538"/>
  </r>
  <r>
    <x v="22"/>
    <s v="BTN"/>
    <x v="15"/>
    <n v="365791"/>
  </r>
  <r>
    <x v="22"/>
    <s v="BTN"/>
    <x v="16"/>
    <n v="378490"/>
  </r>
  <r>
    <x v="22"/>
    <s v="BTN"/>
    <x v="17"/>
    <n v="391639"/>
  </r>
  <r>
    <x v="22"/>
    <s v="BTN"/>
    <x v="18"/>
    <n v="405243"/>
  </r>
  <r>
    <x v="22"/>
    <s v="BTN"/>
    <x v="19"/>
    <n v="419200"/>
  </r>
  <r>
    <x v="22"/>
    <s v="BTN"/>
    <x v="20"/>
    <n v="433404"/>
  </r>
  <r>
    <x v="22"/>
    <s v="BTN"/>
    <x v="21"/>
    <n v="447836"/>
  </r>
  <r>
    <x v="22"/>
    <s v="BTN"/>
    <x v="22"/>
    <n v="462485"/>
  </r>
  <r>
    <x v="22"/>
    <s v="BTN"/>
    <x v="23"/>
    <n v="477460"/>
  </r>
  <r>
    <x v="22"/>
    <s v="BTN"/>
    <x v="24"/>
    <n v="492784"/>
  </r>
  <r>
    <x v="22"/>
    <s v="BTN"/>
    <x v="25"/>
    <n v="508392"/>
  </r>
  <r>
    <x v="22"/>
    <s v="BTN"/>
    <x v="26"/>
    <n v="524324"/>
  </r>
  <r>
    <x v="22"/>
    <s v="BTN"/>
    <x v="27"/>
    <n v="540557"/>
  </r>
  <r>
    <x v="22"/>
    <s v="BTN"/>
    <x v="28"/>
    <n v="556986"/>
  </r>
  <r>
    <x v="22"/>
    <s v="BTN"/>
    <x v="29"/>
    <n v="573586"/>
  </r>
  <r>
    <x v="22"/>
    <s v="BTN"/>
    <x v="30"/>
    <n v="589287"/>
  </r>
  <r>
    <x v="22"/>
    <s v="BTN"/>
    <x v="31"/>
    <n v="599784"/>
  </r>
  <r>
    <x v="22"/>
    <s v="BTN"/>
    <x v="32"/>
    <n v="577774"/>
  </r>
  <r>
    <x v="22"/>
    <s v="BTN"/>
    <x v="33"/>
    <n v="554673"/>
  </r>
  <r>
    <x v="22"/>
    <s v="BTN"/>
    <x v="34"/>
    <n v="554497"/>
  </r>
  <r>
    <x v="22"/>
    <s v="BTN"/>
    <x v="35"/>
    <n v="547989"/>
  </r>
  <r>
    <x v="22"/>
    <s v="BTN"/>
    <x v="36"/>
    <n v="548784"/>
  </r>
  <r>
    <x v="22"/>
    <s v="BTN"/>
    <x v="37"/>
    <n v="558697"/>
  </r>
  <r>
    <x v="22"/>
    <s v="BTN"/>
    <x v="38"/>
    <n v="569435"/>
  </r>
  <r>
    <x v="22"/>
    <s v="BTN"/>
    <x v="39"/>
    <n v="582579"/>
  </r>
  <r>
    <x v="22"/>
    <s v="BTN"/>
    <x v="40"/>
    <n v="596863"/>
  </r>
  <r>
    <x v="22"/>
    <s v="BTN"/>
    <x v="41"/>
    <n v="610794"/>
  </r>
  <r>
    <x v="22"/>
    <s v="BTN"/>
    <x v="42"/>
    <n v="624409"/>
  </r>
  <r>
    <x v="22"/>
    <s v="BTN"/>
    <x v="43"/>
    <n v="637663"/>
  </r>
  <r>
    <x v="22"/>
    <s v="BTN"/>
    <x v="44"/>
    <n v="650544"/>
  </r>
  <r>
    <x v="22"/>
    <s v="BTN"/>
    <x v="45"/>
    <n v="661865"/>
  </r>
  <r>
    <x v="22"/>
    <s v="BTN"/>
    <x v="46"/>
    <n v="670799"/>
  </r>
  <r>
    <x v="22"/>
    <s v="BTN"/>
    <x v="47"/>
    <n v="678641"/>
  </r>
  <r>
    <x v="22"/>
    <s v="BTN"/>
    <x v="48"/>
    <n v="686351"/>
  </r>
  <r>
    <x v="22"/>
    <s v="BTN"/>
    <x v="49"/>
    <n v="693988"/>
  </r>
  <r>
    <x v="22"/>
    <s v="BTN"/>
    <x v="50"/>
    <n v="701632"/>
  </r>
  <r>
    <x v="22"/>
    <s v="BTN"/>
    <x v="51"/>
    <n v="709377"/>
  </r>
  <r>
    <x v="22"/>
    <s v="BTN"/>
    <x v="52"/>
    <n v="717279"/>
  </r>
  <r>
    <x v="22"/>
    <s v="BTN"/>
    <x v="53"/>
    <n v="725273"/>
  </r>
  <r>
    <x v="22"/>
    <s v="BTN"/>
    <x v="54"/>
    <n v="733139"/>
  </r>
  <r>
    <x v="22"/>
    <s v="BTN"/>
    <x v="55"/>
    <n v="740618"/>
  </r>
  <r>
    <x v="22"/>
    <s v="BTN"/>
    <x v="56"/>
    <n v="747866"/>
  </r>
  <r>
    <x v="22"/>
    <s v="BTN"/>
    <x v="57"/>
    <n v="754335"/>
  </r>
  <r>
    <x v="22"/>
    <s v="BTN"/>
    <x v="58"/>
    <n v="759759"/>
  </r>
  <r>
    <x v="22"/>
    <s v="BTN"/>
    <x v="59"/>
    <n v="764824"/>
  </r>
  <r>
    <x v="22"/>
    <s v="BTN"/>
    <x v="60"/>
    <n v="770006"/>
  </r>
  <r>
    <x v="22"/>
    <s v="BTN"/>
    <x v="61"/>
    <n v="775442"/>
  </r>
  <r>
    <x v="22"/>
    <s v="BTN"/>
    <x v="62"/>
    <n v="780914"/>
  </r>
  <r>
    <x v="22"/>
    <s v="BTN"/>
    <x v="63"/>
    <n v="786385"/>
  </r>
  <r>
    <x v="22"/>
    <s v="BTN"/>
    <x v="64"/>
    <n v="791524"/>
  </r>
  <r>
    <x v="23"/>
    <s v="BOL"/>
    <x v="0"/>
    <n v="3702323"/>
  </r>
  <r>
    <x v="23"/>
    <s v="BOL"/>
    <x v="1"/>
    <n v="3778731"/>
  </r>
  <r>
    <x v="23"/>
    <s v="BOL"/>
    <x v="2"/>
    <n v="3857493"/>
  </r>
  <r>
    <x v="23"/>
    <s v="BOL"/>
    <x v="3"/>
    <n v="3938913"/>
  </r>
  <r>
    <x v="23"/>
    <s v="BOL"/>
    <x v="4"/>
    <n v="4022996"/>
  </r>
  <r>
    <x v="23"/>
    <s v="BOL"/>
    <x v="5"/>
    <n v="4109796"/>
  </r>
  <r>
    <x v="23"/>
    <s v="BOL"/>
    <x v="6"/>
    <n v="4199550"/>
  </r>
  <r>
    <x v="23"/>
    <s v="BOL"/>
    <x v="7"/>
    <n v="4292572"/>
  </r>
  <r>
    <x v="23"/>
    <s v="BOL"/>
    <x v="8"/>
    <n v="4388944"/>
  </r>
  <r>
    <x v="23"/>
    <s v="BOL"/>
    <x v="9"/>
    <n v="4488232"/>
  </r>
  <r>
    <x v="23"/>
    <s v="BOL"/>
    <x v="10"/>
    <n v="4590010"/>
  </r>
  <r>
    <x v="23"/>
    <s v="BOL"/>
    <x v="11"/>
    <n v="4694342"/>
  </r>
  <r>
    <x v="23"/>
    <s v="BOL"/>
    <x v="12"/>
    <n v="4800978"/>
  </r>
  <r>
    <x v="23"/>
    <s v="BOL"/>
    <x v="13"/>
    <n v="4910200"/>
  </r>
  <r>
    <x v="23"/>
    <s v="BOL"/>
    <x v="14"/>
    <n v="5022475"/>
  </r>
  <r>
    <x v="23"/>
    <s v="BOL"/>
    <x v="15"/>
    <n v="5137539"/>
  </r>
  <r>
    <x v="23"/>
    <s v="BOL"/>
    <x v="16"/>
    <n v="5256496"/>
  </r>
  <r>
    <x v="23"/>
    <s v="BOL"/>
    <x v="17"/>
    <n v="5379166"/>
  </r>
  <r>
    <x v="23"/>
    <s v="BOL"/>
    <x v="18"/>
    <n v="5504123"/>
  </r>
  <r>
    <x v="23"/>
    <s v="BOL"/>
    <x v="19"/>
    <n v="5630849"/>
  </r>
  <r>
    <x v="23"/>
    <s v="BOL"/>
    <x v="20"/>
    <n v="5758900"/>
  </r>
  <r>
    <x v="23"/>
    <s v="BOL"/>
    <x v="21"/>
    <n v="5888109"/>
  </r>
  <r>
    <x v="23"/>
    <s v="BOL"/>
    <x v="22"/>
    <n v="6018088"/>
  </r>
  <r>
    <x v="23"/>
    <s v="BOL"/>
    <x v="23"/>
    <n v="6149060"/>
  </r>
  <r>
    <x v="23"/>
    <s v="BOL"/>
    <x v="24"/>
    <n v="6281868"/>
  </r>
  <r>
    <x v="23"/>
    <s v="BOL"/>
    <x v="25"/>
    <n v="6416185"/>
  </r>
  <r>
    <x v="23"/>
    <s v="BOL"/>
    <x v="26"/>
    <n v="6552479"/>
  </r>
  <r>
    <x v="23"/>
    <s v="BOL"/>
    <x v="27"/>
    <n v="6692162"/>
  </r>
  <r>
    <x v="23"/>
    <s v="BOL"/>
    <x v="28"/>
    <n v="6835508"/>
  </r>
  <r>
    <x v="23"/>
    <s v="BOL"/>
    <x v="29"/>
    <n v="6981766"/>
  </r>
  <r>
    <x v="23"/>
    <s v="BOL"/>
    <x v="30"/>
    <n v="7130142"/>
  </r>
  <r>
    <x v="23"/>
    <s v="BOL"/>
    <x v="31"/>
    <n v="7280289"/>
  </r>
  <r>
    <x v="23"/>
    <s v="BOL"/>
    <x v="32"/>
    <n v="7430336"/>
  </r>
  <r>
    <x v="23"/>
    <s v="BOL"/>
    <x v="33"/>
    <n v="7579195"/>
  </r>
  <r>
    <x v="23"/>
    <s v="BOL"/>
    <x v="34"/>
    <n v="7727322"/>
  </r>
  <r>
    <x v="23"/>
    <s v="BOL"/>
    <x v="35"/>
    <n v="7874676"/>
  </r>
  <r>
    <x v="23"/>
    <s v="BOL"/>
    <x v="36"/>
    <n v="8021736"/>
  </r>
  <r>
    <x v="23"/>
    <s v="BOL"/>
    <x v="37"/>
    <n v="8167900"/>
  </r>
  <r>
    <x v="23"/>
    <s v="BOL"/>
    <x v="38"/>
    <n v="8313394"/>
  </r>
  <r>
    <x v="23"/>
    <s v="BOL"/>
    <x v="39"/>
    <n v="8459806"/>
  </r>
  <r>
    <x v="23"/>
    <s v="BOL"/>
    <x v="40"/>
    <n v="8606326"/>
  </r>
  <r>
    <x v="23"/>
    <s v="BOL"/>
    <x v="41"/>
    <n v="8752736"/>
  </r>
  <r>
    <x v="23"/>
    <s v="BOL"/>
    <x v="42"/>
    <n v="8900355"/>
  </r>
  <r>
    <x v="23"/>
    <s v="BOL"/>
    <x v="43"/>
    <n v="9050700"/>
  </r>
  <r>
    <x v="23"/>
    <s v="BOL"/>
    <x v="44"/>
    <n v="9204287"/>
  </r>
  <r>
    <x v="23"/>
    <s v="BOL"/>
    <x v="45"/>
    <n v="9360754"/>
  </r>
  <r>
    <x v="23"/>
    <s v="BOL"/>
    <x v="46"/>
    <n v="9521689"/>
  </r>
  <r>
    <x v="23"/>
    <s v="BOL"/>
    <x v="47"/>
    <n v="9685960"/>
  </r>
  <r>
    <x v="23"/>
    <s v="BOL"/>
    <x v="48"/>
    <n v="9850858"/>
  </r>
  <r>
    <x v="23"/>
    <s v="BOL"/>
    <x v="49"/>
    <n v="10016275"/>
  </r>
  <r>
    <x v="23"/>
    <s v="BOL"/>
    <x v="50"/>
    <n v="10182345"/>
  </r>
  <r>
    <x v="23"/>
    <s v="BOL"/>
    <x v="51"/>
    <n v="10348929"/>
  </r>
  <r>
    <x v="23"/>
    <s v="BOL"/>
    <x v="52"/>
    <n v="10515807"/>
  </r>
  <r>
    <x v="23"/>
    <s v="BOL"/>
    <x v="53"/>
    <n v="10682608"/>
  </r>
  <r>
    <x v="23"/>
    <s v="BOL"/>
    <x v="54"/>
    <n v="10848888"/>
  </r>
  <r>
    <x v="23"/>
    <s v="BOL"/>
    <x v="55"/>
    <n v="11014705"/>
  </r>
  <r>
    <x v="23"/>
    <s v="BOL"/>
    <x v="56"/>
    <n v="11180020"/>
  </r>
  <r>
    <x v="23"/>
    <s v="BOL"/>
    <x v="57"/>
    <n v="11344587"/>
  </r>
  <r>
    <x v="23"/>
    <s v="BOL"/>
    <x v="58"/>
    <n v="11508368"/>
  </r>
  <r>
    <x v="23"/>
    <s v="BOL"/>
    <x v="59"/>
    <n v="11671386"/>
  </r>
  <r>
    <x v="23"/>
    <s v="BOL"/>
    <x v="60"/>
    <n v="11816299"/>
  </r>
  <r>
    <x v="23"/>
    <s v="BOL"/>
    <x v="61"/>
    <n v="11937360"/>
  </r>
  <r>
    <x v="23"/>
    <s v="BOL"/>
    <x v="62"/>
    <n v="12077154"/>
  </r>
  <r>
    <x v="23"/>
    <s v="BOL"/>
    <x v="63"/>
    <n v="12244159"/>
  </r>
  <r>
    <x v="23"/>
    <s v="BOL"/>
    <x v="64"/>
    <n v="12413315"/>
  </r>
  <r>
    <x v="24"/>
    <s v="BIH"/>
    <x v="0"/>
    <n v="3281381"/>
  </r>
  <r>
    <x v="24"/>
    <s v="BIH"/>
    <x v="1"/>
    <n v="3348035"/>
  </r>
  <r>
    <x v="24"/>
    <s v="BIH"/>
    <x v="2"/>
    <n v="3407532"/>
  </r>
  <r>
    <x v="24"/>
    <s v="BIH"/>
    <x v="3"/>
    <n v="3461942"/>
  </r>
  <r>
    <x v="24"/>
    <s v="BIH"/>
    <x v="4"/>
    <n v="3513441"/>
  </r>
  <r>
    <x v="24"/>
    <s v="BIH"/>
    <x v="5"/>
    <n v="3562834"/>
  </r>
  <r>
    <x v="24"/>
    <s v="BIH"/>
    <x v="6"/>
    <n v="3610562"/>
  </r>
  <r>
    <x v="24"/>
    <s v="BIH"/>
    <x v="7"/>
    <n v="3656223"/>
  </r>
  <r>
    <x v="24"/>
    <s v="BIH"/>
    <x v="8"/>
    <n v="3698794"/>
  </r>
  <r>
    <x v="24"/>
    <s v="BIH"/>
    <x v="9"/>
    <n v="3737765"/>
  </r>
  <r>
    <x v="24"/>
    <s v="BIH"/>
    <x v="10"/>
    <n v="3773247"/>
  </r>
  <r>
    <x v="24"/>
    <s v="BIH"/>
    <x v="11"/>
    <n v="3809376"/>
  </r>
  <r>
    <x v="24"/>
    <s v="BIH"/>
    <x v="12"/>
    <n v="3848271"/>
  </r>
  <r>
    <x v="24"/>
    <s v="BIH"/>
    <x v="13"/>
    <n v="3887376"/>
  </r>
  <r>
    <x v="24"/>
    <s v="BIH"/>
    <x v="14"/>
    <n v="3926472"/>
  </r>
  <r>
    <x v="24"/>
    <s v="BIH"/>
    <x v="15"/>
    <n v="3965743"/>
  </r>
  <r>
    <x v="24"/>
    <s v="BIH"/>
    <x v="16"/>
    <n v="4004552"/>
  </r>
  <r>
    <x v="24"/>
    <s v="BIH"/>
    <x v="17"/>
    <n v="4042124"/>
  </r>
  <r>
    <x v="24"/>
    <s v="BIH"/>
    <x v="18"/>
    <n v="4078240"/>
  </r>
  <r>
    <x v="24"/>
    <s v="BIH"/>
    <x v="19"/>
    <n v="4113300"/>
  </r>
  <r>
    <x v="24"/>
    <s v="BIH"/>
    <x v="20"/>
    <n v="4148426"/>
  </r>
  <r>
    <x v="24"/>
    <s v="BIH"/>
    <x v="21"/>
    <n v="4184217"/>
  </r>
  <r>
    <x v="24"/>
    <s v="BIH"/>
    <x v="22"/>
    <n v="4221100"/>
  </r>
  <r>
    <x v="24"/>
    <s v="BIH"/>
    <x v="23"/>
    <n v="4258728"/>
  </r>
  <r>
    <x v="24"/>
    <s v="BIH"/>
    <x v="24"/>
    <n v="4295536"/>
  </r>
  <r>
    <x v="24"/>
    <s v="BIH"/>
    <x v="25"/>
    <n v="4330364"/>
  </r>
  <r>
    <x v="24"/>
    <s v="BIH"/>
    <x v="26"/>
    <n v="4362115"/>
  </r>
  <r>
    <x v="24"/>
    <s v="BIH"/>
    <x v="27"/>
    <n v="4390246"/>
  </r>
  <r>
    <x v="24"/>
    <s v="BIH"/>
    <x v="28"/>
    <n v="4414404"/>
  </r>
  <r>
    <x v="24"/>
    <s v="BIH"/>
    <x v="29"/>
    <n v="4433983"/>
  </r>
  <r>
    <x v="24"/>
    <s v="BIH"/>
    <x v="30"/>
    <n v="4448652"/>
  </r>
  <r>
    <x v="24"/>
    <s v="BIH"/>
    <x v="31"/>
    <n v="4458343"/>
  </r>
  <r>
    <x v="24"/>
    <s v="BIH"/>
    <x v="32"/>
    <n v="4234616"/>
  </r>
  <r>
    <x v="24"/>
    <s v="BIH"/>
    <x v="33"/>
    <n v="3904482"/>
  </r>
  <r>
    <x v="24"/>
    <s v="BIH"/>
    <x v="34"/>
    <n v="3725412"/>
  </r>
  <r>
    <x v="24"/>
    <s v="BIH"/>
    <x v="35"/>
    <n v="3715564"/>
  </r>
  <r>
    <x v="24"/>
    <s v="BIH"/>
    <x v="36"/>
    <n v="3875246"/>
  </r>
  <r>
    <x v="24"/>
    <s v="BIH"/>
    <x v="37"/>
    <n v="4018227"/>
  </r>
  <r>
    <x v="24"/>
    <s v="BIH"/>
    <x v="38"/>
    <n v="4089356"/>
  </r>
  <r>
    <x v="24"/>
    <s v="BIH"/>
    <x v="39"/>
    <n v="4130305"/>
  </r>
  <r>
    <x v="24"/>
    <s v="BIH"/>
    <x v="40"/>
    <n v="4159771"/>
  </r>
  <r>
    <x v="24"/>
    <s v="BIH"/>
    <x v="41"/>
    <n v="4179438"/>
  </r>
  <r>
    <x v="24"/>
    <s v="BIH"/>
    <x v="42"/>
    <n v="4188002"/>
  </r>
  <r>
    <x v="24"/>
    <s v="BIH"/>
    <x v="43"/>
    <n v="4178523"/>
  </r>
  <r>
    <x v="24"/>
    <s v="BIH"/>
    <x v="44"/>
    <n v="4140987"/>
  </r>
  <r>
    <x v="24"/>
    <s v="BIH"/>
    <x v="45"/>
    <n v="4096493"/>
  </r>
  <r>
    <x v="24"/>
    <s v="BIH"/>
    <x v="46"/>
    <n v="4063272"/>
  </r>
  <r>
    <x v="24"/>
    <s v="BIH"/>
    <x v="47"/>
    <n v="4013424"/>
  </r>
  <r>
    <x v="24"/>
    <s v="BIH"/>
    <x v="48"/>
    <n v="3947544"/>
  </r>
  <r>
    <x v="24"/>
    <s v="BIH"/>
    <x v="49"/>
    <n v="3879794"/>
  </r>
  <r>
    <x v="24"/>
    <s v="BIH"/>
    <x v="50"/>
    <n v="3811472"/>
  </r>
  <r>
    <x v="24"/>
    <s v="BIH"/>
    <x v="51"/>
    <n v="3741798"/>
  </r>
  <r>
    <x v="24"/>
    <s v="BIH"/>
    <x v="52"/>
    <n v="3670113"/>
  </r>
  <r>
    <x v="24"/>
    <s v="BIH"/>
    <x v="53"/>
    <n v="3610859"/>
  </r>
  <r>
    <x v="24"/>
    <s v="BIH"/>
    <x v="54"/>
    <n v="3564829"/>
  </r>
  <r>
    <x v="24"/>
    <s v="BIH"/>
    <x v="55"/>
    <n v="3518541"/>
  </r>
  <r>
    <x v="24"/>
    <s v="BIH"/>
    <x v="56"/>
    <n v="3473003"/>
  </r>
  <r>
    <x v="24"/>
    <s v="BIH"/>
    <x v="57"/>
    <n v="3428682"/>
  </r>
  <r>
    <x v="24"/>
    <s v="BIH"/>
    <x v="58"/>
    <n v="3387000"/>
  </r>
  <r>
    <x v="24"/>
    <s v="BIH"/>
    <x v="59"/>
    <n v="3345533"/>
  </r>
  <r>
    <x v="24"/>
    <s v="BIH"/>
    <x v="60"/>
    <n v="3299349"/>
  </r>
  <r>
    <x v="24"/>
    <s v="BIH"/>
    <x v="61"/>
    <n v="3244907"/>
  </r>
  <r>
    <x v="24"/>
    <s v="BIH"/>
    <x v="62"/>
    <n v="3204802"/>
  </r>
  <r>
    <x v="24"/>
    <s v="BIH"/>
    <x v="63"/>
    <n v="3185073"/>
  </r>
  <r>
    <x v="24"/>
    <s v="BIH"/>
    <x v="64"/>
    <n v="3164253"/>
  </r>
  <r>
    <x v="25"/>
    <s v="BWA"/>
    <x v="0"/>
    <n v="516165"/>
  </r>
  <r>
    <x v="25"/>
    <s v="BWA"/>
    <x v="1"/>
    <n v="527942"/>
  </r>
  <r>
    <x v="25"/>
    <s v="BWA"/>
    <x v="2"/>
    <n v="540186"/>
  </r>
  <r>
    <x v="25"/>
    <s v="BWA"/>
    <x v="3"/>
    <n v="552966"/>
  </r>
  <r>
    <x v="25"/>
    <s v="BWA"/>
    <x v="4"/>
    <n v="566266"/>
  </r>
  <r>
    <x v="25"/>
    <s v="BWA"/>
    <x v="5"/>
    <n v="574664"/>
  </r>
  <r>
    <x v="25"/>
    <s v="BWA"/>
    <x v="6"/>
    <n v="577866"/>
  </r>
  <r>
    <x v="25"/>
    <s v="BWA"/>
    <x v="7"/>
    <n v="580933"/>
  </r>
  <r>
    <x v="25"/>
    <s v="BWA"/>
    <x v="8"/>
    <n v="583966"/>
  </r>
  <r>
    <x v="25"/>
    <s v="BWA"/>
    <x v="9"/>
    <n v="587066"/>
  </r>
  <r>
    <x v="25"/>
    <s v="BWA"/>
    <x v="10"/>
    <n v="590334"/>
  </r>
  <r>
    <x v="25"/>
    <s v="BWA"/>
    <x v="11"/>
    <n v="600481"/>
  </r>
  <r>
    <x v="25"/>
    <s v="BWA"/>
    <x v="12"/>
    <n v="622407"/>
  </r>
  <r>
    <x v="25"/>
    <s v="BWA"/>
    <x v="13"/>
    <n v="652408"/>
  </r>
  <r>
    <x v="25"/>
    <s v="BWA"/>
    <x v="14"/>
    <n v="685448"/>
  </r>
  <r>
    <x v="25"/>
    <s v="BWA"/>
    <x v="15"/>
    <n v="720380"/>
  </r>
  <r>
    <x v="25"/>
    <s v="BWA"/>
    <x v="16"/>
    <n v="758508"/>
  </r>
  <r>
    <x v="25"/>
    <s v="BWA"/>
    <x v="17"/>
    <n v="799574"/>
  </r>
  <r>
    <x v="25"/>
    <s v="BWA"/>
    <x v="18"/>
    <n v="849239"/>
  </r>
  <r>
    <x v="25"/>
    <s v="BWA"/>
    <x v="19"/>
    <n v="901742"/>
  </r>
  <r>
    <x v="25"/>
    <s v="BWA"/>
    <x v="20"/>
    <n v="937485"/>
  </r>
  <r>
    <x v="25"/>
    <s v="BWA"/>
    <x v="21"/>
    <n v="969996"/>
  </r>
  <r>
    <x v="25"/>
    <s v="BWA"/>
    <x v="22"/>
    <n v="1009269"/>
  </r>
  <r>
    <x v="25"/>
    <s v="BWA"/>
    <x v="23"/>
    <n v="1046137"/>
  </r>
  <r>
    <x v="25"/>
    <s v="BWA"/>
    <x v="24"/>
    <n v="1083660"/>
  </r>
  <r>
    <x v="25"/>
    <s v="BWA"/>
    <x v="25"/>
    <n v="1121945"/>
  </r>
  <r>
    <x v="25"/>
    <s v="BWA"/>
    <x v="26"/>
    <n v="1160650"/>
  </r>
  <r>
    <x v="25"/>
    <s v="BWA"/>
    <x v="27"/>
    <n v="1199167"/>
  </r>
  <r>
    <x v="25"/>
    <s v="BWA"/>
    <x v="28"/>
    <n v="1235476"/>
  </r>
  <r>
    <x v="25"/>
    <s v="BWA"/>
    <x v="29"/>
    <n v="1270274"/>
  </r>
  <r>
    <x v="25"/>
    <s v="BWA"/>
    <x v="30"/>
    <n v="1305696"/>
  </r>
  <r>
    <x v="25"/>
    <s v="BWA"/>
    <x v="31"/>
    <n v="1341756"/>
  </r>
  <r>
    <x v="25"/>
    <s v="BWA"/>
    <x v="32"/>
    <n v="1380033"/>
  </r>
  <r>
    <x v="25"/>
    <s v="BWA"/>
    <x v="33"/>
    <n v="1420115"/>
  </r>
  <r>
    <x v="25"/>
    <s v="BWA"/>
    <x v="34"/>
    <n v="1460023"/>
  </r>
  <r>
    <x v="25"/>
    <s v="BWA"/>
    <x v="35"/>
    <n v="1498836"/>
  </r>
  <r>
    <x v="25"/>
    <s v="BWA"/>
    <x v="36"/>
    <n v="1535914"/>
  </r>
  <r>
    <x v="25"/>
    <s v="BWA"/>
    <x v="37"/>
    <n v="1571691"/>
  </r>
  <r>
    <x v="25"/>
    <s v="BWA"/>
    <x v="38"/>
    <n v="1606899"/>
  </r>
  <r>
    <x v="25"/>
    <s v="BWA"/>
    <x v="39"/>
    <n v="1641997"/>
  </r>
  <r>
    <x v="25"/>
    <s v="BWA"/>
    <x v="40"/>
    <n v="1677382"/>
  </r>
  <r>
    <x v="25"/>
    <s v="BWA"/>
    <x v="41"/>
    <n v="1712254"/>
  </r>
  <r>
    <x v="25"/>
    <s v="BWA"/>
    <x v="42"/>
    <n v="1744763"/>
  </r>
  <r>
    <x v="25"/>
    <s v="BWA"/>
    <x v="43"/>
    <n v="1775736"/>
  </r>
  <r>
    <x v="25"/>
    <s v="BWA"/>
    <x v="44"/>
    <n v="1807146"/>
  </r>
  <r>
    <x v="25"/>
    <s v="BWA"/>
    <x v="45"/>
    <n v="1839877"/>
  </r>
  <r>
    <x v="25"/>
    <s v="BWA"/>
    <x v="46"/>
    <n v="1874516"/>
  </r>
  <r>
    <x v="25"/>
    <s v="BWA"/>
    <x v="47"/>
    <n v="1911201"/>
  </r>
  <r>
    <x v="25"/>
    <s v="BWA"/>
    <x v="48"/>
    <n v="1949970"/>
  </r>
  <r>
    <x v="25"/>
    <s v="BWA"/>
    <x v="49"/>
    <n v="1990673"/>
  </r>
  <r>
    <x v="25"/>
    <s v="BWA"/>
    <x v="50"/>
    <n v="2033111"/>
  </r>
  <r>
    <x v="25"/>
    <s v="BWA"/>
    <x v="51"/>
    <n v="2073535"/>
  </r>
  <r>
    <x v="25"/>
    <s v="BWA"/>
    <x v="52"/>
    <n v="2108617"/>
  </r>
  <r>
    <x v="25"/>
    <s v="BWA"/>
    <x v="53"/>
    <n v="2140682"/>
  </r>
  <r>
    <x v="25"/>
    <s v="BWA"/>
    <x v="54"/>
    <n v="2172044"/>
  </r>
  <r>
    <x v="25"/>
    <s v="BWA"/>
    <x v="55"/>
    <n v="2203273"/>
  </r>
  <r>
    <x v="25"/>
    <s v="BWA"/>
    <x v="56"/>
    <n v="2234776"/>
  </r>
  <r>
    <x v="25"/>
    <s v="BWA"/>
    <x v="57"/>
    <n v="2266747"/>
  </r>
  <r>
    <x v="25"/>
    <s v="BWA"/>
    <x v="58"/>
    <n v="2299141"/>
  </r>
  <r>
    <x v="25"/>
    <s v="BWA"/>
    <x v="59"/>
    <n v="2332083"/>
  </r>
  <r>
    <x v="25"/>
    <s v="BWA"/>
    <x v="60"/>
    <n v="2365894"/>
  </r>
  <r>
    <x v="25"/>
    <s v="BWA"/>
    <x v="61"/>
    <n v="2401441"/>
  </r>
  <r>
    <x v="25"/>
    <s v="BWA"/>
    <x v="62"/>
    <n v="2439892"/>
  </r>
  <r>
    <x v="25"/>
    <s v="BWA"/>
    <x v="63"/>
    <n v="2480244"/>
  </r>
  <r>
    <x v="25"/>
    <s v="BWA"/>
    <x v="64"/>
    <n v="2521139"/>
  </r>
  <r>
    <x v="26"/>
    <s v="BRA"/>
    <x v="0"/>
    <n v="72388126"/>
  </r>
  <r>
    <x v="26"/>
    <s v="BRA"/>
    <x v="1"/>
    <n v="74605447"/>
  </r>
  <r>
    <x v="26"/>
    <s v="BRA"/>
    <x v="2"/>
    <n v="76865323"/>
  </r>
  <r>
    <x v="26"/>
    <s v="BRA"/>
    <x v="3"/>
    <n v="79164235"/>
  </r>
  <r>
    <x v="26"/>
    <s v="BRA"/>
    <x v="4"/>
    <n v="81488595"/>
  </r>
  <r>
    <x v="26"/>
    <s v="BRA"/>
    <x v="5"/>
    <n v="83817583"/>
  </r>
  <r>
    <x v="26"/>
    <s v="BRA"/>
    <x v="6"/>
    <n v="86139359"/>
  </r>
  <r>
    <x v="26"/>
    <s v="BRA"/>
    <x v="7"/>
    <n v="88446124"/>
  </r>
  <r>
    <x v="26"/>
    <s v="BRA"/>
    <x v="8"/>
    <n v="90741240"/>
  </r>
  <r>
    <x v="26"/>
    <s v="BRA"/>
    <x v="9"/>
    <n v="93045777"/>
  </r>
  <r>
    <x v="26"/>
    <s v="BRA"/>
    <x v="10"/>
    <n v="95375651"/>
  </r>
  <r>
    <x v="26"/>
    <s v="BRA"/>
    <x v="11"/>
    <n v="97739273"/>
  </r>
  <r>
    <x v="26"/>
    <s v="BRA"/>
    <x v="12"/>
    <n v="100146797"/>
  </r>
  <r>
    <x v="26"/>
    <s v="BRA"/>
    <x v="13"/>
    <n v="102600976"/>
  </r>
  <r>
    <x v="26"/>
    <s v="BRA"/>
    <x v="14"/>
    <n v="105089675"/>
  </r>
  <r>
    <x v="26"/>
    <s v="BRA"/>
    <x v="15"/>
    <n v="107619565"/>
  </r>
  <r>
    <x v="26"/>
    <s v="BRA"/>
    <x v="16"/>
    <n v="110213349"/>
  </r>
  <r>
    <x v="26"/>
    <s v="BRA"/>
    <x v="17"/>
    <n v="112875292"/>
  </r>
  <r>
    <x v="26"/>
    <s v="BRA"/>
    <x v="18"/>
    <n v="115600942"/>
  </r>
  <r>
    <x v="26"/>
    <s v="BRA"/>
    <x v="19"/>
    <n v="118380821"/>
  </r>
  <r>
    <x v="26"/>
    <s v="BRA"/>
    <x v="20"/>
    <n v="121207461"/>
  </r>
  <r>
    <x v="26"/>
    <s v="BRA"/>
    <x v="21"/>
    <n v="124063109"/>
  </r>
  <r>
    <x v="26"/>
    <s v="BRA"/>
    <x v="22"/>
    <n v="126923155"/>
  </r>
  <r>
    <x v="26"/>
    <s v="BRA"/>
    <x v="23"/>
    <n v="129790077"/>
  </r>
  <r>
    <x v="26"/>
    <s v="BRA"/>
    <x v="24"/>
    <n v="132658864"/>
  </r>
  <r>
    <x v="26"/>
    <s v="BRA"/>
    <x v="25"/>
    <n v="135515595"/>
  </r>
  <r>
    <x v="26"/>
    <s v="BRA"/>
    <x v="26"/>
    <n v="138336370"/>
  </r>
  <r>
    <x v="26"/>
    <s v="BRA"/>
    <x v="27"/>
    <n v="141104944"/>
  </r>
  <r>
    <x v="26"/>
    <s v="BRA"/>
    <x v="28"/>
    <n v="143826357"/>
  </r>
  <r>
    <x v="26"/>
    <s v="BRA"/>
    <x v="29"/>
    <n v="146502972"/>
  </r>
  <r>
    <x v="26"/>
    <s v="BRA"/>
    <x v="30"/>
    <n v="149143223"/>
  </r>
  <r>
    <x v="26"/>
    <s v="BRA"/>
    <x v="31"/>
    <n v="151724256"/>
  </r>
  <r>
    <x v="26"/>
    <s v="BRA"/>
    <x v="32"/>
    <n v="154275079"/>
  </r>
  <r>
    <x v="26"/>
    <s v="BRA"/>
    <x v="33"/>
    <n v="156794577"/>
  </r>
  <r>
    <x v="26"/>
    <s v="BRA"/>
    <x v="34"/>
    <n v="159265006"/>
  </r>
  <r>
    <x v="26"/>
    <s v="BRA"/>
    <x v="35"/>
    <n v="161735073"/>
  </r>
  <r>
    <x v="26"/>
    <s v="BRA"/>
    <x v="36"/>
    <n v="164202549"/>
  </r>
  <r>
    <x v="26"/>
    <s v="BRA"/>
    <x v="37"/>
    <n v="166661659"/>
  </r>
  <r>
    <x v="26"/>
    <s v="BRA"/>
    <x v="38"/>
    <n v="169159655"/>
  </r>
  <r>
    <x v="26"/>
    <s v="BRA"/>
    <x v="39"/>
    <n v="171641543"/>
  </r>
  <r>
    <x v="26"/>
    <s v="BRA"/>
    <x v="40"/>
    <n v="174018282"/>
  </r>
  <r>
    <x v="26"/>
    <s v="BRA"/>
    <x v="41"/>
    <n v="176301203"/>
  </r>
  <r>
    <x v="26"/>
    <s v="BRA"/>
    <x v="42"/>
    <n v="178503484"/>
  </r>
  <r>
    <x v="26"/>
    <s v="BRA"/>
    <x v="43"/>
    <n v="180622688"/>
  </r>
  <r>
    <x v="26"/>
    <s v="BRA"/>
    <x v="44"/>
    <n v="182675143"/>
  </r>
  <r>
    <x v="26"/>
    <s v="BRA"/>
    <x v="45"/>
    <n v="184688101"/>
  </r>
  <r>
    <x v="26"/>
    <s v="BRA"/>
    <x v="46"/>
    <n v="186653106"/>
  </r>
  <r>
    <x v="26"/>
    <s v="BRA"/>
    <x v="47"/>
    <n v="188552320"/>
  </r>
  <r>
    <x v="26"/>
    <s v="BRA"/>
    <x v="48"/>
    <n v="190367302"/>
  </r>
  <r>
    <x v="26"/>
    <s v="BRA"/>
    <x v="49"/>
    <n v="192079951"/>
  </r>
  <r>
    <x v="26"/>
    <s v="BRA"/>
    <x v="50"/>
    <n v="193701929"/>
  </r>
  <r>
    <x v="26"/>
    <s v="BRA"/>
    <x v="51"/>
    <n v="195284734"/>
  </r>
  <r>
    <x v="26"/>
    <s v="BRA"/>
    <x v="52"/>
    <n v="196876111"/>
  </r>
  <r>
    <x v="26"/>
    <s v="BRA"/>
    <x v="53"/>
    <n v="198478299"/>
  </r>
  <r>
    <x v="26"/>
    <s v="BRA"/>
    <x v="54"/>
    <n v="200085127"/>
  </r>
  <r>
    <x v="26"/>
    <s v="BRA"/>
    <x v="55"/>
    <n v="201675532"/>
  </r>
  <r>
    <x v="26"/>
    <s v="BRA"/>
    <x v="56"/>
    <n v="203218114"/>
  </r>
  <r>
    <x v="26"/>
    <s v="BRA"/>
    <x v="57"/>
    <n v="204703445"/>
  </r>
  <r>
    <x v="26"/>
    <s v="BRA"/>
    <x v="58"/>
    <n v="206107261"/>
  </r>
  <r>
    <x v="26"/>
    <s v="BRA"/>
    <x v="59"/>
    <n v="207455459"/>
  </r>
  <r>
    <x v="26"/>
    <s v="BRA"/>
    <x v="60"/>
    <n v="208660842"/>
  </r>
  <r>
    <x v="26"/>
    <s v="BRA"/>
    <x v="61"/>
    <n v="209550294"/>
  </r>
  <r>
    <x v="26"/>
    <s v="BRA"/>
    <x v="62"/>
    <n v="210306415"/>
  </r>
  <r>
    <x v="26"/>
    <s v="BRA"/>
    <x v="63"/>
    <n v="211140729"/>
  </r>
  <r>
    <x v="26"/>
    <s v="BRA"/>
    <x v="64"/>
    <n v="211998573"/>
  </r>
  <r>
    <x v="27"/>
    <s v="VGB"/>
    <x v="0"/>
    <n v="7950"/>
  </r>
  <r>
    <x v="27"/>
    <s v="VGB"/>
    <x v="1"/>
    <n v="8034"/>
  </r>
  <r>
    <x v="27"/>
    <s v="VGB"/>
    <x v="2"/>
    <n v="8070"/>
  </r>
  <r>
    <x v="27"/>
    <s v="VGB"/>
    <x v="3"/>
    <n v="8114"/>
  </r>
  <r>
    <x v="27"/>
    <s v="VGB"/>
    <x v="4"/>
    <n v="8168"/>
  </r>
  <r>
    <x v="27"/>
    <s v="VGB"/>
    <x v="5"/>
    <n v="8257"/>
  </r>
  <r>
    <x v="27"/>
    <s v="VGB"/>
    <x v="6"/>
    <n v="8413"/>
  </r>
  <r>
    <x v="27"/>
    <s v="VGB"/>
    <x v="7"/>
    <n v="8646"/>
  </r>
  <r>
    <x v="27"/>
    <s v="VGB"/>
    <x v="8"/>
    <n v="9000"/>
  </r>
  <r>
    <x v="27"/>
    <s v="VGB"/>
    <x v="9"/>
    <n v="9533"/>
  </r>
  <r>
    <x v="27"/>
    <s v="VGB"/>
    <x v="10"/>
    <n v="9933"/>
  </r>
  <r>
    <x v="27"/>
    <s v="VGB"/>
    <x v="11"/>
    <n v="10095"/>
  </r>
  <r>
    <x v="27"/>
    <s v="VGB"/>
    <x v="12"/>
    <n v="10235"/>
  </r>
  <r>
    <x v="27"/>
    <s v="VGB"/>
    <x v="13"/>
    <n v="10367"/>
  </r>
  <r>
    <x v="27"/>
    <s v="VGB"/>
    <x v="14"/>
    <n v="10494"/>
  </r>
  <r>
    <x v="27"/>
    <s v="VGB"/>
    <x v="15"/>
    <n v="10606"/>
  </r>
  <r>
    <x v="27"/>
    <s v="VGB"/>
    <x v="16"/>
    <n v="10709"/>
  </r>
  <r>
    <x v="27"/>
    <s v="VGB"/>
    <x v="17"/>
    <n v="10800"/>
  </r>
  <r>
    <x v="27"/>
    <s v="VGB"/>
    <x v="18"/>
    <n v="10886"/>
  </r>
  <r>
    <x v="27"/>
    <s v="VGB"/>
    <x v="19"/>
    <n v="10965"/>
  </r>
  <r>
    <x v="27"/>
    <s v="VGB"/>
    <x v="20"/>
    <n v="11130"/>
  </r>
  <r>
    <x v="27"/>
    <s v="VGB"/>
    <x v="21"/>
    <n v="11479"/>
  </r>
  <r>
    <x v="27"/>
    <s v="VGB"/>
    <x v="22"/>
    <n v="11921"/>
  </r>
  <r>
    <x v="27"/>
    <s v="VGB"/>
    <x v="23"/>
    <n v="12370"/>
  </r>
  <r>
    <x v="27"/>
    <s v="VGB"/>
    <x v="24"/>
    <n v="12820"/>
  </r>
  <r>
    <x v="27"/>
    <s v="VGB"/>
    <x v="25"/>
    <n v="13269"/>
  </r>
  <r>
    <x v="27"/>
    <s v="VGB"/>
    <x v="26"/>
    <n v="13726"/>
  </r>
  <r>
    <x v="27"/>
    <s v="VGB"/>
    <x v="27"/>
    <n v="14194"/>
  </r>
  <r>
    <x v="27"/>
    <s v="VGB"/>
    <x v="28"/>
    <n v="14680"/>
  </r>
  <r>
    <x v="27"/>
    <s v="VGB"/>
    <x v="29"/>
    <n v="15180"/>
  </r>
  <r>
    <x v="27"/>
    <s v="VGB"/>
    <x v="30"/>
    <n v="15704"/>
  </r>
  <r>
    <x v="27"/>
    <s v="VGB"/>
    <x v="31"/>
    <n v="16187"/>
  </r>
  <r>
    <x v="27"/>
    <s v="VGB"/>
    <x v="32"/>
    <n v="16593"/>
  </r>
  <r>
    <x v="27"/>
    <s v="VGB"/>
    <x v="33"/>
    <n v="16989"/>
  </r>
  <r>
    <x v="27"/>
    <s v="VGB"/>
    <x v="34"/>
    <n v="17406"/>
  </r>
  <r>
    <x v="27"/>
    <s v="VGB"/>
    <x v="35"/>
    <n v="17840"/>
  </r>
  <r>
    <x v="27"/>
    <s v="VGB"/>
    <x v="36"/>
    <n v="18287"/>
  </r>
  <r>
    <x v="27"/>
    <s v="VGB"/>
    <x v="37"/>
    <n v="18756"/>
  </r>
  <r>
    <x v="27"/>
    <s v="VGB"/>
    <x v="38"/>
    <n v="19238"/>
  </r>
  <r>
    <x v="27"/>
    <s v="VGB"/>
    <x v="39"/>
    <n v="19730"/>
  </r>
  <r>
    <x v="27"/>
    <s v="VGB"/>
    <x v="40"/>
    <n v="20241"/>
  </r>
  <r>
    <x v="27"/>
    <s v="VGB"/>
    <x v="41"/>
    <n v="20796"/>
  </r>
  <r>
    <x v="27"/>
    <s v="VGB"/>
    <x v="42"/>
    <n v="21430"/>
  </r>
  <r>
    <x v="27"/>
    <s v="VGB"/>
    <x v="43"/>
    <n v="22134"/>
  </r>
  <r>
    <x v="27"/>
    <s v="VGB"/>
    <x v="44"/>
    <n v="22881"/>
  </r>
  <r>
    <x v="27"/>
    <s v="VGB"/>
    <x v="45"/>
    <n v="23665"/>
  </r>
  <r>
    <x v="27"/>
    <s v="VGB"/>
    <x v="46"/>
    <n v="24493"/>
  </r>
  <r>
    <x v="27"/>
    <s v="VGB"/>
    <x v="47"/>
    <n v="25366"/>
  </r>
  <r>
    <x v="27"/>
    <s v="VGB"/>
    <x v="48"/>
    <n v="26288"/>
  </r>
  <r>
    <x v="27"/>
    <s v="VGB"/>
    <x v="49"/>
    <n v="27218"/>
  </r>
  <r>
    <x v="27"/>
    <s v="VGB"/>
    <x v="50"/>
    <n v="27675"/>
  </r>
  <r>
    <x v="27"/>
    <s v="VGB"/>
    <x v="51"/>
    <n v="28710"/>
  </r>
  <r>
    <x v="27"/>
    <s v="VGB"/>
    <x v="52"/>
    <n v="30345"/>
  </r>
  <r>
    <x v="27"/>
    <s v="VGB"/>
    <x v="53"/>
    <n v="31703"/>
  </r>
  <r>
    <x v="27"/>
    <s v="VGB"/>
    <x v="54"/>
    <n v="32962"/>
  </r>
  <r>
    <x v="27"/>
    <s v="VGB"/>
    <x v="55"/>
    <n v="34498"/>
  </r>
  <r>
    <x v="27"/>
    <s v="VGB"/>
    <x v="56"/>
    <n v="33878"/>
  </r>
  <r>
    <x v="27"/>
    <s v="VGB"/>
    <x v="57"/>
    <n v="32699"/>
  </r>
  <r>
    <x v="27"/>
    <s v="VGB"/>
    <x v="58"/>
    <n v="34657"/>
  </r>
  <r>
    <x v="27"/>
    <s v="VGB"/>
    <x v="59"/>
    <n v="36395"/>
  </r>
  <r>
    <x v="27"/>
    <s v="VGB"/>
    <x v="60"/>
    <n v="37135"/>
  </r>
  <r>
    <x v="27"/>
    <s v="VGB"/>
    <x v="61"/>
    <n v="37809"/>
  </r>
  <r>
    <x v="27"/>
    <s v="VGB"/>
    <x v="62"/>
    <n v="38319"/>
  </r>
  <r>
    <x v="27"/>
    <s v="VGB"/>
    <x v="63"/>
    <n v="38985"/>
  </r>
  <r>
    <x v="27"/>
    <s v="VGB"/>
    <x v="64"/>
    <n v="39471"/>
  </r>
  <r>
    <x v="28"/>
    <s v="BRN"/>
    <x v="0"/>
    <n v="88347"/>
  </r>
  <r>
    <x v="28"/>
    <s v="BRN"/>
    <x v="1"/>
    <n v="92517"/>
  </r>
  <r>
    <x v="28"/>
    <s v="BRN"/>
    <x v="2"/>
    <n v="96719"/>
  </r>
  <r>
    <x v="28"/>
    <s v="BRN"/>
    <x v="3"/>
    <n v="101159"/>
  </r>
  <r>
    <x v="28"/>
    <s v="BRN"/>
    <x v="4"/>
    <n v="105922"/>
  </r>
  <r>
    <x v="28"/>
    <s v="BRN"/>
    <x v="5"/>
    <n v="110838"/>
  </r>
  <r>
    <x v="28"/>
    <s v="BRN"/>
    <x v="6"/>
    <n v="115874"/>
  </r>
  <r>
    <x v="28"/>
    <s v="BRN"/>
    <x v="7"/>
    <n v="121017"/>
  </r>
  <r>
    <x v="28"/>
    <s v="BRN"/>
    <x v="8"/>
    <n v="126222"/>
  </r>
  <r>
    <x v="28"/>
    <s v="BRN"/>
    <x v="9"/>
    <n v="131446"/>
  </r>
  <r>
    <x v="28"/>
    <s v="BRN"/>
    <x v="10"/>
    <n v="135138"/>
  </r>
  <r>
    <x v="28"/>
    <s v="BRN"/>
    <x v="11"/>
    <n v="137921"/>
  </r>
  <r>
    <x v="28"/>
    <s v="BRN"/>
    <x v="12"/>
    <n v="142189"/>
  </r>
  <r>
    <x v="28"/>
    <s v="BRN"/>
    <x v="13"/>
    <n v="147369"/>
  </r>
  <r>
    <x v="28"/>
    <s v="BRN"/>
    <x v="14"/>
    <n v="152656"/>
  </r>
  <r>
    <x v="28"/>
    <s v="BRN"/>
    <x v="15"/>
    <n v="158070"/>
  </r>
  <r>
    <x v="28"/>
    <s v="BRN"/>
    <x v="16"/>
    <n v="163607"/>
  </r>
  <r>
    <x v="28"/>
    <s v="BRN"/>
    <x v="17"/>
    <n v="169277"/>
  </r>
  <r>
    <x v="28"/>
    <s v="BRN"/>
    <x v="18"/>
    <n v="174884"/>
  </r>
  <r>
    <x v="28"/>
    <s v="BRN"/>
    <x v="19"/>
    <n v="180422"/>
  </r>
  <r>
    <x v="28"/>
    <s v="BRN"/>
    <x v="20"/>
    <n v="186111"/>
  </r>
  <r>
    <x v="28"/>
    <s v="BRN"/>
    <x v="21"/>
    <n v="191977"/>
  </r>
  <r>
    <x v="28"/>
    <s v="BRN"/>
    <x v="22"/>
    <n v="198165"/>
  </r>
  <r>
    <x v="28"/>
    <s v="BRN"/>
    <x v="23"/>
    <n v="204741"/>
  </r>
  <r>
    <x v="28"/>
    <s v="BRN"/>
    <x v="24"/>
    <n v="211661"/>
  </r>
  <r>
    <x v="28"/>
    <s v="BRN"/>
    <x v="25"/>
    <n v="218919"/>
  </r>
  <r>
    <x v="28"/>
    <s v="BRN"/>
    <x v="26"/>
    <n v="226495"/>
  </r>
  <r>
    <x v="28"/>
    <s v="BRN"/>
    <x v="27"/>
    <n v="233860"/>
  </r>
  <r>
    <x v="28"/>
    <s v="BRN"/>
    <x v="28"/>
    <n v="240913"/>
  </r>
  <r>
    <x v="28"/>
    <s v="BRN"/>
    <x v="29"/>
    <n v="248064"/>
  </r>
  <r>
    <x v="28"/>
    <s v="BRN"/>
    <x v="30"/>
    <n v="255292"/>
  </r>
  <r>
    <x v="28"/>
    <s v="BRN"/>
    <x v="31"/>
    <n v="262596"/>
  </r>
  <r>
    <x v="28"/>
    <s v="BRN"/>
    <x v="32"/>
    <n v="269839"/>
  </r>
  <r>
    <x v="28"/>
    <s v="BRN"/>
    <x v="33"/>
    <n v="276971"/>
  </r>
  <r>
    <x v="28"/>
    <s v="BRN"/>
    <x v="34"/>
    <n v="284091"/>
  </r>
  <r>
    <x v="28"/>
    <s v="BRN"/>
    <x v="35"/>
    <n v="291195"/>
  </r>
  <r>
    <x v="28"/>
    <s v="BRN"/>
    <x v="36"/>
    <n v="298276"/>
  </r>
  <r>
    <x v="28"/>
    <s v="BRN"/>
    <x v="37"/>
    <n v="305341"/>
  </r>
  <r>
    <x v="28"/>
    <s v="BRN"/>
    <x v="38"/>
    <n v="312385"/>
  </r>
  <r>
    <x v="28"/>
    <s v="BRN"/>
    <x v="39"/>
    <n v="319411"/>
  </r>
  <r>
    <x v="28"/>
    <s v="BRN"/>
    <x v="40"/>
    <n v="326424"/>
  </r>
  <r>
    <x v="28"/>
    <s v="BRN"/>
    <x v="41"/>
    <n v="333345"/>
  </r>
  <r>
    <x v="28"/>
    <s v="BRN"/>
    <x v="42"/>
    <n v="340099"/>
  </r>
  <r>
    <x v="28"/>
    <s v="BRN"/>
    <x v="43"/>
    <n v="346637"/>
  </r>
  <r>
    <x v="28"/>
    <s v="BRN"/>
    <x v="44"/>
    <n v="352911"/>
  </r>
  <r>
    <x v="28"/>
    <s v="BRN"/>
    <x v="45"/>
    <n v="358916"/>
  </r>
  <r>
    <x v="28"/>
    <s v="BRN"/>
    <x v="46"/>
    <n v="364663"/>
  </r>
  <r>
    <x v="28"/>
    <s v="BRN"/>
    <x v="47"/>
    <n v="370873"/>
  </r>
  <r>
    <x v="28"/>
    <s v="BRN"/>
    <x v="48"/>
    <n v="377793"/>
  </r>
  <r>
    <x v="28"/>
    <s v="BRN"/>
    <x v="49"/>
    <n v="384952"/>
  </r>
  <r>
    <x v="28"/>
    <s v="BRN"/>
    <x v="50"/>
    <n v="392332"/>
  </r>
  <r>
    <x v="28"/>
    <s v="BRN"/>
    <x v="51"/>
    <n v="399389"/>
  </r>
  <r>
    <x v="28"/>
    <s v="BRN"/>
    <x v="52"/>
    <n v="405557"/>
  </r>
  <r>
    <x v="28"/>
    <s v="BRN"/>
    <x v="53"/>
    <n v="411202"/>
  </r>
  <r>
    <x v="28"/>
    <s v="BRN"/>
    <x v="54"/>
    <n v="416750"/>
  </r>
  <r>
    <x v="28"/>
    <s v="BRN"/>
    <x v="55"/>
    <n v="422212"/>
  </r>
  <r>
    <x v="28"/>
    <s v="BRN"/>
    <x v="56"/>
    <n v="427564"/>
  </r>
  <r>
    <x v="28"/>
    <s v="BRN"/>
    <x v="57"/>
    <n v="432772"/>
  </r>
  <r>
    <x v="28"/>
    <s v="BRN"/>
    <x v="58"/>
    <n v="437810"/>
  </r>
  <r>
    <x v="28"/>
    <s v="BRN"/>
    <x v="59"/>
    <n v="442680"/>
  </r>
  <r>
    <x v="28"/>
    <s v="BRN"/>
    <x v="60"/>
    <n v="447404"/>
  </r>
  <r>
    <x v="28"/>
    <s v="BRN"/>
    <x v="61"/>
    <n v="451721"/>
  </r>
  <r>
    <x v="28"/>
    <s v="BRN"/>
    <x v="62"/>
    <n v="455370"/>
  </r>
  <r>
    <x v="28"/>
    <s v="BRN"/>
    <x v="63"/>
    <n v="458949"/>
  </r>
  <r>
    <x v="28"/>
    <s v="BRN"/>
    <x v="64"/>
    <n v="462721"/>
  </r>
  <r>
    <x v="29"/>
    <s v="BGR"/>
    <x v="0"/>
    <n v="7867374"/>
  </r>
  <r>
    <x v="29"/>
    <s v="BGR"/>
    <x v="1"/>
    <n v="7943118"/>
  </r>
  <r>
    <x v="29"/>
    <s v="BGR"/>
    <x v="2"/>
    <n v="8012946"/>
  </r>
  <r>
    <x v="29"/>
    <s v="BGR"/>
    <x v="3"/>
    <n v="8078145"/>
  </r>
  <r>
    <x v="29"/>
    <s v="BGR"/>
    <x v="4"/>
    <n v="8144340"/>
  </r>
  <r>
    <x v="29"/>
    <s v="BGR"/>
    <x v="5"/>
    <n v="8204168"/>
  </r>
  <r>
    <x v="29"/>
    <s v="BGR"/>
    <x v="6"/>
    <n v="8258057"/>
  </r>
  <r>
    <x v="29"/>
    <s v="BGR"/>
    <x v="7"/>
    <n v="8310226"/>
  </r>
  <r>
    <x v="29"/>
    <s v="BGR"/>
    <x v="8"/>
    <n v="8369603"/>
  </r>
  <r>
    <x v="29"/>
    <s v="BGR"/>
    <x v="9"/>
    <n v="8434172"/>
  </r>
  <r>
    <x v="29"/>
    <s v="BGR"/>
    <x v="10"/>
    <n v="8489574"/>
  </r>
  <r>
    <x v="29"/>
    <s v="BGR"/>
    <x v="11"/>
    <n v="8536395"/>
  </r>
  <r>
    <x v="29"/>
    <s v="BGR"/>
    <x v="12"/>
    <n v="8576200"/>
  </r>
  <r>
    <x v="29"/>
    <s v="BGR"/>
    <x v="13"/>
    <n v="8620967"/>
  </r>
  <r>
    <x v="29"/>
    <s v="BGR"/>
    <x v="14"/>
    <n v="8678745"/>
  </r>
  <r>
    <x v="29"/>
    <s v="BGR"/>
    <x v="15"/>
    <n v="8720742"/>
  </r>
  <r>
    <x v="29"/>
    <s v="BGR"/>
    <x v="16"/>
    <n v="8758599"/>
  </r>
  <r>
    <x v="29"/>
    <s v="BGR"/>
    <x v="17"/>
    <n v="8804183"/>
  </r>
  <r>
    <x v="29"/>
    <s v="BGR"/>
    <x v="18"/>
    <n v="8814032"/>
  </r>
  <r>
    <x v="29"/>
    <s v="BGR"/>
    <x v="19"/>
    <n v="8825940"/>
  </r>
  <r>
    <x v="29"/>
    <s v="BGR"/>
    <x v="20"/>
    <n v="8861535"/>
  </r>
  <r>
    <x v="29"/>
    <s v="BGR"/>
    <x v="21"/>
    <n v="8891117"/>
  </r>
  <r>
    <x v="29"/>
    <s v="BGR"/>
    <x v="22"/>
    <n v="8917457"/>
  </r>
  <r>
    <x v="29"/>
    <s v="BGR"/>
    <x v="23"/>
    <n v="8939738"/>
  </r>
  <r>
    <x v="29"/>
    <s v="BGR"/>
    <x v="24"/>
    <n v="8960679"/>
  </r>
  <r>
    <x v="29"/>
    <s v="BGR"/>
    <x v="25"/>
    <n v="8960547"/>
  </r>
  <r>
    <x v="29"/>
    <s v="BGR"/>
    <x v="26"/>
    <n v="8958171"/>
  </r>
  <r>
    <x v="29"/>
    <s v="BGR"/>
    <x v="27"/>
    <n v="8971359"/>
  </r>
  <r>
    <x v="29"/>
    <s v="BGR"/>
    <x v="28"/>
    <n v="8981446"/>
  </r>
  <r>
    <x v="29"/>
    <s v="BGR"/>
    <x v="29"/>
    <n v="8876972"/>
  </r>
  <r>
    <x v="29"/>
    <s v="BGR"/>
    <x v="30"/>
    <n v="8718289"/>
  </r>
  <r>
    <x v="29"/>
    <s v="BGR"/>
    <x v="31"/>
    <n v="8632367"/>
  </r>
  <r>
    <x v="29"/>
    <s v="BGR"/>
    <x v="32"/>
    <n v="8540164"/>
  </r>
  <r>
    <x v="29"/>
    <s v="BGR"/>
    <x v="33"/>
    <n v="8472313"/>
  </r>
  <r>
    <x v="29"/>
    <s v="BGR"/>
    <x v="34"/>
    <n v="8443591"/>
  </r>
  <r>
    <x v="29"/>
    <s v="BGR"/>
    <x v="35"/>
    <n v="8406067"/>
  </r>
  <r>
    <x v="29"/>
    <s v="BGR"/>
    <x v="36"/>
    <n v="8362826"/>
  </r>
  <r>
    <x v="29"/>
    <s v="BGR"/>
    <x v="37"/>
    <n v="8312068"/>
  </r>
  <r>
    <x v="29"/>
    <s v="BGR"/>
    <x v="38"/>
    <n v="8256786"/>
  </r>
  <r>
    <x v="29"/>
    <s v="BGR"/>
    <x v="39"/>
    <n v="8210624"/>
  </r>
  <r>
    <x v="29"/>
    <s v="BGR"/>
    <x v="40"/>
    <n v="8170172"/>
  </r>
  <r>
    <x v="29"/>
    <s v="BGR"/>
    <x v="41"/>
    <n v="8009142"/>
  </r>
  <r>
    <x v="29"/>
    <s v="BGR"/>
    <x v="42"/>
    <n v="7837161"/>
  </r>
  <r>
    <x v="29"/>
    <s v="BGR"/>
    <x v="43"/>
    <n v="7775327"/>
  </r>
  <r>
    <x v="29"/>
    <s v="BGR"/>
    <x v="44"/>
    <n v="7716860"/>
  </r>
  <r>
    <x v="29"/>
    <s v="BGR"/>
    <x v="45"/>
    <n v="7658972"/>
  </r>
  <r>
    <x v="29"/>
    <s v="BGR"/>
    <x v="46"/>
    <n v="7601022"/>
  </r>
  <r>
    <x v="29"/>
    <s v="BGR"/>
    <x v="47"/>
    <n v="7545338"/>
  </r>
  <r>
    <x v="29"/>
    <s v="BGR"/>
    <x v="48"/>
    <n v="7492561"/>
  </r>
  <r>
    <x v="29"/>
    <s v="BGR"/>
    <x v="49"/>
    <n v="7444443"/>
  </r>
  <r>
    <x v="29"/>
    <s v="BGR"/>
    <x v="50"/>
    <n v="7395599"/>
  </r>
  <r>
    <x v="29"/>
    <s v="BGR"/>
    <x v="51"/>
    <n v="7348328"/>
  </r>
  <r>
    <x v="29"/>
    <s v="BGR"/>
    <x v="52"/>
    <n v="7305888"/>
  </r>
  <r>
    <x v="29"/>
    <s v="BGR"/>
    <x v="53"/>
    <n v="7160005"/>
  </r>
  <r>
    <x v="29"/>
    <s v="BGR"/>
    <x v="54"/>
    <n v="7073572"/>
  </r>
  <r>
    <x v="29"/>
    <s v="BGR"/>
    <x v="55"/>
    <n v="6984225"/>
  </r>
  <r>
    <x v="29"/>
    <s v="BGR"/>
    <x v="56"/>
    <n v="6894139"/>
  </r>
  <r>
    <x v="29"/>
    <s v="BGR"/>
    <x v="57"/>
    <n v="6803468"/>
  </r>
  <r>
    <x v="29"/>
    <s v="BGR"/>
    <x v="58"/>
    <n v="6710798"/>
  </r>
  <r>
    <x v="29"/>
    <s v="BGR"/>
    <x v="59"/>
    <n v="6616726"/>
  </r>
  <r>
    <x v="29"/>
    <s v="BGR"/>
    <x v="60"/>
    <n v="6550696"/>
  </r>
  <r>
    <x v="29"/>
    <s v="BGR"/>
    <x v="61"/>
    <n v="6507301"/>
  </r>
  <r>
    <x v="29"/>
    <s v="BGR"/>
    <x v="62"/>
    <n v="6465097"/>
  </r>
  <r>
    <x v="29"/>
    <s v="BGR"/>
    <x v="63"/>
    <n v="6446596"/>
  </r>
  <r>
    <x v="29"/>
    <s v="BGR"/>
    <x v="64"/>
    <n v="6444366"/>
  </r>
  <r>
    <x v="30"/>
    <s v="BFA"/>
    <x v="0"/>
    <n v="4778621"/>
  </r>
  <r>
    <x v="30"/>
    <s v="BFA"/>
    <x v="1"/>
    <n v="4848224"/>
  </r>
  <r>
    <x v="30"/>
    <s v="BFA"/>
    <x v="2"/>
    <n v="4919672"/>
  </r>
  <r>
    <x v="30"/>
    <s v="BFA"/>
    <x v="3"/>
    <n v="4993623"/>
  </r>
  <r>
    <x v="30"/>
    <s v="BFA"/>
    <x v="4"/>
    <n v="5071034"/>
  </r>
  <r>
    <x v="30"/>
    <s v="BFA"/>
    <x v="5"/>
    <n v="5152833"/>
  </r>
  <r>
    <x v="30"/>
    <s v="BFA"/>
    <x v="6"/>
    <n v="5237933"/>
  </r>
  <r>
    <x v="30"/>
    <s v="BFA"/>
    <x v="7"/>
    <n v="5326348"/>
  </r>
  <r>
    <x v="30"/>
    <s v="BFA"/>
    <x v="8"/>
    <n v="5418644"/>
  </r>
  <r>
    <x v="30"/>
    <s v="BFA"/>
    <x v="9"/>
    <n v="5513177"/>
  </r>
  <r>
    <x v="30"/>
    <s v="BFA"/>
    <x v="10"/>
    <n v="5610304"/>
  </r>
  <r>
    <x v="30"/>
    <s v="BFA"/>
    <x v="11"/>
    <n v="5707999"/>
  </r>
  <r>
    <x v="30"/>
    <s v="BFA"/>
    <x v="12"/>
    <n v="5807234"/>
  </r>
  <r>
    <x v="30"/>
    <s v="BFA"/>
    <x v="13"/>
    <n v="5911927"/>
  </r>
  <r>
    <x v="30"/>
    <s v="BFA"/>
    <x v="14"/>
    <n v="6024904"/>
  </r>
  <r>
    <x v="30"/>
    <s v="BFA"/>
    <x v="15"/>
    <n v="6147569"/>
  </r>
  <r>
    <x v="30"/>
    <s v="BFA"/>
    <x v="16"/>
    <n v="6280635"/>
  </r>
  <r>
    <x v="30"/>
    <s v="BFA"/>
    <x v="17"/>
    <n v="6428734"/>
  </r>
  <r>
    <x v="30"/>
    <s v="BFA"/>
    <x v="18"/>
    <n v="6590984"/>
  </r>
  <r>
    <x v="30"/>
    <s v="BFA"/>
    <x v="19"/>
    <n v="6763903"/>
  </r>
  <r>
    <x v="30"/>
    <s v="BFA"/>
    <x v="20"/>
    <n v="6947900"/>
  </r>
  <r>
    <x v="30"/>
    <s v="BFA"/>
    <x v="21"/>
    <n v="7140271"/>
  </r>
  <r>
    <x v="30"/>
    <s v="BFA"/>
    <x v="22"/>
    <n v="7340197"/>
  </r>
  <r>
    <x v="30"/>
    <s v="BFA"/>
    <x v="23"/>
    <n v="7551129"/>
  </r>
  <r>
    <x v="30"/>
    <s v="BFA"/>
    <x v="24"/>
    <n v="7772256"/>
  </r>
  <r>
    <x v="30"/>
    <s v="BFA"/>
    <x v="25"/>
    <n v="7999935"/>
  </r>
  <r>
    <x v="30"/>
    <s v="BFA"/>
    <x v="26"/>
    <n v="8228847"/>
  </r>
  <r>
    <x v="30"/>
    <s v="BFA"/>
    <x v="27"/>
    <n v="8457109"/>
  </r>
  <r>
    <x v="30"/>
    <s v="BFA"/>
    <x v="28"/>
    <n v="8687435"/>
  </r>
  <r>
    <x v="30"/>
    <s v="BFA"/>
    <x v="29"/>
    <n v="8921175"/>
  </r>
  <r>
    <x v="30"/>
    <s v="BFA"/>
    <x v="30"/>
    <n v="9159356"/>
  </r>
  <r>
    <x v="30"/>
    <s v="BFA"/>
    <x v="31"/>
    <n v="9394632"/>
  </r>
  <r>
    <x v="30"/>
    <s v="BFA"/>
    <x v="32"/>
    <n v="9629275"/>
  </r>
  <r>
    <x v="30"/>
    <s v="BFA"/>
    <x v="33"/>
    <n v="9871713"/>
  </r>
  <r>
    <x v="30"/>
    <s v="BFA"/>
    <x v="34"/>
    <n v="10123798"/>
  </r>
  <r>
    <x v="30"/>
    <s v="BFA"/>
    <x v="35"/>
    <n v="10386722"/>
  </r>
  <r>
    <x v="30"/>
    <s v="BFA"/>
    <x v="36"/>
    <n v="10655942"/>
  </r>
  <r>
    <x v="30"/>
    <s v="BFA"/>
    <x v="37"/>
    <n v="10934223"/>
  </r>
  <r>
    <x v="30"/>
    <s v="BFA"/>
    <x v="38"/>
    <n v="11240664"/>
  </r>
  <r>
    <x v="30"/>
    <s v="BFA"/>
    <x v="39"/>
    <n v="11574928"/>
  </r>
  <r>
    <x v="30"/>
    <s v="BFA"/>
    <x v="40"/>
    <n v="11925546"/>
  </r>
  <r>
    <x v="30"/>
    <s v="BFA"/>
    <x v="41"/>
    <n v="12295001"/>
  </r>
  <r>
    <x v="30"/>
    <s v="BFA"/>
    <x v="42"/>
    <n v="12680897"/>
  </r>
  <r>
    <x v="30"/>
    <s v="BFA"/>
    <x v="43"/>
    <n v="13082532"/>
  </r>
  <r>
    <x v="30"/>
    <s v="BFA"/>
    <x v="44"/>
    <n v="13500533"/>
  </r>
  <r>
    <x v="30"/>
    <s v="BFA"/>
    <x v="45"/>
    <n v="13932123"/>
  </r>
  <r>
    <x v="30"/>
    <s v="BFA"/>
    <x v="46"/>
    <n v="14373707"/>
  </r>
  <r>
    <x v="30"/>
    <s v="BFA"/>
    <x v="47"/>
    <n v="14816307"/>
  </r>
  <r>
    <x v="30"/>
    <s v="BFA"/>
    <x v="48"/>
    <n v="15258093"/>
  </r>
  <r>
    <x v="30"/>
    <s v="BFA"/>
    <x v="49"/>
    <n v="15710066"/>
  </r>
  <r>
    <x v="30"/>
    <s v="BFA"/>
    <x v="50"/>
    <n v="16176498"/>
  </r>
  <r>
    <x v="30"/>
    <s v="BFA"/>
    <x v="51"/>
    <n v="16661908"/>
  </r>
  <r>
    <x v="30"/>
    <s v="BFA"/>
    <x v="52"/>
    <n v="17172287"/>
  </r>
  <r>
    <x v="30"/>
    <s v="BFA"/>
    <x v="53"/>
    <n v="17695409"/>
  </r>
  <r>
    <x v="30"/>
    <s v="BFA"/>
    <x v="54"/>
    <n v="18229461"/>
  </r>
  <r>
    <x v="30"/>
    <s v="BFA"/>
    <x v="55"/>
    <n v="18777487"/>
  </r>
  <r>
    <x v="30"/>
    <s v="BFA"/>
    <x v="56"/>
    <n v="19334856"/>
  </r>
  <r>
    <x v="30"/>
    <s v="BFA"/>
    <x v="57"/>
    <n v="19894407"/>
  </r>
  <r>
    <x v="30"/>
    <s v="BFA"/>
    <x v="58"/>
    <n v="20438288"/>
  </r>
  <r>
    <x v="30"/>
    <s v="BFA"/>
    <x v="59"/>
    <n v="20961952"/>
  </r>
  <r>
    <x v="30"/>
    <s v="BFA"/>
    <x v="60"/>
    <n v="21478690"/>
  </r>
  <r>
    <x v="30"/>
    <s v="BFA"/>
    <x v="61"/>
    <n v="21995243"/>
  </r>
  <r>
    <x v="30"/>
    <s v="BFA"/>
    <x v="62"/>
    <n v="22509038"/>
  </r>
  <r>
    <x v="30"/>
    <s v="BFA"/>
    <x v="63"/>
    <n v="23025776"/>
  </r>
  <r>
    <x v="30"/>
    <s v="BFA"/>
    <x v="64"/>
    <n v="23548781"/>
  </r>
  <r>
    <x v="31"/>
    <s v="BDI"/>
    <x v="0"/>
    <n v="2764258"/>
  </r>
  <r>
    <x v="31"/>
    <s v="BDI"/>
    <x v="1"/>
    <n v="2835119"/>
  </r>
  <r>
    <x v="31"/>
    <s v="BDI"/>
    <x v="2"/>
    <n v="2907943"/>
  </r>
  <r>
    <x v="31"/>
    <s v="BDI"/>
    <x v="3"/>
    <n v="2969841"/>
  </r>
  <r>
    <x v="31"/>
    <s v="BDI"/>
    <x v="4"/>
    <n v="3055650"/>
  </r>
  <r>
    <x v="31"/>
    <s v="BDI"/>
    <x v="5"/>
    <n v="3141367"/>
  </r>
  <r>
    <x v="31"/>
    <s v="BDI"/>
    <x v="6"/>
    <n v="3217960"/>
  </r>
  <r>
    <x v="31"/>
    <s v="BDI"/>
    <x v="7"/>
    <n v="3300690"/>
  </r>
  <r>
    <x v="31"/>
    <s v="BDI"/>
    <x v="8"/>
    <n v="3380387"/>
  </r>
  <r>
    <x v="31"/>
    <s v="BDI"/>
    <x v="9"/>
    <n v="3454590"/>
  </r>
  <r>
    <x v="31"/>
    <s v="BDI"/>
    <x v="10"/>
    <n v="3530432"/>
  </r>
  <r>
    <x v="31"/>
    <s v="BDI"/>
    <x v="11"/>
    <n v="3617289"/>
  </r>
  <r>
    <x v="31"/>
    <s v="BDI"/>
    <x v="12"/>
    <n v="3617128"/>
  </r>
  <r>
    <x v="31"/>
    <s v="BDI"/>
    <x v="13"/>
    <n v="3611991"/>
  </r>
  <r>
    <x v="31"/>
    <s v="BDI"/>
    <x v="14"/>
    <n v="3703590"/>
  </r>
  <r>
    <x v="31"/>
    <s v="BDI"/>
    <x v="15"/>
    <n v="3796612"/>
  </r>
  <r>
    <x v="31"/>
    <s v="BDI"/>
    <x v="16"/>
    <n v="3882626"/>
  </r>
  <r>
    <x v="31"/>
    <s v="BDI"/>
    <x v="17"/>
    <n v="3983582"/>
  </r>
  <r>
    <x v="31"/>
    <s v="BDI"/>
    <x v="18"/>
    <n v="4100338"/>
  </r>
  <r>
    <x v="31"/>
    <s v="BDI"/>
    <x v="19"/>
    <n v="4203530"/>
  </r>
  <r>
    <x v="31"/>
    <s v="BDI"/>
    <x v="20"/>
    <n v="4383706"/>
  </r>
  <r>
    <x v="31"/>
    <s v="BDI"/>
    <x v="21"/>
    <n v="4566014"/>
  </r>
  <r>
    <x v="31"/>
    <s v="BDI"/>
    <x v="22"/>
    <n v="4681390"/>
  </r>
  <r>
    <x v="31"/>
    <s v="BDI"/>
    <x v="23"/>
    <n v="4808528"/>
  </r>
  <r>
    <x v="31"/>
    <s v="BDI"/>
    <x v="24"/>
    <n v="4926465"/>
  </r>
  <r>
    <x v="31"/>
    <s v="BDI"/>
    <x v="25"/>
    <n v="5034042"/>
  </r>
  <r>
    <x v="31"/>
    <s v="BDI"/>
    <x v="26"/>
    <n v="5129414"/>
  </r>
  <r>
    <x v="31"/>
    <s v="BDI"/>
    <x v="27"/>
    <n v="5247787"/>
  </r>
  <r>
    <x v="31"/>
    <s v="BDI"/>
    <x v="28"/>
    <n v="5365327"/>
  </r>
  <r>
    <x v="31"/>
    <s v="BDI"/>
    <x v="29"/>
    <n v="5471706"/>
  </r>
  <r>
    <x v="31"/>
    <s v="BDI"/>
    <x v="30"/>
    <n v="5587052"/>
  </r>
  <r>
    <x v="31"/>
    <s v="BDI"/>
    <x v="31"/>
    <n v="5703857"/>
  </r>
  <r>
    <x v="31"/>
    <s v="BDI"/>
    <x v="32"/>
    <n v="5858407"/>
  </r>
  <r>
    <x v="31"/>
    <s v="BDI"/>
    <x v="33"/>
    <n v="5676843"/>
  </r>
  <r>
    <x v="31"/>
    <s v="BDI"/>
    <x v="34"/>
    <n v="5713854"/>
  </r>
  <r>
    <x v="31"/>
    <s v="BDI"/>
    <x v="35"/>
    <n v="6066316"/>
  </r>
  <r>
    <x v="31"/>
    <s v="BDI"/>
    <x v="36"/>
    <n v="6070506"/>
  </r>
  <r>
    <x v="31"/>
    <s v="BDI"/>
    <x v="37"/>
    <n v="6070042"/>
  </r>
  <r>
    <x v="31"/>
    <s v="BDI"/>
    <x v="38"/>
    <n v="6187108"/>
  </r>
  <r>
    <x v="31"/>
    <s v="BDI"/>
    <x v="39"/>
    <n v="6337155"/>
  </r>
  <r>
    <x v="31"/>
    <s v="BDI"/>
    <x v="40"/>
    <n v="6470194"/>
  </r>
  <r>
    <x v="31"/>
    <s v="BDI"/>
    <x v="41"/>
    <n v="6634365"/>
  </r>
  <r>
    <x v="31"/>
    <s v="BDI"/>
    <x v="42"/>
    <n v="6824132"/>
  </r>
  <r>
    <x v="31"/>
    <s v="BDI"/>
    <x v="43"/>
    <n v="7043154"/>
  </r>
  <r>
    <x v="31"/>
    <s v="BDI"/>
    <x v="44"/>
    <n v="7310656"/>
  </r>
  <r>
    <x v="31"/>
    <s v="BDI"/>
    <x v="45"/>
    <n v="7587299"/>
  </r>
  <r>
    <x v="31"/>
    <s v="BDI"/>
    <x v="46"/>
    <n v="7865547"/>
  </r>
  <r>
    <x v="31"/>
    <s v="BDI"/>
    <x v="47"/>
    <n v="8161874"/>
  </r>
  <r>
    <x v="31"/>
    <s v="BDI"/>
    <x v="48"/>
    <n v="8505637"/>
  </r>
  <r>
    <x v="31"/>
    <s v="BDI"/>
    <x v="49"/>
    <n v="8947646"/>
  </r>
  <r>
    <x v="31"/>
    <s v="BDI"/>
    <x v="50"/>
    <n v="9376444"/>
  </r>
  <r>
    <x v="31"/>
    <s v="BDI"/>
    <x v="51"/>
    <n v="9717978"/>
  </r>
  <r>
    <x v="31"/>
    <s v="BDI"/>
    <x v="52"/>
    <n v="10071028"/>
  </r>
  <r>
    <x v="31"/>
    <s v="BDI"/>
    <x v="53"/>
    <n v="10439341"/>
  </r>
  <r>
    <x v="31"/>
    <s v="BDI"/>
    <x v="54"/>
    <n v="10799785"/>
  </r>
  <r>
    <x v="31"/>
    <s v="BDI"/>
    <x v="55"/>
    <n v="11047580"/>
  </r>
  <r>
    <x v="31"/>
    <s v="BDI"/>
    <x v="56"/>
    <n v="11239451"/>
  </r>
  <r>
    <x v="31"/>
    <s v="BDI"/>
    <x v="57"/>
    <n v="11506762"/>
  </r>
  <r>
    <x v="31"/>
    <s v="BDI"/>
    <x v="58"/>
    <n v="11859446"/>
  </r>
  <r>
    <x v="31"/>
    <s v="BDI"/>
    <x v="59"/>
    <n v="12255336"/>
  </r>
  <r>
    <x v="31"/>
    <s v="BDI"/>
    <x v="60"/>
    <n v="12617036"/>
  </r>
  <r>
    <x v="31"/>
    <s v="BDI"/>
    <x v="61"/>
    <n v="12965481"/>
  </r>
  <r>
    <x v="31"/>
    <s v="BDI"/>
    <x v="62"/>
    <n v="13321097"/>
  </r>
  <r>
    <x v="31"/>
    <s v="BDI"/>
    <x v="63"/>
    <n v="13689450"/>
  </r>
  <r>
    <x v="31"/>
    <s v="BDI"/>
    <x v="64"/>
    <n v="14047786"/>
  </r>
  <r>
    <x v="32"/>
    <s v="CPV"/>
    <x v="0"/>
    <n v="210024"/>
  </r>
  <r>
    <x v="32"/>
    <s v="CPV"/>
    <x v="1"/>
    <n v="215087"/>
  </r>
  <r>
    <x v="32"/>
    <s v="CPV"/>
    <x v="2"/>
    <n v="221919"/>
  </r>
  <r>
    <x v="32"/>
    <s v="CPV"/>
    <x v="3"/>
    <n v="229373"/>
  </r>
  <r>
    <x v="32"/>
    <s v="CPV"/>
    <x v="4"/>
    <n v="237006"/>
  </r>
  <r>
    <x v="32"/>
    <s v="CPV"/>
    <x v="5"/>
    <n v="244856"/>
  </r>
  <r>
    <x v="32"/>
    <s v="CPV"/>
    <x v="6"/>
    <n v="252976"/>
  </r>
  <r>
    <x v="32"/>
    <s v="CPV"/>
    <x v="7"/>
    <n v="261404"/>
  </r>
  <r>
    <x v="32"/>
    <s v="CPV"/>
    <x v="8"/>
    <n v="270164"/>
  </r>
  <r>
    <x v="32"/>
    <s v="CPV"/>
    <x v="9"/>
    <n v="279248"/>
  </r>
  <r>
    <x v="32"/>
    <s v="CPV"/>
    <x v="10"/>
    <n v="287885"/>
  </r>
  <r>
    <x v="32"/>
    <s v="CPV"/>
    <x v="11"/>
    <n v="294046"/>
  </r>
  <r>
    <x v="32"/>
    <s v="CPV"/>
    <x v="12"/>
    <n v="297386"/>
  </r>
  <r>
    <x v="32"/>
    <s v="CPV"/>
    <x v="13"/>
    <n v="299881"/>
  </r>
  <r>
    <x v="32"/>
    <s v="CPV"/>
    <x v="14"/>
    <n v="302570"/>
  </r>
  <r>
    <x v="32"/>
    <s v="CPV"/>
    <x v="15"/>
    <n v="305847"/>
  </r>
  <r>
    <x v="32"/>
    <s v="CPV"/>
    <x v="16"/>
    <n v="309455"/>
  </r>
  <r>
    <x v="32"/>
    <s v="CPV"/>
    <x v="17"/>
    <n v="312834"/>
  </r>
  <r>
    <x v="32"/>
    <s v="CPV"/>
    <x v="18"/>
    <n v="316147"/>
  </r>
  <r>
    <x v="32"/>
    <s v="CPV"/>
    <x v="19"/>
    <n v="319480"/>
  </r>
  <r>
    <x v="32"/>
    <s v="CPV"/>
    <x v="20"/>
    <n v="323301"/>
  </r>
  <r>
    <x v="32"/>
    <s v="CPV"/>
    <x v="21"/>
    <n v="327846"/>
  </r>
  <r>
    <x v="32"/>
    <s v="CPV"/>
    <x v="22"/>
    <n v="332724"/>
  </r>
  <r>
    <x v="32"/>
    <s v="CPV"/>
    <x v="23"/>
    <n v="337654"/>
  </r>
  <r>
    <x v="32"/>
    <s v="CPV"/>
    <x v="24"/>
    <n v="342505"/>
  </r>
  <r>
    <x v="32"/>
    <s v="CPV"/>
    <x v="25"/>
    <n v="347365"/>
  </r>
  <r>
    <x v="32"/>
    <s v="CPV"/>
    <x v="26"/>
    <n v="352312"/>
  </r>
  <r>
    <x v="32"/>
    <s v="CPV"/>
    <x v="27"/>
    <n v="357302"/>
  </r>
  <r>
    <x v="32"/>
    <s v="CPV"/>
    <x v="28"/>
    <n v="362329"/>
  </r>
  <r>
    <x v="32"/>
    <s v="CPV"/>
    <x v="29"/>
    <n v="367803"/>
  </r>
  <r>
    <x v="32"/>
    <s v="CPV"/>
    <x v="30"/>
    <n v="375428"/>
  </r>
  <r>
    <x v="32"/>
    <s v="CPV"/>
    <x v="31"/>
    <n v="384586"/>
  </r>
  <r>
    <x v="32"/>
    <s v="CPV"/>
    <x v="32"/>
    <n v="393415"/>
  </r>
  <r>
    <x v="32"/>
    <s v="CPV"/>
    <x v="33"/>
    <n v="401965"/>
  </r>
  <r>
    <x v="32"/>
    <s v="CPV"/>
    <x v="34"/>
    <n v="410228"/>
  </r>
  <r>
    <x v="32"/>
    <s v="CPV"/>
    <x v="35"/>
    <n v="418104"/>
  </r>
  <r>
    <x v="32"/>
    <s v="CPV"/>
    <x v="36"/>
    <n v="425581"/>
  </r>
  <r>
    <x v="32"/>
    <s v="CPV"/>
    <x v="37"/>
    <n v="432798"/>
  </r>
  <r>
    <x v="32"/>
    <s v="CPV"/>
    <x v="38"/>
    <n v="439784"/>
  </r>
  <r>
    <x v="32"/>
    <s v="CPV"/>
    <x v="39"/>
    <n v="446519"/>
  </r>
  <r>
    <x v="32"/>
    <s v="CPV"/>
    <x v="40"/>
    <n v="453317"/>
  </r>
  <r>
    <x v="32"/>
    <s v="CPV"/>
    <x v="41"/>
    <n v="460293"/>
  </r>
  <r>
    <x v="32"/>
    <s v="CPV"/>
    <x v="42"/>
    <n v="467046"/>
  </r>
  <r>
    <x v="32"/>
    <s v="CPV"/>
    <x v="43"/>
    <n v="473383"/>
  </r>
  <r>
    <x v="32"/>
    <s v="CPV"/>
    <x v="44"/>
    <n v="479370"/>
  </r>
  <r>
    <x v="32"/>
    <s v="CPV"/>
    <x v="45"/>
    <n v="485115"/>
  </r>
  <r>
    <x v="32"/>
    <s v="CPV"/>
    <x v="46"/>
    <n v="490728"/>
  </r>
  <r>
    <x v="32"/>
    <s v="CPV"/>
    <x v="47"/>
    <n v="496190"/>
  </r>
  <r>
    <x v="32"/>
    <s v="CPV"/>
    <x v="48"/>
    <n v="501355"/>
  </r>
  <r>
    <x v="32"/>
    <s v="CPV"/>
    <x v="49"/>
    <n v="506141"/>
  </r>
  <r>
    <x v="32"/>
    <s v="CPV"/>
    <x v="50"/>
    <n v="509784"/>
  </r>
  <r>
    <x v="32"/>
    <s v="CPV"/>
    <x v="51"/>
    <n v="511447"/>
  </r>
  <r>
    <x v="32"/>
    <s v="CPV"/>
    <x v="52"/>
    <n v="511955"/>
  </r>
  <r>
    <x v="32"/>
    <s v="CPV"/>
    <x v="53"/>
    <n v="512225"/>
  </r>
  <r>
    <x v="32"/>
    <s v="CPV"/>
    <x v="54"/>
    <n v="512326"/>
  </r>
  <r>
    <x v="32"/>
    <s v="CPV"/>
    <x v="55"/>
    <n v="512394"/>
  </r>
  <r>
    <x v="32"/>
    <s v="CPV"/>
    <x v="56"/>
    <n v="512554"/>
  </r>
  <r>
    <x v="32"/>
    <s v="CPV"/>
    <x v="57"/>
    <n v="512893"/>
  </r>
  <r>
    <x v="32"/>
    <s v="CPV"/>
    <x v="58"/>
    <n v="513415"/>
  </r>
  <r>
    <x v="32"/>
    <s v="CPV"/>
    <x v="59"/>
    <n v="514104"/>
  </r>
  <r>
    <x v="32"/>
    <s v="CPV"/>
    <x v="60"/>
    <n v="514679"/>
  </r>
  <r>
    <x v="32"/>
    <s v="CPV"/>
    <x v="61"/>
    <n v="516649"/>
  </r>
  <r>
    <x v="32"/>
    <s v="CPV"/>
    <x v="62"/>
    <n v="519741"/>
  </r>
  <r>
    <x v="32"/>
    <s v="CPV"/>
    <x v="63"/>
    <n v="522331"/>
  </r>
  <r>
    <x v="32"/>
    <s v="CPV"/>
    <x v="64"/>
    <n v="524877"/>
  </r>
  <r>
    <x v="33"/>
    <s v="KHM"/>
    <x v="0"/>
    <n v="5449966"/>
  </r>
  <r>
    <x v="33"/>
    <s v="KHM"/>
    <x v="1"/>
    <n v="5571168"/>
  </r>
  <r>
    <x v="33"/>
    <s v="KHM"/>
    <x v="2"/>
    <n v="5697558"/>
  </r>
  <r>
    <x v="33"/>
    <s v="KHM"/>
    <x v="3"/>
    <n v="5823010"/>
  </r>
  <r>
    <x v="33"/>
    <s v="KHM"/>
    <x v="4"/>
    <n v="5946178"/>
  </r>
  <r>
    <x v="33"/>
    <s v="KHM"/>
    <x v="5"/>
    <n v="6072289"/>
  </r>
  <r>
    <x v="33"/>
    <s v="KHM"/>
    <x v="6"/>
    <n v="6201232"/>
  </r>
  <r>
    <x v="33"/>
    <s v="KHM"/>
    <x v="7"/>
    <n v="6332944"/>
  </r>
  <r>
    <x v="33"/>
    <s v="KHM"/>
    <x v="8"/>
    <n v="6467324"/>
  </r>
  <r>
    <x v="33"/>
    <s v="KHM"/>
    <x v="9"/>
    <n v="6604725"/>
  </r>
  <r>
    <x v="33"/>
    <s v="KHM"/>
    <x v="10"/>
    <n v="6639182"/>
  </r>
  <r>
    <x v="33"/>
    <s v="KHM"/>
    <x v="11"/>
    <n v="6620880"/>
  </r>
  <r>
    <x v="33"/>
    <s v="KHM"/>
    <x v="12"/>
    <n v="6673886"/>
  </r>
  <r>
    <x v="33"/>
    <s v="KHM"/>
    <x v="13"/>
    <n v="6739726"/>
  </r>
  <r>
    <x v="33"/>
    <s v="KHM"/>
    <x v="14"/>
    <n v="6783240"/>
  </r>
  <r>
    <x v="33"/>
    <s v="KHM"/>
    <x v="15"/>
    <n v="6581371"/>
  </r>
  <r>
    <x v="33"/>
    <s v="KHM"/>
    <x v="16"/>
    <n v="6134991"/>
  </r>
  <r>
    <x v="33"/>
    <s v="KHM"/>
    <x v="17"/>
    <n v="5668551"/>
  </r>
  <r>
    <x v="33"/>
    <s v="KHM"/>
    <x v="18"/>
    <n v="5211653"/>
  </r>
  <r>
    <x v="33"/>
    <s v="KHM"/>
    <x v="19"/>
    <n v="5088808"/>
  </r>
  <r>
    <x v="33"/>
    <s v="KHM"/>
    <x v="20"/>
    <n v="5199872"/>
  </r>
  <r>
    <x v="33"/>
    <s v="KHM"/>
    <x v="21"/>
    <n v="5284495"/>
  </r>
  <r>
    <x v="33"/>
    <s v="KHM"/>
    <x v="22"/>
    <n v="5436432"/>
  </r>
  <r>
    <x v="33"/>
    <s v="KHM"/>
    <x v="23"/>
    <n v="5636203"/>
  </r>
  <r>
    <x v="33"/>
    <s v="KHM"/>
    <x v="24"/>
    <n v="5845117"/>
  </r>
  <r>
    <x v="33"/>
    <s v="KHM"/>
    <x v="25"/>
    <n v="6043783"/>
  </r>
  <r>
    <x v="33"/>
    <s v="KHM"/>
    <x v="26"/>
    <n v="6285693"/>
  </r>
  <r>
    <x v="33"/>
    <s v="KHM"/>
    <x v="27"/>
    <n v="6557970"/>
  </r>
  <r>
    <x v="33"/>
    <s v="KHM"/>
    <x v="28"/>
    <n v="6812014"/>
  </r>
  <r>
    <x v="33"/>
    <s v="KHM"/>
    <x v="29"/>
    <n v="7073473"/>
  </r>
  <r>
    <x v="33"/>
    <s v="KHM"/>
    <x v="30"/>
    <n v="7374752"/>
  </r>
  <r>
    <x v="33"/>
    <s v="KHM"/>
    <x v="31"/>
    <n v="7686850"/>
  </r>
  <r>
    <x v="33"/>
    <s v="KHM"/>
    <x v="32"/>
    <n v="8113083"/>
  </r>
  <r>
    <x v="33"/>
    <s v="KHM"/>
    <x v="33"/>
    <n v="8616381"/>
  </r>
  <r>
    <x v="33"/>
    <s v="KHM"/>
    <x v="34"/>
    <n v="9239162"/>
  </r>
  <r>
    <x v="33"/>
    <s v="KHM"/>
    <x v="35"/>
    <n v="10018497"/>
  </r>
  <r>
    <x v="33"/>
    <s v="KHM"/>
    <x v="36"/>
    <n v="10801270"/>
  </r>
  <r>
    <x v="33"/>
    <s v="KHM"/>
    <x v="37"/>
    <n v="11570982"/>
  </r>
  <r>
    <x v="33"/>
    <s v="KHM"/>
    <x v="38"/>
    <n v="12058173"/>
  </r>
  <r>
    <x v="33"/>
    <s v="KHM"/>
    <x v="39"/>
    <n v="12265731"/>
  </r>
  <r>
    <x v="33"/>
    <s v="KHM"/>
    <x v="40"/>
    <n v="12462336"/>
  </r>
  <r>
    <x v="33"/>
    <s v="KHM"/>
    <x v="41"/>
    <n v="12658484"/>
  </r>
  <r>
    <x v="33"/>
    <s v="KHM"/>
    <x v="42"/>
    <n v="12855241"/>
  </r>
  <r>
    <x v="33"/>
    <s v="KHM"/>
    <x v="43"/>
    <n v="13050968"/>
  </r>
  <r>
    <x v="33"/>
    <s v="KHM"/>
    <x v="44"/>
    <n v="13244731"/>
  </r>
  <r>
    <x v="33"/>
    <s v="KHM"/>
    <x v="45"/>
    <n v="13439202"/>
  </r>
  <r>
    <x v="33"/>
    <s v="KHM"/>
    <x v="46"/>
    <n v="13639028"/>
  </r>
  <r>
    <x v="33"/>
    <s v="KHM"/>
    <x v="47"/>
    <n v="13841770"/>
  </r>
  <r>
    <x v="33"/>
    <s v="KHM"/>
    <x v="48"/>
    <n v="14053479"/>
  </r>
  <r>
    <x v="33"/>
    <s v="KHM"/>
    <x v="49"/>
    <n v="14276810"/>
  </r>
  <r>
    <x v="33"/>
    <s v="KHM"/>
    <x v="50"/>
    <n v="14500726"/>
  </r>
  <r>
    <x v="33"/>
    <s v="KHM"/>
    <x v="51"/>
    <n v="14722584"/>
  </r>
  <r>
    <x v="33"/>
    <s v="KHM"/>
    <x v="52"/>
    <n v="14945085"/>
  </r>
  <r>
    <x v="33"/>
    <s v="KHM"/>
    <x v="53"/>
    <n v="15170208"/>
  </r>
  <r>
    <x v="33"/>
    <s v="KHM"/>
    <x v="54"/>
    <n v="15396772"/>
  </r>
  <r>
    <x v="33"/>
    <s v="KHM"/>
    <x v="55"/>
    <n v="15623251"/>
  </r>
  <r>
    <x v="33"/>
    <s v="KHM"/>
    <x v="56"/>
    <n v="15852803"/>
  </r>
  <r>
    <x v="33"/>
    <s v="KHM"/>
    <x v="57"/>
    <n v="16073372"/>
  </r>
  <r>
    <x v="33"/>
    <s v="KHM"/>
    <x v="58"/>
    <n v="16274522"/>
  </r>
  <r>
    <x v="33"/>
    <s v="KHM"/>
    <x v="59"/>
    <n v="16481304"/>
  </r>
  <r>
    <x v="33"/>
    <s v="KHM"/>
    <x v="60"/>
    <n v="16725474"/>
  </r>
  <r>
    <x v="33"/>
    <s v="KHM"/>
    <x v="61"/>
    <n v="16974305"/>
  </r>
  <r>
    <x v="33"/>
    <s v="KHM"/>
    <x v="62"/>
    <n v="17201724"/>
  </r>
  <r>
    <x v="33"/>
    <s v="KHM"/>
    <x v="63"/>
    <n v="17423880"/>
  </r>
  <r>
    <x v="33"/>
    <s v="KHM"/>
    <x v="64"/>
    <n v="17638801"/>
  </r>
  <r>
    <x v="34"/>
    <s v="CMR"/>
    <x v="0"/>
    <n v="5159057"/>
  </r>
  <r>
    <x v="34"/>
    <s v="CMR"/>
    <x v="1"/>
    <n v="5239273"/>
  </r>
  <r>
    <x v="34"/>
    <s v="CMR"/>
    <x v="2"/>
    <n v="5338620"/>
  </r>
  <r>
    <x v="34"/>
    <s v="CMR"/>
    <x v="3"/>
    <n v="5456623"/>
  </r>
  <r>
    <x v="34"/>
    <s v="CMR"/>
    <x v="4"/>
    <n v="5578257"/>
  </r>
  <r>
    <x v="34"/>
    <s v="CMR"/>
    <x v="5"/>
    <n v="5704686"/>
  </r>
  <r>
    <x v="34"/>
    <s v="CMR"/>
    <x v="6"/>
    <n v="5837295"/>
  </r>
  <r>
    <x v="34"/>
    <s v="CMR"/>
    <x v="7"/>
    <n v="5977318"/>
  </r>
  <r>
    <x v="34"/>
    <s v="CMR"/>
    <x v="8"/>
    <n v="6125863"/>
  </r>
  <r>
    <x v="34"/>
    <s v="CMR"/>
    <x v="9"/>
    <n v="6283462"/>
  </r>
  <r>
    <x v="34"/>
    <s v="CMR"/>
    <x v="10"/>
    <n v="6449793"/>
  </r>
  <r>
    <x v="34"/>
    <s v="CMR"/>
    <x v="11"/>
    <n v="6624408"/>
  </r>
  <r>
    <x v="34"/>
    <s v="CMR"/>
    <x v="12"/>
    <n v="6806872"/>
  </r>
  <r>
    <x v="34"/>
    <s v="CMR"/>
    <x v="13"/>
    <n v="6996660"/>
  </r>
  <r>
    <x v="34"/>
    <s v="CMR"/>
    <x v="14"/>
    <n v="7193583"/>
  </r>
  <r>
    <x v="34"/>
    <s v="CMR"/>
    <x v="15"/>
    <n v="7397120"/>
  </r>
  <r>
    <x v="34"/>
    <s v="CMR"/>
    <x v="16"/>
    <n v="7597962"/>
  </r>
  <r>
    <x v="34"/>
    <s v="CMR"/>
    <x v="17"/>
    <n v="7796501"/>
  </r>
  <r>
    <x v="34"/>
    <s v="CMR"/>
    <x v="18"/>
    <n v="8011921"/>
  </r>
  <r>
    <x v="34"/>
    <s v="CMR"/>
    <x v="19"/>
    <n v="8239641"/>
  </r>
  <r>
    <x v="34"/>
    <s v="CMR"/>
    <x v="20"/>
    <n v="8512219"/>
  </r>
  <r>
    <x v="34"/>
    <s v="CMR"/>
    <x v="21"/>
    <n v="8816377"/>
  </r>
  <r>
    <x v="34"/>
    <s v="CMR"/>
    <x v="22"/>
    <n v="9028678"/>
  </r>
  <r>
    <x v="34"/>
    <s v="CMR"/>
    <x v="23"/>
    <n v="9215397"/>
  </r>
  <r>
    <x v="34"/>
    <s v="CMR"/>
    <x v="24"/>
    <n v="9475078"/>
  </r>
  <r>
    <x v="34"/>
    <s v="CMR"/>
    <x v="25"/>
    <n v="9761730"/>
  </r>
  <r>
    <x v="34"/>
    <s v="CMR"/>
    <x v="26"/>
    <n v="10060342"/>
  </r>
  <r>
    <x v="34"/>
    <s v="CMR"/>
    <x v="27"/>
    <n v="10370749"/>
  </r>
  <r>
    <x v="34"/>
    <s v="CMR"/>
    <x v="28"/>
    <n v="10684968"/>
  </r>
  <r>
    <x v="34"/>
    <s v="CMR"/>
    <x v="29"/>
    <n v="11002745"/>
  </r>
  <r>
    <x v="34"/>
    <s v="CMR"/>
    <x v="30"/>
    <n v="11331821"/>
  </r>
  <r>
    <x v="34"/>
    <s v="CMR"/>
    <x v="31"/>
    <n v="11667180"/>
  </r>
  <r>
    <x v="34"/>
    <s v="CMR"/>
    <x v="32"/>
    <n v="12006353"/>
  </r>
  <r>
    <x v="34"/>
    <s v="CMR"/>
    <x v="33"/>
    <n v="12353131"/>
  </r>
  <r>
    <x v="34"/>
    <s v="CMR"/>
    <x v="34"/>
    <n v="12704903"/>
  </r>
  <r>
    <x v="34"/>
    <s v="CMR"/>
    <x v="35"/>
    <n v="13058516"/>
  </r>
  <r>
    <x v="34"/>
    <s v="CMR"/>
    <x v="36"/>
    <n v="13414757"/>
  </r>
  <r>
    <x v="34"/>
    <s v="CMR"/>
    <x v="37"/>
    <n v="13775214"/>
  </r>
  <r>
    <x v="34"/>
    <s v="CMR"/>
    <x v="38"/>
    <n v="14144860"/>
  </r>
  <r>
    <x v="34"/>
    <s v="CMR"/>
    <x v="39"/>
    <n v="14525140"/>
  </r>
  <r>
    <x v="34"/>
    <s v="CMR"/>
    <x v="40"/>
    <n v="14912631"/>
  </r>
  <r>
    <x v="34"/>
    <s v="CMR"/>
    <x v="41"/>
    <n v="15309490"/>
  </r>
  <r>
    <x v="34"/>
    <s v="CMR"/>
    <x v="42"/>
    <n v="15725528"/>
  </r>
  <r>
    <x v="34"/>
    <s v="CMR"/>
    <x v="43"/>
    <n v="16160340"/>
  </r>
  <r>
    <x v="34"/>
    <s v="CMR"/>
    <x v="44"/>
    <n v="16610487"/>
  </r>
  <r>
    <x v="34"/>
    <s v="CMR"/>
    <x v="45"/>
    <n v="17074594"/>
  </r>
  <r>
    <x v="34"/>
    <s v="CMR"/>
    <x v="46"/>
    <n v="17550407"/>
  </r>
  <r>
    <x v="34"/>
    <s v="CMR"/>
    <x v="47"/>
    <n v="18049896"/>
  </r>
  <r>
    <x v="34"/>
    <s v="CMR"/>
    <x v="48"/>
    <n v="18574056"/>
  </r>
  <r>
    <x v="34"/>
    <s v="CMR"/>
    <x v="49"/>
    <n v="19113974"/>
  </r>
  <r>
    <x v="34"/>
    <s v="CMR"/>
    <x v="50"/>
    <n v="19668066"/>
  </r>
  <r>
    <x v="34"/>
    <s v="CMR"/>
    <x v="51"/>
    <n v="20232304"/>
  </r>
  <r>
    <x v="34"/>
    <s v="CMR"/>
    <x v="52"/>
    <n v="20809529"/>
  </r>
  <r>
    <x v="34"/>
    <s v="CMR"/>
    <x v="53"/>
    <n v="21402376"/>
  </r>
  <r>
    <x v="34"/>
    <s v="CMR"/>
    <x v="54"/>
    <n v="22059893"/>
  </r>
  <r>
    <x v="34"/>
    <s v="CMR"/>
    <x v="55"/>
    <n v="22763414"/>
  </r>
  <r>
    <x v="34"/>
    <s v="CMR"/>
    <x v="56"/>
    <n v="23454161"/>
  </r>
  <r>
    <x v="34"/>
    <s v="CMR"/>
    <x v="57"/>
    <n v="24128601"/>
  </r>
  <r>
    <x v="34"/>
    <s v="CMR"/>
    <x v="58"/>
    <n v="24806383"/>
  </r>
  <r>
    <x v="34"/>
    <s v="CMR"/>
    <x v="59"/>
    <n v="25506095"/>
  </r>
  <r>
    <x v="34"/>
    <s v="CMR"/>
    <x v="60"/>
    <n v="26210558"/>
  </r>
  <r>
    <x v="34"/>
    <s v="CMR"/>
    <x v="61"/>
    <n v="26915758"/>
  </r>
  <r>
    <x v="34"/>
    <s v="CMR"/>
    <x v="62"/>
    <n v="27632771"/>
  </r>
  <r>
    <x v="34"/>
    <s v="CMR"/>
    <x v="63"/>
    <n v="28372687"/>
  </r>
  <r>
    <x v="34"/>
    <s v="CMR"/>
    <x v="64"/>
    <n v="29123744"/>
  </r>
  <r>
    <x v="35"/>
    <s v="CAN"/>
    <x v="0"/>
    <n v="17909356"/>
  </r>
  <r>
    <x v="35"/>
    <s v="CAN"/>
    <x v="1"/>
    <n v="18271000"/>
  </r>
  <r>
    <x v="35"/>
    <s v="CAN"/>
    <x v="2"/>
    <n v="18614000"/>
  </r>
  <r>
    <x v="35"/>
    <s v="CAN"/>
    <x v="3"/>
    <n v="18964000"/>
  </r>
  <r>
    <x v="35"/>
    <s v="CAN"/>
    <x v="4"/>
    <n v="19325000"/>
  </r>
  <r>
    <x v="35"/>
    <s v="CAN"/>
    <x v="5"/>
    <n v="19678000"/>
  </r>
  <r>
    <x v="35"/>
    <s v="CAN"/>
    <x v="6"/>
    <n v="20048000"/>
  </r>
  <r>
    <x v="35"/>
    <s v="CAN"/>
    <x v="7"/>
    <n v="20412000"/>
  </r>
  <r>
    <x v="35"/>
    <s v="CAN"/>
    <x v="8"/>
    <n v="20744000"/>
  </r>
  <r>
    <x v="35"/>
    <s v="CAN"/>
    <x v="9"/>
    <n v="21028000"/>
  </r>
  <r>
    <x v="35"/>
    <s v="CAN"/>
    <x v="10"/>
    <n v="21324000"/>
  </r>
  <r>
    <x v="35"/>
    <s v="CAN"/>
    <x v="11"/>
    <n v="21962032"/>
  </r>
  <r>
    <x v="35"/>
    <s v="CAN"/>
    <x v="12"/>
    <n v="22218463"/>
  </r>
  <r>
    <x v="35"/>
    <s v="CAN"/>
    <x v="13"/>
    <n v="22491777"/>
  </r>
  <r>
    <x v="35"/>
    <s v="CAN"/>
    <x v="14"/>
    <n v="22807969"/>
  </r>
  <r>
    <x v="35"/>
    <s v="CAN"/>
    <x v="15"/>
    <n v="23143275"/>
  </r>
  <r>
    <x v="35"/>
    <s v="CAN"/>
    <x v="16"/>
    <n v="23449808"/>
  </r>
  <r>
    <x v="35"/>
    <s v="CAN"/>
    <x v="17"/>
    <n v="23725843"/>
  </r>
  <r>
    <x v="35"/>
    <s v="CAN"/>
    <x v="18"/>
    <n v="23963203"/>
  </r>
  <r>
    <x v="35"/>
    <s v="CAN"/>
    <x v="19"/>
    <n v="24201544"/>
  </r>
  <r>
    <x v="35"/>
    <s v="CAN"/>
    <x v="20"/>
    <n v="24515667"/>
  </r>
  <r>
    <x v="35"/>
    <s v="CAN"/>
    <x v="21"/>
    <n v="24819915"/>
  </r>
  <r>
    <x v="35"/>
    <s v="CAN"/>
    <x v="22"/>
    <n v="25116942"/>
  </r>
  <r>
    <x v="35"/>
    <s v="CAN"/>
    <x v="23"/>
    <n v="25366451"/>
  </r>
  <r>
    <x v="35"/>
    <s v="CAN"/>
    <x v="24"/>
    <n v="25607053"/>
  </r>
  <r>
    <x v="35"/>
    <s v="CAN"/>
    <x v="25"/>
    <n v="25842116"/>
  </r>
  <r>
    <x v="35"/>
    <s v="CAN"/>
    <x v="26"/>
    <n v="26100278"/>
  </r>
  <r>
    <x v="35"/>
    <s v="CAN"/>
    <x v="27"/>
    <n v="26446601"/>
  </r>
  <r>
    <x v="35"/>
    <s v="CAN"/>
    <x v="28"/>
    <n v="26791747"/>
  </r>
  <r>
    <x v="35"/>
    <s v="CAN"/>
    <x v="29"/>
    <n v="27276781"/>
  </r>
  <r>
    <x v="35"/>
    <s v="CAN"/>
    <x v="30"/>
    <n v="27691138"/>
  </r>
  <r>
    <x v="35"/>
    <s v="CAN"/>
    <x v="31"/>
    <n v="28037420"/>
  </r>
  <r>
    <x v="35"/>
    <s v="CAN"/>
    <x v="32"/>
    <n v="28371264"/>
  </r>
  <r>
    <x v="35"/>
    <s v="CAN"/>
    <x v="33"/>
    <n v="28684764"/>
  </r>
  <r>
    <x v="35"/>
    <s v="CAN"/>
    <x v="34"/>
    <n v="29000663"/>
  </r>
  <r>
    <x v="35"/>
    <s v="CAN"/>
    <x v="35"/>
    <n v="29302311"/>
  </r>
  <r>
    <x v="35"/>
    <s v="CAN"/>
    <x v="36"/>
    <n v="29610218"/>
  </r>
  <r>
    <x v="35"/>
    <s v="CAN"/>
    <x v="37"/>
    <n v="29905948"/>
  </r>
  <r>
    <x v="35"/>
    <s v="CAN"/>
    <x v="38"/>
    <n v="30155173"/>
  </r>
  <r>
    <x v="35"/>
    <s v="CAN"/>
    <x v="39"/>
    <n v="30401286"/>
  </r>
  <r>
    <x v="35"/>
    <s v="CAN"/>
    <x v="40"/>
    <n v="30685730"/>
  </r>
  <r>
    <x v="35"/>
    <s v="CAN"/>
    <x v="41"/>
    <n v="31020855"/>
  </r>
  <r>
    <x v="35"/>
    <s v="CAN"/>
    <x v="42"/>
    <n v="31359199"/>
  </r>
  <r>
    <x v="35"/>
    <s v="CAN"/>
    <x v="43"/>
    <n v="31642461"/>
  </r>
  <r>
    <x v="35"/>
    <s v="CAN"/>
    <x v="44"/>
    <n v="31938807"/>
  </r>
  <r>
    <x v="35"/>
    <s v="CAN"/>
    <x v="45"/>
    <n v="32242732"/>
  </r>
  <r>
    <x v="35"/>
    <s v="CAN"/>
    <x v="46"/>
    <n v="32571193"/>
  </r>
  <r>
    <x v="35"/>
    <s v="CAN"/>
    <x v="47"/>
    <n v="32888886"/>
  </r>
  <r>
    <x v="35"/>
    <s v="CAN"/>
    <x v="48"/>
    <n v="33247298"/>
  </r>
  <r>
    <x v="35"/>
    <s v="CAN"/>
    <x v="49"/>
    <n v="33630069"/>
  </r>
  <r>
    <x v="35"/>
    <s v="CAN"/>
    <x v="50"/>
    <n v="34005902"/>
  </r>
  <r>
    <x v="35"/>
    <s v="CAN"/>
    <x v="51"/>
    <n v="34339221"/>
  </r>
  <r>
    <x v="35"/>
    <s v="CAN"/>
    <x v="52"/>
    <n v="34713395"/>
  </r>
  <r>
    <x v="35"/>
    <s v="CAN"/>
    <x v="53"/>
    <n v="35080992"/>
  </r>
  <r>
    <x v="35"/>
    <s v="CAN"/>
    <x v="54"/>
    <n v="35434066"/>
  </r>
  <r>
    <x v="35"/>
    <s v="CAN"/>
    <x v="55"/>
    <n v="35704498"/>
  </r>
  <r>
    <x v="35"/>
    <s v="CAN"/>
    <x v="56"/>
    <n v="36110803"/>
  </r>
  <r>
    <x v="35"/>
    <s v="CAN"/>
    <x v="57"/>
    <n v="36545075"/>
  </r>
  <r>
    <x v="35"/>
    <s v="CAN"/>
    <x v="58"/>
    <n v="37072620"/>
  </r>
  <r>
    <x v="35"/>
    <s v="CAN"/>
    <x v="59"/>
    <n v="37618495"/>
  </r>
  <r>
    <x v="35"/>
    <s v="CAN"/>
    <x v="60"/>
    <n v="38028638"/>
  </r>
  <r>
    <x v="35"/>
    <s v="CAN"/>
    <x v="61"/>
    <n v="38239864"/>
  </r>
  <r>
    <x v="35"/>
    <s v="CAN"/>
    <x v="62"/>
    <n v="38935934"/>
  </r>
  <r>
    <x v="35"/>
    <s v="CAN"/>
    <x v="63"/>
    <n v="40083484"/>
  </r>
  <r>
    <x v="35"/>
    <s v="CAN"/>
    <x v="64"/>
    <n v="41288599"/>
  </r>
  <r>
    <x v="36"/>
    <s v="CYM"/>
    <x v="0"/>
    <n v="8428"/>
  </r>
  <r>
    <x v="36"/>
    <s v="CYM"/>
    <x v="1"/>
    <n v="8601"/>
  </r>
  <r>
    <x v="36"/>
    <s v="CYM"/>
    <x v="2"/>
    <n v="8781"/>
  </r>
  <r>
    <x v="36"/>
    <s v="CYM"/>
    <x v="3"/>
    <n v="8970"/>
  </r>
  <r>
    <x v="36"/>
    <s v="CYM"/>
    <x v="4"/>
    <n v="9166"/>
  </r>
  <r>
    <x v="36"/>
    <s v="CYM"/>
    <x v="5"/>
    <n v="9361"/>
  </r>
  <r>
    <x v="36"/>
    <s v="CYM"/>
    <x v="6"/>
    <n v="9560"/>
  </r>
  <r>
    <x v="36"/>
    <s v="CYM"/>
    <x v="7"/>
    <n v="9769"/>
  </r>
  <r>
    <x v="36"/>
    <s v="CYM"/>
    <x v="8"/>
    <n v="9971"/>
  </r>
  <r>
    <x v="36"/>
    <s v="CYM"/>
    <x v="9"/>
    <n v="10165"/>
  </r>
  <r>
    <x v="36"/>
    <s v="CYM"/>
    <x v="10"/>
    <n v="10517"/>
  </r>
  <r>
    <x v="36"/>
    <s v="CYM"/>
    <x v="11"/>
    <n v="11098"/>
  </r>
  <r>
    <x v="36"/>
    <s v="CYM"/>
    <x v="12"/>
    <n v="11764"/>
  </r>
  <r>
    <x v="36"/>
    <s v="CYM"/>
    <x v="13"/>
    <n v="12438"/>
  </r>
  <r>
    <x v="36"/>
    <s v="CYM"/>
    <x v="14"/>
    <n v="13114"/>
  </r>
  <r>
    <x v="36"/>
    <s v="CYM"/>
    <x v="15"/>
    <n v="13788"/>
  </r>
  <r>
    <x v="36"/>
    <s v="CYM"/>
    <x v="16"/>
    <n v="14454"/>
  </r>
  <r>
    <x v="36"/>
    <s v="CYM"/>
    <x v="17"/>
    <n v="15105"/>
  </r>
  <r>
    <x v="36"/>
    <s v="CYM"/>
    <x v="18"/>
    <n v="15727"/>
  </r>
  <r>
    <x v="36"/>
    <s v="CYM"/>
    <x v="19"/>
    <n v="16351"/>
  </r>
  <r>
    <x v="36"/>
    <s v="CYM"/>
    <x v="20"/>
    <n v="17079"/>
  </r>
  <r>
    <x v="36"/>
    <s v="CYM"/>
    <x v="21"/>
    <n v="17905"/>
  </r>
  <r>
    <x v="36"/>
    <s v="CYM"/>
    <x v="22"/>
    <n v="18750"/>
  </r>
  <r>
    <x v="36"/>
    <s v="CYM"/>
    <x v="23"/>
    <n v="19598"/>
  </r>
  <r>
    <x v="36"/>
    <s v="CYM"/>
    <x v="24"/>
    <n v="20454"/>
  </r>
  <r>
    <x v="36"/>
    <s v="CYM"/>
    <x v="25"/>
    <n v="21324"/>
  </r>
  <r>
    <x v="36"/>
    <s v="CYM"/>
    <x v="26"/>
    <n v="22197"/>
  </r>
  <r>
    <x v="36"/>
    <s v="CYM"/>
    <x v="27"/>
    <n v="23073"/>
  </r>
  <r>
    <x v="36"/>
    <s v="CYM"/>
    <x v="28"/>
    <n v="23951"/>
  </r>
  <r>
    <x v="36"/>
    <s v="CYM"/>
    <x v="29"/>
    <n v="24874"/>
  </r>
  <r>
    <x v="36"/>
    <s v="CYM"/>
    <x v="30"/>
    <n v="25999"/>
  </r>
  <r>
    <x v="36"/>
    <s v="CYM"/>
    <x v="31"/>
    <n v="27294"/>
  </r>
  <r>
    <x v="36"/>
    <s v="CYM"/>
    <x v="32"/>
    <n v="28621"/>
  </r>
  <r>
    <x v="36"/>
    <s v="CYM"/>
    <x v="33"/>
    <n v="29976"/>
  </r>
  <r>
    <x v="36"/>
    <s v="CYM"/>
    <x v="34"/>
    <n v="31352"/>
  </r>
  <r>
    <x v="36"/>
    <s v="CYM"/>
    <x v="35"/>
    <n v="32743"/>
  </r>
  <r>
    <x v="36"/>
    <s v="CYM"/>
    <x v="36"/>
    <n v="34143"/>
  </r>
  <r>
    <x v="36"/>
    <s v="CYM"/>
    <x v="37"/>
    <n v="35543"/>
  </r>
  <r>
    <x v="36"/>
    <s v="CYM"/>
    <x v="38"/>
    <n v="36922"/>
  </r>
  <r>
    <x v="36"/>
    <s v="CYM"/>
    <x v="39"/>
    <n v="38284"/>
  </r>
  <r>
    <x v="36"/>
    <s v="CYM"/>
    <x v="40"/>
    <n v="39674"/>
  </r>
  <r>
    <x v="36"/>
    <s v="CYM"/>
    <x v="41"/>
    <n v="41089"/>
  </r>
  <r>
    <x v="36"/>
    <s v="CYM"/>
    <x v="42"/>
    <n v="42514"/>
  </r>
  <r>
    <x v="36"/>
    <s v="CYM"/>
    <x v="43"/>
    <n v="43934"/>
  </r>
  <r>
    <x v="36"/>
    <s v="CYM"/>
    <x v="44"/>
    <n v="45352"/>
  </r>
  <r>
    <x v="36"/>
    <s v="CYM"/>
    <x v="45"/>
    <n v="46788"/>
  </r>
  <r>
    <x v="36"/>
    <s v="CYM"/>
    <x v="46"/>
    <n v="48232"/>
  </r>
  <r>
    <x v="36"/>
    <s v="CYM"/>
    <x v="47"/>
    <n v="49687"/>
  </r>
  <r>
    <x v="36"/>
    <s v="CYM"/>
    <x v="48"/>
    <n v="51151"/>
  </r>
  <r>
    <x v="36"/>
    <s v="CYM"/>
    <x v="49"/>
    <n v="52618"/>
  </r>
  <r>
    <x v="36"/>
    <s v="CYM"/>
    <x v="50"/>
    <n v="54099"/>
  </r>
  <r>
    <x v="36"/>
    <s v="CYM"/>
    <x v="51"/>
    <n v="55606"/>
  </r>
  <r>
    <x v="36"/>
    <s v="CYM"/>
    <x v="52"/>
    <n v="57136"/>
  </r>
  <r>
    <x v="36"/>
    <s v="CYM"/>
    <x v="53"/>
    <n v="58655"/>
  </r>
  <r>
    <x v="36"/>
    <s v="CYM"/>
    <x v="54"/>
    <n v="60160"/>
  </r>
  <r>
    <x v="36"/>
    <s v="CYM"/>
    <x v="55"/>
    <n v="61642"/>
  </r>
  <r>
    <x v="36"/>
    <s v="CYM"/>
    <x v="56"/>
    <n v="63100"/>
  </r>
  <r>
    <x v="36"/>
    <s v="CYM"/>
    <x v="57"/>
    <n v="64535"/>
  </r>
  <r>
    <x v="36"/>
    <s v="CYM"/>
    <x v="58"/>
    <n v="65941"/>
  </r>
  <r>
    <x v="36"/>
    <s v="CYM"/>
    <x v="59"/>
    <n v="67327"/>
  </r>
  <r>
    <x v="36"/>
    <s v="CYM"/>
    <x v="60"/>
    <n v="68684"/>
  </r>
  <r>
    <x v="36"/>
    <s v="CYM"/>
    <x v="61"/>
    <n v="70108"/>
  </r>
  <r>
    <x v="36"/>
    <s v="CYM"/>
    <x v="62"/>
    <n v="71591"/>
  </r>
  <r>
    <x v="36"/>
    <s v="CYM"/>
    <x v="63"/>
    <n v="73038"/>
  </r>
  <r>
    <x v="36"/>
    <s v="CYM"/>
    <x v="64"/>
    <n v="74457"/>
  </r>
  <r>
    <x v="37"/>
    <s v="CAF"/>
    <x v="0"/>
    <n v="1702346"/>
  </r>
  <r>
    <x v="37"/>
    <s v="CAF"/>
    <x v="1"/>
    <n v="1734580"/>
  </r>
  <r>
    <x v="37"/>
    <s v="CAF"/>
    <x v="2"/>
    <n v="1768115"/>
  </r>
  <r>
    <x v="37"/>
    <s v="CAF"/>
    <x v="3"/>
    <n v="1803063"/>
  </r>
  <r>
    <x v="37"/>
    <s v="CAF"/>
    <x v="4"/>
    <n v="1839583"/>
  </r>
  <r>
    <x v="37"/>
    <s v="CAF"/>
    <x v="5"/>
    <n v="1877854"/>
  </r>
  <r>
    <x v="37"/>
    <s v="CAF"/>
    <x v="6"/>
    <n v="1918082"/>
  </r>
  <r>
    <x v="37"/>
    <s v="CAF"/>
    <x v="7"/>
    <n v="1960444"/>
  </r>
  <r>
    <x v="37"/>
    <s v="CAF"/>
    <x v="8"/>
    <n v="2005100"/>
  </r>
  <r>
    <x v="37"/>
    <s v="CAF"/>
    <x v="9"/>
    <n v="2051515"/>
  </r>
  <r>
    <x v="37"/>
    <s v="CAF"/>
    <x v="10"/>
    <n v="2097505"/>
  </r>
  <r>
    <x v="37"/>
    <s v="CAF"/>
    <x v="11"/>
    <n v="2141450"/>
  </r>
  <r>
    <x v="37"/>
    <s v="CAF"/>
    <x v="12"/>
    <n v="2183769"/>
  </r>
  <r>
    <x v="37"/>
    <s v="CAF"/>
    <x v="13"/>
    <n v="2226008"/>
  </r>
  <r>
    <x v="37"/>
    <s v="CAF"/>
    <x v="14"/>
    <n v="2269338"/>
  </r>
  <r>
    <x v="37"/>
    <s v="CAF"/>
    <x v="15"/>
    <n v="2313916"/>
  </r>
  <r>
    <x v="37"/>
    <s v="CAF"/>
    <x v="16"/>
    <n v="2348566"/>
  </r>
  <r>
    <x v="37"/>
    <s v="CAF"/>
    <x v="17"/>
    <n v="2372930"/>
  </r>
  <r>
    <x v="37"/>
    <s v="CAF"/>
    <x v="18"/>
    <n v="2397961"/>
  </r>
  <r>
    <x v="37"/>
    <s v="CAF"/>
    <x v="19"/>
    <n v="2423794"/>
  </r>
  <r>
    <x v="37"/>
    <s v="CAF"/>
    <x v="20"/>
    <n v="2450535"/>
  </r>
  <r>
    <x v="37"/>
    <s v="CAF"/>
    <x v="21"/>
    <n v="2478402"/>
  </r>
  <r>
    <x v="37"/>
    <s v="CAF"/>
    <x v="22"/>
    <n v="2507375"/>
  </r>
  <r>
    <x v="37"/>
    <s v="CAF"/>
    <x v="23"/>
    <n v="2537399"/>
  </r>
  <r>
    <x v="37"/>
    <s v="CAF"/>
    <x v="24"/>
    <n v="2568610"/>
  </r>
  <r>
    <x v="37"/>
    <s v="CAF"/>
    <x v="25"/>
    <n v="2600932"/>
  </r>
  <r>
    <x v="37"/>
    <s v="CAF"/>
    <x v="26"/>
    <n v="2634258"/>
  </r>
  <r>
    <x v="37"/>
    <s v="CAF"/>
    <x v="27"/>
    <n v="2669155"/>
  </r>
  <r>
    <x v="37"/>
    <s v="CAF"/>
    <x v="28"/>
    <n v="2713965"/>
  </r>
  <r>
    <x v="37"/>
    <s v="CAF"/>
    <x v="29"/>
    <n v="2783970"/>
  </r>
  <r>
    <x v="37"/>
    <s v="CAF"/>
    <x v="30"/>
    <n v="2871910"/>
  </r>
  <r>
    <x v="37"/>
    <s v="CAF"/>
    <x v="31"/>
    <n v="2963191"/>
  </r>
  <r>
    <x v="37"/>
    <s v="CAF"/>
    <x v="32"/>
    <n v="3058831"/>
  </r>
  <r>
    <x v="37"/>
    <s v="CAF"/>
    <x v="33"/>
    <n v="3157839"/>
  </r>
  <r>
    <x v="37"/>
    <s v="CAF"/>
    <x v="34"/>
    <n v="3257954"/>
  </r>
  <r>
    <x v="37"/>
    <s v="CAF"/>
    <x v="35"/>
    <n v="3348052"/>
  </r>
  <r>
    <x v="37"/>
    <s v="CAF"/>
    <x v="36"/>
    <n v="3435965"/>
  </r>
  <r>
    <x v="37"/>
    <s v="CAF"/>
    <x v="37"/>
    <n v="3531700"/>
  </r>
  <r>
    <x v="37"/>
    <s v="CAF"/>
    <x v="38"/>
    <n v="3628827"/>
  </r>
  <r>
    <x v="37"/>
    <s v="CAF"/>
    <x v="39"/>
    <n v="3729450"/>
  </r>
  <r>
    <x v="37"/>
    <s v="CAF"/>
    <x v="40"/>
    <n v="3833416"/>
  </r>
  <r>
    <x v="37"/>
    <s v="CAF"/>
    <x v="41"/>
    <n v="3919487"/>
  </r>
  <r>
    <x v="37"/>
    <s v="CAF"/>
    <x v="42"/>
    <n v="4006077"/>
  </r>
  <r>
    <x v="37"/>
    <s v="CAF"/>
    <x v="43"/>
    <n v="4103086"/>
  </r>
  <r>
    <x v="37"/>
    <s v="CAF"/>
    <x v="44"/>
    <n v="4192826"/>
  </r>
  <r>
    <x v="37"/>
    <s v="CAF"/>
    <x v="45"/>
    <n v="4288810"/>
  </r>
  <r>
    <x v="37"/>
    <s v="CAF"/>
    <x v="46"/>
    <n v="4377579"/>
  </r>
  <r>
    <x v="37"/>
    <s v="CAF"/>
    <x v="47"/>
    <n v="4462770"/>
  </r>
  <r>
    <x v="37"/>
    <s v="CAF"/>
    <x v="48"/>
    <n v="4558984"/>
  </r>
  <r>
    <x v="37"/>
    <s v="CAF"/>
    <x v="49"/>
    <n v="4529047"/>
  </r>
  <r>
    <x v="37"/>
    <s v="CAF"/>
    <x v="50"/>
    <n v="4492995"/>
  </r>
  <r>
    <x v="37"/>
    <s v="CAF"/>
    <x v="51"/>
    <n v="4565021"/>
  </r>
  <r>
    <x v="37"/>
    <s v="CAF"/>
    <x v="52"/>
    <n v="4610848"/>
  </r>
  <r>
    <x v="37"/>
    <s v="CAF"/>
    <x v="53"/>
    <n v="4642419"/>
  </r>
  <r>
    <x v="37"/>
    <s v="CAF"/>
    <x v="54"/>
    <n v="4623182"/>
  </r>
  <r>
    <x v="37"/>
    <s v="CAF"/>
    <x v="55"/>
    <n v="4629320"/>
  </r>
  <r>
    <x v="37"/>
    <s v="CAF"/>
    <x v="56"/>
    <n v="4713663"/>
  </r>
  <r>
    <x v="37"/>
    <s v="CAF"/>
    <x v="57"/>
    <n v="4793511"/>
  </r>
  <r>
    <x v="37"/>
    <s v="CAF"/>
    <x v="58"/>
    <n v="4878657"/>
  </r>
  <r>
    <x v="37"/>
    <s v="CAF"/>
    <x v="59"/>
    <n v="4944703"/>
  </r>
  <r>
    <x v="37"/>
    <s v="CAF"/>
    <x v="60"/>
    <n v="5026628"/>
  </r>
  <r>
    <x v="37"/>
    <s v="CAF"/>
    <x v="61"/>
    <n v="5112100"/>
  </r>
  <r>
    <x v="37"/>
    <s v="CAF"/>
    <x v="62"/>
    <n v="5098039"/>
  </r>
  <r>
    <x v="37"/>
    <s v="CAF"/>
    <x v="63"/>
    <n v="5152421"/>
  </r>
  <r>
    <x v="37"/>
    <s v="CAF"/>
    <x v="64"/>
    <n v="5330690"/>
  </r>
  <r>
    <x v="38"/>
    <s v="TCD"/>
    <x v="0"/>
    <n v="3049838"/>
  </r>
  <r>
    <x v="38"/>
    <s v="TCD"/>
    <x v="1"/>
    <n v="3111947"/>
  </r>
  <r>
    <x v="38"/>
    <s v="TCD"/>
    <x v="2"/>
    <n v="3175598"/>
  </r>
  <r>
    <x v="38"/>
    <s v="TCD"/>
    <x v="3"/>
    <n v="3240905"/>
  </r>
  <r>
    <x v="38"/>
    <s v="TCD"/>
    <x v="4"/>
    <n v="3307479"/>
  </r>
  <r>
    <x v="38"/>
    <s v="TCD"/>
    <x v="5"/>
    <n v="3374220"/>
  </r>
  <r>
    <x v="38"/>
    <s v="TCD"/>
    <x v="6"/>
    <n v="3440903"/>
  </r>
  <r>
    <x v="38"/>
    <s v="TCD"/>
    <x v="7"/>
    <n v="3508512"/>
  </r>
  <r>
    <x v="38"/>
    <s v="TCD"/>
    <x v="8"/>
    <n v="3578231"/>
  </r>
  <r>
    <x v="38"/>
    <s v="TCD"/>
    <x v="9"/>
    <n v="3651113"/>
  </r>
  <r>
    <x v="38"/>
    <s v="TCD"/>
    <x v="10"/>
    <n v="3727828"/>
  </r>
  <r>
    <x v="38"/>
    <s v="TCD"/>
    <x v="11"/>
    <n v="3807316"/>
  </r>
  <r>
    <x v="38"/>
    <s v="TCD"/>
    <x v="12"/>
    <n v="3893252"/>
  </r>
  <r>
    <x v="38"/>
    <s v="TCD"/>
    <x v="13"/>
    <n v="3985909"/>
  </r>
  <r>
    <x v="38"/>
    <s v="TCD"/>
    <x v="14"/>
    <n v="4078356"/>
  </r>
  <r>
    <x v="38"/>
    <s v="TCD"/>
    <x v="15"/>
    <n v="4167234"/>
  </r>
  <r>
    <x v="38"/>
    <s v="TCD"/>
    <x v="16"/>
    <n v="4251297"/>
  </r>
  <r>
    <x v="38"/>
    <s v="TCD"/>
    <x v="17"/>
    <n v="4331667"/>
  </r>
  <r>
    <x v="38"/>
    <s v="TCD"/>
    <x v="18"/>
    <n v="4411366"/>
  </r>
  <r>
    <x v="38"/>
    <s v="TCD"/>
    <x v="19"/>
    <n v="4505384"/>
  </r>
  <r>
    <x v="38"/>
    <s v="TCD"/>
    <x v="20"/>
    <n v="4515453"/>
  </r>
  <r>
    <x v="38"/>
    <s v="TCD"/>
    <x v="21"/>
    <n v="4520959"/>
  </r>
  <r>
    <x v="38"/>
    <s v="TCD"/>
    <x v="22"/>
    <n v="4738483"/>
  </r>
  <r>
    <x v="38"/>
    <s v="TCD"/>
    <x v="23"/>
    <n v="4979130"/>
  </r>
  <r>
    <x v="38"/>
    <s v="TCD"/>
    <x v="24"/>
    <n v="5045145"/>
  </r>
  <r>
    <x v="38"/>
    <s v="TCD"/>
    <x v="25"/>
    <n v="5096269"/>
  </r>
  <r>
    <x v="38"/>
    <s v="TCD"/>
    <x v="26"/>
    <n v="5251069"/>
  </r>
  <r>
    <x v="38"/>
    <s v="TCD"/>
    <x v="27"/>
    <n v="5438309"/>
  </r>
  <r>
    <x v="38"/>
    <s v="TCD"/>
    <x v="28"/>
    <n v="5625602"/>
  </r>
  <r>
    <x v="38"/>
    <s v="TCD"/>
    <x v="29"/>
    <n v="5819586"/>
  </r>
  <r>
    <x v="38"/>
    <s v="TCD"/>
    <x v="30"/>
    <n v="5982833"/>
  </r>
  <r>
    <x v="38"/>
    <s v="TCD"/>
    <x v="31"/>
    <n v="6205676"/>
  </r>
  <r>
    <x v="38"/>
    <s v="TCD"/>
    <x v="32"/>
    <n v="6474656"/>
  </r>
  <r>
    <x v="38"/>
    <s v="TCD"/>
    <x v="33"/>
    <n v="6629146"/>
  </r>
  <r>
    <x v="38"/>
    <s v="TCD"/>
    <x v="34"/>
    <n v="6783450"/>
  </r>
  <r>
    <x v="38"/>
    <s v="TCD"/>
    <x v="35"/>
    <n v="7089064"/>
  </r>
  <r>
    <x v="38"/>
    <s v="TCD"/>
    <x v="36"/>
    <n v="7410108"/>
  </r>
  <r>
    <x v="38"/>
    <s v="TCD"/>
    <x v="37"/>
    <n v="7670366"/>
  </r>
  <r>
    <x v="38"/>
    <s v="TCD"/>
    <x v="38"/>
    <n v="7938840"/>
  </r>
  <r>
    <x v="38"/>
    <s v="TCD"/>
    <x v="39"/>
    <n v="8222705"/>
  </r>
  <r>
    <x v="38"/>
    <s v="TCD"/>
    <x v="40"/>
    <n v="8512093"/>
  </r>
  <r>
    <x v="38"/>
    <s v="TCD"/>
    <x v="41"/>
    <n v="8804124"/>
  </r>
  <r>
    <x v="38"/>
    <s v="TCD"/>
    <x v="42"/>
    <n v="9116192"/>
  </r>
  <r>
    <x v="38"/>
    <s v="TCD"/>
    <x v="43"/>
    <n v="9487833"/>
  </r>
  <r>
    <x v="38"/>
    <s v="TCD"/>
    <x v="44"/>
    <n v="9920036"/>
  </r>
  <r>
    <x v="38"/>
    <s v="TCD"/>
    <x v="45"/>
    <n v="10328092"/>
  </r>
  <r>
    <x v="38"/>
    <s v="TCD"/>
    <x v="46"/>
    <n v="10706424"/>
  </r>
  <r>
    <x v="38"/>
    <s v="TCD"/>
    <x v="47"/>
    <n v="11081660"/>
  </r>
  <r>
    <x v="38"/>
    <s v="TCD"/>
    <x v="48"/>
    <n v="11476296"/>
  </r>
  <r>
    <x v="38"/>
    <s v="TCD"/>
    <x v="49"/>
    <n v="11893754"/>
  </r>
  <r>
    <x v="38"/>
    <s v="TCD"/>
    <x v="50"/>
    <n v="12312575"/>
  </r>
  <r>
    <x v="38"/>
    <s v="TCD"/>
    <x v="51"/>
    <n v="12754997"/>
  </r>
  <r>
    <x v="38"/>
    <s v="TCD"/>
    <x v="52"/>
    <n v="13210998"/>
  </r>
  <r>
    <x v="38"/>
    <s v="TCD"/>
    <x v="53"/>
    <n v="13691079"/>
  </r>
  <r>
    <x v="38"/>
    <s v="TCD"/>
    <x v="54"/>
    <n v="14188678"/>
  </r>
  <r>
    <x v="38"/>
    <s v="TCD"/>
    <x v="55"/>
    <n v="14647621"/>
  </r>
  <r>
    <x v="38"/>
    <s v="TCD"/>
    <x v="56"/>
    <n v="15114655"/>
  </r>
  <r>
    <x v="38"/>
    <s v="TCD"/>
    <x v="57"/>
    <n v="15622759"/>
  </r>
  <r>
    <x v="38"/>
    <s v="TCD"/>
    <x v="58"/>
    <n v="16156531"/>
  </r>
  <r>
    <x v="38"/>
    <s v="TCD"/>
    <x v="59"/>
    <n v="16685223"/>
  </r>
  <r>
    <x v="38"/>
    <s v="TCD"/>
    <x v="60"/>
    <n v="17224679"/>
  </r>
  <r>
    <x v="38"/>
    <s v="TCD"/>
    <x v="61"/>
    <n v="17828273"/>
  </r>
  <r>
    <x v="38"/>
    <s v="TCD"/>
    <x v="62"/>
    <n v="18455316"/>
  </r>
  <r>
    <x v="38"/>
    <s v="TCD"/>
    <x v="63"/>
    <n v="19319064"/>
  </r>
  <r>
    <x v="38"/>
    <s v="TCD"/>
    <x v="64"/>
    <n v="20299123"/>
  </r>
  <r>
    <x v="39"/>
    <s v="CHI"/>
    <x v="0"/>
    <n v="110808"/>
  </r>
  <r>
    <x v="39"/>
    <s v="CHI"/>
    <x v="1"/>
    <n v="111782"/>
  </r>
  <r>
    <x v="39"/>
    <s v="CHI"/>
    <x v="2"/>
    <n v="112953"/>
  </r>
  <r>
    <x v="39"/>
    <s v="CHI"/>
    <x v="3"/>
    <n v="114234"/>
  </r>
  <r>
    <x v="39"/>
    <s v="CHI"/>
    <x v="4"/>
    <n v="115561"/>
  </r>
  <r>
    <x v="39"/>
    <s v="CHI"/>
    <x v="5"/>
    <n v="116879"/>
  </r>
  <r>
    <x v="39"/>
    <s v="CHI"/>
    <x v="6"/>
    <n v="118186"/>
  </r>
  <r>
    <x v="39"/>
    <s v="CHI"/>
    <x v="7"/>
    <n v="119505"/>
  </r>
  <r>
    <x v="39"/>
    <s v="CHI"/>
    <x v="8"/>
    <n v="120793"/>
  </r>
  <r>
    <x v="39"/>
    <s v="CHI"/>
    <x v="9"/>
    <n v="122039"/>
  </r>
  <r>
    <x v="39"/>
    <s v="CHI"/>
    <x v="10"/>
    <n v="123288"/>
  </r>
  <r>
    <x v="39"/>
    <s v="CHI"/>
    <x v="11"/>
    <n v="124555"/>
  </r>
  <r>
    <x v="39"/>
    <s v="CHI"/>
    <x v="12"/>
    <n v="125764"/>
  </r>
  <r>
    <x v="39"/>
    <s v="CHI"/>
    <x v="13"/>
    <n v="126873"/>
  </r>
  <r>
    <x v="39"/>
    <s v="CHI"/>
    <x v="14"/>
    <n v="127893"/>
  </r>
  <r>
    <x v="39"/>
    <s v="CHI"/>
    <x v="15"/>
    <n v="128781"/>
  </r>
  <r>
    <x v="39"/>
    <s v="CHI"/>
    <x v="16"/>
    <n v="129391"/>
  </r>
  <r>
    <x v="39"/>
    <s v="CHI"/>
    <x v="17"/>
    <n v="129726"/>
  </r>
  <r>
    <x v="39"/>
    <s v="CHI"/>
    <x v="18"/>
    <n v="129981"/>
  </r>
  <r>
    <x v="39"/>
    <s v="CHI"/>
    <x v="19"/>
    <n v="130220"/>
  </r>
  <r>
    <x v="39"/>
    <s v="CHI"/>
    <x v="20"/>
    <n v="130462"/>
  </r>
  <r>
    <x v="39"/>
    <s v="CHI"/>
    <x v="21"/>
    <n v="131078"/>
  </r>
  <r>
    <x v="39"/>
    <s v="CHI"/>
    <x v="22"/>
    <n v="132172"/>
  </r>
  <r>
    <x v="39"/>
    <s v="CHI"/>
    <x v="23"/>
    <n v="133413"/>
  </r>
  <r>
    <x v="39"/>
    <s v="CHI"/>
    <x v="24"/>
    <n v="134727"/>
  </r>
  <r>
    <x v="39"/>
    <s v="CHI"/>
    <x v="25"/>
    <n v="136075"/>
  </r>
  <r>
    <x v="39"/>
    <s v="CHI"/>
    <x v="26"/>
    <n v="137413"/>
  </r>
  <r>
    <x v="39"/>
    <s v="CHI"/>
    <x v="27"/>
    <n v="138743"/>
  </r>
  <r>
    <x v="39"/>
    <s v="CHI"/>
    <x v="28"/>
    <n v="140089"/>
  </r>
  <r>
    <x v="39"/>
    <s v="CHI"/>
    <x v="29"/>
    <n v="141501"/>
  </r>
  <r>
    <x v="39"/>
    <s v="CHI"/>
    <x v="30"/>
    <n v="143087"/>
  </r>
  <r>
    <x v="39"/>
    <s v="CHI"/>
    <x v="31"/>
    <n v="144269"/>
  </r>
  <r>
    <x v="39"/>
    <s v="CHI"/>
    <x v="32"/>
    <n v="144733"/>
  </r>
  <r>
    <x v="39"/>
    <s v="CHI"/>
    <x v="33"/>
    <n v="144984"/>
  </r>
  <r>
    <x v="39"/>
    <s v="CHI"/>
    <x v="34"/>
    <n v="145163"/>
  </r>
  <r>
    <x v="39"/>
    <s v="CHI"/>
    <x v="35"/>
    <n v="145247"/>
  </r>
  <r>
    <x v="39"/>
    <s v="CHI"/>
    <x v="36"/>
    <n v="145565"/>
  </r>
  <r>
    <x v="39"/>
    <s v="CHI"/>
    <x v="37"/>
    <n v="146214"/>
  </r>
  <r>
    <x v="39"/>
    <s v="CHI"/>
    <x v="38"/>
    <n v="146906"/>
  </r>
  <r>
    <x v="39"/>
    <s v="CHI"/>
    <x v="39"/>
    <n v="147554"/>
  </r>
  <r>
    <x v="39"/>
    <s v="CHI"/>
    <x v="40"/>
    <n v="148110"/>
  </r>
  <r>
    <x v="39"/>
    <s v="CHI"/>
    <x v="41"/>
    <n v="148850"/>
  </r>
  <r>
    <x v="39"/>
    <s v="CHI"/>
    <x v="42"/>
    <n v="149881"/>
  </r>
  <r>
    <x v="39"/>
    <s v="CHI"/>
    <x v="43"/>
    <n v="150960"/>
  </r>
  <r>
    <x v="39"/>
    <s v="CHI"/>
    <x v="44"/>
    <n v="152039"/>
  </r>
  <r>
    <x v="39"/>
    <s v="CHI"/>
    <x v="45"/>
    <n v="153126"/>
  </r>
  <r>
    <x v="39"/>
    <s v="CHI"/>
    <x v="46"/>
    <n v="154214"/>
  </r>
  <r>
    <x v="39"/>
    <s v="CHI"/>
    <x v="47"/>
    <n v="155309"/>
  </r>
  <r>
    <x v="39"/>
    <s v="CHI"/>
    <x v="48"/>
    <n v="156408"/>
  </r>
  <r>
    <x v="39"/>
    <s v="CHI"/>
    <x v="49"/>
    <n v="157511"/>
  </r>
  <r>
    <x v="39"/>
    <s v="CHI"/>
    <x v="50"/>
    <n v="158621"/>
  </r>
  <r>
    <x v="39"/>
    <s v="CHI"/>
    <x v="51"/>
    <n v="159706"/>
  </r>
  <r>
    <x v="39"/>
    <s v="CHI"/>
    <x v="52"/>
    <n v="160767"/>
  </r>
  <r>
    <x v="39"/>
    <s v="CHI"/>
    <x v="53"/>
    <n v="161777"/>
  </r>
  <r>
    <x v="39"/>
    <s v="CHI"/>
    <x v="54"/>
    <n v="162726"/>
  </r>
  <r>
    <x v="39"/>
    <s v="CHI"/>
    <x v="55"/>
    <n v="163454"/>
  </r>
  <r>
    <x v="39"/>
    <s v="CHI"/>
    <x v="56"/>
    <n v="163883"/>
  </r>
  <r>
    <x v="39"/>
    <s v="CHI"/>
    <x v="57"/>
    <n v="164319"/>
  </r>
  <r>
    <x v="39"/>
    <s v="CHI"/>
    <x v="58"/>
    <n v="164949"/>
  </r>
  <r>
    <x v="39"/>
    <s v="CHI"/>
    <x v="59"/>
    <n v="165639"/>
  </r>
  <r>
    <x v="39"/>
    <s v="CHI"/>
    <x v="60"/>
    <n v="166235"/>
  </r>
  <r>
    <x v="39"/>
    <s v="CHI"/>
    <x v="61"/>
    <n v="166741"/>
  </r>
  <r>
    <x v="39"/>
    <s v="CHI"/>
    <x v="62"/>
    <n v="167215"/>
  </r>
  <r>
    <x v="39"/>
    <s v="CHI"/>
    <x v="63"/>
    <n v="167691"/>
  </r>
  <r>
    <x v="39"/>
    <s v="CHI"/>
    <x v="64"/>
    <n v="168126"/>
  </r>
  <r>
    <x v="40"/>
    <s v="CHL"/>
    <x v="0"/>
    <n v="8153350"/>
  </r>
  <r>
    <x v="40"/>
    <s v="CHL"/>
    <x v="1"/>
    <n v="8324802"/>
  </r>
  <r>
    <x v="40"/>
    <s v="CHL"/>
    <x v="2"/>
    <n v="8497059"/>
  </r>
  <r>
    <x v="40"/>
    <s v="CHL"/>
    <x v="3"/>
    <n v="8670144"/>
  </r>
  <r>
    <x v="40"/>
    <s v="CHL"/>
    <x v="4"/>
    <n v="8842525"/>
  </r>
  <r>
    <x v="40"/>
    <s v="CHL"/>
    <x v="5"/>
    <n v="9012938"/>
  </r>
  <r>
    <x v="40"/>
    <s v="CHL"/>
    <x v="6"/>
    <n v="9181722"/>
  </r>
  <r>
    <x v="40"/>
    <s v="CHL"/>
    <x v="7"/>
    <n v="9348939"/>
  </r>
  <r>
    <x v="40"/>
    <s v="CHL"/>
    <x v="8"/>
    <n v="9514716"/>
  </r>
  <r>
    <x v="40"/>
    <s v="CHL"/>
    <x v="9"/>
    <n v="9680282"/>
  </r>
  <r>
    <x v="40"/>
    <s v="CHL"/>
    <x v="10"/>
    <n v="9845344"/>
  </r>
  <r>
    <x v="40"/>
    <s v="CHL"/>
    <x v="11"/>
    <n v="10009701"/>
  </r>
  <r>
    <x v="40"/>
    <s v="CHL"/>
    <x v="12"/>
    <n v="10174678"/>
  </r>
  <r>
    <x v="40"/>
    <s v="CHL"/>
    <x v="13"/>
    <n v="10340362"/>
  </r>
  <r>
    <x v="40"/>
    <s v="CHL"/>
    <x v="14"/>
    <n v="10505817"/>
  </r>
  <r>
    <x v="40"/>
    <s v="CHL"/>
    <x v="15"/>
    <n v="10671559"/>
  </r>
  <r>
    <x v="40"/>
    <s v="CHL"/>
    <x v="16"/>
    <n v="10838251"/>
  </r>
  <r>
    <x v="40"/>
    <s v="CHL"/>
    <x v="17"/>
    <n v="11005519"/>
  </r>
  <r>
    <x v="40"/>
    <s v="CHL"/>
    <x v="18"/>
    <n v="11172695"/>
  </r>
  <r>
    <x v="40"/>
    <s v="CHL"/>
    <x v="19"/>
    <n v="11339779"/>
  </r>
  <r>
    <x v="40"/>
    <s v="CHL"/>
    <x v="20"/>
    <n v="11508550"/>
  </r>
  <r>
    <x v="40"/>
    <s v="CHL"/>
    <x v="21"/>
    <n v="11678717"/>
  </r>
  <r>
    <x v="40"/>
    <s v="CHL"/>
    <x v="22"/>
    <n v="11850214"/>
  </r>
  <r>
    <x v="40"/>
    <s v="CHL"/>
    <x v="23"/>
    <n v="12026138"/>
  </r>
  <r>
    <x v="40"/>
    <s v="CHL"/>
    <x v="24"/>
    <n v="12207733"/>
  </r>
  <r>
    <x v="40"/>
    <s v="CHL"/>
    <x v="25"/>
    <n v="12395274"/>
  </r>
  <r>
    <x v="40"/>
    <s v="CHL"/>
    <x v="26"/>
    <n v="12588914"/>
  </r>
  <r>
    <x v="40"/>
    <s v="CHL"/>
    <x v="27"/>
    <n v="12790150"/>
  </r>
  <r>
    <x v="40"/>
    <s v="CHL"/>
    <x v="28"/>
    <n v="12999424"/>
  </r>
  <r>
    <x v="40"/>
    <s v="CHL"/>
    <x v="29"/>
    <n v="13215005"/>
  </r>
  <r>
    <x v="40"/>
    <s v="CHL"/>
    <x v="30"/>
    <n v="13437176"/>
  </r>
  <r>
    <x v="40"/>
    <s v="CHL"/>
    <x v="31"/>
    <n v="13662491"/>
  </r>
  <r>
    <x v="40"/>
    <s v="CHL"/>
    <x v="32"/>
    <n v="13884577"/>
  </r>
  <r>
    <x v="40"/>
    <s v="CHL"/>
    <x v="33"/>
    <n v="14102276"/>
  </r>
  <r>
    <x v="40"/>
    <s v="CHL"/>
    <x v="34"/>
    <n v="14316256"/>
  </r>
  <r>
    <x v="40"/>
    <s v="CHL"/>
    <x v="35"/>
    <n v="14527381"/>
  </r>
  <r>
    <x v="40"/>
    <s v="CHL"/>
    <x v="36"/>
    <n v="14734046"/>
  </r>
  <r>
    <x v="40"/>
    <s v="CHL"/>
    <x v="37"/>
    <n v="14932434"/>
  </r>
  <r>
    <x v="40"/>
    <s v="CHL"/>
    <x v="38"/>
    <n v="15127799"/>
  </r>
  <r>
    <x v="40"/>
    <s v="CHL"/>
    <x v="39"/>
    <n v="15319313"/>
  </r>
  <r>
    <x v="40"/>
    <s v="CHL"/>
    <x v="40"/>
    <n v="15503635"/>
  </r>
  <r>
    <x v="40"/>
    <s v="CHL"/>
    <x v="41"/>
    <n v="15683849"/>
  </r>
  <r>
    <x v="40"/>
    <s v="CHL"/>
    <x v="42"/>
    <n v="15857925"/>
  </r>
  <r>
    <x v="40"/>
    <s v="CHL"/>
    <x v="43"/>
    <n v="16024752"/>
  </r>
  <r>
    <x v="40"/>
    <s v="CHL"/>
    <x v="44"/>
    <n v="16187322"/>
  </r>
  <r>
    <x v="40"/>
    <s v="CHL"/>
    <x v="45"/>
    <n v="16348778"/>
  </r>
  <r>
    <x v="40"/>
    <s v="CHL"/>
    <x v="46"/>
    <n v="16509195"/>
  </r>
  <r>
    <x v="40"/>
    <s v="CHL"/>
    <x v="47"/>
    <n v="16671581"/>
  </r>
  <r>
    <x v="40"/>
    <s v="CHL"/>
    <x v="48"/>
    <n v="16838988"/>
  </r>
  <r>
    <x v="40"/>
    <s v="CHL"/>
    <x v="49"/>
    <n v="17009731"/>
  </r>
  <r>
    <x v="40"/>
    <s v="CHL"/>
    <x v="50"/>
    <n v="17181464"/>
  </r>
  <r>
    <x v="40"/>
    <s v="CHL"/>
    <x v="51"/>
    <n v="17351816"/>
  </r>
  <r>
    <x v="40"/>
    <s v="CHL"/>
    <x v="52"/>
    <n v="17519119"/>
  </r>
  <r>
    <x v="40"/>
    <s v="CHL"/>
    <x v="53"/>
    <n v="17687006"/>
  </r>
  <r>
    <x v="40"/>
    <s v="CHL"/>
    <x v="54"/>
    <n v="17864195"/>
  </r>
  <r>
    <x v="40"/>
    <s v="CHL"/>
    <x v="55"/>
    <n v="18047625"/>
  </r>
  <r>
    <x v="40"/>
    <s v="CHL"/>
    <x v="56"/>
    <n v="18267221"/>
  </r>
  <r>
    <x v="40"/>
    <s v="CHL"/>
    <x v="57"/>
    <n v="18558868"/>
  </r>
  <r>
    <x v="40"/>
    <s v="CHL"/>
    <x v="58"/>
    <n v="18893191"/>
  </r>
  <r>
    <x v="40"/>
    <s v="CHL"/>
    <x v="59"/>
    <n v="19197744"/>
  </r>
  <r>
    <x v="40"/>
    <s v="CHL"/>
    <x v="60"/>
    <n v="19370624"/>
  </r>
  <r>
    <x v="40"/>
    <s v="CHL"/>
    <x v="61"/>
    <n v="19456334"/>
  </r>
  <r>
    <x v="40"/>
    <s v="CHL"/>
    <x v="62"/>
    <n v="19553036"/>
  </r>
  <r>
    <x v="40"/>
    <s v="CHL"/>
    <x v="63"/>
    <n v="19658835"/>
  </r>
  <r>
    <x v="40"/>
    <s v="CHL"/>
    <x v="64"/>
    <n v="19764771"/>
  </r>
  <r>
    <x v="41"/>
    <s v="CHN"/>
    <x v="0"/>
    <n v="667070000"/>
  </r>
  <r>
    <x v="41"/>
    <s v="CHN"/>
    <x v="1"/>
    <n v="660330000"/>
  </r>
  <r>
    <x v="41"/>
    <s v="CHN"/>
    <x v="2"/>
    <n v="665770000"/>
  </r>
  <r>
    <x v="41"/>
    <s v="CHN"/>
    <x v="3"/>
    <n v="682335000"/>
  </r>
  <r>
    <x v="41"/>
    <s v="CHN"/>
    <x v="4"/>
    <n v="698355000"/>
  </r>
  <r>
    <x v="41"/>
    <s v="CHN"/>
    <x v="5"/>
    <n v="715185000"/>
  </r>
  <r>
    <x v="41"/>
    <s v="CHN"/>
    <x v="6"/>
    <n v="735400000"/>
  </r>
  <r>
    <x v="41"/>
    <s v="CHN"/>
    <x v="7"/>
    <n v="754550000"/>
  </r>
  <r>
    <x v="41"/>
    <s v="CHN"/>
    <x v="8"/>
    <n v="774510000"/>
  </r>
  <r>
    <x v="41"/>
    <s v="CHN"/>
    <x v="9"/>
    <n v="796025000"/>
  </r>
  <r>
    <x v="41"/>
    <s v="CHN"/>
    <x v="10"/>
    <n v="818315000"/>
  </r>
  <r>
    <x v="41"/>
    <s v="CHN"/>
    <x v="11"/>
    <n v="841105000"/>
  </r>
  <r>
    <x v="41"/>
    <s v="CHN"/>
    <x v="12"/>
    <n v="862030000"/>
  </r>
  <r>
    <x v="41"/>
    <s v="CHN"/>
    <x v="13"/>
    <n v="881940000"/>
  </r>
  <r>
    <x v="41"/>
    <s v="CHN"/>
    <x v="14"/>
    <n v="900350000"/>
  </r>
  <r>
    <x v="41"/>
    <s v="CHN"/>
    <x v="15"/>
    <n v="916395000"/>
  </r>
  <r>
    <x v="41"/>
    <s v="CHN"/>
    <x v="16"/>
    <n v="930685000"/>
  </r>
  <r>
    <x v="41"/>
    <s v="CHN"/>
    <x v="17"/>
    <n v="943455000"/>
  </r>
  <r>
    <x v="41"/>
    <s v="CHN"/>
    <x v="18"/>
    <n v="956165000"/>
  </r>
  <r>
    <x v="41"/>
    <s v="CHN"/>
    <x v="19"/>
    <n v="969005000"/>
  </r>
  <r>
    <x v="41"/>
    <s v="CHN"/>
    <x v="20"/>
    <n v="981235000"/>
  </r>
  <r>
    <x v="41"/>
    <s v="CHN"/>
    <x v="21"/>
    <n v="993885000"/>
  </r>
  <r>
    <x v="41"/>
    <s v="CHN"/>
    <x v="22"/>
    <n v="1008630000"/>
  </r>
  <r>
    <x v="41"/>
    <s v="CHN"/>
    <x v="23"/>
    <n v="1023310000"/>
  </r>
  <r>
    <x v="41"/>
    <s v="CHN"/>
    <x v="24"/>
    <n v="1036825000"/>
  </r>
  <r>
    <x v="41"/>
    <s v="CHN"/>
    <x v="25"/>
    <n v="1051040000"/>
  </r>
  <r>
    <x v="41"/>
    <s v="CHN"/>
    <x v="26"/>
    <n v="1066790000"/>
  </r>
  <r>
    <x v="41"/>
    <s v="CHN"/>
    <x v="27"/>
    <n v="1084035000"/>
  </r>
  <r>
    <x v="41"/>
    <s v="CHN"/>
    <x v="28"/>
    <n v="1101630000"/>
  </r>
  <r>
    <x v="41"/>
    <s v="CHN"/>
    <x v="29"/>
    <n v="1118650000"/>
  </r>
  <r>
    <x v="41"/>
    <s v="CHN"/>
    <x v="30"/>
    <n v="1135185000"/>
  </r>
  <r>
    <x v="41"/>
    <s v="CHN"/>
    <x v="31"/>
    <n v="1150780000"/>
  </r>
  <r>
    <x v="41"/>
    <s v="CHN"/>
    <x v="32"/>
    <n v="1164970000"/>
  </r>
  <r>
    <x v="41"/>
    <s v="CHN"/>
    <x v="33"/>
    <n v="1178440000"/>
  </r>
  <r>
    <x v="41"/>
    <s v="CHN"/>
    <x v="34"/>
    <n v="1191835000"/>
  </r>
  <r>
    <x v="41"/>
    <s v="CHN"/>
    <x v="35"/>
    <n v="1204855000"/>
  </r>
  <r>
    <x v="41"/>
    <s v="CHN"/>
    <x v="36"/>
    <n v="1217550000"/>
  </r>
  <r>
    <x v="41"/>
    <s v="CHN"/>
    <x v="37"/>
    <n v="1230075000"/>
  </r>
  <r>
    <x v="41"/>
    <s v="CHN"/>
    <x v="38"/>
    <n v="1241935000"/>
  </r>
  <r>
    <x v="41"/>
    <s v="CHN"/>
    <x v="39"/>
    <n v="1252735000"/>
  </r>
  <r>
    <x v="41"/>
    <s v="CHN"/>
    <x v="40"/>
    <n v="1262645000"/>
  </r>
  <r>
    <x v="41"/>
    <s v="CHN"/>
    <x v="41"/>
    <n v="1271850000"/>
  </r>
  <r>
    <x v="41"/>
    <s v="CHN"/>
    <x v="42"/>
    <n v="1280400000"/>
  </r>
  <r>
    <x v="41"/>
    <s v="CHN"/>
    <x v="43"/>
    <n v="1288400000"/>
  </r>
  <r>
    <x v="41"/>
    <s v="CHN"/>
    <x v="44"/>
    <n v="1296075000"/>
  </r>
  <r>
    <x v="41"/>
    <s v="CHN"/>
    <x v="45"/>
    <n v="1303720000"/>
  </r>
  <r>
    <x v="41"/>
    <s v="CHN"/>
    <x v="46"/>
    <n v="1311020000"/>
  </r>
  <r>
    <x v="41"/>
    <s v="CHN"/>
    <x v="47"/>
    <n v="1317885000"/>
  </r>
  <r>
    <x v="41"/>
    <s v="CHN"/>
    <x v="48"/>
    <n v="1324655000"/>
  </r>
  <r>
    <x v="41"/>
    <s v="CHN"/>
    <x v="49"/>
    <n v="1331260000"/>
  </r>
  <r>
    <x v="41"/>
    <s v="CHN"/>
    <x v="50"/>
    <n v="1337705000"/>
  </r>
  <r>
    <x v="41"/>
    <s v="CHN"/>
    <x v="51"/>
    <n v="1345035000"/>
  </r>
  <r>
    <x v="41"/>
    <s v="CHN"/>
    <x v="52"/>
    <n v="1354190000"/>
  </r>
  <r>
    <x v="41"/>
    <s v="CHN"/>
    <x v="53"/>
    <n v="1363240000"/>
  </r>
  <r>
    <x v="41"/>
    <s v="CHN"/>
    <x v="54"/>
    <n v="1371860000"/>
  </r>
  <r>
    <x v="41"/>
    <s v="CHN"/>
    <x v="55"/>
    <n v="1379860000"/>
  </r>
  <r>
    <x v="41"/>
    <s v="CHN"/>
    <x v="56"/>
    <n v="1387790000"/>
  </r>
  <r>
    <x v="41"/>
    <s v="CHN"/>
    <x v="57"/>
    <n v="1396215000"/>
  </r>
  <r>
    <x v="41"/>
    <s v="CHN"/>
    <x v="58"/>
    <n v="1402760000"/>
  </r>
  <r>
    <x v="41"/>
    <s v="CHN"/>
    <x v="59"/>
    <n v="1407745000"/>
  </r>
  <r>
    <x v="41"/>
    <s v="CHN"/>
    <x v="60"/>
    <n v="1411100000"/>
  </r>
  <r>
    <x v="41"/>
    <s v="CHN"/>
    <x v="61"/>
    <n v="1412360000"/>
  </r>
  <r>
    <x v="41"/>
    <s v="CHN"/>
    <x v="62"/>
    <n v="1412175000"/>
  </r>
  <r>
    <x v="41"/>
    <s v="CHN"/>
    <x v="63"/>
    <n v="1410710000"/>
  </r>
  <r>
    <x v="41"/>
    <s v="CHN"/>
    <x v="64"/>
    <n v="1408975000"/>
  </r>
  <r>
    <x v="42"/>
    <s v="COL"/>
    <x v="0"/>
    <n v="15606209"/>
  </r>
  <r>
    <x v="42"/>
    <s v="COL"/>
    <x v="1"/>
    <n v="16095203"/>
  </r>
  <r>
    <x v="42"/>
    <s v="COL"/>
    <x v="2"/>
    <n v="16599029"/>
  </r>
  <r>
    <x v="42"/>
    <s v="COL"/>
    <x v="3"/>
    <n v="17113823"/>
  </r>
  <r>
    <x v="42"/>
    <s v="COL"/>
    <x v="4"/>
    <n v="17637411"/>
  </r>
  <r>
    <x v="42"/>
    <s v="COL"/>
    <x v="5"/>
    <n v="18169050"/>
  </r>
  <r>
    <x v="42"/>
    <s v="COL"/>
    <x v="6"/>
    <n v="18702688"/>
  </r>
  <r>
    <x v="42"/>
    <s v="COL"/>
    <x v="7"/>
    <n v="19235618"/>
  </r>
  <r>
    <x v="42"/>
    <s v="COL"/>
    <x v="8"/>
    <n v="19766796"/>
  </r>
  <r>
    <x v="42"/>
    <s v="COL"/>
    <x v="9"/>
    <n v="20291942"/>
  </r>
  <r>
    <x v="42"/>
    <s v="COL"/>
    <x v="10"/>
    <n v="20811782"/>
  </r>
  <r>
    <x v="42"/>
    <s v="COL"/>
    <x v="11"/>
    <n v="21319096"/>
  </r>
  <r>
    <x v="42"/>
    <s v="COL"/>
    <x v="12"/>
    <n v="21819563"/>
  </r>
  <r>
    <x v="42"/>
    <s v="COL"/>
    <x v="13"/>
    <n v="22325374"/>
  </r>
  <r>
    <x v="42"/>
    <s v="COL"/>
    <x v="14"/>
    <n v="22833469"/>
  </r>
  <r>
    <x v="42"/>
    <s v="COL"/>
    <x v="15"/>
    <n v="23344644"/>
  </r>
  <r>
    <x v="42"/>
    <s v="COL"/>
    <x v="16"/>
    <n v="23858810"/>
  </r>
  <r>
    <x v="42"/>
    <s v="COL"/>
    <x v="17"/>
    <n v="24393494"/>
  </r>
  <r>
    <x v="42"/>
    <s v="COL"/>
    <x v="18"/>
    <n v="24950337"/>
  </r>
  <r>
    <x v="42"/>
    <s v="COL"/>
    <x v="19"/>
    <n v="25515626"/>
  </r>
  <r>
    <x v="42"/>
    <s v="COL"/>
    <x v="20"/>
    <n v="26104498"/>
  </r>
  <r>
    <x v="42"/>
    <s v="COL"/>
    <x v="21"/>
    <n v="26713267"/>
  </r>
  <r>
    <x v="42"/>
    <s v="COL"/>
    <x v="22"/>
    <n v="27338331"/>
  </r>
  <r>
    <x v="42"/>
    <s v="COL"/>
    <x v="23"/>
    <n v="27988173"/>
  </r>
  <r>
    <x v="42"/>
    <s v="COL"/>
    <x v="24"/>
    <n v="28642690"/>
  </r>
  <r>
    <x v="42"/>
    <s v="COL"/>
    <x v="25"/>
    <n v="29268470"/>
  </r>
  <r>
    <x v="42"/>
    <s v="COL"/>
    <x v="26"/>
    <n v="29879112"/>
  </r>
  <r>
    <x v="42"/>
    <s v="COL"/>
    <x v="27"/>
    <n v="30499467"/>
  </r>
  <r>
    <x v="42"/>
    <s v="COL"/>
    <x v="28"/>
    <n v="31130524"/>
  </r>
  <r>
    <x v="42"/>
    <s v="COL"/>
    <x v="29"/>
    <n v="31776279"/>
  </r>
  <r>
    <x v="42"/>
    <s v="COL"/>
    <x v="30"/>
    <n v="32440069"/>
  </r>
  <r>
    <x v="42"/>
    <s v="COL"/>
    <x v="31"/>
    <n v="33098372"/>
  </r>
  <r>
    <x v="42"/>
    <s v="COL"/>
    <x v="32"/>
    <n v="33760571"/>
  </r>
  <r>
    <x v="42"/>
    <s v="COL"/>
    <x v="33"/>
    <n v="34441473"/>
  </r>
  <r>
    <x v="42"/>
    <s v="COL"/>
    <x v="34"/>
    <n v="35127410"/>
  </r>
  <r>
    <x v="42"/>
    <s v="COL"/>
    <x v="35"/>
    <n v="35804662"/>
  </r>
  <r>
    <x v="42"/>
    <s v="COL"/>
    <x v="36"/>
    <n v="36462745"/>
  </r>
  <r>
    <x v="42"/>
    <s v="COL"/>
    <x v="37"/>
    <n v="37121149"/>
  </r>
  <r>
    <x v="42"/>
    <s v="COL"/>
    <x v="38"/>
    <n v="37792165"/>
  </r>
  <r>
    <x v="42"/>
    <s v="COL"/>
    <x v="39"/>
    <n v="38454863"/>
  </r>
  <r>
    <x v="42"/>
    <s v="COL"/>
    <x v="40"/>
    <n v="39089934"/>
  </r>
  <r>
    <x v="42"/>
    <s v="COL"/>
    <x v="41"/>
    <n v="39709262"/>
  </r>
  <r>
    <x v="42"/>
    <s v="COL"/>
    <x v="42"/>
    <n v="40324680"/>
  </r>
  <r>
    <x v="42"/>
    <s v="COL"/>
    <x v="43"/>
    <n v="40937429"/>
  </r>
  <r>
    <x v="42"/>
    <s v="COL"/>
    <x v="44"/>
    <n v="41543171"/>
  </r>
  <r>
    <x v="42"/>
    <s v="COL"/>
    <x v="45"/>
    <n v="42128977"/>
  </r>
  <r>
    <x v="42"/>
    <s v="COL"/>
    <x v="46"/>
    <n v="42691084"/>
  </r>
  <r>
    <x v="42"/>
    <s v="COL"/>
    <x v="47"/>
    <n v="43235374"/>
  </r>
  <r>
    <x v="42"/>
    <s v="COL"/>
    <x v="48"/>
    <n v="43758808"/>
  </r>
  <r>
    <x v="42"/>
    <s v="COL"/>
    <x v="49"/>
    <n v="44271541"/>
  </r>
  <r>
    <x v="42"/>
    <s v="COL"/>
    <x v="50"/>
    <n v="44777319"/>
  </r>
  <r>
    <x v="42"/>
    <s v="COL"/>
    <x v="51"/>
    <n v="45259614"/>
  </r>
  <r>
    <x v="42"/>
    <s v="COL"/>
    <x v="52"/>
    <n v="45715810"/>
  </r>
  <r>
    <x v="42"/>
    <s v="COL"/>
    <x v="53"/>
    <n v="46151584"/>
  </r>
  <r>
    <x v="42"/>
    <s v="COL"/>
    <x v="54"/>
    <n v="46565429"/>
  </r>
  <r>
    <x v="42"/>
    <s v="COL"/>
    <x v="55"/>
    <n v="46969940"/>
  </r>
  <r>
    <x v="42"/>
    <s v="COL"/>
    <x v="56"/>
    <n v="47437512"/>
  </r>
  <r>
    <x v="42"/>
    <s v="COL"/>
    <x v="57"/>
    <n v="48131078"/>
  </r>
  <r>
    <x v="42"/>
    <s v="COL"/>
    <x v="58"/>
    <n v="49024465"/>
  </r>
  <r>
    <x v="42"/>
    <s v="COL"/>
    <x v="59"/>
    <n v="49907985"/>
  </r>
  <r>
    <x v="42"/>
    <s v="COL"/>
    <x v="60"/>
    <n v="50629997"/>
  </r>
  <r>
    <x v="42"/>
    <s v="COL"/>
    <x v="61"/>
    <n v="51188173"/>
  </r>
  <r>
    <x v="42"/>
    <s v="COL"/>
    <x v="62"/>
    <n v="51737944"/>
  </r>
  <r>
    <x v="42"/>
    <s v="COL"/>
    <x v="63"/>
    <n v="52321152"/>
  </r>
  <r>
    <x v="42"/>
    <s v="COL"/>
    <x v="64"/>
    <n v="52886363"/>
  </r>
  <r>
    <x v="43"/>
    <s v="COM"/>
    <x v="0"/>
    <n v="197700"/>
  </r>
  <r>
    <x v="43"/>
    <s v="COM"/>
    <x v="1"/>
    <n v="201201"/>
  </r>
  <r>
    <x v="43"/>
    <s v="COM"/>
    <x v="2"/>
    <n v="204702"/>
  </r>
  <r>
    <x v="43"/>
    <s v="COM"/>
    <x v="3"/>
    <n v="208185"/>
  </r>
  <r>
    <x v="43"/>
    <s v="COM"/>
    <x v="4"/>
    <n v="211644"/>
  </r>
  <r>
    <x v="43"/>
    <s v="COM"/>
    <x v="5"/>
    <n v="214967"/>
  </r>
  <r>
    <x v="43"/>
    <s v="COM"/>
    <x v="6"/>
    <n v="218663"/>
  </r>
  <r>
    <x v="43"/>
    <s v="COM"/>
    <x v="7"/>
    <n v="223859"/>
  </r>
  <r>
    <x v="43"/>
    <s v="COM"/>
    <x v="8"/>
    <n v="230244"/>
  </r>
  <r>
    <x v="43"/>
    <s v="COM"/>
    <x v="9"/>
    <n v="237001"/>
  </r>
  <r>
    <x v="43"/>
    <s v="COM"/>
    <x v="10"/>
    <n v="244185"/>
  </r>
  <r>
    <x v="43"/>
    <s v="COM"/>
    <x v="11"/>
    <n v="251865"/>
  </r>
  <r>
    <x v="43"/>
    <s v="COM"/>
    <x v="12"/>
    <n v="260077"/>
  </r>
  <r>
    <x v="43"/>
    <s v="COM"/>
    <x v="13"/>
    <n v="268820"/>
  </r>
  <r>
    <x v="43"/>
    <s v="COM"/>
    <x v="14"/>
    <n v="278075"/>
  </r>
  <r>
    <x v="43"/>
    <s v="COM"/>
    <x v="15"/>
    <n v="287692"/>
  </r>
  <r>
    <x v="43"/>
    <s v="COM"/>
    <x v="16"/>
    <n v="297538"/>
  </r>
  <r>
    <x v="43"/>
    <s v="COM"/>
    <x v="17"/>
    <n v="307579"/>
  </r>
  <r>
    <x v="43"/>
    <s v="COM"/>
    <x v="18"/>
    <n v="317688"/>
  </r>
  <r>
    <x v="43"/>
    <s v="COM"/>
    <x v="19"/>
    <n v="327791"/>
  </r>
  <r>
    <x v="43"/>
    <s v="COM"/>
    <x v="20"/>
    <n v="337721"/>
  </r>
  <r>
    <x v="43"/>
    <s v="COM"/>
    <x v="21"/>
    <n v="347382"/>
  </r>
  <r>
    <x v="43"/>
    <s v="COM"/>
    <x v="22"/>
    <n v="357139"/>
  </r>
  <r>
    <x v="43"/>
    <s v="COM"/>
    <x v="23"/>
    <n v="367233"/>
  </r>
  <r>
    <x v="43"/>
    <s v="COM"/>
    <x v="24"/>
    <n v="377637"/>
  </r>
  <r>
    <x v="43"/>
    <s v="COM"/>
    <x v="25"/>
    <n v="388352"/>
  </r>
  <r>
    <x v="43"/>
    <s v="COM"/>
    <x v="26"/>
    <n v="399318"/>
  </r>
  <r>
    <x v="43"/>
    <s v="COM"/>
    <x v="27"/>
    <n v="410439"/>
  </r>
  <r>
    <x v="43"/>
    <s v="COM"/>
    <x v="28"/>
    <n v="421687"/>
  </r>
  <r>
    <x v="43"/>
    <s v="COM"/>
    <x v="29"/>
    <n v="433103"/>
  </r>
  <r>
    <x v="43"/>
    <s v="COM"/>
    <x v="30"/>
    <n v="444596"/>
  </r>
  <r>
    <x v="43"/>
    <s v="COM"/>
    <x v="31"/>
    <n v="455556"/>
  </r>
  <r>
    <x v="43"/>
    <s v="COM"/>
    <x v="32"/>
    <n v="465113"/>
  </r>
  <r>
    <x v="43"/>
    <s v="COM"/>
    <x v="33"/>
    <n v="473682"/>
  </r>
  <r>
    <x v="43"/>
    <s v="COM"/>
    <x v="34"/>
    <n v="482142"/>
  </r>
  <r>
    <x v="43"/>
    <s v="COM"/>
    <x v="35"/>
    <n v="490586"/>
  </r>
  <r>
    <x v="43"/>
    <s v="COM"/>
    <x v="36"/>
    <n v="499107"/>
  </r>
  <r>
    <x v="43"/>
    <s v="COM"/>
    <x v="37"/>
    <n v="507777"/>
  </r>
  <r>
    <x v="43"/>
    <s v="COM"/>
    <x v="38"/>
    <n v="516597"/>
  </r>
  <r>
    <x v="43"/>
    <s v="COM"/>
    <x v="39"/>
    <n v="525886"/>
  </r>
  <r>
    <x v="43"/>
    <s v="COM"/>
    <x v="40"/>
    <n v="536080"/>
  </r>
  <r>
    <x v="43"/>
    <s v="COM"/>
    <x v="41"/>
    <n v="547220"/>
  </r>
  <r>
    <x v="43"/>
    <s v="COM"/>
    <x v="42"/>
    <n v="558923"/>
  </r>
  <r>
    <x v="43"/>
    <s v="COM"/>
    <x v="43"/>
    <n v="569798"/>
  </r>
  <r>
    <x v="43"/>
    <s v="COM"/>
    <x v="44"/>
    <n v="580704"/>
  </r>
  <r>
    <x v="43"/>
    <s v="COM"/>
    <x v="45"/>
    <n v="592677"/>
  </r>
  <r>
    <x v="43"/>
    <s v="COM"/>
    <x v="46"/>
    <n v="604753"/>
  </r>
  <r>
    <x v="43"/>
    <s v="COM"/>
    <x v="47"/>
    <n v="616927"/>
  </r>
  <r>
    <x v="43"/>
    <s v="COM"/>
    <x v="48"/>
    <n v="629307"/>
  </r>
  <r>
    <x v="43"/>
    <s v="COM"/>
    <x v="49"/>
    <n v="641947"/>
  </r>
  <r>
    <x v="43"/>
    <s v="COM"/>
    <x v="50"/>
    <n v="654836"/>
  </r>
  <r>
    <x v="43"/>
    <s v="COM"/>
    <x v="51"/>
    <n v="668056"/>
  </r>
  <r>
    <x v="43"/>
    <s v="COM"/>
    <x v="52"/>
    <n v="681630"/>
  </r>
  <r>
    <x v="43"/>
    <s v="COM"/>
    <x v="53"/>
    <n v="696192"/>
  </r>
  <r>
    <x v="43"/>
    <s v="COM"/>
    <x v="54"/>
    <n v="711503"/>
  </r>
  <r>
    <x v="43"/>
    <s v="COM"/>
    <x v="55"/>
    <n v="726682"/>
  </r>
  <r>
    <x v="43"/>
    <s v="COM"/>
    <x v="56"/>
    <n v="741741"/>
  </r>
  <r>
    <x v="43"/>
    <s v="COM"/>
    <x v="57"/>
    <n v="756669"/>
  </r>
  <r>
    <x v="43"/>
    <s v="COM"/>
    <x v="58"/>
    <n v="771590"/>
  </r>
  <r>
    <x v="43"/>
    <s v="COM"/>
    <x v="59"/>
    <n v="786578"/>
  </r>
  <r>
    <x v="43"/>
    <s v="COM"/>
    <x v="60"/>
    <n v="802163"/>
  </r>
  <r>
    <x v="43"/>
    <s v="COM"/>
    <x v="61"/>
    <n v="818174"/>
  </r>
  <r>
    <x v="43"/>
    <s v="COM"/>
    <x v="62"/>
    <n v="834188"/>
  </r>
  <r>
    <x v="43"/>
    <s v="COM"/>
    <x v="63"/>
    <n v="850387"/>
  </r>
  <r>
    <x v="43"/>
    <s v="COM"/>
    <x v="64"/>
    <n v="866628"/>
  </r>
  <r>
    <x v="44"/>
    <s v="COD"/>
    <x v="0"/>
    <n v="15264846"/>
  </r>
  <r>
    <x v="44"/>
    <s v="COD"/>
    <x v="1"/>
    <n v="15662374"/>
  </r>
  <r>
    <x v="44"/>
    <s v="COD"/>
    <x v="2"/>
    <n v="16075724"/>
  </r>
  <r>
    <x v="44"/>
    <s v="COD"/>
    <x v="3"/>
    <n v="16507599"/>
  </r>
  <r>
    <x v="44"/>
    <s v="COD"/>
    <x v="4"/>
    <n v="16955327"/>
  </r>
  <r>
    <x v="44"/>
    <s v="COD"/>
    <x v="5"/>
    <n v="17427802"/>
  </r>
  <r>
    <x v="44"/>
    <s v="COD"/>
    <x v="6"/>
    <n v="17931929"/>
  </r>
  <r>
    <x v="44"/>
    <s v="COD"/>
    <x v="7"/>
    <n v="18462782"/>
  </r>
  <r>
    <x v="44"/>
    <s v="COD"/>
    <x v="8"/>
    <n v="19012189"/>
  </r>
  <r>
    <x v="44"/>
    <s v="COD"/>
    <x v="9"/>
    <n v="19570445"/>
  </r>
  <r>
    <x v="44"/>
    <s v="COD"/>
    <x v="10"/>
    <n v="20137436"/>
  </r>
  <r>
    <x v="44"/>
    <s v="COD"/>
    <x v="11"/>
    <n v="20695569"/>
  </r>
  <r>
    <x v="44"/>
    <s v="COD"/>
    <x v="12"/>
    <n v="21251160"/>
  </r>
  <r>
    <x v="44"/>
    <s v="COD"/>
    <x v="13"/>
    <n v="21827665"/>
  </r>
  <r>
    <x v="44"/>
    <s v="COD"/>
    <x v="14"/>
    <n v="22418878"/>
  </r>
  <r>
    <x v="44"/>
    <s v="COD"/>
    <x v="15"/>
    <n v="23021101"/>
  </r>
  <r>
    <x v="44"/>
    <s v="COD"/>
    <x v="16"/>
    <n v="23624031"/>
  </r>
  <r>
    <x v="44"/>
    <s v="COD"/>
    <x v="17"/>
    <n v="24229061"/>
  </r>
  <r>
    <x v="44"/>
    <s v="COD"/>
    <x v="18"/>
    <n v="24992689"/>
  </r>
  <r>
    <x v="44"/>
    <s v="COD"/>
    <x v="19"/>
    <n v="25886782"/>
  </r>
  <r>
    <x v="44"/>
    <s v="COD"/>
    <x v="20"/>
    <n v="26711099"/>
  </r>
  <r>
    <x v="44"/>
    <s v="COD"/>
    <x v="21"/>
    <n v="27500515"/>
  </r>
  <r>
    <x v="44"/>
    <s v="COD"/>
    <x v="22"/>
    <n v="28338190"/>
  </r>
  <r>
    <x v="44"/>
    <s v="COD"/>
    <x v="23"/>
    <n v="29250963"/>
  </r>
  <r>
    <x v="44"/>
    <s v="COD"/>
    <x v="24"/>
    <n v="30245081"/>
  </r>
  <r>
    <x v="44"/>
    <s v="COD"/>
    <x v="25"/>
    <n v="31264816"/>
  </r>
  <r>
    <x v="44"/>
    <s v="COD"/>
    <x v="26"/>
    <n v="32265196"/>
  </r>
  <r>
    <x v="44"/>
    <s v="COD"/>
    <x v="27"/>
    <n v="33298904"/>
  </r>
  <r>
    <x v="44"/>
    <s v="COD"/>
    <x v="28"/>
    <n v="34382752"/>
  </r>
  <r>
    <x v="44"/>
    <s v="COD"/>
    <x v="29"/>
    <n v="35486866"/>
  </r>
  <r>
    <x v="44"/>
    <s v="COD"/>
    <x v="30"/>
    <n v="36684063"/>
  </r>
  <r>
    <x v="44"/>
    <s v="COD"/>
    <x v="31"/>
    <n v="37925817"/>
  </r>
  <r>
    <x v="44"/>
    <s v="COD"/>
    <x v="32"/>
    <n v="39228910"/>
  </r>
  <r>
    <x v="44"/>
    <s v="COD"/>
    <x v="33"/>
    <n v="40656336"/>
  </r>
  <r>
    <x v="44"/>
    <s v="COD"/>
    <x v="34"/>
    <n v="42626876"/>
  </r>
  <r>
    <x v="44"/>
    <s v="COD"/>
    <x v="35"/>
    <n v="44433704"/>
  </r>
  <r>
    <x v="44"/>
    <s v="COD"/>
    <x v="36"/>
    <n v="45296124"/>
  </r>
  <r>
    <x v="44"/>
    <s v="COD"/>
    <x v="37"/>
    <n v="46029902"/>
  </r>
  <r>
    <x v="44"/>
    <s v="COD"/>
    <x v="38"/>
    <n v="47297600"/>
  </r>
  <r>
    <x v="44"/>
    <s v="COD"/>
    <x v="39"/>
    <n v="48912971"/>
  </r>
  <r>
    <x v="44"/>
    <s v="COD"/>
    <x v="40"/>
    <n v="50507442"/>
  </r>
  <r>
    <x v="44"/>
    <s v="COD"/>
    <x v="41"/>
    <n v="52132646"/>
  </r>
  <r>
    <x v="44"/>
    <s v="COD"/>
    <x v="42"/>
    <n v="53750524"/>
  </r>
  <r>
    <x v="44"/>
    <s v="COD"/>
    <x v="43"/>
    <n v="55343867"/>
  </r>
  <r>
    <x v="44"/>
    <s v="COD"/>
    <x v="44"/>
    <n v="56997741"/>
  </r>
  <r>
    <x v="44"/>
    <s v="COD"/>
    <x v="45"/>
    <n v="58775724"/>
  </r>
  <r>
    <x v="44"/>
    <s v="COD"/>
    <x v="46"/>
    <n v="60615908"/>
  </r>
  <r>
    <x v="44"/>
    <s v="COD"/>
    <x v="47"/>
    <n v="62477752"/>
  </r>
  <r>
    <x v="44"/>
    <s v="COD"/>
    <x v="48"/>
    <n v="64390664"/>
  </r>
  <r>
    <x v="44"/>
    <s v="COD"/>
    <x v="49"/>
    <n v="66412044"/>
  </r>
  <r>
    <x v="44"/>
    <s v="COD"/>
    <x v="50"/>
    <n v="68563038"/>
  </r>
  <r>
    <x v="44"/>
    <s v="COD"/>
    <x v="51"/>
    <n v="70849311"/>
  </r>
  <r>
    <x v="44"/>
    <s v="COD"/>
    <x v="52"/>
    <n v="73254618"/>
  </r>
  <r>
    <x v="44"/>
    <s v="COD"/>
    <x v="53"/>
    <n v="75789395"/>
  </r>
  <r>
    <x v="44"/>
    <s v="COD"/>
    <x v="54"/>
    <n v="78403242"/>
  </r>
  <r>
    <x v="44"/>
    <s v="COD"/>
    <x v="55"/>
    <n v="81035531"/>
  </r>
  <r>
    <x v="44"/>
    <s v="COD"/>
    <x v="56"/>
    <n v="83956415"/>
  </r>
  <r>
    <x v="44"/>
    <s v="COD"/>
    <x v="57"/>
    <n v="87083398"/>
  </r>
  <r>
    <x v="44"/>
    <s v="COD"/>
    <x v="58"/>
    <n v="90047644"/>
  </r>
  <r>
    <x v="44"/>
    <s v="COD"/>
    <x v="59"/>
    <n v="92947442"/>
  </r>
  <r>
    <x v="44"/>
    <s v="COD"/>
    <x v="60"/>
    <n v="95989998"/>
  </r>
  <r>
    <x v="44"/>
    <s v="COD"/>
    <x v="61"/>
    <n v="99148932"/>
  </r>
  <r>
    <x v="44"/>
    <s v="COD"/>
    <x v="62"/>
    <n v="102396968"/>
  </r>
  <r>
    <x v="44"/>
    <s v="COD"/>
    <x v="63"/>
    <n v="105789731"/>
  </r>
  <r>
    <x v="44"/>
    <s v="COD"/>
    <x v="64"/>
    <n v="109276265"/>
  </r>
  <r>
    <x v="45"/>
    <s v="COG"/>
    <x v="0"/>
    <n v="1056732"/>
  </r>
  <r>
    <x v="45"/>
    <s v="COG"/>
    <x v="1"/>
    <n v="1084389"/>
  </r>
  <r>
    <x v="45"/>
    <s v="COG"/>
    <x v="2"/>
    <n v="1113175"/>
  </r>
  <r>
    <x v="45"/>
    <s v="COG"/>
    <x v="3"/>
    <n v="1143263"/>
  </r>
  <r>
    <x v="45"/>
    <s v="COG"/>
    <x v="4"/>
    <n v="1174816"/>
  </r>
  <r>
    <x v="45"/>
    <s v="COG"/>
    <x v="5"/>
    <n v="1207880"/>
  </r>
  <r>
    <x v="45"/>
    <s v="COG"/>
    <x v="6"/>
    <n v="1242534"/>
  </r>
  <r>
    <x v="45"/>
    <s v="COG"/>
    <x v="7"/>
    <n v="1278691"/>
  </r>
  <r>
    <x v="45"/>
    <s v="COG"/>
    <x v="8"/>
    <n v="1316519"/>
  </r>
  <r>
    <x v="45"/>
    <s v="COG"/>
    <x v="9"/>
    <n v="1356182"/>
  </r>
  <r>
    <x v="45"/>
    <s v="COG"/>
    <x v="10"/>
    <n v="1397638"/>
  </r>
  <r>
    <x v="45"/>
    <s v="COG"/>
    <x v="11"/>
    <n v="1441039"/>
  </r>
  <r>
    <x v="45"/>
    <s v="COG"/>
    <x v="12"/>
    <n v="1486468"/>
  </r>
  <r>
    <x v="45"/>
    <s v="COG"/>
    <x v="13"/>
    <n v="1533680"/>
  </r>
  <r>
    <x v="45"/>
    <s v="COG"/>
    <x v="14"/>
    <n v="1582301"/>
  </r>
  <r>
    <x v="45"/>
    <s v="COG"/>
    <x v="15"/>
    <n v="1627032"/>
  </r>
  <r>
    <x v="45"/>
    <s v="COG"/>
    <x v="16"/>
    <n v="1667225"/>
  </r>
  <r>
    <x v="45"/>
    <s v="COG"/>
    <x v="17"/>
    <n v="1707568"/>
  </r>
  <r>
    <x v="45"/>
    <s v="COG"/>
    <x v="18"/>
    <n v="1748089"/>
  </r>
  <r>
    <x v="45"/>
    <s v="COG"/>
    <x v="19"/>
    <n v="1788524"/>
  </r>
  <r>
    <x v="45"/>
    <s v="COG"/>
    <x v="20"/>
    <n v="1828985"/>
  </r>
  <r>
    <x v="45"/>
    <s v="COG"/>
    <x v="21"/>
    <n v="1869759"/>
  </r>
  <r>
    <x v="45"/>
    <s v="COG"/>
    <x v="22"/>
    <n v="1910430"/>
  </r>
  <r>
    <x v="45"/>
    <s v="COG"/>
    <x v="23"/>
    <n v="1950321"/>
  </r>
  <r>
    <x v="45"/>
    <s v="COG"/>
    <x v="24"/>
    <n v="1999528"/>
  </r>
  <r>
    <x v="45"/>
    <s v="COG"/>
    <x v="25"/>
    <n v="2059311"/>
  </r>
  <r>
    <x v="45"/>
    <s v="COG"/>
    <x v="26"/>
    <n v="2120602"/>
  </r>
  <r>
    <x v="45"/>
    <s v="COG"/>
    <x v="27"/>
    <n v="2183473"/>
  </r>
  <r>
    <x v="45"/>
    <s v="COG"/>
    <x v="28"/>
    <n v="2247653"/>
  </r>
  <r>
    <x v="45"/>
    <s v="COG"/>
    <x v="29"/>
    <n v="2313558"/>
  </r>
  <r>
    <x v="45"/>
    <s v="COG"/>
    <x v="30"/>
    <n v="2380560"/>
  </r>
  <r>
    <x v="45"/>
    <s v="COG"/>
    <x v="31"/>
    <n v="2449229"/>
  </r>
  <r>
    <x v="45"/>
    <s v="COG"/>
    <x v="32"/>
    <n v="2519465"/>
  </r>
  <r>
    <x v="45"/>
    <s v="COG"/>
    <x v="33"/>
    <n v="2595124"/>
  </r>
  <r>
    <x v="45"/>
    <s v="COG"/>
    <x v="34"/>
    <n v="2673144"/>
  </r>
  <r>
    <x v="45"/>
    <s v="COG"/>
    <x v="35"/>
    <n v="2749461"/>
  </r>
  <r>
    <x v="45"/>
    <s v="COG"/>
    <x v="36"/>
    <n v="2826785"/>
  </r>
  <r>
    <x v="45"/>
    <s v="COG"/>
    <x v="37"/>
    <n v="2887862"/>
  </r>
  <r>
    <x v="45"/>
    <s v="COG"/>
    <x v="38"/>
    <n v="2952061"/>
  </r>
  <r>
    <x v="45"/>
    <s v="COG"/>
    <x v="39"/>
    <n v="3032874"/>
  </r>
  <r>
    <x v="45"/>
    <s v="COG"/>
    <x v="40"/>
    <n v="3151345"/>
  </r>
  <r>
    <x v="45"/>
    <s v="COG"/>
    <x v="41"/>
    <n v="3272537"/>
  </r>
  <r>
    <x v="45"/>
    <s v="COG"/>
    <x v="42"/>
    <n v="3350771"/>
  </r>
  <r>
    <x v="45"/>
    <s v="COG"/>
    <x v="43"/>
    <n v="3445753"/>
  </r>
  <r>
    <x v="45"/>
    <s v="COG"/>
    <x v="44"/>
    <n v="3565554"/>
  </r>
  <r>
    <x v="45"/>
    <s v="COG"/>
    <x v="45"/>
    <n v="3696393"/>
  </r>
  <r>
    <x v="45"/>
    <s v="COG"/>
    <x v="46"/>
    <n v="3837409"/>
  </r>
  <r>
    <x v="45"/>
    <s v="COG"/>
    <x v="47"/>
    <n v="3980430"/>
  </r>
  <r>
    <x v="45"/>
    <s v="COG"/>
    <x v="48"/>
    <n v="4113517"/>
  </r>
  <r>
    <x v="45"/>
    <s v="COG"/>
    <x v="49"/>
    <n v="4281219"/>
  </r>
  <r>
    <x v="45"/>
    <s v="COG"/>
    <x v="50"/>
    <n v="4462290"/>
  </r>
  <r>
    <x v="45"/>
    <s v="COG"/>
    <x v="51"/>
    <n v="4609724"/>
  </r>
  <r>
    <x v="45"/>
    <s v="COG"/>
    <x v="52"/>
    <n v="4740450"/>
  </r>
  <r>
    <x v="45"/>
    <s v="COG"/>
    <x v="53"/>
    <n v="4857099"/>
  </r>
  <r>
    <x v="45"/>
    <s v="COG"/>
    <x v="54"/>
    <n v="4975880"/>
  </r>
  <r>
    <x v="45"/>
    <s v="COG"/>
    <x v="55"/>
    <n v="5097581"/>
  </r>
  <r>
    <x v="45"/>
    <s v="COG"/>
    <x v="56"/>
    <n v="5222536"/>
  </r>
  <r>
    <x v="45"/>
    <s v="COG"/>
    <x v="57"/>
    <n v="5351011"/>
  </r>
  <r>
    <x v="45"/>
    <s v="COG"/>
    <x v="58"/>
    <n v="5483118"/>
  </r>
  <r>
    <x v="45"/>
    <s v="COG"/>
    <x v="59"/>
    <n v="5616661"/>
  </r>
  <r>
    <x v="45"/>
    <s v="COG"/>
    <x v="60"/>
    <n v="5752791"/>
  </r>
  <r>
    <x v="45"/>
    <s v="COG"/>
    <x v="61"/>
    <n v="5892183"/>
  </r>
  <r>
    <x v="45"/>
    <s v="COG"/>
    <x v="62"/>
    <n v="6035104"/>
  </r>
  <r>
    <x v="45"/>
    <s v="COG"/>
    <x v="63"/>
    <n v="6182885"/>
  </r>
  <r>
    <x v="45"/>
    <s v="COG"/>
    <x v="64"/>
    <n v="6332961"/>
  </r>
  <r>
    <x v="46"/>
    <s v="CRI"/>
    <x v="0"/>
    <n v="1327496"/>
  </r>
  <r>
    <x v="46"/>
    <s v="CRI"/>
    <x v="1"/>
    <n v="1377920"/>
  </r>
  <r>
    <x v="46"/>
    <s v="CRI"/>
    <x v="2"/>
    <n v="1429445"/>
  </r>
  <r>
    <x v="46"/>
    <s v="CRI"/>
    <x v="3"/>
    <n v="1481604"/>
  </r>
  <r>
    <x v="46"/>
    <s v="CRI"/>
    <x v="4"/>
    <n v="1533960"/>
  </r>
  <r>
    <x v="46"/>
    <s v="CRI"/>
    <x v="5"/>
    <n v="1586208"/>
  </r>
  <r>
    <x v="46"/>
    <s v="CRI"/>
    <x v="6"/>
    <n v="1638116"/>
  </r>
  <r>
    <x v="46"/>
    <s v="CRI"/>
    <x v="7"/>
    <n v="1689523"/>
  </r>
  <r>
    <x v="46"/>
    <s v="CRI"/>
    <x v="8"/>
    <n v="1739731"/>
  </r>
  <r>
    <x v="46"/>
    <s v="CRI"/>
    <x v="9"/>
    <n v="1789276"/>
  </r>
  <r>
    <x v="46"/>
    <s v="CRI"/>
    <x v="10"/>
    <n v="1838949"/>
  </r>
  <r>
    <x v="46"/>
    <s v="CRI"/>
    <x v="11"/>
    <n v="1888539"/>
  </r>
  <r>
    <x v="46"/>
    <s v="CRI"/>
    <x v="12"/>
    <n v="1938248"/>
  </r>
  <r>
    <x v="46"/>
    <s v="CRI"/>
    <x v="13"/>
    <n v="1988343"/>
  </r>
  <r>
    <x v="46"/>
    <s v="CRI"/>
    <x v="14"/>
    <n v="2039643"/>
  </r>
  <r>
    <x v="46"/>
    <s v="CRI"/>
    <x v="15"/>
    <n v="2092719"/>
  </r>
  <r>
    <x v="46"/>
    <s v="CRI"/>
    <x v="16"/>
    <n v="2147774"/>
  </r>
  <r>
    <x v="46"/>
    <s v="CRI"/>
    <x v="17"/>
    <n v="2205025"/>
  </r>
  <r>
    <x v="46"/>
    <s v="CRI"/>
    <x v="18"/>
    <n v="2264510"/>
  </r>
  <r>
    <x v="46"/>
    <s v="CRI"/>
    <x v="19"/>
    <n v="2326490"/>
  </r>
  <r>
    <x v="46"/>
    <s v="CRI"/>
    <x v="20"/>
    <n v="2390633"/>
  </r>
  <r>
    <x v="46"/>
    <s v="CRI"/>
    <x v="21"/>
    <n v="2456637"/>
  </r>
  <r>
    <x v="46"/>
    <s v="CRI"/>
    <x v="22"/>
    <n v="2524806"/>
  </r>
  <r>
    <x v="46"/>
    <s v="CRI"/>
    <x v="23"/>
    <n v="2595153"/>
  </r>
  <r>
    <x v="46"/>
    <s v="CRI"/>
    <x v="24"/>
    <n v="2667595"/>
  </r>
  <r>
    <x v="46"/>
    <s v="CRI"/>
    <x v="25"/>
    <n v="2741894"/>
  </r>
  <r>
    <x v="46"/>
    <s v="CRI"/>
    <x v="26"/>
    <n v="2817216"/>
  </r>
  <r>
    <x v="46"/>
    <s v="CRI"/>
    <x v="27"/>
    <n v="2892699"/>
  </r>
  <r>
    <x v="46"/>
    <s v="CRI"/>
    <x v="28"/>
    <n v="2968103"/>
  </r>
  <r>
    <x v="46"/>
    <s v="CRI"/>
    <x v="29"/>
    <n v="3043827"/>
  </r>
  <r>
    <x v="46"/>
    <s v="CRI"/>
    <x v="30"/>
    <n v="3121706"/>
  </r>
  <r>
    <x v="46"/>
    <s v="CRI"/>
    <x v="31"/>
    <n v="3202176"/>
  </r>
  <r>
    <x v="46"/>
    <s v="CRI"/>
    <x v="32"/>
    <n v="3284258"/>
  </r>
  <r>
    <x v="46"/>
    <s v="CRI"/>
    <x v="33"/>
    <n v="3367434"/>
  </r>
  <r>
    <x v="46"/>
    <s v="CRI"/>
    <x v="34"/>
    <n v="3451122"/>
  </r>
  <r>
    <x v="46"/>
    <s v="CRI"/>
    <x v="35"/>
    <n v="3535176"/>
  </r>
  <r>
    <x v="46"/>
    <s v="CRI"/>
    <x v="36"/>
    <n v="3619013"/>
  </r>
  <r>
    <x v="46"/>
    <s v="CRI"/>
    <x v="37"/>
    <n v="3701711"/>
  </r>
  <r>
    <x v="46"/>
    <s v="CRI"/>
    <x v="38"/>
    <n v="3782838"/>
  </r>
  <r>
    <x v="46"/>
    <s v="CRI"/>
    <x v="39"/>
    <n v="3862101"/>
  </r>
  <r>
    <x v="46"/>
    <s v="CRI"/>
    <x v="40"/>
    <n v="3937739"/>
  </r>
  <r>
    <x v="46"/>
    <s v="CRI"/>
    <x v="41"/>
    <n v="4008947"/>
  </r>
  <r>
    <x v="46"/>
    <s v="CRI"/>
    <x v="42"/>
    <n v="4075705"/>
  </r>
  <r>
    <x v="46"/>
    <s v="CRI"/>
    <x v="43"/>
    <n v="4138784"/>
  </r>
  <r>
    <x v="46"/>
    <s v="CRI"/>
    <x v="44"/>
    <n v="4200078"/>
  </r>
  <r>
    <x v="46"/>
    <s v="CRI"/>
    <x v="45"/>
    <n v="4261240"/>
  </r>
  <r>
    <x v="46"/>
    <s v="CRI"/>
    <x v="46"/>
    <n v="4321340"/>
  </r>
  <r>
    <x v="46"/>
    <s v="CRI"/>
    <x v="47"/>
    <n v="4380248"/>
  </r>
  <r>
    <x v="46"/>
    <s v="CRI"/>
    <x v="48"/>
    <n v="4440056"/>
  </r>
  <r>
    <x v="46"/>
    <s v="CRI"/>
    <x v="49"/>
    <n v="4499791"/>
  </r>
  <r>
    <x v="46"/>
    <s v="CRI"/>
    <x v="50"/>
    <n v="4555962"/>
  </r>
  <r>
    <x v="46"/>
    <s v="CRI"/>
    <x v="51"/>
    <n v="4609833"/>
  </r>
  <r>
    <x v="46"/>
    <s v="CRI"/>
    <x v="52"/>
    <n v="4663934"/>
  </r>
  <r>
    <x v="46"/>
    <s v="CRI"/>
    <x v="53"/>
    <n v="4716147"/>
  </r>
  <r>
    <x v="46"/>
    <s v="CRI"/>
    <x v="54"/>
    <n v="4767119"/>
  </r>
  <r>
    <x v="46"/>
    <s v="CRI"/>
    <x v="55"/>
    <n v="4818038"/>
  </r>
  <r>
    <x v="46"/>
    <s v="CRI"/>
    <x v="56"/>
    <n v="4866998"/>
  </r>
  <r>
    <x v="46"/>
    <s v="CRI"/>
    <x v="57"/>
    <n v="4913177"/>
  </r>
  <r>
    <x v="46"/>
    <s v="CRI"/>
    <x v="58"/>
    <n v="4957818"/>
  </r>
  <r>
    <x v="46"/>
    <s v="CRI"/>
    <x v="59"/>
    <n v="4999553"/>
  </r>
  <r>
    <x v="46"/>
    <s v="CRI"/>
    <x v="60"/>
    <n v="5034320"/>
  </r>
  <r>
    <x v="46"/>
    <s v="CRI"/>
    <x v="61"/>
    <n v="5059988"/>
  </r>
  <r>
    <x v="46"/>
    <s v="CRI"/>
    <x v="62"/>
    <n v="5081765"/>
  </r>
  <r>
    <x v="46"/>
    <s v="CRI"/>
    <x v="63"/>
    <n v="5105525"/>
  </r>
  <r>
    <x v="46"/>
    <s v="CRI"/>
    <x v="64"/>
    <n v="5129910"/>
  </r>
  <r>
    <x v="47"/>
    <s v="CIV"/>
    <x v="0"/>
    <n v="3673666"/>
  </r>
  <r>
    <x v="47"/>
    <s v="CIV"/>
    <x v="1"/>
    <n v="3810151"/>
  </r>
  <r>
    <x v="47"/>
    <s v="CIV"/>
    <x v="2"/>
    <n v="3956939"/>
  </r>
  <r>
    <x v="47"/>
    <s v="CIV"/>
    <x v="3"/>
    <n v="4112061"/>
  </r>
  <r>
    <x v="47"/>
    <s v="CIV"/>
    <x v="4"/>
    <n v="4273952"/>
  </r>
  <r>
    <x v="47"/>
    <s v="CIV"/>
    <x v="5"/>
    <n v="4442377"/>
  </r>
  <r>
    <x v="47"/>
    <s v="CIV"/>
    <x v="6"/>
    <n v="4617519"/>
  </r>
  <r>
    <x v="47"/>
    <s v="CIV"/>
    <x v="7"/>
    <n v="4799744"/>
  </r>
  <r>
    <x v="47"/>
    <s v="CIV"/>
    <x v="8"/>
    <n v="4990021"/>
  </r>
  <r>
    <x v="47"/>
    <s v="CIV"/>
    <x v="9"/>
    <n v="5192221"/>
  </r>
  <r>
    <x v="47"/>
    <s v="CIV"/>
    <x v="10"/>
    <n v="5411567"/>
  </r>
  <r>
    <x v="47"/>
    <s v="CIV"/>
    <x v="11"/>
    <n v="5650868"/>
  </r>
  <r>
    <x v="47"/>
    <s v="CIV"/>
    <x v="12"/>
    <n v="5909716"/>
  </r>
  <r>
    <x v="47"/>
    <s v="CIV"/>
    <x v="13"/>
    <n v="6184944"/>
  </r>
  <r>
    <x v="47"/>
    <s v="CIV"/>
    <x v="14"/>
    <n v="6474057"/>
  </r>
  <r>
    <x v="47"/>
    <s v="CIV"/>
    <x v="15"/>
    <n v="6776297"/>
  </r>
  <r>
    <x v="47"/>
    <s v="CIV"/>
    <x v="16"/>
    <n v="7057958"/>
  </r>
  <r>
    <x v="47"/>
    <s v="CIV"/>
    <x v="17"/>
    <n v="7321950"/>
  </r>
  <r>
    <x v="47"/>
    <s v="CIV"/>
    <x v="18"/>
    <n v="7603130"/>
  </r>
  <r>
    <x v="47"/>
    <s v="CIV"/>
    <x v="19"/>
    <n v="7902267"/>
  </r>
  <r>
    <x v="47"/>
    <s v="CIV"/>
    <x v="20"/>
    <n v="8220714"/>
  </r>
  <r>
    <x v="47"/>
    <s v="CIV"/>
    <x v="21"/>
    <n v="8556596"/>
  </r>
  <r>
    <x v="47"/>
    <s v="CIV"/>
    <x v="22"/>
    <n v="8907936"/>
  </r>
  <r>
    <x v="47"/>
    <s v="CIV"/>
    <x v="23"/>
    <n v="9272744"/>
  </r>
  <r>
    <x v="47"/>
    <s v="CIV"/>
    <x v="24"/>
    <n v="9650516"/>
  </r>
  <r>
    <x v="47"/>
    <s v="CIV"/>
    <x v="25"/>
    <n v="10040483"/>
  </r>
  <r>
    <x v="47"/>
    <s v="CIV"/>
    <x v="26"/>
    <n v="10440917"/>
  </r>
  <r>
    <x v="47"/>
    <s v="CIV"/>
    <x v="27"/>
    <n v="10851475"/>
  </r>
  <r>
    <x v="47"/>
    <s v="CIV"/>
    <x v="28"/>
    <n v="11275189"/>
  </r>
  <r>
    <x v="47"/>
    <s v="CIV"/>
    <x v="29"/>
    <n v="11719771"/>
  </r>
  <r>
    <x v="47"/>
    <s v="CIV"/>
    <x v="30"/>
    <n v="12189778"/>
  </r>
  <r>
    <x v="47"/>
    <s v="CIV"/>
    <x v="31"/>
    <n v="12683870"/>
  </r>
  <r>
    <x v="47"/>
    <s v="CIV"/>
    <x v="32"/>
    <n v="13200310"/>
  </r>
  <r>
    <x v="47"/>
    <s v="CIV"/>
    <x v="33"/>
    <n v="13735951"/>
  </r>
  <r>
    <x v="47"/>
    <s v="CIV"/>
    <x v="34"/>
    <n v="14287201"/>
  </r>
  <r>
    <x v="47"/>
    <s v="CIV"/>
    <x v="35"/>
    <n v="14855565"/>
  </r>
  <r>
    <x v="47"/>
    <s v="CIV"/>
    <x v="36"/>
    <n v="15442312"/>
  </r>
  <r>
    <x v="47"/>
    <s v="CIV"/>
    <x v="37"/>
    <n v="16047170"/>
  </r>
  <r>
    <x v="47"/>
    <s v="CIV"/>
    <x v="38"/>
    <n v="16663948"/>
  </r>
  <r>
    <x v="47"/>
    <s v="CIV"/>
    <x v="39"/>
    <n v="17215935"/>
  </r>
  <r>
    <x v="47"/>
    <s v="CIV"/>
    <x v="40"/>
    <n v="17699004"/>
  </r>
  <r>
    <x v="47"/>
    <s v="CIV"/>
    <x v="41"/>
    <n v="18178913"/>
  </r>
  <r>
    <x v="47"/>
    <s v="CIV"/>
    <x v="42"/>
    <n v="18654771"/>
  </r>
  <r>
    <x v="47"/>
    <s v="CIV"/>
    <x v="43"/>
    <n v="19125542"/>
  </r>
  <r>
    <x v="47"/>
    <s v="CIV"/>
    <x v="44"/>
    <n v="19595000"/>
  </r>
  <r>
    <x v="47"/>
    <s v="CIV"/>
    <x v="45"/>
    <n v="20068458"/>
  </r>
  <r>
    <x v="47"/>
    <s v="CIV"/>
    <x v="46"/>
    <n v="20546802"/>
  </r>
  <r>
    <x v="47"/>
    <s v="CIV"/>
    <x v="47"/>
    <n v="21030558"/>
  </r>
  <r>
    <x v="47"/>
    <s v="CIV"/>
    <x v="48"/>
    <n v="21514439"/>
  </r>
  <r>
    <x v="47"/>
    <s v="CIV"/>
    <x v="49"/>
    <n v="21997940"/>
  </r>
  <r>
    <x v="47"/>
    <s v="CIV"/>
    <x v="50"/>
    <n v="22488065"/>
  </r>
  <r>
    <x v="47"/>
    <s v="CIV"/>
    <x v="51"/>
    <n v="22982000"/>
  </r>
  <r>
    <x v="47"/>
    <s v="CIV"/>
    <x v="52"/>
    <n v="23467078"/>
  </r>
  <r>
    <x v="47"/>
    <s v="CIV"/>
    <x v="53"/>
    <n v="23939775"/>
  </r>
  <r>
    <x v="47"/>
    <s v="CIV"/>
    <x v="54"/>
    <n v="24527395"/>
  </r>
  <r>
    <x v="47"/>
    <s v="CIV"/>
    <x v="55"/>
    <n v="25246342"/>
  </r>
  <r>
    <x v="47"/>
    <s v="CIV"/>
    <x v="56"/>
    <n v="25989405"/>
  </r>
  <r>
    <x v="47"/>
    <s v="CIV"/>
    <x v="57"/>
    <n v="26733372"/>
  </r>
  <r>
    <x v="47"/>
    <s v="CIV"/>
    <x v="58"/>
    <n v="27464173"/>
  </r>
  <r>
    <x v="47"/>
    <s v="CIV"/>
    <x v="59"/>
    <n v="28193009"/>
  </r>
  <r>
    <x v="47"/>
    <s v="CIV"/>
    <x v="60"/>
    <n v="28915449"/>
  </r>
  <r>
    <x v="47"/>
    <s v="CIV"/>
    <x v="61"/>
    <n v="29639736"/>
  </r>
  <r>
    <x v="47"/>
    <s v="CIV"/>
    <x v="62"/>
    <n v="30395002"/>
  </r>
  <r>
    <x v="47"/>
    <s v="CIV"/>
    <x v="63"/>
    <n v="31165654"/>
  </r>
  <r>
    <x v="47"/>
    <s v="CIV"/>
    <x v="64"/>
    <n v="31934230"/>
  </r>
  <r>
    <x v="48"/>
    <s v="HRV"/>
    <x v="0"/>
    <n v="4140181"/>
  </r>
  <r>
    <x v="48"/>
    <s v="HRV"/>
    <x v="1"/>
    <n v="4167292"/>
  </r>
  <r>
    <x v="48"/>
    <s v="HRV"/>
    <x v="2"/>
    <n v="4196712"/>
  </r>
  <r>
    <x v="48"/>
    <s v="HRV"/>
    <x v="3"/>
    <n v="4225675"/>
  </r>
  <r>
    <x v="48"/>
    <s v="HRV"/>
    <x v="4"/>
    <n v="4252876"/>
  </r>
  <r>
    <x v="48"/>
    <s v="HRV"/>
    <x v="5"/>
    <n v="4280923"/>
  </r>
  <r>
    <x v="48"/>
    <s v="HRV"/>
    <x v="6"/>
    <n v="4310701"/>
  </r>
  <r>
    <x v="48"/>
    <s v="HRV"/>
    <x v="7"/>
    <n v="4338683"/>
  </r>
  <r>
    <x v="48"/>
    <s v="HRV"/>
    <x v="8"/>
    <n v="4365628"/>
  </r>
  <r>
    <x v="48"/>
    <s v="HRV"/>
    <x v="9"/>
    <n v="4391490"/>
  </r>
  <r>
    <x v="48"/>
    <s v="HRV"/>
    <x v="10"/>
    <n v="4412252"/>
  </r>
  <r>
    <x v="48"/>
    <s v="HRV"/>
    <x v="11"/>
    <n v="4431275"/>
  </r>
  <r>
    <x v="48"/>
    <s v="HRV"/>
    <x v="12"/>
    <n v="4450564"/>
  </r>
  <r>
    <x v="48"/>
    <s v="HRV"/>
    <x v="13"/>
    <n v="4470161"/>
  </r>
  <r>
    <x v="48"/>
    <s v="HRV"/>
    <x v="14"/>
    <n v="4490660"/>
  </r>
  <r>
    <x v="48"/>
    <s v="HRV"/>
    <x v="15"/>
    <n v="4512082"/>
  </r>
  <r>
    <x v="48"/>
    <s v="HRV"/>
    <x v="16"/>
    <n v="4535934"/>
  </r>
  <r>
    <x v="48"/>
    <s v="HRV"/>
    <x v="17"/>
    <n v="4559571"/>
  </r>
  <r>
    <x v="48"/>
    <s v="HRV"/>
    <x v="18"/>
    <n v="4581085"/>
  </r>
  <r>
    <x v="48"/>
    <s v="HRV"/>
    <x v="19"/>
    <n v="4594778"/>
  </r>
  <r>
    <x v="48"/>
    <s v="HRV"/>
    <x v="20"/>
    <n v="4599782"/>
  </r>
  <r>
    <x v="48"/>
    <s v="HRV"/>
    <x v="21"/>
    <n v="4611509"/>
  </r>
  <r>
    <x v="48"/>
    <s v="HRV"/>
    <x v="22"/>
    <n v="4634234"/>
  </r>
  <r>
    <x v="48"/>
    <s v="HRV"/>
    <x v="23"/>
    <n v="4658254"/>
  </r>
  <r>
    <x v="48"/>
    <s v="HRV"/>
    <x v="24"/>
    <n v="4680285"/>
  </r>
  <r>
    <x v="48"/>
    <s v="HRV"/>
    <x v="25"/>
    <n v="4701417"/>
  </r>
  <r>
    <x v="48"/>
    <s v="HRV"/>
    <x v="26"/>
    <n v="4721446"/>
  </r>
  <r>
    <x v="48"/>
    <s v="HRV"/>
    <x v="27"/>
    <n v="4739745"/>
  </r>
  <r>
    <x v="48"/>
    <s v="HRV"/>
    <x v="28"/>
    <n v="4755207"/>
  </r>
  <r>
    <x v="48"/>
    <s v="HRV"/>
    <x v="29"/>
    <n v="4767260"/>
  </r>
  <r>
    <x v="48"/>
    <s v="HRV"/>
    <x v="30"/>
    <n v="4777368"/>
  </r>
  <r>
    <x v="48"/>
    <s v="HRV"/>
    <x v="31"/>
    <n v="4689022"/>
  </r>
  <r>
    <x v="48"/>
    <s v="HRV"/>
    <x v="32"/>
    <n v="4575818"/>
  </r>
  <r>
    <x v="48"/>
    <s v="HRV"/>
    <x v="33"/>
    <n v="4600463"/>
  </r>
  <r>
    <x v="48"/>
    <s v="HRV"/>
    <x v="34"/>
    <n v="4652024"/>
  </r>
  <r>
    <x v="48"/>
    <s v="HRV"/>
    <x v="35"/>
    <n v="4620030"/>
  </r>
  <r>
    <x v="48"/>
    <s v="HRV"/>
    <x v="36"/>
    <n v="4557097"/>
  </r>
  <r>
    <x v="48"/>
    <s v="HRV"/>
    <x v="37"/>
    <n v="4534920"/>
  </r>
  <r>
    <x v="48"/>
    <s v="HRV"/>
    <x v="38"/>
    <n v="4532135"/>
  </r>
  <r>
    <x v="48"/>
    <s v="HRV"/>
    <x v="39"/>
    <n v="4512597"/>
  </r>
  <r>
    <x v="48"/>
    <s v="HRV"/>
    <x v="40"/>
    <n v="4468302"/>
  </r>
  <r>
    <x v="48"/>
    <s v="HRV"/>
    <x v="41"/>
    <n v="4299642"/>
  </r>
  <r>
    <x v="48"/>
    <s v="HRV"/>
    <x v="42"/>
    <n v="4302174"/>
  </r>
  <r>
    <x v="48"/>
    <s v="HRV"/>
    <x v="43"/>
    <n v="4303399"/>
  </r>
  <r>
    <x v="48"/>
    <s v="HRV"/>
    <x v="44"/>
    <n v="4304600"/>
  </r>
  <r>
    <x v="48"/>
    <s v="HRV"/>
    <x v="45"/>
    <n v="4310145"/>
  </r>
  <r>
    <x v="48"/>
    <s v="HRV"/>
    <x v="46"/>
    <n v="4311159"/>
  </r>
  <r>
    <x v="48"/>
    <s v="HRV"/>
    <x v="47"/>
    <n v="4310217"/>
  </r>
  <r>
    <x v="48"/>
    <s v="HRV"/>
    <x v="48"/>
    <n v="4309705"/>
  </r>
  <r>
    <x v="48"/>
    <s v="HRV"/>
    <x v="49"/>
    <n v="4305181"/>
  </r>
  <r>
    <x v="48"/>
    <s v="HRV"/>
    <x v="50"/>
    <n v="4295427"/>
  </r>
  <r>
    <x v="48"/>
    <s v="HRV"/>
    <x v="51"/>
    <n v="4280622"/>
  </r>
  <r>
    <x v="48"/>
    <s v="HRV"/>
    <x v="52"/>
    <n v="4260368"/>
  </r>
  <r>
    <x v="48"/>
    <s v="HRV"/>
    <x v="53"/>
    <n v="4233922"/>
  </r>
  <r>
    <x v="48"/>
    <s v="HRV"/>
    <x v="54"/>
    <n v="4201598"/>
  </r>
  <r>
    <x v="48"/>
    <s v="HRV"/>
    <x v="55"/>
    <n v="4151725"/>
  </r>
  <r>
    <x v="48"/>
    <s v="HRV"/>
    <x v="56"/>
    <n v="4106867"/>
  </r>
  <r>
    <x v="48"/>
    <s v="HRV"/>
    <x v="57"/>
    <n v="4041407"/>
  </r>
  <r>
    <x v="48"/>
    <s v="HRV"/>
    <x v="58"/>
    <n v="3988775"/>
  </r>
  <r>
    <x v="48"/>
    <s v="HRV"/>
    <x v="59"/>
    <n v="3949390"/>
  </r>
  <r>
    <x v="48"/>
    <s v="HRV"/>
    <x v="60"/>
    <n v="3914206"/>
  </r>
  <r>
    <x v="48"/>
    <s v="HRV"/>
    <x v="61"/>
    <n v="3878981"/>
  </r>
  <r>
    <x v="48"/>
    <s v="HRV"/>
    <x v="62"/>
    <n v="3855641"/>
  </r>
  <r>
    <x v="48"/>
    <s v="HRV"/>
    <x v="63"/>
    <n v="3859686"/>
  </r>
  <r>
    <x v="48"/>
    <s v="HRV"/>
    <x v="64"/>
    <n v="3866300"/>
  </r>
  <r>
    <x v="49"/>
    <s v="CUB"/>
    <x v="0"/>
    <n v="7238081"/>
  </r>
  <r>
    <x v="49"/>
    <s v="CUB"/>
    <x v="1"/>
    <n v="7387117"/>
  </r>
  <r>
    <x v="49"/>
    <s v="CUB"/>
    <x v="2"/>
    <n v="7541098"/>
  </r>
  <r>
    <x v="49"/>
    <s v="CUB"/>
    <x v="3"/>
    <n v="7701660"/>
  </r>
  <r>
    <x v="49"/>
    <s v="CUB"/>
    <x v="4"/>
    <n v="7866020"/>
  </r>
  <r>
    <x v="49"/>
    <s v="CUB"/>
    <x v="5"/>
    <n v="8030797"/>
  </r>
  <r>
    <x v="49"/>
    <s v="CUB"/>
    <x v="6"/>
    <n v="8193450"/>
  </r>
  <r>
    <x v="49"/>
    <s v="CUB"/>
    <x v="7"/>
    <n v="8352625"/>
  </r>
  <r>
    <x v="49"/>
    <s v="CUB"/>
    <x v="8"/>
    <n v="8509522"/>
  </r>
  <r>
    <x v="49"/>
    <s v="CUB"/>
    <x v="9"/>
    <n v="8666640"/>
  </r>
  <r>
    <x v="49"/>
    <s v="CUB"/>
    <x v="10"/>
    <n v="8824382"/>
  </r>
  <r>
    <x v="49"/>
    <s v="CUB"/>
    <x v="11"/>
    <n v="8979085"/>
  </r>
  <r>
    <x v="49"/>
    <s v="CUB"/>
    <x v="12"/>
    <n v="9123891"/>
  </r>
  <r>
    <x v="49"/>
    <s v="CUB"/>
    <x v="13"/>
    <n v="9255328"/>
  </r>
  <r>
    <x v="49"/>
    <s v="CUB"/>
    <x v="14"/>
    <n v="9374183"/>
  </r>
  <r>
    <x v="49"/>
    <s v="CUB"/>
    <x v="15"/>
    <n v="9479726"/>
  </r>
  <r>
    <x v="49"/>
    <s v="CUB"/>
    <x v="16"/>
    <n v="9571242"/>
  </r>
  <r>
    <x v="49"/>
    <s v="CUB"/>
    <x v="17"/>
    <n v="9648440"/>
  </r>
  <r>
    <x v="49"/>
    <s v="CUB"/>
    <x v="18"/>
    <n v="9711980"/>
  </r>
  <r>
    <x v="49"/>
    <s v="CUB"/>
    <x v="19"/>
    <n v="9763355"/>
  </r>
  <r>
    <x v="49"/>
    <s v="CUB"/>
    <x v="20"/>
    <n v="9804796"/>
  </r>
  <r>
    <x v="49"/>
    <s v="CUB"/>
    <x v="21"/>
    <n v="9849320"/>
  </r>
  <r>
    <x v="49"/>
    <s v="CUB"/>
    <x v="22"/>
    <n v="9912681"/>
  </r>
  <r>
    <x v="49"/>
    <s v="CUB"/>
    <x v="23"/>
    <n v="9991026"/>
  </r>
  <r>
    <x v="49"/>
    <s v="CUB"/>
    <x v="24"/>
    <n v="10073299"/>
  </r>
  <r>
    <x v="49"/>
    <s v="CUB"/>
    <x v="25"/>
    <n v="10157228"/>
  </r>
  <r>
    <x v="49"/>
    <s v="CUB"/>
    <x v="26"/>
    <n v="10244247"/>
  </r>
  <r>
    <x v="49"/>
    <s v="CUB"/>
    <x v="27"/>
    <n v="10335342"/>
  </r>
  <r>
    <x v="49"/>
    <s v="CUB"/>
    <x v="28"/>
    <n v="10432585"/>
  </r>
  <r>
    <x v="49"/>
    <s v="CUB"/>
    <x v="29"/>
    <n v="10533243"/>
  </r>
  <r>
    <x v="49"/>
    <s v="CUB"/>
    <x v="30"/>
    <n v="10631799"/>
  </r>
  <r>
    <x v="49"/>
    <s v="CUB"/>
    <x v="31"/>
    <n v="10717640"/>
  </r>
  <r>
    <x v="49"/>
    <s v="CUB"/>
    <x v="32"/>
    <n v="10785801"/>
  </r>
  <r>
    <x v="49"/>
    <s v="CUB"/>
    <x v="33"/>
    <n v="10841031"/>
  </r>
  <r>
    <x v="49"/>
    <s v="CUB"/>
    <x v="34"/>
    <n v="10886021"/>
  </r>
  <r>
    <x v="49"/>
    <s v="CUB"/>
    <x v="35"/>
    <n v="10925362"/>
  </r>
  <r>
    <x v="49"/>
    <s v="CUB"/>
    <x v="36"/>
    <n v="10962010"/>
  </r>
  <r>
    <x v="49"/>
    <s v="CUB"/>
    <x v="37"/>
    <n v="10997934"/>
  </r>
  <r>
    <x v="49"/>
    <s v="CUB"/>
    <x v="38"/>
    <n v="11034712"/>
  </r>
  <r>
    <x v="49"/>
    <s v="CUB"/>
    <x v="39"/>
    <n v="11072230"/>
  </r>
  <r>
    <x v="49"/>
    <s v="CUB"/>
    <x v="40"/>
    <n v="11109109"/>
  </r>
  <r>
    <x v="49"/>
    <s v="CUB"/>
    <x v="41"/>
    <n v="11144132"/>
  </r>
  <r>
    <x v="49"/>
    <s v="CUB"/>
    <x v="42"/>
    <n v="11177418"/>
  </r>
  <r>
    <x v="49"/>
    <s v="CUB"/>
    <x v="43"/>
    <n v="11209383"/>
  </r>
  <r>
    <x v="49"/>
    <s v="CUB"/>
    <x v="44"/>
    <n v="11238756"/>
  </r>
  <r>
    <x v="49"/>
    <s v="CUB"/>
    <x v="45"/>
    <n v="11262554"/>
  </r>
  <r>
    <x v="49"/>
    <s v="CUB"/>
    <x v="46"/>
    <n v="11278550"/>
  </r>
  <r>
    <x v="49"/>
    <s v="CUB"/>
    <x v="47"/>
    <n v="11287272"/>
  </r>
  <r>
    <x v="49"/>
    <s v="CUB"/>
    <x v="48"/>
    <n v="11291762"/>
  </r>
  <r>
    <x v="49"/>
    <s v="CUB"/>
    <x v="49"/>
    <n v="11294719"/>
  </r>
  <r>
    <x v="49"/>
    <s v="CUB"/>
    <x v="50"/>
    <n v="11297409"/>
  </r>
  <r>
    <x v="49"/>
    <s v="CUB"/>
    <x v="51"/>
    <n v="11301571"/>
  </r>
  <r>
    <x v="49"/>
    <s v="CUB"/>
    <x v="52"/>
    <n v="11303175"/>
  </r>
  <r>
    <x v="49"/>
    <s v="CUB"/>
    <x v="53"/>
    <n v="11298167"/>
  </r>
  <r>
    <x v="49"/>
    <s v="CUB"/>
    <x v="54"/>
    <n v="11285775"/>
  </r>
  <r>
    <x v="49"/>
    <s v="CUB"/>
    <x v="55"/>
    <n v="11275065"/>
  </r>
  <r>
    <x v="49"/>
    <s v="CUB"/>
    <x v="56"/>
    <n v="11265612"/>
  </r>
  <r>
    <x v="49"/>
    <s v="CUB"/>
    <x v="57"/>
    <n v="11247829"/>
  </r>
  <r>
    <x v="49"/>
    <s v="CUB"/>
    <x v="58"/>
    <n v="11227118"/>
  </r>
  <r>
    <x v="49"/>
    <s v="CUB"/>
    <x v="59"/>
    <n v="11202846"/>
  </r>
  <r>
    <x v="49"/>
    <s v="CUB"/>
    <x v="60"/>
    <n v="11176354"/>
  </r>
  <r>
    <x v="49"/>
    <s v="CUB"/>
    <x v="61"/>
    <n v="11122168"/>
  </r>
  <r>
    <x v="49"/>
    <s v="CUB"/>
    <x v="62"/>
    <n v="11059820"/>
  </r>
  <r>
    <x v="49"/>
    <s v="CUB"/>
    <x v="63"/>
    <n v="11019931"/>
  </r>
  <r>
    <x v="49"/>
    <s v="CUB"/>
    <x v="64"/>
    <n v="10979783"/>
  </r>
  <r>
    <x v="50"/>
    <s v="CUW"/>
    <x v="0"/>
    <n v="124826"/>
  </r>
  <r>
    <x v="50"/>
    <s v="CUW"/>
    <x v="1"/>
    <n v="126125"/>
  </r>
  <r>
    <x v="50"/>
    <s v="CUW"/>
    <x v="2"/>
    <n v="128414"/>
  </r>
  <r>
    <x v="50"/>
    <s v="CUW"/>
    <x v="3"/>
    <n v="130860"/>
  </r>
  <r>
    <x v="50"/>
    <s v="CUW"/>
    <x v="4"/>
    <n v="133148"/>
  </r>
  <r>
    <x v="50"/>
    <s v="CUW"/>
    <x v="5"/>
    <n v="135266"/>
  </r>
  <r>
    <x v="50"/>
    <s v="CUW"/>
    <x v="6"/>
    <n v="136682"/>
  </r>
  <r>
    <x v="50"/>
    <s v="CUW"/>
    <x v="7"/>
    <n v="138140"/>
  </r>
  <r>
    <x v="50"/>
    <s v="CUW"/>
    <x v="8"/>
    <n v="140298"/>
  </r>
  <r>
    <x v="50"/>
    <s v="CUW"/>
    <x v="9"/>
    <n v="142581"/>
  </r>
  <r>
    <x v="50"/>
    <s v="CUW"/>
    <x v="10"/>
    <n v="144739"/>
  </r>
  <r>
    <x v="50"/>
    <s v="CUW"/>
    <x v="11"/>
    <n v="147389"/>
  </r>
  <r>
    <x v="50"/>
    <s v="CUW"/>
    <x v="12"/>
    <n v="147710"/>
  </r>
  <r>
    <x v="50"/>
    <s v="CUW"/>
    <x v="13"/>
    <n v="146912"/>
  </r>
  <r>
    <x v="50"/>
    <s v="CUW"/>
    <x v="14"/>
    <n v="148351"/>
  </r>
  <r>
    <x v="50"/>
    <s v="CUW"/>
    <x v="15"/>
    <n v="149129"/>
  </r>
  <r>
    <x v="50"/>
    <s v="CUW"/>
    <x v="16"/>
    <n v="149399"/>
  </r>
  <r>
    <x v="50"/>
    <s v="CUW"/>
    <x v="17"/>
    <n v="149459"/>
  </r>
  <r>
    <x v="50"/>
    <s v="CUW"/>
    <x v="18"/>
    <n v="148341"/>
  </r>
  <r>
    <x v="50"/>
    <s v="CUW"/>
    <x v="19"/>
    <n v="147851"/>
  </r>
  <r>
    <x v="50"/>
    <s v="CUW"/>
    <x v="20"/>
    <n v="148041"/>
  </r>
  <r>
    <x v="50"/>
    <s v="CUW"/>
    <x v="21"/>
    <n v="148629"/>
  </r>
  <r>
    <x v="50"/>
    <s v="CUW"/>
    <x v="22"/>
    <n v="150101"/>
  </r>
  <r>
    <x v="50"/>
    <s v="CUW"/>
    <x v="23"/>
    <n v="151159"/>
  </r>
  <r>
    <x v="50"/>
    <s v="CUW"/>
    <x v="24"/>
    <n v="151940"/>
  </r>
  <r>
    <x v="50"/>
    <s v="CUW"/>
    <x v="25"/>
    <n v="152711"/>
  </r>
  <r>
    <x v="50"/>
    <s v="CUW"/>
    <x v="26"/>
    <n v="152662"/>
  </r>
  <r>
    <x v="50"/>
    <s v="CUW"/>
    <x v="27"/>
    <n v="151456"/>
  </r>
  <r>
    <x v="50"/>
    <s v="CUW"/>
    <x v="28"/>
    <n v="149254"/>
  </r>
  <r>
    <x v="50"/>
    <s v="CUW"/>
    <x v="29"/>
    <n v="146937"/>
  </r>
  <r>
    <x v="50"/>
    <s v="CUW"/>
    <x v="30"/>
    <n v="145400"/>
  </r>
  <r>
    <x v="50"/>
    <s v="CUW"/>
    <x v="31"/>
    <n v="144403"/>
  </r>
  <r>
    <x v="50"/>
    <s v="CUW"/>
    <x v="32"/>
    <n v="143912"/>
  </r>
  <r>
    <x v="50"/>
    <s v="CUW"/>
    <x v="33"/>
    <n v="144299"/>
  </r>
  <r>
    <x v="50"/>
    <s v="CUW"/>
    <x v="34"/>
    <n v="144630"/>
  </r>
  <r>
    <x v="50"/>
    <s v="CUW"/>
    <x v="35"/>
    <n v="145139"/>
  </r>
  <r>
    <x v="50"/>
    <s v="CUW"/>
    <x v="36"/>
    <n v="146306"/>
  </r>
  <r>
    <x v="50"/>
    <s v="CUW"/>
    <x v="37"/>
    <n v="146956"/>
  </r>
  <r>
    <x v="50"/>
    <s v="CUW"/>
    <x v="38"/>
    <n v="144472"/>
  </r>
  <r>
    <x v="50"/>
    <s v="CUW"/>
    <x v="39"/>
    <n v="139428"/>
  </r>
  <r>
    <x v="50"/>
    <s v="CUW"/>
    <x v="40"/>
    <n v="133860"/>
  </r>
  <r>
    <x v="50"/>
    <s v="CUW"/>
    <x v="41"/>
    <n v="129047"/>
  </r>
  <r>
    <x v="50"/>
    <s v="CUW"/>
    <x v="42"/>
    <n v="129205"/>
  </r>
  <r>
    <x v="50"/>
    <s v="CUW"/>
    <x v="43"/>
    <n v="131897"/>
  </r>
  <r>
    <x v="50"/>
    <s v="CUW"/>
    <x v="44"/>
    <n v="134192"/>
  </r>
  <r>
    <x v="50"/>
    <s v="CUW"/>
    <x v="45"/>
    <n v="137658"/>
  </r>
  <r>
    <x v="50"/>
    <s v="CUW"/>
    <x v="46"/>
    <n v="141239"/>
  </r>
  <r>
    <x v="50"/>
    <s v="CUW"/>
    <x v="47"/>
    <n v="144056"/>
  </r>
  <r>
    <x v="50"/>
    <s v="CUW"/>
    <x v="48"/>
    <n v="145880"/>
  </r>
  <r>
    <x v="50"/>
    <s v="CUW"/>
    <x v="49"/>
    <n v="146833"/>
  </r>
  <r>
    <x v="50"/>
    <s v="CUW"/>
    <x v="50"/>
    <n v="148703"/>
  </r>
  <r>
    <x v="50"/>
    <s v="CUW"/>
    <x v="51"/>
    <n v="150831"/>
  </r>
  <r>
    <x v="50"/>
    <s v="CUW"/>
    <x v="52"/>
    <n v="152088"/>
  </r>
  <r>
    <x v="50"/>
    <s v="CUW"/>
    <x v="53"/>
    <n v="153822"/>
  </r>
  <r>
    <x v="50"/>
    <s v="CUW"/>
    <x v="54"/>
    <n v="155909"/>
  </r>
  <r>
    <x v="50"/>
    <s v="CUW"/>
    <x v="55"/>
    <n v="157980"/>
  </r>
  <r>
    <x v="50"/>
    <s v="CUW"/>
    <x v="56"/>
    <n v="159664"/>
  </r>
  <r>
    <x v="50"/>
    <s v="CUW"/>
    <x v="57"/>
    <n v="160175"/>
  </r>
  <r>
    <x v="50"/>
    <s v="CUW"/>
    <x v="58"/>
    <n v="159336"/>
  </r>
  <r>
    <x v="50"/>
    <s v="CUW"/>
    <x v="59"/>
    <n v="157441"/>
  </r>
  <r>
    <x v="50"/>
    <s v="CUW"/>
    <x v="60"/>
    <n v="154947"/>
  </r>
  <r>
    <x v="50"/>
    <s v="CUW"/>
    <x v="61"/>
    <n v="152369"/>
  </r>
  <r>
    <x v="50"/>
    <s v="CUW"/>
    <x v="62"/>
    <n v="149996"/>
  </r>
  <r>
    <x v="50"/>
    <s v="CUW"/>
    <x v="63"/>
    <n v="155800"/>
  </r>
  <r>
    <x v="50"/>
    <s v="CUW"/>
    <x v="64"/>
    <n v="155900"/>
  </r>
  <r>
    <x v="51"/>
    <s v="CYP"/>
    <x v="0"/>
    <n v="586490"/>
  </r>
  <r>
    <x v="51"/>
    <s v="CYP"/>
    <x v="1"/>
    <n v="595514"/>
  </r>
  <r>
    <x v="51"/>
    <s v="CYP"/>
    <x v="2"/>
    <n v="601466"/>
  </r>
  <r>
    <x v="51"/>
    <s v="CYP"/>
    <x v="3"/>
    <n v="607252"/>
  </r>
  <r>
    <x v="51"/>
    <s v="CYP"/>
    <x v="4"/>
    <n v="612521"/>
  </r>
  <r>
    <x v="51"/>
    <s v="CYP"/>
    <x v="5"/>
    <n v="617736"/>
  </r>
  <r>
    <x v="51"/>
    <s v="CYP"/>
    <x v="6"/>
    <n v="623390"/>
  </r>
  <r>
    <x v="51"/>
    <s v="CYP"/>
    <x v="7"/>
    <n v="629251"/>
  </r>
  <r>
    <x v="51"/>
    <s v="CYP"/>
    <x v="8"/>
    <n v="635157"/>
  </r>
  <r>
    <x v="51"/>
    <s v="CYP"/>
    <x v="9"/>
    <n v="641189"/>
  </r>
  <r>
    <x v="51"/>
    <s v="CYP"/>
    <x v="10"/>
    <n v="647446"/>
  </r>
  <r>
    <x v="51"/>
    <s v="CYP"/>
    <x v="11"/>
    <n v="654050"/>
  </r>
  <r>
    <x v="51"/>
    <s v="CYP"/>
    <x v="12"/>
    <n v="661063"/>
  </r>
  <r>
    <x v="51"/>
    <s v="CYP"/>
    <x v="13"/>
    <n v="665937"/>
  </r>
  <r>
    <x v="51"/>
    <s v="CYP"/>
    <x v="14"/>
    <n v="663254"/>
  </r>
  <r>
    <x v="51"/>
    <s v="CYP"/>
    <x v="15"/>
    <n v="659405"/>
  </r>
  <r>
    <x v="51"/>
    <s v="CYP"/>
    <x v="16"/>
    <n v="662032"/>
  </r>
  <r>
    <x v="51"/>
    <s v="CYP"/>
    <x v="17"/>
    <n v="667101"/>
  </r>
  <r>
    <x v="51"/>
    <s v="CYP"/>
    <x v="18"/>
    <n v="672249"/>
  </r>
  <r>
    <x v="51"/>
    <s v="CYP"/>
    <x v="19"/>
    <n v="677549"/>
  </r>
  <r>
    <x v="51"/>
    <s v="CYP"/>
    <x v="20"/>
    <n v="683076"/>
  </r>
  <r>
    <x v="51"/>
    <s v="CYP"/>
    <x v="21"/>
    <n v="688893"/>
  </r>
  <r>
    <x v="51"/>
    <s v="CYP"/>
    <x v="22"/>
    <n v="696497"/>
  </r>
  <r>
    <x v="51"/>
    <s v="CYP"/>
    <x v="23"/>
    <n v="707225"/>
  </r>
  <r>
    <x v="51"/>
    <s v="CYP"/>
    <x v="24"/>
    <n v="719334"/>
  </r>
  <r>
    <x v="51"/>
    <s v="CYP"/>
    <x v="25"/>
    <n v="731277"/>
  </r>
  <r>
    <x v="51"/>
    <s v="CYP"/>
    <x v="26"/>
    <n v="743105"/>
  </r>
  <r>
    <x v="51"/>
    <s v="CYP"/>
    <x v="27"/>
    <n v="754785"/>
  </r>
  <r>
    <x v="51"/>
    <s v="CYP"/>
    <x v="28"/>
    <n v="766235"/>
  </r>
  <r>
    <x v="51"/>
    <s v="CYP"/>
    <x v="29"/>
    <n v="777420"/>
  </r>
  <r>
    <x v="51"/>
    <s v="CYP"/>
    <x v="30"/>
    <n v="788351"/>
  </r>
  <r>
    <x v="51"/>
    <s v="CYP"/>
    <x v="31"/>
    <n v="798944"/>
  </r>
  <r>
    <x v="51"/>
    <s v="CYP"/>
    <x v="32"/>
    <n v="810341"/>
  </r>
  <r>
    <x v="51"/>
    <s v="CYP"/>
    <x v="33"/>
    <n v="826034"/>
  </r>
  <r>
    <x v="51"/>
    <s v="CYP"/>
    <x v="34"/>
    <n v="844667"/>
  </r>
  <r>
    <x v="51"/>
    <s v="CYP"/>
    <x v="35"/>
    <n v="862695"/>
  </r>
  <r>
    <x v="51"/>
    <s v="CYP"/>
    <x v="36"/>
    <n v="880290"/>
  </r>
  <r>
    <x v="51"/>
    <s v="CYP"/>
    <x v="37"/>
    <n v="897568"/>
  </r>
  <r>
    <x v="51"/>
    <s v="CYP"/>
    <x v="38"/>
    <n v="914548"/>
  </r>
  <r>
    <x v="51"/>
    <s v="CYP"/>
    <x v="39"/>
    <n v="931234"/>
  </r>
  <r>
    <x v="51"/>
    <s v="CYP"/>
    <x v="40"/>
    <n v="947667"/>
  </r>
  <r>
    <x v="51"/>
    <s v="CYP"/>
    <x v="41"/>
    <n v="964127"/>
  </r>
  <r>
    <x v="51"/>
    <s v="CYP"/>
    <x v="42"/>
    <n v="981440"/>
  </r>
  <r>
    <x v="51"/>
    <s v="CYP"/>
    <x v="43"/>
    <n v="999590"/>
  </r>
  <r>
    <x v="51"/>
    <s v="CYP"/>
    <x v="44"/>
    <n v="1017875"/>
  </r>
  <r>
    <x v="51"/>
    <s v="CYP"/>
    <x v="45"/>
    <n v="1036151"/>
  </r>
  <r>
    <x v="51"/>
    <s v="CYP"/>
    <x v="46"/>
    <n v="1054418"/>
  </r>
  <r>
    <x v="51"/>
    <s v="CYP"/>
    <x v="47"/>
    <n v="1072714"/>
  </r>
  <r>
    <x v="51"/>
    <s v="CYP"/>
    <x v="48"/>
    <n v="1091026"/>
  </r>
  <r>
    <x v="51"/>
    <s v="CYP"/>
    <x v="49"/>
    <n v="1109371"/>
  </r>
  <r>
    <x v="51"/>
    <s v="CYP"/>
    <x v="50"/>
    <n v="1127816"/>
  </r>
  <r>
    <x v="51"/>
    <s v="CYP"/>
    <x v="51"/>
    <n v="1146493"/>
  </r>
  <r>
    <x v="51"/>
    <s v="CYP"/>
    <x v="52"/>
    <n v="1165397"/>
  </r>
  <r>
    <x v="51"/>
    <s v="CYP"/>
    <x v="53"/>
    <n v="1183895"/>
  </r>
  <r>
    <x v="51"/>
    <s v="CYP"/>
    <x v="54"/>
    <n v="1201801"/>
  </r>
  <r>
    <x v="51"/>
    <s v="CYP"/>
    <x v="55"/>
    <n v="1219502"/>
  </r>
  <r>
    <x v="51"/>
    <s v="CYP"/>
    <x v="56"/>
    <n v="1237112"/>
  </r>
  <r>
    <x v="51"/>
    <s v="CYP"/>
    <x v="57"/>
    <n v="1254275"/>
  </r>
  <r>
    <x v="51"/>
    <s v="CYP"/>
    <x v="58"/>
    <n v="1270737"/>
  </r>
  <r>
    <x v="51"/>
    <s v="CYP"/>
    <x v="59"/>
    <n v="1286671"/>
  </r>
  <r>
    <x v="51"/>
    <s v="CYP"/>
    <x v="60"/>
    <n v="1302247"/>
  </r>
  <r>
    <x v="51"/>
    <s v="CYP"/>
    <x v="61"/>
    <n v="1317309"/>
  </r>
  <r>
    <x v="51"/>
    <s v="CYP"/>
    <x v="62"/>
    <n v="1331370"/>
  </r>
  <r>
    <x v="51"/>
    <s v="CYP"/>
    <x v="63"/>
    <n v="1344976"/>
  </r>
  <r>
    <x v="51"/>
    <s v="CYP"/>
    <x v="64"/>
    <n v="1358282"/>
  </r>
  <r>
    <x v="52"/>
    <s v="CZE"/>
    <x v="0"/>
    <n v="9602006"/>
  </r>
  <r>
    <x v="52"/>
    <s v="CZE"/>
    <x v="1"/>
    <n v="9586651"/>
  </r>
  <r>
    <x v="52"/>
    <s v="CZE"/>
    <x v="2"/>
    <n v="9624660"/>
  </r>
  <r>
    <x v="52"/>
    <s v="CZE"/>
    <x v="3"/>
    <n v="9670685"/>
  </r>
  <r>
    <x v="52"/>
    <s v="CZE"/>
    <x v="4"/>
    <n v="9727804"/>
  </r>
  <r>
    <x v="52"/>
    <s v="CZE"/>
    <x v="5"/>
    <n v="9779358"/>
  </r>
  <r>
    <x v="52"/>
    <s v="CZE"/>
    <x v="6"/>
    <n v="9821040"/>
  </r>
  <r>
    <x v="52"/>
    <s v="CZE"/>
    <x v="7"/>
    <n v="9852899"/>
  </r>
  <r>
    <x v="52"/>
    <s v="CZE"/>
    <x v="8"/>
    <n v="9876346"/>
  </r>
  <r>
    <x v="52"/>
    <s v="CZE"/>
    <x v="9"/>
    <n v="9896580"/>
  </r>
  <r>
    <x v="52"/>
    <s v="CZE"/>
    <x v="10"/>
    <n v="9858071"/>
  </r>
  <r>
    <x v="52"/>
    <s v="CZE"/>
    <x v="11"/>
    <n v="9826815"/>
  </r>
  <r>
    <x v="52"/>
    <s v="CZE"/>
    <x v="12"/>
    <n v="9867632"/>
  </r>
  <r>
    <x v="52"/>
    <s v="CZE"/>
    <x v="13"/>
    <n v="9922266"/>
  </r>
  <r>
    <x v="52"/>
    <s v="CZE"/>
    <x v="14"/>
    <n v="9988459"/>
  </r>
  <r>
    <x v="52"/>
    <s v="CZE"/>
    <x v="15"/>
    <n v="10058620"/>
  </r>
  <r>
    <x v="52"/>
    <s v="CZE"/>
    <x v="16"/>
    <n v="10125939"/>
  </r>
  <r>
    <x v="52"/>
    <s v="CZE"/>
    <x v="17"/>
    <n v="10186755"/>
  </r>
  <r>
    <x v="52"/>
    <s v="CZE"/>
    <x v="18"/>
    <n v="10242098"/>
  </r>
  <r>
    <x v="52"/>
    <s v="CZE"/>
    <x v="19"/>
    <n v="10292341"/>
  </r>
  <r>
    <x v="52"/>
    <s v="CZE"/>
    <x v="20"/>
    <n v="10304193"/>
  </r>
  <r>
    <x v="52"/>
    <s v="CZE"/>
    <x v="21"/>
    <n v="10300591"/>
  </r>
  <r>
    <x v="52"/>
    <s v="CZE"/>
    <x v="22"/>
    <n v="10314826"/>
  </r>
  <r>
    <x v="52"/>
    <s v="CZE"/>
    <x v="23"/>
    <n v="10323856"/>
  </r>
  <r>
    <x v="52"/>
    <s v="CZE"/>
    <x v="24"/>
    <n v="10330213"/>
  </r>
  <r>
    <x v="52"/>
    <s v="CZE"/>
    <x v="25"/>
    <n v="10337118"/>
  </r>
  <r>
    <x v="52"/>
    <s v="CZE"/>
    <x v="26"/>
    <n v="10342227"/>
  </r>
  <r>
    <x v="52"/>
    <s v="CZE"/>
    <x v="27"/>
    <n v="10347318"/>
  </r>
  <r>
    <x v="52"/>
    <s v="CZE"/>
    <x v="28"/>
    <n v="10355276"/>
  </r>
  <r>
    <x v="52"/>
    <s v="CZE"/>
    <x v="29"/>
    <n v="10361068"/>
  </r>
  <r>
    <x v="52"/>
    <s v="CZE"/>
    <x v="30"/>
    <n v="10333355"/>
  </r>
  <r>
    <x v="52"/>
    <s v="CZE"/>
    <x v="31"/>
    <n v="10308578"/>
  </r>
  <r>
    <x v="52"/>
    <s v="CZE"/>
    <x v="32"/>
    <n v="10319123"/>
  </r>
  <r>
    <x v="52"/>
    <s v="CZE"/>
    <x v="33"/>
    <n v="10329855"/>
  </r>
  <r>
    <x v="52"/>
    <s v="CZE"/>
    <x v="34"/>
    <n v="10333587"/>
  </r>
  <r>
    <x v="52"/>
    <s v="CZE"/>
    <x v="35"/>
    <n v="10327253"/>
  </r>
  <r>
    <x v="52"/>
    <s v="CZE"/>
    <x v="36"/>
    <n v="10315241"/>
  </r>
  <r>
    <x v="52"/>
    <s v="CZE"/>
    <x v="37"/>
    <n v="10304131"/>
  </r>
  <r>
    <x v="52"/>
    <s v="CZE"/>
    <x v="38"/>
    <n v="10294373"/>
  </r>
  <r>
    <x v="52"/>
    <s v="CZE"/>
    <x v="39"/>
    <n v="10283860"/>
  </r>
  <r>
    <x v="52"/>
    <s v="CZE"/>
    <x v="40"/>
    <n v="10255063"/>
  </r>
  <r>
    <x v="52"/>
    <s v="CZE"/>
    <x v="41"/>
    <n v="10216605"/>
  </r>
  <r>
    <x v="52"/>
    <s v="CZE"/>
    <x v="42"/>
    <n v="10196916"/>
  </r>
  <r>
    <x v="52"/>
    <s v="CZE"/>
    <x v="43"/>
    <n v="10193998"/>
  </r>
  <r>
    <x v="52"/>
    <s v="CZE"/>
    <x v="44"/>
    <n v="10197101"/>
  </r>
  <r>
    <x v="52"/>
    <s v="CZE"/>
    <x v="45"/>
    <n v="10211216"/>
  </r>
  <r>
    <x v="52"/>
    <s v="CZE"/>
    <x v="46"/>
    <n v="10238905"/>
  </r>
  <r>
    <x v="52"/>
    <s v="CZE"/>
    <x v="47"/>
    <n v="10298828"/>
  </r>
  <r>
    <x v="52"/>
    <s v="CZE"/>
    <x v="48"/>
    <n v="10384603"/>
  </r>
  <r>
    <x v="52"/>
    <s v="CZE"/>
    <x v="49"/>
    <n v="10443936"/>
  </r>
  <r>
    <x v="52"/>
    <s v="CZE"/>
    <x v="50"/>
    <n v="10474410"/>
  </r>
  <r>
    <x v="52"/>
    <s v="CZE"/>
    <x v="51"/>
    <n v="10496088"/>
  </r>
  <r>
    <x v="52"/>
    <s v="CZE"/>
    <x v="52"/>
    <n v="10510785"/>
  </r>
  <r>
    <x v="52"/>
    <s v="CZE"/>
    <x v="53"/>
    <n v="10514272"/>
  </r>
  <r>
    <x v="52"/>
    <s v="CZE"/>
    <x v="54"/>
    <n v="10525347"/>
  </r>
  <r>
    <x v="52"/>
    <s v="CZE"/>
    <x v="55"/>
    <n v="10546059"/>
  </r>
  <r>
    <x v="52"/>
    <s v="CZE"/>
    <x v="56"/>
    <n v="10566332"/>
  </r>
  <r>
    <x v="52"/>
    <s v="CZE"/>
    <x v="57"/>
    <n v="10594438"/>
  </r>
  <r>
    <x v="52"/>
    <s v="CZE"/>
    <x v="58"/>
    <n v="10629928"/>
  </r>
  <r>
    <x v="52"/>
    <s v="CZE"/>
    <x v="59"/>
    <n v="10671870"/>
  </r>
  <r>
    <x v="52"/>
    <s v="CZE"/>
    <x v="60"/>
    <n v="10697858"/>
  </r>
  <r>
    <x v="52"/>
    <s v="CZE"/>
    <x v="61"/>
    <n v="10505772"/>
  </r>
  <r>
    <x v="52"/>
    <s v="CZE"/>
    <x v="62"/>
    <n v="10672118"/>
  </r>
  <r>
    <x v="52"/>
    <s v="CZE"/>
    <x v="63"/>
    <n v="10864042"/>
  </r>
  <r>
    <x v="52"/>
    <s v="CZE"/>
    <x v="64"/>
    <n v="10882164"/>
  </r>
  <r>
    <x v="53"/>
    <s v="DNK"/>
    <x v="0"/>
    <n v="4579603"/>
  </r>
  <r>
    <x v="53"/>
    <s v="DNK"/>
    <x v="1"/>
    <n v="4611687"/>
  </r>
  <r>
    <x v="53"/>
    <s v="DNK"/>
    <x v="2"/>
    <n v="4647727"/>
  </r>
  <r>
    <x v="53"/>
    <s v="DNK"/>
    <x v="3"/>
    <n v="4684483"/>
  </r>
  <r>
    <x v="53"/>
    <s v="DNK"/>
    <x v="4"/>
    <n v="4722072"/>
  </r>
  <r>
    <x v="53"/>
    <s v="DNK"/>
    <x v="5"/>
    <n v="4759012"/>
  </r>
  <r>
    <x v="53"/>
    <s v="DNK"/>
    <x v="6"/>
    <n v="4797381"/>
  </r>
  <r>
    <x v="53"/>
    <s v="DNK"/>
    <x v="7"/>
    <n v="4835354"/>
  </r>
  <r>
    <x v="53"/>
    <s v="DNK"/>
    <x v="8"/>
    <n v="4864883"/>
  </r>
  <r>
    <x v="53"/>
    <s v="DNK"/>
    <x v="9"/>
    <n v="4891860"/>
  </r>
  <r>
    <x v="53"/>
    <s v="DNK"/>
    <x v="10"/>
    <n v="4928757"/>
  </r>
  <r>
    <x v="53"/>
    <s v="DNK"/>
    <x v="11"/>
    <n v="4963126"/>
  </r>
  <r>
    <x v="53"/>
    <s v="DNK"/>
    <x v="12"/>
    <n v="4991596"/>
  </r>
  <r>
    <x v="53"/>
    <s v="DNK"/>
    <x v="13"/>
    <n v="5021861"/>
  </r>
  <r>
    <x v="53"/>
    <s v="DNK"/>
    <x v="14"/>
    <n v="5045297"/>
  </r>
  <r>
    <x v="53"/>
    <s v="DNK"/>
    <x v="15"/>
    <n v="5059862"/>
  </r>
  <r>
    <x v="53"/>
    <s v="DNK"/>
    <x v="16"/>
    <n v="5072596"/>
  </r>
  <r>
    <x v="53"/>
    <s v="DNK"/>
    <x v="17"/>
    <n v="5088419"/>
  </r>
  <r>
    <x v="53"/>
    <s v="DNK"/>
    <x v="18"/>
    <n v="5104248"/>
  </r>
  <r>
    <x v="53"/>
    <s v="DNK"/>
    <x v="19"/>
    <n v="5116801"/>
  </r>
  <r>
    <x v="53"/>
    <s v="DNK"/>
    <x v="20"/>
    <n v="5123027"/>
  </r>
  <r>
    <x v="53"/>
    <s v="DNK"/>
    <x v="21"/>
    <n v="5121572"/>
  </r>
  <r>
    <x v="53"/>
    <s v="DNK"/>
    <x v="22"/>
    <n v="5117810"/>
  </r>
  <r>
    <x v="53"/>
    <s v="DNK"/>
    <x v="23"/>
    <n v="5114297"/>
  </r>
  <r>
    <x v="53"/>
    <s v="DNK"/>
    <x v="24"/>
    <n v="5111619"/>
  </r>
  <r>
    <x v="53"/>
    <s v="DNK"/>
    <x v="25"/>
    <n v="5113691"/>
  </r>
  <r>
    <x v="53"/>
    <s v="DNK"/>
    <x v="26"/>
    <n v="5120534"/>
  </r>
  <r>
    <x v="53"/>
    <s v="DNK"/>
    <x v="27"/>
    <n v="5127024"/>
  </r>
  <r>
    <x v="53"/>
    <s v="DNK"/>
    <x v="28"/>
    <n v="5129516"/>
  </r>
  <r>
    <x v="53"/>
    <s v="DNK"/>
    <x v="29"/>
    <n v="5132594"/>
  </r>
  <r>
    <x v="53"/>
    <s v="DNK"/>
    <x v="30"/>
    <n v="5140939"/>
  </r>
  <r>
    <x v="53"/>
    <s v="DNK"/>
    <x v="31"/>
    <n v="5154298"/>
  </r>
  <r>
    <x v="53"/>
    <s v="DNK"/>
    <x v="32"/>
    <n v="5171370"/>
  </r>
  <r>
    <x v="53"/>
    <s v="DNK"/>
    <x v="33"/>
    <n v="5188628"/>
  </r>
  <r>
    <x v="53"/>
    <s v="DNK"/>
    <x v="34"/>
    <n v="5206180"/>
  </r>
  <r>
    <x v="53"/>
    <s v="DNK"/>
    <x v="35"/>
    <n v="5233373"/>
  </r>
  <r>
    <x v="53"/>
    <s v="DNK"/>
    <x v="36"/>
    <n v="5263074"/>
  </r>
  <r>
    <x v="53"/>
    <s v="DNK"/>
    <x v="37"/>
    <n v="5284991"/>
  </r>
  <r>
    <x v="53"/>
    <s v="DNK"/>
    <x v="38"/>
    <n v="5304219"/>
  </r>
  <r>
    <x v="53"/>
    <s v="DNK"/>
    <x v="39"/>
    <n v="5321799"/>
  </r>
  <r>
    <x v="53"/>
    <s v="DNK"/>
    <x v="40"/>
    <n v="5339616"/>
  </r>
  <r>
    <x v="53"/>
    <s v="DNK"/>
    <x v="41"/>
    <n v="5358783"/>
  </r>
  <r>
    <x v="53"/>
    <s v="DNK"/>
    <x v="42"/>
    <n v="5375931"/>
  </r>
  <r>
    <x v="53"/>
    <s v="DNK"/>
    <x v="43"/>
    <n v="5390574"/>
  </r>
  <r>
    <x v="53"/>
    <s v="DNK"/>
    <x v="44"/>
    <n v="5404523"/>
  </r>
  <r>
    <x v="53"/>
    <s v="DNK"/>
    <x v="45"/>
    <n v="5419432"/>
  </r>
  <r>
    <x v="53"/>
    <s v="DNK"/>
    <x v="46"/>
    <n v="5437272"/>
  </r>
  <r>
    <x v="53"/>
    <s v="DNK"/>
    <x v="47"/>
    <n v="5461438"/>
  </r>
  <r>
    <x v="53"/>
    <s v="DNK"/>
    <x v="48"/>
    <n v="5493621"/>
  </r>
  <r>
    <x v="53"/>
    <s v="DNK"/>
    <x v="49"/>
    <n v="5523095"/>
  </r>
  <r>
    <x v="53"/>
    <s v="DNK"/>
    <x v="50"/>
    <n v="5547683"/>
  </r>
  <r>
    <x v="53"/>
    <s v="DNK"/>
    <x v="51"/>
    <n v="5570572"/>
  </r>
  <r>
    <x v="53"/>
    <s v="DNK"/>
    <x v="52"/>
    <n v="5591572"/>
  </r>
  <r>
    <x v="53"/>
    <s v="DNK"/>
    <x v="53"/>
    <n v="5614932"/>
  </r>
  <r>
    <x v="53"/>
    <s v="DNK"/>
    <x v="54"/>
    <n v="5643475"/>
  </r>
  <r>
    <x v="53"/>
    <s v="DNK"/>
    <x v="55"/>
    <n v="5683483"/>
  </r>
  <r>
    <x v="53"/>
    <s v="DNK"/>
    <x v="56"/>
    <n v="5728010"/>
  </r>
  <r>
    <x v="53"/>
    <s v="DNK"/>
    <x v="57"/>
    <n v="5764980"/>
  </r>
  <r>
    <x v="53"/>
    <s v="DNK"/>
    <x v="58"/>
    <n v="5793636"/>
  </r>
  <r>
    <x v="53"/>
    <s v="DNK"/>
    <x v="59"/>
    <n v="5814422"/>
  </r>
  <r>
    <x v="53"/>
    <s v="DNK"/>
    <x v="60"/>
    <n v="5831404"/>
  </r>
  <r>
    <x v="53"/>
    <s v="DNK"/>
    <x v="61"/>
    <n v="5856733"/>
  </r>
  <r>
    <x v="53"/>
    <s v="DNK"/>
    <x v="62"/>
    <n v="5903037"/>
  </r>
  <r>
    <x v="53"/>
    <s v="DNK"/>
    <x v="63"/>
    <n v="5946952"/>
  </r>
  <r>
    <x v="53"/>
    <s v="DNK"/>
    <x v="64"/>
    <n v="5976992"/>
  </r>
  <r>
    <x v="54"/>
    <s v="DJI"/>
    <x v="0"/>
    <n v="86024"/>
  </r>
  <r>
    <x v="54"/>
    <s v="DJI"/>
    <x v="1"/>
    <n v="89390"/>
  </r>
  <r>
    <x v="54"/>
    <s v="DJI"/>
    <x v="2"/>
    <n v="93283"/>
  </r>
  <r>
    <x v="54"/>
    <s v="DJI"/>
    <x v="3"/>
    <n v="97872"/>
  </r>
  <r>
    <x v="54"/>
    <s v="DJI"/>
    <x v="4"/>
    <n v="103198"/>
  </r>
  <r>
    <x v="54"/>
    <s v="DJI"/>
    <x v="5"/>
    <n v="109092"/>
  </r>
  <r>
    <x v="54"/>
    <s v="DJI"/>
    <x v="6"/>
    <n v="115269"/>
  </r>
  <r>
    <x v="54"/>
    <s v="DJI"/>
    <x v="7"/>
    <n v="121649"/>
  </r>
  <r>
    <x v="54"/>
    <s v="DJI"/>
    <x v="8"/>
    <n v="128250"/>
  </r>
  <r>
    <x v="54"/>
    <s v="DJI"/>
    <x v="9"/>
    <n v="136078"/>
  </r>
  <r>
    <x v="54"/>
    <s v="DJI"/>
    <x v="10"/>
    <n v="145175"/>
  </r>
  <r>
    <x v="54"/>
    <s v="DJI"/>
    <x v="11"/>
    <n v="155136"/>
  </r>
  <r>
    <x v="54"/>
    <s v="DJI"/>
    <x v="12"/>
    <n v="166256"/>
  </r>
  <r>
    <x v="54"/>
    <s v="DJI"/>
    <x v="13"/>
    <n v="178449"/>
  </r>
  <r>
    <x v="54"/>
    <s v="DJI"/>
    <x v="14"/>
    <n v="192613"/>
  </r>
  <r>
    <x v="54"/>
    <s v="DJI"/>
    <x v="15"/>
    <n v="209908"/>
  </r>
  <r>
    <x v="54"/>
    <s v="DJI"/>
    <x v="16"/>
    <n v="230737"/>
  </r>
  <r>
    <x v="54"/>
    <s v="DJI"/>
    <x v="17"/>
    <n v="254613"/>
  </r>
  <r>
    <x v="54"/>
    <s v="DJI"/>
    <x v="18"/>
    <n v="280031"/>
  </r>
  <r>
    <x v="54"/>
    <s v="DJI"/>
    <x v="19"/>
    <n v="304513"/>
  </r>
  <r>
    <x v="54"/>
    <s v="DJI"/>
    <x v="20"/>
    <n v="325815"/>
  </r>
  <r>
    <x v="54"/>
    <s v="DJI"/>
    <x v="21"/>
    <n v="343047"/>
  </r>
  <r>
    <x v="54"/>
    <s v="DJI"/>
    <x v="22"/>
    <n v="356880"/>
  </r>
  <r>
    <x v="54"/>
    <s v="DJI"/>
    <x v="23"/>
    <n v="369553"/>
  </r>
  <r>
    <x v="54"/>
    <s v="DJI"/>
    <x v="24"/>
    <n v="384053"/>
  </r>
  <r>
    <x v="54"/>
    <s v="DJI"/>
    <x v="25"/>
    <n v="402687"/>
  </r>
  <r>
    <x v="54"/>
    <s v="DJI"/>
    <x v="26"/>
    <n v="426341"/>
  </r>
  <r>
    <x v="54"/>
    <s v="DJI"/>
    <x v="27"/>
    <n v="454399"/>
  </r>
  <r>
    <x v="54"/>
    <s v="DJI"/>
    <x v="28"/>
    <n v="484523"/>
  </r>
  <r>
    <x v="54"/>
    <s v="DJI"/>
    <x v="29"/>
    <n v="523355"/>
  </r>
  <r>
    <x v="54"/>
    <s v="DJI"/>
    <x v="30"/>
    <n v="579538"/>
  </r>
  <r>
    <x v="54"/>
    <s v="DJI"/>
    <x v="31"/>
    <n v="631092"/>
  </r>
  <r>
    <x v="54"/>
    <s v="DJI"/>
    <x v="32"/>
    <n v="626010"/>
  </r>
  <r>
    <x v="54"/>
    <s v="DJI"/>
    <x v="33"/>
    <n v="614245"/>
  </r>
  <r>
    <x v="54"/>
    <s v="DJI"/>
    <x v="34"/>
    <n v="626710"/>
  </r>
  <r>
    <x v="54"/>
    <s v="DJI"/>
    <x v="35"/>
    <n v="633074"/>
  </r>
  <r>
    <x v="54"/>
    <s v="DJI"/>
    <x v="36"/>
    <n v="648348"/>
  </r>
  <r>
    <x v="54"/>
    <s v="DJI"/>
    <x v="37"/>
    <n v="671817"/>
  </r>
  <r>
    <x v="54"/>
    <s v="DJI"/>
    <x v="38"/>
    <n v="699352"/>
  </r>
  <r>
    <x v="54"/>
    <s v="DJI"/>
    <x v="39"/>
    <n v="724218"/>
  </r>
  <r>
    <x v="54"/>
    <s v="DJI"/>
    <x v="40"/>
    <n v="747318"/>
  </r>
  <r>
    <x v="54"/>
    <s v="DJI"/>
    <x v="41"/>
    <n v="771313"/>
  </r>
  <r>
    <x v="54"/>
    <s v="DJI"/>
    <x v="42"/>
    <n v="795574"/>
  </r>
  <r>
    <x v="54"/>
    <s v="DJI"/>
    <x v="43"/>
    <n v="813519"/>
  </r>
  <r>
    <x v="54"/>
    <s v="DJI"/>
    <x v="44"/>
    <n v="826124"/>
  </r>
  <r>
    <x v="54"/>
    <s v="DJI"/>
    <x v="45"/>
    <n v="839167"/>
  </r>
  <r>
    <x v="54"/>
    <s v="DJI"/>
    <x v="46"/>
    <n v="855764"/>
  </r>
  <r>
    <x v="54"/>
    <s v="DJI"/>
    <x v="47"/>
    <n v="874528"/>
  </r>
  <r>
    <x v="54"/>
    <s v="DJI"/>
    <x v="48"/>
    <n v="892734"/>
  </r>
  <r>
    <x v="54"/>
    <s v="DJI"/>
    <x v="49"/>
    <n v="911527"/>
  </r>
  <r>
    <x v="54"/>
    <s v="DJI"/>
    <x v="50"/>
    <n v="930251"/>
  </r>
  <r>
    <x v="54"/>
    <s v="DJI"/>
    <x v="51"/>
    <n v="948558"/>
  </r>
  <r>
    <x v="54"/>
    <s v="DJI"/>
    <x v="52"/>
    <n v="966747"/>
  </r>
  <r>
    <x v="54"/>
    <s v="DJI"/>
    <x v="53"/>
    <n v="984824"/>
  </r>
  <r>
    <x v="54"/>
    <s v="DJI"/>
    <x v="54"/>
    <n v="1002717"/>
  </r>
  <r>
    <x v="54"/>
    <s v="DJI"/>
    <x v="55"/>
    <n v="1020313"/>
  </r>
  <r>
    <x v="54"/>
    <s v="DJI"/>
    <x v="56"/>
    <n v="1037653"/>
  </r>
  <r>
    <x v="54"/>
    <s v="DJI"/>
    <x v="57"/>
    <n v="1054841"/>
  </r>
  <r>
    <x v="54"/>
    <s v="DJI"/>
    <x v="58"/>
    <n v="1071882"/>
  </r>
  <r>
    <x v="54"/>
    <s v="DJI"/>
    <x v="59"/>
    <n v="1088709"/>
  </r>
  <r>
    <x v="54"/>
    <s v="DJI"/>
    <x v="60"/>
    <n v="1105188"/>
  </r>
  <r>
    <x v="54"/>
    <s v="DJI"/>
    <x v="61"/>
    <n v="1121248"/>
  </r>
  <r>
    <x v="54"/>
    <s v="DJI"/>
    <x v="62"/>
    <n v="1137096"/>
  </r>
  <r>
    <x v="54"/>
    <s v="DJI"/>
    <x v="63"/>
    <n v="1152944"/>
  </r>
  <r>
    <x v="54"/>
    <s v="DJI"/>
    <x v="64"/>
    <n v="1168722"/>
  </r>
  <r>
    <x v="55"/>
    <s v="DMA"/>
    <x v="0"/>
    <n v="59372"/>
  </r>
  <r>
    <x v="55"/>
    <s v="DMA"/>
    <x v="1"/>
    <n v="60209"/>
  </r>
  <r>
    <x v="55"/>
    <s v="DMA"/>
    <x v="2"/>
    <n v="60948"/>
  </r>
  <r>
    <x v="55"/>
    <s v="DMA"/>
    <x v="3"/>
    <n v="61739"/>
  </r>
  <r>
    <x v="55"/>
    <s v="DMA"/>
    <x v="4"/>
    <n v="62587"/>
  </r>
  <r>
    <x v="55"/>
    <s v="DMA"/>
    <x v="5"/>
    <n v="63505"/>
  </r>
  <r>
    <x v="55"/>
    <s v="DMA"/>
    <x v="6"/>
    <n v="64507"/>
  </r>
  <r>
    <x v="55"/>
    <s v="DMA"/>
    <x v="7"/>
    <n v="65585"/>
  </r>
  <r>
    <x v="55"/>
    <s v="DMA"/>
    <x v="8"/>
    <n v="66732"/>
  </r>
  <r>
    <x v="55"/>
    <s v="DMA"/>
    <x v="9"/>
    <n v="67934"/>
  </r>
  <r>
    <x v="55"/>
    <s v="DMA"/>
    <x v="10"/>
    <n v="68908"/>
  </r>
  <r>
    <x v="55"/>
    <s v="DMA"/>
    <x v="11"/>
    <n v="69532"/>
  </r>
  <r>
    <x v="55"/>
    <s v="DMA"/>
    <x v="12"/>
    <n v="70060"/>
  </r>
  <r>
    <x v="55"/>
    <s v="DMA"/>
    <x v="13"/>
    <n v="70585"/>
  </r>
  <r>
    <x v="55"/>
    <s v="DMA"/>
    <x v="14"/>
    <n v="71091"/>
  </r>
  <r>
    <x v="55"/>
    <s v="DMA"/>
    <x v="15"/>
    <n v="71570"/>
  </r>
  <r>
    <x v="55"/>
    <s v="DMA"/>
    <x v="16"/>
    <n v="72017"/>
  </r>
  <r>
    <x v="55"/>
    <s v="DMA"/>
    <x v="17"/>
    <n v="72406"/>
  </r>
  <r>
    <x v="55"/>
    <s v="DMA"/>
    <x v="18"/>
    <n v="72724"/>
  </r>
  <r>
    <x v="55"/>
    <s v="DMA"/>
    <x v="19"/>
    <n v="72959"/>
  </r>
  <r>
    <x v="55"/>
    <s v="DMA"/>
    <x v="20"/>
    <n v="73083"/>
  </r>
  <r>
    <x v="55"/>
    <s v="DMA"/>
    <x v="21"/>
    <n v="72986"/>
  </r>
  <r>
    <x v="55"/>
    <s v="DMA"/>
    <x v="22"/>
    <n v="72688"/>
  </r>
  <r>
    <x v="55"/>
    <s v="DMA"/>
    <x v="23"/>
    <n v="72365"/>
  </r>
  <r>
    <x v="55"/>
    <s v="DMA"/>
    <x v="24"/>
    <n v="72056"/>
  </r>
  <r>
    <x v="55"/>
    <s v="DMA"/>
    <x v="25"/>
    <n v="71744"/>
  </r>
  <r>
    <x v="55"/>
    <s v="DMA"/>
    <x v="26"/>
    <n v="71406"/>
  </r>
  <r>
    <x v="55"/>
    <s v="DMA"/>
    <x v="27"/>
    <n v="71023"/>
  </r>
  <r>
    <x v="55"/>
    <s v="DMA"/>
    <x v="28"/>
    <n v="70608"/>
  </r>
  <r>
    <x v="55"/>
    <s v="DMA"/>
    <x v="29"/>
    <n v="70153"/>
  </r>
  <r>
    <x v="55"/>
    <s v="DMA"/>
    <x v="30"/>
    <n v="69627"/>
  </r>
  <r>
    <x v="55"/>
    <s v="DMA"/>
    <x v="31"/>
    <n v="69296"/>
  </r>
  <r>
    <x v="55"/>
    <s v="DMA"/>
    <x v="32"/>
    <n v="69325"/>
  </r>
  <r>
    <x v="55"/>
    <s v="DMA"/>
    <x v="33"/>
    <n v="69433"/>
  </r>
  <r>
    <x v="55"/>
    <s v="DMA"/>
    <x v="34"/>
    <n v="69477"/>
  </r>
  <r>
    <x v="55"/>
    <s v="DMA"/>
    <x v="35"/>
    <n v="69469"/>
  </r>
  <r>
    <x v="55"/>
    <s v="DMA"/>
    <x v="36"/>
    <n v="69410"/>
  </r>
  <r>
    <x v="55"/>
    <s v="DMA"/>
    <x v="37"/>
    <n v="69299"/>
  </r>
  <r>
    <x v="55"/>
    <s v="DMA"/>
    <x v="38"/>
    <n v="69124"/>
  </r>
  <r>
    <x v="55"/>
    <s v="DMA"/>
    <x v="39"/>
    <n v="68870"/>
  </r>
  <r>
    <x v="55"/>
    <s v="DMA"/>
    <x v="40"/>
    <n v="68511"/>
  </r>
  <r>
    <x v="55"/>
    <s v="DMA"/>
    <x v="41"/>
    <n v="68288"/>
  </r>
  <r>
    <x v="55"/>
    <s v="DMA"/>
    <x v="42"/>
    <n v="68367"/>
  </r>
  <r>
    <x v="55"/>
    <s v="DMA"/>
    <x v="43"/>
    <n v="68531"/>
  </r>
  <r>
    <x v="55"/>
    <s v="DMA"/>
    <x v="44"/>
    <n v="68649"/>
  </r>
  <r>
    <x v="55"/>
    <s v="DMA"/>
    <x v="45"/>
    <n v="68734"/>
  </r>
  <r>
    <x v="55"/>
    <s v="DMA"/>
    <x v="46"/>
    <n v="68806"/>
  </r>
  <r>
    <x v="55"/>
    <s v="DMA"/>
    <x v="47"/>
    <n v="68847"/>
  </r>
  <r>
    <x v="55"/>
    <s v="DMA"/>
    <x v="48"/>
    <n v="68854"/>
  </r>
  <r>
    <x v="55"/>
    <s v="DMA"/>
    <x v="49"/>
    <n v="68864"/>
  </r>
  <r>
    <x v="55"/>
    <s v="DMA"/>
    <x v="50"/>
    <n v="68859"/>
  </r>
  <r>
    <x v="55"/>
    <s v="DMA"/>
    <x v="51"/>
    <n v="69053"/>
  </r>
  <r>
    <x v="55"/>
    <s v="DMA"/>
    <x v="52"/>
    <n v="69118"/>
  </r>
  <r>
    <x v="55"/>
    <s v="DMA"/>
    <x v="53"/>
    <n v="69715"/>
  </r>
  <r>
    <x v="55"/>
    <s v="DMA"/>
    <x v="54"/>
    <n v="70373"/>
  </r>
  <r>
    <x v="55"/>
    <s v="DMA"/>
    <x v="55"/>
    <n v="70410"/>
  </r>
  <r>
    <x v="55"/>
    <s v="DMA"/>
    <x v="56"/>
    <n v="69606"/>
  </r>
  <r>
    <x v="55"/>
    <s v="DMA"/>
    <x v="57"/>
    <n v="68496"/>
  </r>
  <r>
    <x v="55"/>
    <s v="DMA"/>
    <x v="58"/>
    <n v="68174"/>
  </r>
  <r>
    <x v="55"/>
    <s v="DMA"/>
    <x v="59"/>
    <n v="67880"/>
  </r>
  <r>
    <x v="55"/>
    <s v="DMA"/>
    <x v="60"/>
    <n v="67573"/>
  </r>
  <r>
    <x v="55"/>
    <s v="DMA"/>
    <x v="61"/>
    <n v="67202"/>
  </r>
  <r>
    <x v="55"/>
    <s v="DMA"/>
    <x v="62"/>
    <n v="66826"/>
  </r>
  <r>
    <x v="55"/>
    <s v="DMA"/>
    <x v="63"/>
    <n v="66510"/>
  </r>
  <r>
    <x v="55"/>
    <s v="DMA"/>
    <x v="64"/>
    <n v="66205"/>
  </r>
  <r>
    <x v="56"/>
    <s v="DOM"/>
    <x v="0"/>
    <n v="3268336"/>
  </r>
  <r>
    <x v="56"/>
    <s v="DOM"/>
    <x v="1"/>
    <n v="3373233"/>
  </r>
  <r>
    <x v="56"/>
    <s v="DOM"/>
    <x v="2"/>
    <n v="3479936"/>
  </r>
  <r>
    <x v="56"/>
    <s v="DOM"/>
    <x v="3"/>
    <n v="3588287"/>
  </r>
  <r>
    <x v="56"/>
    <s v="DOM"/>
    <x v="4"/>
    <n v="3698559"/>
  </r>
  <r>
    <x v="56"/>
    <s v="DOM"/>
    <x v="5"/>
    <n v="3808963"/>
  </r>
  <r>
    <x v="56"/>
    <s v="DOM"/>
    <x v="6"/>
    <n v="3921847"/>
  </r>
  <r>
    <x v="56"/>
    <s v="DOM"/>
    <x v="7"/>
    <n v="4038928"/>
  </r>
  <r>
    <x v="56"/>
    <s v="DOM"/>
    <x v="8"/>
    <n v="4157189"/>
  </r>
  <r>
    <x v="56"/>
    <s v="DOM"/>
    <x v="9"/>
    <n v="4277035"/>
  </r>
  <r>
    <x v="56"/>
    <s v="DOM"/>
    <x v="10"/>
    <n v="4399290"/>
  </r>
  <r>
    <x v="56"/>
    <s v="DOM"/>
    <x v="11"/>
    <n v="4524234"/>
  </r>
  <r>
    <x v="56"/>
    <s v="DOM"/>
    <x v="12"/>
    <n v="4651883"/>
  </r>
  <r>
    <x v="56"/>
    <s v="DOM"/>
    <x v="13"/>
    <n v="4782227"/>
  </r>
  <r>
    <x v="56"/>
    <s v="DOM"/>
    <x v="14"/>
    <n v="4914197"/>
  </r>
  <r>
    <x v="56"/>
    <s v="DOM"/>
    <x v="15"/>
    <n v="5046776"/>
  </r>
  <r>
    <x v="56"/>
    <s v="DOM"/>
    <x v="16"/>
    <n v="5180404"/>
  </r>
  <r>
    <x v="56"/>
    <s v="DOM"/>
    <x v="17"/>
    <n v="5315443"/>
  </r>
  <r>
    <x v="56"/>
    <s v="DOM"/>
    <x v="18"/>
    <n v="5451882"/>
  </r>
  <r>
    <x v="56"/>
    <s v="DOM"/>
    <x v="19"/>
    <n v="5589690"/>
  </r>
  <r>
    <x v="56"/>
    <s v="DOM"/>
    <x v="20"/>
    <n v="5729037"/>
  </r>
  <r>
    <x v="56"/>
    <s v="DOM"/>
    <x v="21"/>
    <n v="5868453"/>
  </r>
  <r>
    <x v="56"/>
    <s v="DOM"/>
    <x v="22"/>
    <n v="6007114"/>
  </r>
  <r>
    <x v="56"/>
    <s v="DOM"/>
    <x v="23"/>
    <n v="6147248"/>
  </r>
  <r>
    <x v="56"/>
    <s v="DOM"/>
    <x v="24"/>
    <n v="6289040"/>
  </r>
  <r>
    <x v="56"/>
    <s v="DOM"/>
    <x v="25"/>
    <n v="6430404"/>
  </r>
  <r>
    <x v="56"/>
    <s v="DOM"/>
    <x v="26"/>
    <n v="6571208"/>
  </r>
  <r>
    <x v="56"/>
    <s v="DOM"/>
    <x v="27"/>
    <n v="6712515"/>
  </r>
  <r>
    <x v="56"/>
    <s v="DOM"/>
    <x v="28"/>
    <n v="6855734"/>
  </r>
  <r>
    <x v="56"/>
    <s v="DOM"/>
    <x v="29"/>
    <n v="7002295"/>
  </r>
  <r>
    <x v="56"/>
    <s v="DOM"/>
    <x v="30"/>
    <n v="7151166"/>
  </r>
  <r>
    <x v="56"/>
    <s v="DOM"/>
    <x v="31"/>
    <n v="7299853"/>
  </r>
  <r>
    <x v="56"/>
    <s v="DOM"/>
    <x v="32"/>
    <n v="7447474"/>
  </r>
  <r>
    <x v="56"/>
    <s v="DOM"/>
    <x v="33"/>
    <n v="7594572"/>
  </r>
  <r>
    <x v="56"/>
    <s v="DOM"/>
    <x v="34"/>
    <n v="7741694"/>
  </r>
  <r>
    <x v="56"/>
    <s v="DOM"/>
    <x v="35"/>
    <n v="7888115"/>
  </r>
  <r>
    <x v="56"/>
    <s v="DOM"/>
    <x v="36"/>
    <n v="8032894"/>
  </r>
  <r>
    <x v="56"/>
    <s v="DOM"/>
    <x v="37"/>
    <n v="8174078"/>
  </r>
  <r>
    <x v="56"/>
    <s v="DOM"/>
    <x v="38"/>
    <n v="8310362"/>
  </r>
  <r>
    <x v="56"/>
    <s v="DOM"/>
    <x v="39"/>
    <n v="8446208"/>
  </r>
  <r>
    <x v="56"/>
    <s v="DOM"/>
    <x v="40"/>
    <n v="8584190"/>
  </r>
  <r>
    <x v="56"/>
    <s v="DOM"/>
    <x v="41"/>
    <n v="8720283"/>
  </r>
  <r>
    <x v="56"/>
    <s v="DOM"/>
    <x v="42"/>
    <n v="8852235"/>
  </r>
  <r>
    <x v="56"/>
    <s v="DOM"/>
    <x v="43"/>
    <n v="8980620"/>
  </r>
  <r>
    <x v="56"/>
    <s v="DOM"/>
    <x v="44"/>
    <n v="9104892"/>
  </r>
  <r>
    <x v="56"/>
    <s v="DOM"/>
    <x v="45"/>
    <n v="9225034"/>
  </r>
  <r>
    <x v="56"/>
    <s v="DOM"/>
    <x v="46"/>
    <n v="9341183"/>
  </r>
  <r>
    <x v="56"/>
    <s v="DOM"/>
    <x v="47"/>
    <n v="9455658"/>
  </r>
  <r>
    <x v="56"/>
    <s v="DOM"/>
    <x v="48"/>
    <n v="9573130"/>
  </r>
  <r>
    <x v="56"/>
    <s v="DOM"/>
    <x v="49"/>
    <n v="9695265"/>
  </r>
  <r>
    <x v="56"/>
    <s v="DOM"/>
    <x v="50"/>
    <n v="9820175"/>
  </r>
  <r>
    <x v="56"/>
    <s v="DOM"/>
    <x v="51"/>
    <n v="9945621"/>
  </r>
  <r>
    <x v="56"/>
    <s v="DOM"/>
    <x v="52"/>
    <n v="10070411"/>
  </r>
  <r>
    <x v="56"/>
    <s v="DOM"/>
    <x v="53"/>
    <n v="10193833"/>
  </r>
  <r>
    <x v="56"/>
    <s v="DOM"/>
    <x v="54"/>
    <n v="10315528"/>
  </r>
  <r>
    <x v="56"/>
    <s v="DOM"/>
    <x v="55"/>
    <n v="10434829"/>
  </r>
  <r>
    <x v="56"/>
    <s v="DOM"/>
    <x v="56"/>
    <n v="10551430"/>
  </r>
  <r>
    <x v="56"/>
    <s v="DOM"/>
    <x v="57"/>
    <n v="10666843"/>
  </r>
  <r>
    <x v="56"/>
    <s v="DOM"/>
    <x v="58"/>
    <n v="10782053"/>
  </r>
  <r>
    <x v="56"/>
    <s v="DOM"/>
    <x v="59"/>
    <n v="10894043"/>
  </r>
  <r>
    <x v="56"/>
    <s v="DOM"/>
    <x v="60"/>
    <n v="11008300"/>
  </r>
  <r>
    <x v="56"/>
    <s v="DOM"/>
    <x v="61"/>
    <n v="11123476"/>
  </r>
  <r>
    <x v="56"/>
    <s v="DOM"/>
    <x v="62"/>
    <n v="11230734"/>
  </r>
  <r>
    <x v="56"/>
    <s v="DOM"/>
    <x v="63"/>
    <n v="11331265"/>
  </r>
  <r>
    <x v="56"/>
    <s v="DOM"/>
    <x v="64"/>
    <n v="11427557"/>
  </r>
  <r>
    <x v="57"/>
    <s v="ECU"/>
    <x v="0"/>
    <n v="4590891"/>
  </r>
  <r>
    <x v="57"/>
    <s v="ECU"/>
    <x v="1"/>
    <n v="4722331"/>
  </r>
  <r>
    <x v="57"/>
    <s v="ECU"/>
    <x v="2"/>
    <n v="4859269"/>
  </r>
  <r>
    <x v="57"/>
    <s v="ECU"/>
    <x v="3"/>
    <n v="5001716"/>
  </r>
  <r>
    <x v="57"/>
    <s v="ECU"/>
    <x v="4"/>
    <n v="5149918"/>
  </r>
  <r>
    <x v="57"/>
    <s v="ECU"/>
    <x v="5"/>
    <n v="5303963"/>
  </r>
  <r>
    <x v="57"/>
    <s v="ECU"/>
    <x v="6"/>
    <n v="5463748"/>
  </r>
  <r>
    <x v="57"/>
    <s v="ECU"/>
    <x v="7"/>
    <n v="5629057"/>
  </r>
  <r>
    <x v="57"/>
    <s v="ECU"/>
    <x v="8"/>
    <n v="5799680"/>
  </r>
  <r>
    <x v="57"/>
    <s v="ECU"/>
    <x v="9"/>
    <n v="5975236"/>
  </r>
  <r>
    <x v="57"/>
    <s v="ECU"/>
    <x v="10"/>
    <n v="6155387"/>
  </r>
  <r>
    <x v="57"/>
    <s v="ECU"/>
    <x v="11"/>
    <n v="6340052"/>
  </r>
  <r>
    <x v="57"/>
    <s v="ECU"/>
    <x v="12"/>
    <n v="6529034"/>
  </r>
  <r>
    <x v="57"/>
    <s v="ECU"/>
    <x v="13"/>
    <n v="6722033"/>
  </r>
  <r>
    <x v="57"/>
    <s v="ECU"/>
    <x v="14"/>
    <n v="6918573"/>
  </r>
  <r>
    <x v="57"/>
    <s v="ECU"/>
    <x v="15"/>
    <n v="7118251"/>
  </r>
  <r>
    <x v="57"/>
    <s v="ECU"/>
    <x v="16"/>
    <n v="7320912"/>
  </r>
  <r>
    <x v="57"/>
    <s v="ECU"/>
    <x v="17"/>
    <n v="7526819"/>
  </r>
  <r>
    <x v="57"/>
    <s v="ECU"/>
    <x v="18"/>
    <n v="7736167"/>
  </r>
  <r>
    <x v="57"/>
    <s v="ECU"/>
    <x v="19"/>
    <n v="7948869"/>
  </r>
  <r>
    <x v="57"/>
    <s v="ECU"/>
    <x v="20"/>
    <n v="8165877"/>
  </r>
  <r>
    <x v="57"/>
    <s v="ECU"/>
    <x v="21"/>
    <n v="8386910"/>
  </r>
  <r>
    <x v="57"/>
    <s v="ECU"/>
    <x v="22"/>
    <n v="8611298"/>
  </r>
  <r>
    <x v="57"/>
    <s v="ECU"/>
    <x v="23"/>
    <n v="8840417"/>
  </r>
  <r>
    <x v="57"/>
    <s v="ECU"/>
    <x v="24"/>
    <n v="9074782"/>
  </r>
  <r>
    <x v="57"/>
    <s v="ECU"/>
    <x v="25"/>
    <n v="9311154"/>
  </r>
  <r>
    <x v="57"/>
    <s v="ECU"/>
    <x v="26"/>
    <n v="9545998"/>
  </r>
  <r>
    <x v="57"/>
    <s v="ECU"/>
    <x v="27"/>
    <n v="9779290"/>
  </r>
  <r>
    <x v="57"/>
    <s v="ECU"/>
    <x v="28"/>
    <n v="10010808"/>
  </r>
  <r>
    <x v="57"/>
    <s v="ECU"/>
    <x v="29"/>
    <n v="10241852"/>
  </r>
  <r>
    <x v="57"/>
    <s v="ECU"/>
    <x v="30"/>
    <n v="10473673"/>
  </r>
  <r>
    <x v="57"/>
    <s v="ECU"/>
    <x v="31"/>
    <n v="10702380"/>
  </r>
  <r>
    <x v="57"/>
    <s v="ECU"/>
    <x v="32"/>
    <n v="10930128"/>
  </r>
  <r>
    <x v="57"/>
    <s v="ECU"/>
    <x v="33"/>
    <n v="11154274"/>
  </r>
  <r>
    <x v="57"/>
    <s v="ECU"/>
    <x v="34"/>
    <n v="11372197"/>
  </r>
  <r>
    <x v="57"/>
    <s v="ECU"/>
    <x v="35"/>
    <n v="11590514"/>
  </r>
  <r>
    <x v="57"/>
    <s v="ECU"/>
    <x v="36"/>
    <n v="11810950"/>
  </r>
  <r>
    <x v="57"/>
    <s v="ECU"/>
    <x v="37"/>
    <n v="12031127"/>
  </r>
  <r>
    <x v="57"/>
    <s v="ECU"/>
    <x v="38"/>
    <n v="12251184"/>
  </r>
  <r>
    <x v="57"/>
    <s v="ECU"/>
    <x v="39"/>
    <n v="12470795"/>
  </r>
  <r>
    <x v="57"/>
    <s v="ECU"/>
    <x v="40"/>
    <n v="12689206"/>
  </r>
  <r>
    <x v="57"/>
    <s v="ECU"/>
    <x v="41"/>
    <n v="12910740"/>
  </r>
  <r>
    <x v="57"/>
    <s v="ECU"/>
    <x v="42"/>
    <n v="13138472"/>
  </r>
  <r>
    <x v="57"/>
    <s v="ECU"/>
    <x v="43"/>
    <n v="13372306"/>
  </r>
  <r>
    <x v="57"/>
    <s v="ECU"/>
    <x v="44"/>
    <n v="13608701"/>
  </r>
  <r>
    <x v="57"/>
    <s v="ECU"/>
    <x v="45"/>
    <n v="13846163"/>
  </r>
  <r>
    <x v="57"/>
    <s v="ECU"/>
    <x v="46"/>
    <n v="14086131"/>
  </r>
  <r>
    <x v="57"/>
    <s v="ECU"/>
    <x v="47"/>
    <n v="14328773"/>
  </r>
  <r>
    <x v="57"/>
    <s v="ECU"/>
    <x v="48"/>
    <n v="14575202"/>
  </r>
  <r>
    <x v="57"/>
    <s v="ECU"/>
    <x v="49"/>
    <n v="14825954"/>
  </r>
  <r>
    <x v="57"/>
    <s v="ECU"/>
    <x v="50"/>
    <n v="15076695"/>
  </r>
  <r>
    <x v="57"/>
    <s v="ECU"/>
    <x v="51"/>
    <n v="15326227"/>
  </r>
  <r>
    <x v="57"/>
    <s v="ECU"/>
    <x v="52"/>
    <n v="15572194"/>
  </r>
  <r>
    <x v="57"/>
    <s v="ECU"/>
    <x v="53"/>
    <n v="15807128"/>
  </r>
  <r>
    <x v="57"/>
    <s v="ECU"/>
    <x v="54"/>
    <n v="16035124"/>
  </r>
  <r>
    <x v="57"/>
    <s v="ECU"/>
    <x v="55"/>
    <n v="16266225"/>
  </r>
  <r>
    <x v="57"/>
    <s v="ECU"/>
    <x v="56"/>
    <n v="16505139"/>
  </r>
  <r>
    <x v="57"/>
    <s v="ECU"/>
    <x v="57"/>
    <n v="16759519"/>
  </r>
  <r>
    <x v="57"/>
    <s v="ECU"/>
    <x v="58"/>
    <n v="17049547"/>
  </r>
  <r>
    <x v="57"/>
    <s v="ECU"/>
    <x v="59"/>
    <n v="17340021"/>
  </r>
  <r>
    <x v="57"/>
    <s v="ECU"/>
    <x v="60"/>
    <n v="17546065"/>
  </r>
  <r>
    <x v="57"/>
    <s v="ECU"/>
    <x v="61"/>
    <n v="17682454"/>
  </r>
  <r>
    <x v="57"/>
    <s v="ECU"/>
    <x v="62"/>
    <n v="17823897"/>
  </r>
  <r>
    <x v="57"/>
    <s v="ECU"/>
    <x v="63"/>
    <n v="17980083"/>
  </r>
  <r>
    <x v="57"/>
    <s v="ECU"/>
    <x v="64"/>
    <n v="18135478"/>
  </r>
  <r>
    <x v="58"/>
    <s v="EGY"/>
    <x v="0"/>
    <n v="26896479"/>
  </r>
  <r>
    <x v="58"/>
    <s v="EGY"/>
    <x v="1"/>
    <n v="27600898"/>
  </r>
  <r>
    <x v="58"/>
    <s v="EGY"/>
    <x v="2"/>
    <n v="28337013"/>
  </r>
  <r>
    <x v="58"/>
    <s v="EGY"/>
    <x v="3"/>
    <n v="29091869"/>
  </r>
  <r>
    <x v="58"/>
    <s v="EGY"/>
    <x v="4"/>
    <n v="29858922"/>
  </r>
  <r>
    <x v="58"/>
    <s v="EGY"/>
    <x v="5"/>
    <n v="30629174"/>
  </r>
  <r>
    <x v="58"/>
    <s v="EGY"/>
    <x v="6"/>
    <n v="31406541"/>
  </r>
  <r>
    <x v="58"/>
    <s v="EGY"/>
    <x v="7"/>
    <n v="32196360"/>
  </r>
  <r>
    <x v="58"/>
    <s v="EGY"/>
    <x v="8"/>
    <n v="32998319"/>
  </r>
  <r>
    <x v="58"/>
    <s v="EGY"/>
    <x v="9"/>
    <n v="33811615"/>
  </r>
  <r>
    <x v="58"/>
    <s v="EGY"/>
    <x v="10"/>
    <n v="34623990"/>
  </r>
  <r>
    <x v="58"/>
    <s v="EGY"/>
    <x v="11"/>
    <n v="35433368"/>
  </r>
  <r>
    <x v="58"/>
    <s v="EGY"/>
    <x v="12"/>
    <n v="36258328"/>
  </r>
  <r>
    <x v="58"/>
    <s v="EGY"/>
    <x v="13"/>
    <n v="37102043"/>
  </r>
  <r>
    <x v="58"/>
    <s v="EGY"/>
    <x v="14"/>
    <n v="37969667"/>
  </r>
  <r>
    <x v="58"/>
    <s v="EGY"/>
    <x v="15"/>
    <n v="38875327"/>
  </r>
  <r>
    <x v="58"/>
    <s v="EGY"/>
    <x v="16"/>
    <n v="39795557"/>
  </r>
  <r>
    <x v="58"/>
    <s v="EGY"/>
    <x v="17"/>
    <n v="40748870"/>
  </r>
  <r>
    <x v="58"/>
    <s v="EGY"/>
    <x v="18"/>
    <n v="41761431"/>
  </r>
  <r>
    <x v="58"/>
    <s v="EGY"/>
    <x v="19"/>
    <n v="42818628"/>
  </r>
  <r>
    <x v="58"/>
    <s v="EGY"/>
    <x v="20"/>
    <n v="43950413"/>
  </r>
  <r>
    <x v="58"/>
    <s v="EGY"/>
    <x v="21"/>
    <n v="45147224"/>
  </r>
  <r>
    <x v="58"/>
    <s v="EGY"/>
    <x v="22"/>
    <n v="46407611"/>
  </r>
  <r>
    <x v="58"/>
    <s v="EGY"/>
    <x v="23"/>
    <n v="47786402"/>
  </r>
  <r>
    <x v="58"/>
    <s v="EGY"/>
    <x v="24"/>
    <n v="49247334"/>
  </r>
  <r>
    <x v="58"/>
    <s v="EGY"/>
    <x v="25"/>
    <n v="50734968"/>
  </r>
  <r>
    <x v="58"/>
    <s v="EGY"/>
    <x v="26"/>
    <n v="52206295"/>
  </r>
  <r>
    <x v="58"/>
    <s v="EGY"/>
    <x v="27"/>
    <n v="53674435"/>
  </r>
  <r>
    <x v="58"/>
    <s v="EGY"/>
    <x v="28"/>
    <n v="55187681"/>
  </r>
  <r>
    <x v="58"/>
    <s v="EGY"/>
    <x v="29"/>
    <n v="56710642"/>
  </r>
  <r>
    <x v="58"/>
    <s v="EGY"/>
    <x v="30"/>
    <n v="58396618"/>
  </r>
  <r>
    <x v="58"/>
    <s v="EGY"/>
    <x v="31"/>
    <n v="60028997"/>
  </r>
  <r>
    <x v="58"/>
    <s v="EGY"/>
    <x v="32"/>
    <n v="61480660"/>
  </r>
  <r>
    <x v="58"/>
    <s v="EGY"/>
    <x v="33"/>
    <n v="62915681"/>
  </r>
  <r>
    <x v="58"/>
    <s v="EGY"/>
    <x v="34"/>
    <n v="64285589"/>
  </r>
  <r>
    <x v="58"/>
    <s v="EGY"/>
    <x v="35"/>
    <n v="65652622"/>
  </r>
  <r>
    <x v="58"/>
    <s v="EGY"/>
    <x v="36"/>
    <n v="67028048"/>
  </r>
  <r>
    <x v="58"/>
    <s v="EGY"/>
    <x v="37"/>
    <n v="68431740"/>
  </r>
  <r>
    <x v="58"/>
    <s v="EGY"/>
    <x v="38"/>
    <n v="69943294"/>
  </r>
  <r>
    <x v="58"/>
    <s v="EGY"/>
    <x v="39"/>
    <n v="71520954"/>
  </r>
  <r>
    <x v="58"/>
    <s v="EGY"/>
    <x v="40"/>
    <n v="73083284"/>
  </r>
  <r>
    <x v="58"/>
    <s v="EGY"/>
    <x v="41"/>
    <n v="74652029"/>
  </r>
  <r>
    <x v="58"/>
    <s v="EGY"/>
    <x v="42"/>
    <n v="76239137"/>
  </r>
  <r>
    <x v="58"/>
    <s v="EGY"/>
    <x v="43"/>
    <n v="77853548"/>
  </r>
  <r>
    <x v="58"/>
    <s v="EGY"/>
    <x v="44"/>
    <n v="79477443"/>
  </r>
  <r>
    <x v="58"/>
    <s v="EGY"/>
    <x v="45"/>
    <n v="81101004"/>
  </r>
  <r>
    <x v="58"/>
    <s v="EGY"/>
    <x v="46"/>
    <n v="82700403"/>
  </r>
  <r>
    <x v="58"/>
    <s v="EGY"/>
    <x v="47"/>
    <n v="84276225"/>
  </r>
  <r>
    <x v="58"/>
    <s v="EGY"/>
    <x v="48"/>
    <n v="85864789"/>
  </r>
  <r>
    <x v="58"/>
    <s v="EGY"/>
    <x v="49"/>
    <n v="87501636"/>
  </r>
  <r>
    <x v="58"/>
    <s v="EGY"/>
    <x v="50"/>
    <n v="89196072"/>
  </r>
  <r>
    <x v="58"/>
    <s v="EGY"/>
    <x v="51"/>
    <n v="91093059"/>
  </r>
  <r>
    <x v="58"/>
    <s v="EGY"/>
    <x v="52"/>
    <n v="93161001"/>
  </r>
  <r>
    <x v="58"/>
    <s v="EGY"/>
    <x v="53"/>
    <n v="95333553"/>
  </r>
  <r>
    <x v="58"/>
    <s v="EGY"/>
    <x v="54"/>
    <n v="97528654"/>
  </r>
  <r>
    <x v="58"/>
    <s v="EGY"/>
    <x v="55"/>
    <n v="99597342"/>
  </r>
  <r>
    <x v="58"/>
    <s v="EGY"/>
    <x v="56"/>
    <n v="101644589"/>
  </r>
  <r>
    <x v="58"/>
    <s v="EGY"/>
    <x v="57"/>
    <n v="103696057"/>
  </r>
  <r>
    <x v="58"/>
    <s v="EGY"/>
    <x v="58"/>
    <n v="105682094"/>
  </r>
  <r>
    <x v="58"/>
    <s v="EGY"/>
    <x v="59"/>
    <n v="107553158"/>
  </r>
  <r>
    <x v="58"/>
    <s v="EGY"/>
    <x v="60"/>
    <n v="109315124"/>
  </r>
  <r>
    <x v="58"/>
    <s v="EGY"/>
    <x v="61"/>
    <n v="110957008"/>
  </r>
  <r>
    <x v="58"/>
    <s v="EGY"/>
    <x v="62"/>
    <n v="112618250"/>
  </r>
  <r>
    <x v="58"/>
    <s v="EGY"/>
    <x v="63"/>
    <n v="114535772"/>
  </r>
  <r>
    <x v="58"/>
    <s v="EGY"/>
    <x v="64"/>
    <n v="116538258"/>
  </r>
  <r>
    <x v="59"/>
    <s v="SLV"/>
    <x v="0"/>
    <n v="2791459"/>
  </r>
  <r>
    <x v="59"/>
    <s v="SLV"/>
    <x v="1"/>
    <n v="2870016"/>
  </r>
  <r>
    <x v="59"/>
    <s v="SLV"/>
    <x v="2"/>
    <n v="2949204"/>
  </r>
  <r>
    <x v="59"/>
    <s v="SLV"/>
    <x v="3"/>
    <n v="3028679"/>
  </r>
  <r>
    <x v="59"/>
    <s v="SLV"/>
    <x v="4"/>
    <n v="3111883"/>
  </r>
  <r>
    <x v="59"/>
    <s v="SLV"/>
    <x v="5"/>
    <n v="3199466"/>
  </r>
  <r>
    <x v="59"/>
    <s v="SLV"/>
    <x v="6"/>
    <n v="3290961"/>
  </r>
  <r>
    <x v="59"/>
    <s v="SLV"/>
    <x v="7"/>
    <n v="3385184"/>
  </r>
  <r>
    <x v="59"/>
    <s v="SLV"/>
    <x v="8"/>
    <n v="3480773"/>
  </r>
  <r>
    <x v="59"/>
    <s v="SLV"/>
    <x v="9"/>
    <n v="3576485"/>
  </r>
  <r>
    <x v="59"/>
    <s v="SLV"/>
    <x v="10"/>
    <n v="3668796"/>
  </r>
  <r>
    <x v="59"/>
    <s v="SLV"/>
    <x v="11"/>
    <n v="3757523"/>
  </r>
  <r>
    <x v="59"/>
    <s v="SLV"/>
    <x v="12"/>
    <n v="3846830"/>
  </r>
  <r>
    <x v="59"/>
    <s v="SLV"/>
    <x v="13"/>
    <n v="3938068"/>
  </r>
  <r>
    <x v="59"/>
    <s v="SLV"/>
    <x v="14"/>
    <n v="4029671"/>
  </r>
  <r>
    <x v="59"/>
    <s v="SLV"/>
    <x v="15"/>
    <n v="4120449"/>
  </r>
  <r>
    <x v="59"/>
    <s v="SLV"/>
    <x v="16"/>
    <n v="4210310"/>
  </r>
  <r>
    <x v="59"/>
    <s v="SLV"/>
    <x v="17"/>
    <n v="4301256"/>
  </r>
  <r>
    <x v="59"/>
    <s v="SLV"/>
    <x v="18"/>
    <n v="4394114"/>
  </r>
  <r>
    <x v="59"/>
    <s v="SLV"/>
    <x v="19"/>
    <n v="4480388"/>
  </r>
  <r>
    <x v="59"/>
    <s v="SLV"/>
    <x v="20"/>
    <n v="4540382"/>
  </r>
  <r>
    <x v="59"/>
    <s v="SLV"/>
    <x v="21"/>
    <n v="4570599"/>
  </r>
  <r>
    <x v="59"/>
    <s v="SLV"/>
    <x v="22"/>
    <n v="4622477"/>
  </r>
  <r>
    <x v="59"/>
    <s v="SLV"/>
    <x v="23"/>
    <n v="4707367"/>
  </r>
  <r>
    <x v="59"/>
    <s v="SLV"/>
    <x v="24"/>
    <n v="4798003"/>
  </r>
  <r>
    <x v="59"/>
    <s v="SLV"/>
    <x v="25"/>
    <n v="4894706"/>
  </r>
  <r>
    <x v="59"/>
    <s v="SLV"/>
    <x v="26"/>
    <n v="4992769"/>
  </r>
  <r>
    <x v="59"/>
    <s v="SLV"/>
    <x v="27"/>
    <n v="5092441"/>
  </r>
  <r>
    <x v="59"/>
    <s v="SLV"/>
    <x v="28"/>
    <n v="5195833"/>
  </r>
  <r>
    <x v="59"/>
    <s v="SLV"/>
    <x v="29"/>
    <n v="5298979"/>
  </r>
  <r>
    <x v="59"/>
    <s v="SLV"/>
    <x v="30"/>
    <n v="5399726"/>
  </r>
  <r>
    <x v="59"/>
    <s v="SLV"/>
    <x v="31"/>
    <n v="5495077"/>
  </r>
  <r>
    <x v="59"/>
    <s v="SLV"/>
    <x v="32"/>
    <n v="5585609"/>
  </r>
  <r>
    <x v="59"/>
    <s v="SLV"/>
    <x v="33"/>
    <n v="5659957"/>
  </r>
  <r>
    <x v="59"/>
    <s v="SLV"/>
    <x v="34"/>
    <n v="5714129"/>
  </r>
  <r>
    <x v="59"/>
    <s v="SLV"/>
    <x v="35"/>
    <n v="5762131"/>
  </r>
  <r>
    <x v="59"/>
    <s v="SLV"/>
    <x v="36"/>
    <n v="5805286"/>
  </r>
  <r>
    <x v="59"/>
    <s v="SLV"/>
    <x v="37"/>
    <n v="5844578"/>
  </r>
  <r>
    <x v="59"/>
    <s v="SLV"/>
    <x v="38"/>
    <n v="5880781"/>
  </r>
  <r>
    <x v="59"/>
    <s v="SLV"/>
    <x v="39"/>
    <n v="5913900"/>
  </r>
  <r>
    <x v="59"/>
    <s v="SLV"/>
    <x v="40"/>
    <n v="5943366"/>
  </r>
  <r>
    <x v="59"/>
    <s v="SLV"/>
    <x v="41"/>
    <n v="5968060"/>
  </r>
  <r>
    <x v="59"/>
    <s v="SLV"/>
    <x v="42"/>
    <n v="5986631"/>
  </r>
  <r>
    <x v="59"/>
    <s v="SLV"/>
    <x v="43"/>
    <n v="5998599"/>
  </r>
  <r>
    <x v="59"/>
    <s v="SLV"/>
    <x v="44"/>
    <n v="6004671"/>
  </r>
  <r>
    <x v="59"/>
    <s v="SLV"/>
    <x v="45"/>
    <n v="6005578"/>
  </r>
  <r>
    <x v="59"/>
    <s v="SLV"/>
    <x v="46"/>
    <n v="6002319"/>
  </r>
  <r>
    <x v="59"/>
    <s v="SLV"/>
    <x v="47"/>
    <n v="6009824"/>
  </r>
  <r>
    <x v="59"/>
    <s v="SLV"/>
    <x v="48"/>
    <n v="6029297"/>
  </r>
  <r>
    <x v="59"/>
    <s v="SLV"/>
    <x v="49"/>
    <n v="6048279"/>
  </r>
  <r>
    <x v="59"/>
    <s v="SLV"/>
    <x v="50"/>
    <n v="6068249"/>
  </r>
  <r>
    <x v="59"/>
    <s v="SLV"/>
    <x v="51"/>
    <n v="6090127"/>
  </r>
  <r>
    <x v="59"/>
    <s v="SLV"/>
    <x v="52"/>
    <n v="6113975"/>
  </r>
  <r>
    <x v="59"/>
    <s v="SLV"/>
    <x v="53"/>
    <n v="6138839"/>
  </r>
  <r>
    <x v="59"/>
    <s v="SLV"/>
    <x v="54"/>
    <n v="6162955"/>
  </r>
  <r>
    <x v="59"/>
    <s v="SLV"/>
    <x v="55"/>
    <n v="6183676"/>
  </r>
  <r>
    <x v="59"/>
    <s v="SLV"/>
    <x v="56"/>
    <n v="6200800"/>
  </r>
  <r>
    <x v="59"/>
    <s v="SLV"/>
    <x v="57"/>
    <n v="6213533"/>
  </r>
  <r>
    <x v="59"/>
    <s v="SLV"/>
    <x v="58"/>
    <n v="6219807"/>
  </r>
  <r>
    <x v="59"/>
    <s v="SLV"/>
    <x v="59"/>
    <n v="6222318"/>
  </r>
  <r>
    <x v="59"/>
    <s v="SLV"/>
    <x v="60"/>
    <n v="6234673"/>
  </r>
  <r>
    <x v="59"/>
    <s v="SLV"/>
    <x v="61"/>
    <n v="6255782"/>
  </r>
  <r>
    <x v="59"/>
    <s v="SLV"/>
    <x v="62"/>
    <n v="6280319"/>
  </r>
  <r>
    <x v="59"/>
    <s v="SLV"/>
    <x v="63"/>
    <n v="6309624"/>
  </r>
  <r>
    <x v="59"/>
    <s v="SLV"/>
    <x v="64"/>
    <n v="6338193"/>
  </r>
  <r>
    <x v="60"/>
    <s v="GNQ"/>
    <x v="0"/>
    <n v="269807"/>
  </r>
  <r>
    <x v="60"/>
    <s v="GNQ"/>
    <x v="1"/>
    <n v="274896"/>
  </r>
  <r>
    <x v="60"/>
    <s v="GNQ"/>
    <x v="2"/>
    <n v="280286"/>
  </r>
  <r>
    <x v="60"/>
    <s v="GNQ"/>
    <x v="3"/>
    <n v="285965"/>
  </r>
  <r>
    <x v="60"/>
    <s v="GNQ"/>
    <x v="4"/>
    <n v="291942"/>
  </r>
  <r>
    <x v="60"/>
    <s v="GNQ"/>
    <x v="5"/>
    <n v="298238"/>
  </r>
  <r>
    <x v="60"/>
    <s v="GNQ"/>
    <x v="6"/>
    <n v="304859"/>
  </r>
  <r>
    <x v="60"/>
    <s v="GNQ"/>
    <x v="7"/>
    <n v="311805"/>
  </r>
  <r>
    <x v="60"/>
    <s v="GNQ"/>
    <x v="8"/>
    <n v="318849"/>
  </r>
  <r>
    <x v="60"/>
    <s v="GNQ"/>
    <x v="9"/>
    <n v="322517"/>
  </r>
  <r>
    <x v="60"/>
    <s v="GNQ"/>
    <x v="10"/>
    <n v="320803"/>
  </r>
  <r>
    <x v="60"/>
    <s v="GNQ"/>
    <x v="11"/>
    <n v="315940"/>
  </r>
  <r>
    <x v="60"/>
    <s v="GNQ"/>
    <x v="12"/>
    <n v="309468"/>
  </r>
  <r>
    <x v="60"/>
    <s v="GNQ"/>
    <x v="13"/>
    <n v="302281"/>
  </r>
  <r>
    <x v="60"/>
    <s v="GNQ"/>
    <x v="14"/>
    <n v="294953"/>
  </r>
  <r>
    <x v="60"/>
    <s v="GNQ"/>
    <x v="15"/>
    <n v="287901"/>
  </r>
  <r>
    <x v="60"/>
    <s v="GNQ"/>
    <x v="16"/>
    <n v="281031"/>
  </r>
  <r>
    <x v="60"/>
    <s v="GNQ"/>
    <x v="17"/>
    <n v="276779"/>
  </r>
  <r>
    <x v="60"/>
    <s v="GNQ"/>
    <x v="18"/>
    <n v="276531"/>
  </r>
  <r>
    <x v="60"/>
    <s v="GNQ"/>
    <x v="19"/>
    <n v="279846"/>
  </r>
  <r>
    <x v="60"/>
    <s v="GNQ"/>
    <x v="20"/>
    <n v="288644"/>
  </r>
  <r>
    <x v="60"/>
    <s v="GNQ"/>
    <x v="21"/>
    <n v="303252"/>
  </r>
  <r>
    <x v="60"/>
    <s v="GNQ"/>
    <x v="22"/>
    <n v="322216"/>
  </r>
  <r>
    <x v="60"/>
    <s v="GNQ"/>
    <x v="23"/>
    <n v="343421"/>
  </r>
  <r>
    <x v="60"/>
    <s v="GNQ"/>
    <x v="24"/>
    <n v="364899"/>
  </r>
  <r>
    <x v="60"/>
    <s v="GNQ"/>
    <x v="25"/>
    <n v="385547"/>
  </r>
  <r>
    <x v="60"/>
    <s v="GNQ"/>
    <x v="26"/>
    <n v="404728"/>
  </r>
  <r>
    <x v="60"/>
    <s v="GNQ"/>
    <x v="27"/>
    <n v="422522"/>
  </r>
  <r>
    <x v="60"/>
    <s v="GNQ"/>
    <x v="28"/>
    <n v="439651"/>
  </r>
  <r>
    <x v="60"/>
    <s v="GNQ"/>
    <x v="29"/>
    <n v="456808"/>
  </r>
  <r>
    <x v="60"/>
    <s v="GNQ"/>
    <x v="30"/>
    <n v="474274"/>
  </r>
  <r>
    <x v="60"/>
    <s v="GNQ"/>
    <x v="31"/>
    <n v="492217"/>
  </r>
  <r>
    <x v="60"/>
    <s v="GNQ"/>
    <x v="32"/>
    <n v="510770"/>
  </r>
  <r>
    <x v="60"/>
    <s v="GNQ"/>
    <x v="33"/>
    <n v="530023"/>
  </r>
  <r>
    <x v="60"/>
    <s v="GNQ"/>
    <x v="34"/>
    <n v="550138"/>
  </r>
  <r>
    <x v="60"/>
    <s v="GNQ"/>
    <x v="35"/>
    <n v="571264"/>
  </r>
  <r>
    <x v="60"/>
    <s v="GNQ"/>
    <x v="36"/>
    <n v="593492"/>
  </r>
  <r>
    <x v="60"/>
    <s v="GNQ"/>
    <x v="37"/>
    <n v="616893"/>
  </r>
  <r>
    <x v="60"/>
    <s v="GNQ"/>
    <x v="38"/>
    <n v="641474"/>
  </r>
  <r>
    <x v="60"/>
    <s v="GNQ"/>
    <x v="39"/>
    <n v="667214"/>
  </r>
  <r>
    <x v="60"/>
    <s v="GNQ"/>
    <x v="40"/>
    <n v="703279"/>
  </r>
  <r>
    <x v="60"/>
    <s v="GNQ"/>
    <x v="41"/>
    <n v="749836"/>
  </r>
  <r>
    <x v="60"/>
    <s v="GNQ"/>
    <x v="42"/>
    <n v="797957"/>
  </r>
  <r>
    <x v="60"/>
    <s v="GNQ"/>
    <x v="43"/>
    <n v="847862"/>
  </r>
  <r>
    <x v="60"/>
    <s v="GNQ"/>
    <x v="44"/>
    <n v="899917"/>
  </r>
  <r>
    <x v="60"/>
    <s v="GNQ"/>
    <x v="45"/>
    <n v="947367"/>
  </r>
  <r>
    <x v="60"/>
    <s v="GNQ"/>
    <x v="46"/>
    <n v="990343"/>
  </r>
  <r>
    <x v="60"/>
    <s v="GNQ"/>
    <x v="47"/>
    <n v="1036044"/>
  </r>
  <r>
    <x v="60"/>
    <s v="GNQ"/>
    <x v="48"/>
    <n v="1084530"/>
  </r>
  <r>
    <x v="60"/>
    <s v="GNQ"/>
    <x v="49"/>
    <n v="1135673"/>
  </r>
  <r>
    <x v="60"/>
    <s v="GNQ"/>
    <x v="50"/>
    <n v="1189085"/>
  </r>
  <r>
    <x v="60"/>
    <s v="GNQ"/>
    <x v="51"/>
    <n v="1241835"/>
  </r>
  <r>
    <x v="60"/>
    <s v="GNQ"/>
    <x v="52"/>
    <n v="1293483"/>
  </r>
  <r>
    <x v="60"/>
    <s v="GNQ"/>
    <x v="53"/>
    <n v="1346218"/>
  </r>
  <r>
    <x v="60"/>
    <s v="GNQ"/>
    <x v="54"/>
    <n v="1399828"/>
  </r>
  <r>
    <x v="60"/>
    <s v="GNQ"/>
    <x v="55"/>
    <n v="1453923"/>
  </r>
  <r>
    <x v="60"/>
    <s v="GNQ"/>
    <x v="56"/>
    <n v="1508186"/>
  </r>
  <r>
    <x v="60"/>
    <s v="GNQ"/>
    <x v="57"/>
    <n v="1562396"/>
  </r>
  <r>
    <x v="60"/>
    <s v="GNQ"/>
    <x v="58"/>
    <n v="1616422"/>
  </r>
  <r>
    <x v="60"/>
    <s v="GNQ"/>
    <x v="59"/>
    <n v="1670177"/>
  </r>
  <r>
    <x v="60"/>
    <s v="GNQ"/>
    <x v="60"/>
    <n v="1716468"/>
  </r>
  <r>
    <x v="60"/>
    <s v="GNQ"/>
    <x v="61"/>
    <n v="1758786"/>
  </r>
  <r>
    <x v="60"/>
    <s v="GNQ"/>
    <x v="62"/>
    <n v="1803545"/>
  </r>
  <r>
    <x v="60"/>
    <s v="GNQ"/>
    <x v="63"/>
    <n v="1847549"/>
  </r>
  <r>
    <x v="60"/>
    <s v="GNQ"/>
    <x v="64"/>
    <n v="1892516"/>
  </r>
  <r>
    <x v="61"/>
    <s v="ERI"/>
    <x v="0"/>
    <n v="972547"/>
  </r>
  <r>
    <x v="61"/>
    <s v="ERI"/>
    <x v="1"/>
    <n v="995573"/>
  </r>
  <r>
    <x v="61"/>
    <s v="ERI"/>
    <x v="2"/>
    <n v="1019788"/>
  </r>
  <r>
    <x v="61"/>
    <s v="ERI"/>
    <x v="3"/>
    <n v="1045092"/>
  </r>
  <r>
    <x v="61"/>
    <s v="ERI"/>
    <x v="4"/>
    <n v="1071287"/>
  </r>
  <r>
    <x v="61"/>
    <s v="ERI"/>
    <x v="5"/>
    <n v="1098335"/>
  </r>
  <r>
    <x v="61"/>
    <s v="ERI"/>
    <x v="6"/>
    <n v="1124957"/>
  </r>
  <r>
    <x v="61"/>
    <s v="ERI"/>
    <x v="7"/>
    <n v="1152339"/>
  </r>
  <r>
    <x v="61"/>
    <s v="ERI"/>
    <x v="8"/>
    <n v="1181737"/>
  </r>
  <r>
    <x v="61"/>
    <s v="ERI"/>
    <x v="9"/>
    <n v="1212005"/>
  </r>
  <r>
    <x v="61"/>
    <s v="ERI"/>
    <x v="10"/>
    <n v="1243453"/>
  </r>
  <r>
    <x v="61"/>
    <s v="ERI"/>
    <x v="11"/>
    <n v="1276154"/>
  </r>
  <r>
    <x v="61"/>
    <s v="ERI"/>
    <x v="12"/>
    <n v="1309235"/>
  </r>
  <r>
    <x v="61"/>
    <s v="ERI"/>
    <x v="13"/>
    <n v="1342669"/>
  </r>
  <r>
    <x v="61"/>
    <s v="ERI"/>
    <x v="14"/>
    <n v="1375688"/>
  </r>
  <r>
    <x v="61"/>
    <s v="ERI"/>
    <x v="15"/>
    <n v="1408210"/>
  </r>
  <r>
    <x v="61"/>
    <s v="ERI"/>
    <x v="16"/>
    <n v="1443807"/>
  </r>
  <r>
    <x v="61"/>
    <s v="ERI"/>
    <x v="17"/>
    <n v="1482565"/>
  </r>
  <r>
    <x v="61"/>
    <s v="ERI"/>
    <x v="18"/>
    <n v="1522378"/>
  </r>
  <r>
    <x v="61"/>
    <s v="ERI"/>
    <x v="19"/>
    <n v="1563332"/>
  </r>
  <r>
    <x v="61"/>
    <s v="ERI"/>
    <x v="20"/>
    <n v="1605797"/>
  </r>
  <r>
    <x v="61"/>
    <s v="ERI"/>
    <x v="21"/>
    <n v="1649939"/>
  </r>
  <r>
    <x v="61"/>
    <s v="ERI"/>
    <x v="22"/>
    <n v="1695461"/>
  </r>
  <r>
    <x v="61"/>
    <s v="ERI"/>
    <x v="23"/>
    <n v="1736160"/>
  </r>
  <r>
    <x v="61"/>
    <s v="ERI"/>
    <x v="24"/>
    <n v="1771730"/>
  </r>
  <r>
    <x v="61"/>
    <s v="ERI"/>
    <x v="25"/>
    <n v="1807816"/>
  </r>
  <r>
    <x v="61"/>
    <s v="ERI"/>
    <x v="26"/>
    <n v="1845164"/>
  </r>
  <r>
    <x v="61"/>
    <s v="ERI"/>
    <x v="27"/>
    <n v="1888669"/>
  </r>
  <r>
    <x v="61"/>
    <s v="ERI"/>
    <x v="28"/>
    <n v="1938255"/>
  </r>
  <r>
    <x v="61"/>
    <s v="ERI"/>
    <x v="29"/>
    <n v="1987017"/>
  </r>
  <r>
    <x v="61"/>
    <s v="ERI"/>
    <x v="30"/>
    <n v="2032737"/>
  </r>
  <r>
    <x v="61"/>
    <s v="ERI"/>
    <x v="31"/>
    <n v="1919571"/>
  </r>
  <r>
    <x v="61"/>
    <s v="ERI"/>
    <x v="32"/>
    <n v="1798748"/>
  </r>
  <r>
    <x v="61"/>
    <s v="ERI"/>
    <x v="33"/>
    <n v="1856006"/>
  </r>
  <r>
    <x v="61"/>
    <s v="ERI"/>
    <x v="34"/>
    <n v="1913915"/>
  </r>
  <r>
    <x v="61"/>
    <s v="ERI"/>
    <x v="35"/>
    <n v="2025267"/>
  </r>
  <r>
    <x v="61"/>
    <s v="ERI"/>
    <x v="36"/>
    <n v="2128464"/>
  </r>
  <r>
    <x v="61"/>
    <s v="ERI"/>
    <x v="37"/>
    <n v="2152135"/>
  </r>
  <r>
    <x v="61"/>
    <s v="ERI"/>
    <x v="38"/>
    <n v="2180419"/>
  </r>
  <r>
    <x v="61"/>
    <s v="ERI"/>
    <x v="39"/>
    <n v="2212780"/>
  </r>
  <r>
    <x v="61"/>
    <s v="ERI"/>
    <x v="40"/>
    <n v="2247031"/>
  </r>
  <r>
    <x v="61"/>
    <s v="ERI"/>
    <x v="41"/>
    <n v="2312079"/>
  </r>
  <r>
    <x v="61"/>
    <s v="ERI"/>
    <x v="42"/>
    <n v="2392978"/>
  </r>
  <r>
    <x v="61"/>
    <s v="ERI"/>
    <x v="43"/>
    <n v="2493903"/>
  </r>
  <r>
    <x v="61"/>
    <s v="ERI"/>
    <x v="44"/>
    <n v="2598284"/>
  </r>
  <r>
    <x v="61"/>
    <s v="ERI"/>
    <x v="45"/>
    <n v="2661215"/>
  </r>
  <r>
    <x v="61"/>
    <s v="ERI"/>
    <x v="46"/>
    <n v="2703502"/>
  </r>
  <r>
    <x v="61"/>
    <s v="ERI"/>
    <x v="47"/>
    <n v="2743222"/>
  </r>
  <r>
    <x v="61"/>
    <s v="ERI"/>
    <x v="48"/>
    <n v="2816327"/>
  </r>
  <r>
    <x v="61"/>
    <s v="ERI"/>
    <x v="49"/>
    <n v="2887885"/>
  </r>
  <r>
    <x v="61"/>
    <s v="ERI"/>
    <x v="50"/>
    <n v="2945186"/>
  </r>
  <r>
    <x v="61"/>
    <s v="ERI"/>
    <x v="51"/>
    <n v="2998485"/>
  </r>
  <r>
    <x v="61"/>
    <s v="ERI"/>
    <x v="52"/>
    <n v="3036988"/>
  </r>
  <r>
    <x v="61"/>
    <s v="ERI"/>
    <x v="53"/>
    <n v="3074360"/>
  </r>
  <r>
    <x v="61"/>
    <s v="ERI"/>
    <x v="54"/>
    <n v="3095173"/>
  </r>
  <r>
    <x v="61"/>
    <s v="ERI"/>
    <x v="55"/>
    <n v="3105546"/>
  </r>
  <r>
    <x v="61"/>
    <s v="ERI"/>
    <x v="56"/>
    <n v="3124698"/>
  </r>
  <r>
    <x v="61"/>
    <s v="ERI"/>
    <x v="57"/>
    <n v="3150347"/>
  </r>
  <r>
    <x v="61"/>
    <s v="ERI"/>
    <x v="58"/>
    <n v="3192760"/>
  </r>
  <r>
    <x v="61"/>
    <s v="ERI"/>
    <x v="59"/>
    <n v="3240194"/>
  </r>
  <r>
    <x v="61"/>
    <s v="ERI"/>
    <x v="60"/>
    <n v="3291271"/>
  </r>
  <r>
    <x v="61"/>
    <s v="ERI"/>
    <x v="61"/>
    <n v="3350183"/>
  </r>
  <r>
    <x v="61"/>
    <s v="ERI"/>
    <x v="62"/>
    <n v="3409447"/>
  </r>
  <r>
    <x v="61"/>
    <s v="ERI"/>
    <x v="63"/>
    <n v="3470390"/>
  </r>
  <r>
    <x v="61"/>
    <s v="ERI"/>
    <x v="64"/>
    <n v="3535603"/>
  </r>
  <r>
    <x v="62"/>
    <s v="EST"/>
    <x v="0"/>
    <n v="1211537"/>
  </r>
  <r>
    <x v="62"/>
    <s v="EST"/>
    <x v="1"/>
    <n v="1225077"/>
  </r>
  <r>
    <x v="62"/>
    <s v="EST"/>
    <x v="2"/>
    <n v="1241623"/>
  </r>
  <r>
    <x v="62"/>
    <s v="EST"/>
    <x v="3"/>
    <n v="1258857"/>
  </r>
  <r>
    <x v="62"/>
    <s v="EST"/>
    <x v="4"/>
    <n v="1277086"/>
  </r>
  <r>
    <x v="62"/>
    <s v="EST"/>
    <x v="5"/>
    <n v="1294566"/>
  </r>
  <r>
    <x v="62"/>
    <s v="EST"/>
    <x v="6"/>
    <n v="1308597"/>
  </r>
  <r>
    <x v="62"/>
    <s v="EST"/>
    <x v="7"/>
    <n v="1318946"/>
  </r>
  <r>
    <x v="62"/>
    <s v="EST"/>
    <x v="8"/>
    <n v="1331214"/>
  </r>
  <r>
    <x v="62"/>
    <s v="EST"/>
    <x v="9"/>
    <n v="1345249"/>
  </r>
  <r>
    <x v="62"/>
    <s v="EST"/>
    <x v="10"/>
    <n v="1360076"/>
  </r>
  <r>
    <x v="62"/>
    <s v="EST"/>
    <x v="11"/>
    <n v="1376955"/>
  </r>
  <r>
    <x v="62"/>
    <s v="EST"/>
    <x v="12"/>
    <n v="1392518"/>
  </r>
  <r>
    <x v="62"/>
    <s v="EST"/>
    <x v="13"/>
    <n v="1405951"/>
  </r>
  <r>
    <x v="62"/>
    <s v="EST"/>
    <x v="14"/>
    <n v="1418169"/>
  </r>
  <r>
    <x v="62"/>
    <s v="EST"/>
    <x v="15"/>
    <n v="1429352"/>
  </r>
  <r>
    <x v="62"/>
    <s v="EST"/>
    <x v="16"/>
    <n v="1439576"/>
  </r>
  <r>
    <x v="62"/>
    <s v="EST"/>
    <x v="17"/>
    <n v="1450211"/>
  </r>
  <r>
    <x v="62"/>
    <s v="EST"/>
    <x v="18"/>
    <n v="1460188"/>
  </r>
  <r>
    <x v="62"/>
    <s v="EST"/>
    <x v="19"/>
    <n v="1468333"/>
  </r>
  <r>
    <x v="62"/>
    <s v="EST"/>
    <x v="20"/>
    <n v="1477219"/>
  </r>
  <r>
    <x v="62"/>
    <s v="EST"/>
    <x v="21"/>
    <n v="1487666"/>
  </r>
  <r>
    <x v="62"/>
    <s v="EST"/>
    <x v="22"/>
    <n v="1498414"/>
  </r>
  <r>
    <x v="62"/>
    <s v="EST"/>
    <x v="23"/>
    <n v="1508745"/>
  </r>
  <r>
    <x v="62"/>
    <s v="EST"/>
    <x v="24"/>
    <n v="1518617"/>
  </r>
  <r>
    <x v="62"/>
    <s v="EST"/>
    <x v="25"/>
    <n v="1528781"/>
  </r>
  <r>
    <x v="62"/>
    <s v="EST"/>
    <x v="26"/>
    <n v="1540190"/>
  </r>
  <r>
    <x v="62"/>
    <s v="EST"/>
    <x v="27"/>
    <n v="1552221"/>
  </r>
  <r>
    <x v="62"/>
    <s v="EST"/>
    <x v="28"/>
    <n v="1561900"/>
  </r>
  <r>
    <x v="62"/>
    <s v="EST"/>
    <x v="29"/>
    <n v="1568131"/>
  </r>
  <r>
    <x v="62"/>
    <s v="EST"/>
    <x v="30"/>
    <n v="1569174"/>
  </r>
  <r>
    <x v="62"/>
    <s v="EST"/>
    <x v="31"/>
    <n v="1561314"/>
  </r>
  <r>
    <x v="62"/>
    <s v="EST"/>
    <x v="32"/>
    <n v="1533091"/>
  </r>
  <r>
    <x v="62"/>
    <s v="EST"/>
    <x v="33"/>
    <n v="1494128"/>
  </r>
  <r>
    <x v="62"/>
    <s v="EST"/>
    <x v="34"/>
    <n v="1462514"/>
  </r>
  <r>
    <x v="62"/>
    <s v="EST"/>
    <x v="35"/>
    <n v="1436634"/>
  </r>
  <r>
    <x v="62"/>
    <s v="EST"/>
    <x v="36"/>
    <n v="1415594"/>
  </r>
  <r>
    <x v="62"/>
    <s v="EST"/>
    <x v="37"/>
    <n v="1399535"/>
  </r>
  <r>
    <x v="62"/>
    <s v="EST"/>
    <x v="38"/>
    <n v="1386156"/>
  </r>
  <r>
    <x v="62"/>
    <s v="EST"/>
    <x v="39"/>
    <n v="1390244"/>
  </r>
  <r>
    <x v="62"/>
    <s v="EST"/>
    <x v="40"/>
    <n v="1396985"/>
  </r>
  <r>
    <x v="62"/>
    <s v="EST"/>
    <x v="41"/>
    <n v="1388115"/>
  </r>
  <r>
    <x v="62"/>
    <s v="EST"/>
    <x v="42"/>
    <n v="1379350"/>
  </r>
  <r>
    <x v="62"/>
    <s v="EST"/>
    <x v="43"/>
    <n v="1370720"/>
  </r>
  <r>
    <x v="62"/>
    <s v="EST"/>
    <x v="44"/>
    <n v="1362550"/>
  </r>
  <r>
    <x v="62"/>
    <s v="EST"/>
    <x v="45"/>
    <n v="1354775"/>
  </r>
  <r>
    <x v="62"/>
    <s v="EST"/>
    <x v="46"/>
    <n v="1346810"/>
  </r>
  <r>
    <x v="62"/>
    <s v="EST"/>
    <x v="47"/>
    <n v="1340680"/>
  </r>
  <r>
    <x v="62"/>
    <s v="EST"/>
    <x v="48"/>
    <n v="1337090"/>
  </r>
  <r>
    <x v="62"/>
    <s v="EST"/>
    <x v="49"/>
    <n v="1334515"/>
  </r>
  <r>
    <x v="62"/>
    <s v="EST"/>
    <x v="50"/>
    <n v="1331475"/>
  </r>
  <r>
    <x v="62"/>
    <s v="EST"/>
    <x v="51"/>
    <n v="1327439"/>
  </r>
  <r>
    <x v="62"/>
    <s v="EST"/>
    <x v="52"/>
    <n v="1322696"/>
  </r>
  <r>
    <x v="62"/>
    <s v="EST"/>
    <x v="53"/>
    <n v="1317997"/>
  </r>
  <r>
    <x v="62"/>
    <s v="EST"/>
    <x v="54"/>
    <n v="1314545"/>
  </r>
  <r>
    <x v="62"/>
    <s v="EST"/>
    <x v="55"/>
    <n v="1315407"/>
  </r>
  <r>
    <x v="62"/>
    <s v="EST"/>
    <x v="56"/>
    <n v="1315790"/>
  </r>
  <r>
    <x v="62"/>
    <s v="EST"/>
    <x v="57"/>
    <n v="1317384"/>
  </r>
  <r>
    <x v="62"/>
    <s v="EST"/>
    <x v="58"/>
    <n v="1321977"/>
  </r>
  <r>
    <x v="62"/>
    <s v="EST"/>
    <x v="59"/>
    <n v="1326898"/>
  </r>
  <r>
    <x v="62"/>
    <s v="EST"/>
    <x v="60"/>
    <n v="1329522"/>
  </r>
  <r>
    <x v="62"/>
    <s v="EST"/>
    <x v="61"/>
    <n v="1330932"/>
  </r>
  <r>
    <x v="62"/>
    <s v="EST"/>
    <x v="62"/>
    <n v="1348840"/>
  </r>
  <r>
    <x v="62"/>
    <s v="EST"/>
    <x v="63"/>
    <n v="1370286"/>
  </r>
  <r>
    <x v="62"/>
    <s v="EST"/>
    <x v="64"/>
    <n v="1371986"/>
  </r>
  <r>
    <x v="63"/>
    <s v="SWZ"/>
    <x v="0"/>
    <n v="345337"/>
  </r>
  <r>
    <x v="63"/>
    <s v="SWZ"/>
    <x v="1"/>
    <n v="353264"/>
  </r>
  <r>
    <x v="63"/>
    <s v="SWZ"/>
    <x v="2"/>
    <n v="361365"/>
  </r>
  <r>
    <x v="63"/>
    <s v="SWZ"/>
    <x v="3"/>
    <n v="369759"/>
  </r>
  <r>
    <x v="63"/>
    <s v="SWZ"/>
    <x v="4"/>
    <n v="378656"/>
  </r>
  <r>
    <x v="63"/>
    <s v="SWZ"/>
    <x v="5"/>
    <n v="388336"/>
  </r>
  <r>
    <x v="63"/>
    <s v="SWZ"/>
    <x v="6"/>
    <n v="398766"/>
  </r>
  <r>
    <x v="63"/>
    <s v="SWZ"/>
    <x v="7"/>
    <n v="409031"/>
  </r>
  <r>
    <x v="63"/>
    <s v="SWZ"/>
    <x v="8"/>
    <n v="419147"/>
  </r>
  <r>
    <x v="63"/>
    <s v="SWZ"/>
    <x v="9"/>
    <n v="429875"/>
  </r>
  <r>
    <x v="63"/>
    <s v="SWZ"/>
    <x v="10"/>
    <n v="441216"/>
  </r>
  <r>
    <x v="63"/>
    <s v="SWZ"/>
    <x v="11"/>
    <n v="453183"/>
  </r>
  <r>
    <x v="63"/>
    <s v="SWZ"/>
    <x v="12"/>
    <n v="465788"/>
  </r>
  <r>
    <x v="63"/>
    <s v="SWZ"/>
    <x v="13"/>
    <n v="479038"/>
  </r>
  <r>
    <x v="63"/>
    <s v="SWZ"/>
    <x v="14"/>
    <n v="492988"/>
  </r>
  <r>
    <x v="63"/>
    <s v="SWZ"/>
    <x v="15"/>
    <n v="507673"/>
  </r>
  <r>
    <x v="63"/>
    <s v="SWZ"/>
    <x v="16"/>
    <n v="523330"/>
  </r>
  <r>
    <x v="63"/>
    <s v="SWZ"/>
    <x v="17"/>
    <n v="540348"/>
  </r>
  <r>
    <x v="63"/>
    <s v="SWZ"/>
    <x v="18"/>
    <n v="558446"/>
  </r>
  <r>
    <x v="63"/>
    <s v="SWZ"/>
    <x v="19"/>
    <n v="577199"/>
  </r>
  <r>
    <x v="63"/>
    <s v="SWZ"/>
    <x v="20"/>
    <n v="596644"/>
  </r>
  <r>
    <x v="63"/>
    <s v="SWZ"/>
    <x v="21"/>
    <n v="616808"/>
  </r>
  <r>
    <x v="63"/>
    <s v="SWZ"/>
    <x v="22"/>
    <n v="637652"/>
  </r>
  <r>
    <x v="63"/>
    <s v="SWZ"/>
    <x v="23"/>
    <n v="658957"/>
  </r>
  <r>
    <x v="63"/>
    <s v="SWZ"/>
    <x v="24"/>
    <n v="680783"/>
  </r>
  <r>
    <x v="63"/>
    <s v="SWZ"/>
    <x v="25"/>
    <n v="706196"/>
  </r>
  <r>
    <x v="63"/>
    <s v="SWZ"/>
    <x v="26"/>
    <n v="734732"/>
  </r>
  <r>
    <x v="63"/>
    <s v="SWZ"/>
    <x v="27"/>
    <n v="763811"/>
  </r>
  <r>
    <x v="63"/>
    <s v="SWZ"/>
    <x v="28"/>
    <n v="799798"/>
  </r>
  <r>
    <x v="63"/>
    <s v="SWZ"/>
    <x v="29"/>
    <n v="837800"/>
  </r>
  <r>
    <x v="63"/>
    <s v="SWZ"/>
    <x v="30"/>
    <n v="872428"/>
  </r>
  <r>
    <x v="63"/>
    <s v="SWZ"/>
    <x v="31"/>
    <n v="908189"/>
  </r>
  <r>
    <x v="63"/>
    <s v="SWZ"/>
    <x v="32"/>
    <n v="943416"/>
  </r>
  <r>
    <x v="63"/>
    <s v="SWZ"/>
    <x v="33"/>
    <n v="971318"/>
  </r>
  <r>
    <x v="63"/>
    <s v="SWZ"/>
    <x v="34"/>
    <n v="971212"/>
  </r>
  <r>
    <x v="63"/>
    <s v="SWZ"/>
    <x v="35"/>
    <n v="970433"/>
  </r>
  <r>
    <x v="63"/>
    <s v="SWZ"/>
    <x v="36"/>
    <n v="989841"/>
  </r>
  <r>
    <x v="63"/>
    <s v="SWZ"/>
    <x v="37"/>
    <n v="1006635"/>
  </r>
  <r>
    <x v="63"/>
    <s v="SWZ"/>
    <x v="38"/>
    <n v="1019653"/>
  </r>
  <r>
    <x v="63"/>
    <s v="SWZ"/>
    <x v="39"/>
    <n v="1030782"/>
  </r>
  <r>
    <x v="63"/>
    <s v="SWZ"/>
    <x v="40"/>
    <n v="1041414"/>
  </r>
  <r>
    <x v="63"/>
    <s v="SWZ"/>
    <x v="41"/>
    <n v="1051064"/>
  </r>
  <r>
    <x v="63"/>
    <s v="SWZ"/>
    <x v="42"/>
    <n v="1059441"/>
  </r>
  <r>
    <x v="63"/>
    <s v="SWZ"/>
    <x v="43"/>
    <n v="1066700"/>
  </r>
  <r>
    <x v="63"/>
    <s v="SWZ"/>
    <x v="44"/>
    <n v="1073159"/>
  </r>
  <r>
    <x v="63"/>
    <s v="SWZ"/>
    <x v="45"/>
    <n v="1079022"/>
  </r>
  <r>
    <x v="63"/>
    <s v="SWZ"/>
    <x v="46"/>
    <n v="1084436"/>
  </r>
  <r>
    <x v="63"/>
    <s v="SWZ"/>
    <x v="47"/>
    <n v="1090705"/>
  </r>
  <r>
    <x v="63"/>
    <s v="SWZ"/>
    <x v="48"/>
    <n v="1098091"/>
  </r>
  <r>
    <x v="63"/>
    <s v="SWZ"/>
    <x v="49"/>
    <n v="1105153"/>
  </r>
  <r>
    <x v="63"/>
    <s v="SWZ"/>
    <x v="50"/>
    <n v="1111650"/>
  </r>
  <r>
    <x v="63"/>
    <s v="SWZ"/>
    <x v="51"/>
    <n v="1117833"/>
  </r>
  <r>
    <x v="63"/>
    <s v="SWZ"/>
    <x v="52"/>
    <n v="1123863"/>
  </r>
  <r>
    <x v="63"/>
    <s v="SWZ"/>
    <x v="53"/>
    <n v="1129990"/>
  </r>
  <r>
    <x v="63"/>
    <s v="SWZ"/>
    <x v="54"/>
    <n v="1136299"/>
  </r>
  <r>
    <x v="63"/>
    <s v="SWZ"/>
    <x v="55"/>
    <n v="1142813"/>
  </r>
  <r>
    <x v="63"/>
    <s v="SWZ"/>
    <x v="56"/>
    <n v="1149507"/>
  </r>
  <r>
    <x v="63"/>
    <s v="SWZ"/>
    <x v="57"/>
    <n v="1158195"/>
  </r>
  <r>
    <x v="63"/>
    <s v="SWZ"/>
    <x v="58"/>
    <n v="1168929"/>
  </r>
  <r>
    <x v="63"/>
    <s v="SWZ"/>
    <x v="59"/>
    <n v="1179874"/>
  </r>
  <r>
    <x v="63"/>
    <s v="SWZ"/>
    <x v="60"/>
    <n v="1192729"/>
  </r>
  <r>
    <x v="63"/>
    <s v="SWZ"/>
    <x v="61"/>
    <n v="1206593"/>
  </r>
  <r>
    <x v="63"/>
    <s v="SWZ"/>
    <x v="62"/>
    <n v="1218917"/>
  </r>
  <r>
    <x v="63"/>
    <s v="SWZ"/>
    <x v="63"/>
    <n v="1230506"/>
  </r>
  <r>
    <x v="63"/>
    <s v="SWZ"/>
    <x v="64"/>
    <n v="1242822"/>
  </r>
  <r>
    <x v="64"/>
    <s v="ETH"/>
    <x v="0"/>
    <n v="21376693"/>
  </r>
  <r>
    <x v="64"/>
    <s v="ETH"/>
    <x v="1"/>
    <n v="21906102"/>
  </r>
  <r>
    <x v="64"/>
    <s v="ETH"/>
    <x v="2"/>
    <n v="22465126"/>
  </r>
  <r>
    <x v="64"/>
    <s v="ETH"/>
    <x v="3"/>
    <n v="23051637"/>
  </r>
  <r>
    <x v="64"/>
    <s v="ETH"/>
    <x v="4"/>
    <n v="23666548"/>
  </r>
  <r>
    <x v="64"/>
    <s v="ETH"/>
    <x v="5"/>
    <n v="24310612"/>
  </r>
  <r>
    <x v="64"/>
    <s v="ETH"/>
    <x v="6"/>
    <n v="24952689"/>
  </r>
  <r>
    <x v="64"/>
    <s v="ETH"/>
    <x v="7"/>
    <n v="25620276"/>
  </r>
  <r>
    <x v="64"/>
    <s v="ETH"/>
    <x v="8"/>
    <n v="26337930"/>
  </r>
  <r>
    <x v="64"/>
    <s v="ETH"/>
    <x v="9"/>
    <n v="27072571"/>
  </r>
  <r>
    <x v="64"/>
    <s v="ETH"/>
    <x v="10"/>
    <n v="27829128"/>
  </r>
  <r>
    <x v="64"/>
    <s v="ETH"/>
    <x v="11"/>
    <n v="28600106"/>
  </r>
  <r>
    <x v="64"/>
    <s v="ETH"/>
    <x v="12"/>
    <n v="29374608"/>
  </r>
  <r>
    <x v="64"/>
    <s v="ETH"/>
    <x v="13"/>
    <n v="30166785"/>
  </r>
  <r>
    <x v="64"/>
    <s v="ETH"/>
    <x v="14"/>
    <n v="30957273"/>
  </r>
  <r>
    <x v="64"/>
    <s v="ETH"/>
    <x v="15"/>
    <n v="31723252"/>
  </r>
  <r>
    <x v="64"/>
    <s v="ETH"/>
    <x v="16"/>
    <n v="32534418"/>
  </r>
  <r>
    <x v="64"/>
    <s v="ETH"/>
    <x v="17"/>
    <n v="33167272"/>
  </r>
  <r>
    <x v="64"/>
    <s v="ETH"/>
    <x v="18"/>
    <n v="33734592"/>
  </r>
  <r>
    <x v="64"/>
    <s v="ETH"/>
    <x v="19"/>
    <n v="34238652"/>
  </r>
  <r>
    <x v="64"/>
    <s v="ETH"/>
    <x v="20"/>
    <n v="34428514"/>
  </r>
  <r>
    <x v="64"/>
    <s v="ETH"/>
    <x v="21"/>
    <n v="35304012"/>
  </r>
  <r>
    <x v="64"/>
    <s v="ETH"/>
    <x v="22"/>
    <n v="36701290"/>
  </r>
  <r>
    <x v="64"/>
    <s v="ETH"/>
    <x v="23"/>
    <n v="37740817"/>
  </r>
  <r>
    <x v="64"/>
    <s v="ETH"/>
    <x v="24"/>
    <n v="38735722"/>
  </r>
  <r>
    <x v="64"/>
    <s v="ETH"/>
    <x v="25"/>
    <n v="39842136"/>
  </r>
  <r>
    <x v="64"/>
    <s v="ETH"/>
    <x v="26"/>
    <n v="41037656"/>
  </r>
  <r>
    <x v="64"/>
    <s v="ETH"/>
    <x v="27"/>
    <n v="42460039"/>
  </r>
  <r>
    <x v="64"/>
    <s v="ETH"/>
    <x v="28"/>
    <n v="44150825"/>
  </r>
  <r>
    <x v="64"/>
    <s v="ETH"/>
    <x v="29"/>
    <n v="45879690"/>
  </r>
  <r>
    <x v="64"/>
    <s v="ETH"/>
    <x v="30"/>
    <n v="47609755"/>
  </r>
  <r>
    <x v="64"/>
    <s v="ETH"/>
    <x v="31"/>
    <n v="49717198"/>
  </r>
  <r>
    <x v="64"/>
    <s v="ETH"/>
    <x v="32"/>
    <n v="51853747"/>
  </r>
  <r>
    <x v="64"/>
    <s v="ETH"/>
    <x v="33"/>
    <n v="53708891"/>
  </r>
  <r>
    <x v="64"/>
    <s v="ETH"/>
    <x v="34"/>
    <n v="55611508"/>
  </r>
  <r>
    <x v="64"/>
    <s v="ETH"/>
    <x v="35"/>
    <n v="57537335"/>
  </r>
  <r>
    <x v="64"/>
    <s v="ETH"/>
    <x v="36"/>
    <n v="59467635"/>
  </r>
  <r>
    <x v="64"/>
    <s v="ETH"/>
    <x v="37"/>
    <n v="61404539"/>
  </r>
  <r>
    <x v="64"/>
    <s v="ETH"/>
    <x v="38"/>
    <n v="63363524"/>
  </r>
  <r>
    <x v="64"/>
    <s v="ETH"/>
    <x v="39"/>
    <n v="65374561"/>
  </r>
  <r>
    <x v="64"/>
    <s v="ETH"/>
    <x v="40"/>
    <n v="67411494"/>
  </r>
  <r>
    <x v="64"/>
    <s v="ETH"/>
    <x v="41"/>
    <n v="69487762"/>
  </r>
  <r>
    <x v="64"/>
    <s v="ETH"/>
    <x v="42"/>
    <n v="71635517"/>
  </r>
  <r>
    <x v="64"/>
    <s v="ETH"/>
    <x v="43"/>
    <n v="73832663"/>
  </r>
  <r>
    <x v="64"/>
    <s v="ETH"/>
    <x v="44"/>
    <n v="76077206"/>
  </r>
  <r>
    <x v="64"/>
    <s v="ETH"/>
    <x v="45"/>
    <n v="78367470"/>
  </r>
  <r>
    <x v="64"/>
    <s v="ETH"/>
    <x v="46"/>
    <n v="80703490"/>
  </r>
  <r>
    <x v="64"/>
    <s v="ETH"/>
    <x v="47"/>
    <n v="83103217"/>
  </r>
  <r>
    <x v="64"/>
    <s v="ETH"/>
    <x v="48"/>
    <n v="85543668"/>
  </r>
  <r>
    <x v="64"/>
    <s v="ETH"/>
    <x v="49"/>
    <n v="88007636"/>
  </r>
  <r>
    <x v="64"/>
    <s v="ETH"/>
    <x v="50"/>
    <n v="90538514"/>
  </r>
  <r>
    <x v="64"/>
    <s v="ETH"/>
    <x v="51"/>
    <n v="93149970"/>
  </r>
  <r>
    <x v="64"/>
    <s v="ETH"/>
    <x v="52"/>
    <n v="95798767"/>
  </r>
  <r>
    <x v="64"/>
    <s v="ETH"/>
    <x v="53"/>
    <n v="98438751"/>
  </r>
  <r>
    <x v="64"/>
    <s v="ETH"/>
    <x v="54"/>
    <n v="101115610"/>
  </r>
  <r>
    <x v="64"/>
    <s v="ETH"/>
    <x v="55"/>
    <n v="103867135"/>
  </r>
  <r>
    <x v="64"/>
    <s v="ETH"/>
    <x v="56"/>
    <n v="106718162"/>
  </r>
  <r>
    <x v="64"/>
    <s v="ETH"/>
    <x v="57"/>
    <n v="109666481"/>
  </r>
  <r>
    <x v="64"/>
    <s v="ETH"/>
    <x v="58"/>
    <n v="112664152"/>
  </r>
  <r>
    <x v="64"/>
    <s v="ETH"/>
    <x v="59"/>
    <n v="115737383"/>
  </r>
  <r>
    <x v="64"/>
    <s v="ETH"/>
    <x v="60"/>
    <n v="118917671"/>
  </r>
  <r>
    <x v="64"/>
    <s v="ETH"/>
    <x v="61"/>
    <n v="122138588"/>
  </r>
  <r>
    <x v="64"/>
    <s v="ETH"/>
    <x v="62"/>
    <n v="125384287"/>
  </r>
  <r>
    <x v="64"/>
    <s v="ETH"/>
    <x v="63"/>
    <n v="128691692"/>
  </r>
  <r>
    <x v="64"/>
    <s v="ETH"/>
    <x v="64"/>
    <n v="132059767"/>
  </r>
  <r>
    <x v="65"/>
    <s v="FRO"/>
    <x v="0"/>
    <n v="34127"/>
  </r>
  <r>
    <x v="65"/>
    <s v="FRO"/>
    <x v="1"/>
    <n v="34557"/>
  </r>
  <r>
    <x v="65"/>
    <s v="FRO"/>
    <x v="2"/>
    <n v="34963"/>
  </r>
  <r>
    <x v="65"/>
    <s v="FRO"/>
    <x v="3"/>
    <n v="35391"/>
  </r>
  <r>
    <x v="65"/>
    <s v="FRO"/>
    <x v="4"/>
    <n v="35847"/>
  </r>
  <r>
    <x v="65"/>
    <s v="FRO"/>
    <x v="5"/>
    <n v="36347"/>
  </r>
  <r>
    <x v="65"/>
    <s v="FRO"/>
    <x v="6"/>
    <n v="36816"/>
  </r>
  <r>
    <x v="65"/>
    <s v="FRO"/>
    <x v="7"/>
    <n v="37202"/>
  </r>
  <r>
    <x v="65"/>
    <s v="FRO"/>
    <x v="8"/>
    <n v="37560"/>
  </r>
  <r>
    <x v="65"/>
    <s v="FRO"/>
    <x v="9"/>
    <n v="37907"/>
  </r>
  <r>
    <x v="65"/>
    <s v="FRO"/>
    <x v="10"/>
    <n v="38269"/>
  </r>
  <r>
    <x v="65"/>
    <s v="FRO"/>
    <x v="11"/>
    <n v="38703"/>
  </r>
  <r>
    <x v="65"/>
    <s v="FRO"/>
    <x v="12"/>
    <n v="39172"/>
  </r>
  <r>
    <x v="65"/>
    <s v="FRO"/>
    <x v="13"/>
    <n v="39636"/>
  </r>
  <r>
    <x v="65"/>
    <s v="FRO"/>
    <x v="14"/>
    <n v="40106"/>
  </r>
  <r>
    <x v="65"/>
    <s v="FRO"/>
    <x v="15"/>
    <n v="40568"/>
  </r>
  <r>
    <x v="65"/>
    <s v="FRO"/>
    <x v="16"/>
    <n v="41020"/>
  </r>
  <r>
    <x v="65"/>
    <s v="FRO"/>
    <x v="17"/>
    <n v="41468"/>
  </r>
  <r>
    <x v="65"/>
    <s v="FRO"/>
    <x v="18"/>
    <n v="41968"/>
  </r>
  <r>
    <x v="65"/>
    <s v="FRO"/>
    <x v="19"/>
    <n v="42521"/>
  </r>
  <r>
    <x v="65"/>
    <s v="FRO"/>
    <x v="20"/>
    <n v="43072"/>
  </r>
  <r>
    <x v="65"/>
    <s v="FRO"/>
    <x v="21"/>
    <n v="43626"/>
  </r>
  <r>
    <x v="65"/>
    <s v="FRO"/>
    <x v="22"/>
    <n v="44171"/>
  </r>
  <r>
    <x v="65"/>
    <s v="FRO"/>
    <x v="23"/>
    <n v="44670"/>
  </r>
  <r>
    <x v="65"/>
    <s v="FRO"/>
    <x v="24"/>
    <n v="45141"/>
  </r>
  <r>
    <x v="65"/>
    <s v="FRO"/>
    <x v="25"/>
    <n v="45707"/>
  </r>
  <r>
    <x v="65"/>
    <s v="FRO"/>
    <x v="26"/>
    <n v="46131"/>
  </r>
  <r>
    <x v="65"/>
    <s v="FRO"/>
    <x v="27"/>
    <n v="46701"/>
  </r>
  <r>
    <x v="65"/>
    <s v="FRO"/>
    <x v="28"/>
    <n v="47355"/>
  </r>
  <r>
    <x v="65"/>
    <s v="FRO"/>
    <x v="29"/>
    <n v="47958"/>
  </r>
  <r>
    <x v="65"/>
    <s v="FRO"/>
    <x v="30"/>
    <n v="47740"/>
  </r>
  <r>
    <x v="65"/>
    <s v="FRO"/>
    <x v="31"/>
    <n v="47446"/>
  </r>
  <r>
    <x v="65"/>
    <s v="FRO"/>
    <x v="32"/>
    <n v="47286"/>
  </r>
  <r>
    <x v="65"/>
    <s v="FRO"/>
    <x v="33"/>
    <n v="46473"/>
  </r>
  <r>
    <x v="65"/>
    <s v="FRO"/>
    <x v="34"/>
    <n v="44694"/>
  </r>
  <r>
    <x v="65"/>
    <s v="FRO"/>
    <x v="35"/>
    <n v="43610"/>
  </r>
  <r>
    <x v="65"/>
    <s v="FRO"/>
    <x v="36"/>
    <n v="43580"/>
  </r>
  <r>
    <x v="65"/>
    <s v="FRO"/>
    <x v="37"/>
    <n v="44131"/>
  </r>
  <r>
    <x v="65"/>
    <s v="FRO"/>
    <x v="38"/>
    <n v="44674"/>
  </r>
  <r>
    <x v="65"/>
    <s v="FRO"/>
    <x v="39"/>
    <n v="45146"/>
  </r>
  <r>
    <x v="65"/>
    <s v="FRO"/>
    <x v="40"/>
    <n v="45754"/>
  </r>
  <r>
    <x v="65"/>
    <s v="FRO"/>
    <x v="41"/>
    <n v="46635"/>
  </r>
  <r>
    <x v="65"/>
    <s v="FRO"/>
    <x v="42"/>
    <n v="47335"/>
  </r>
  <r>
    <x v="65"/>
    <s v="FRO"/>
    <x v="43"/>
    <n v="48032"/>
  </r>
  <r>
    <x v="65"/>
    <s v="FRO"/>
    <x v="44"/>
    <n v="48384"/>
  </r>
  <r>
    <x v="65"/>
    <s v="FRO"/>
    <x v="45"/>
    <n v="48359"/>
  </r>
  <r>
    <x v="65"/>
    <s v="FRO"/>
    <x v="46"/>
    <n v="48335"/>
  </r>
  <r>
    <x v="65"/>
    <s v="FRO"/>
    <x v="47"/>
    <n v="48378"/>
  </r>
  <r>
    <x v="65"/>
    <s v="FRO"/>
    <x v="48"/>
    <n v="48547"/>
  </r>
  <r>
    <x v="65"/>
    <s v="FRO"/>
    <x v="49"/>
    <n v="48791"/>
  </r>
  <r>
    <x v="65"/>
    <s v="FRO"/>
    <x v="50"/>
    <n v="48657"/>
  </r>
  <r>
    <x v="65"/>
    <s v="FRO"/>
    <x v="51"/>
    <n v="48543"/>
  </r>
  <r>
    <x v="65"/>
    <s v="FRO"/>
    <x v="52"/>
    <n v="48291"/>
  </r>
  <r>
    <x v="65"/>
    <s v="FRO"/>
    <x v="53"/>
    <n v="48246"/>
  </r>
  <r>
    <x v="65"/>
    <s v="FRO"/>
    <x v="54"/>
    <n v="48428"/>
  </r>
  <r>
    <x v="65"/>
    <s v="FRO"/>
    <x v="55"/>
    <n v="48901"/>
  </r>
  <r>
    <x v="65"/>
    <s v="FRO"/>
    <x v="56"/>
    <n v="49464"/>
  </r>
  <r>
    <x v="65"/>
    <s v="FRO"/>
    <x v="57"/>
    <n v="50180"/>
  </r>
  <r>
    <x v="65"/>
    <s v="FRO"/>
    <x v="58"/>
    <n v="50996"/>
  </r>
  <r>
    <x v="65"/>
    <s v="FRO"/>
    <x v="59"/>
    <n v="51793"/>
  </r>
  <r>
    <x v="65"/>
    <s v="FRO"/>
    <x v="60"/>
    <n v="52567"/>
  </r>
  <r>
    <x v="65"/>
    <s v="FRO"/>
    <x v="61"/>
    <n v="53305"/>
  </r>
  <r>
    <x v="65"/>
    <s v="FRO"/>
    <x v="62"/>
    <n v="53927"/>
  </r>
  <r>
    <x v="65"/>
    <s v="FRO"/>
    <x v="63"/>
    <n v="54439"/>
  </r>
  <r>
    <x v="65"/>
    <s v="FRO"/>
    <x v="64"/>
    <n v="54719"/>
  </r>
  <r>
    <x v="66"/>
    <s v="FJI"/>
    <x v="0"/>
    <n v="404887"/>
  </r>
  <r>
    <x v="66"/>
    <s v="FJI"/>
    <x v="1"/>
    <n v="417406"/>
  </r>
  <r>
    <x v="66"/>
    <s v="FJI"/>
    <x v="2"/>
    <n v="430536"/>
  </r>
  <r>
    <x v="66"/>
    <s v="FJI"/>
    <x v="3"/>
    <n v="444276"/>
  </r>
  <r>
    <x v="66"/>
    <s v="FJI"/>
    <x v="4"/>
    <n v="458324"/>
  </r>
  <r>
    <x v="66"/>
    <s v="FJI"/>
    <x v="5"/>
    <n v="472575"/>
  </r>
  <r>
    <x v="66"/>
    <s v="FJI"/>
    <x v="6"/>
    <n v="486487"/>
  </r>
  <r>
    <x v="66"/>
    <s v="FJI"/>
    <x v="7"/>
    <n v="498873"/>
  </r>
  <r>
    <x v="66"/>
    <s v="FJI"/>
    <x v="8"/>
    <n v="510002"/>
  </r>
  <r>
    <x v="66"/>
    <s v="FJI"/>
    <x v="9"/>
    <n v="520797"/>
  </r>
  <r>
    <x v="66"/>
    <s v="FJI"/>
    <x v="10"/>
    <n v="531188"/>
  </r>
  <r>
    <x v="66"/>
    <s v="FJI"/>
    <x v="11"/>
    <n v="541121"/>
  </r>
  <r>
    <x v="66"/>
    <s v="FJI"/>
    <x v="12"/>
    <n v="550499"/>
  </r>
  <r>
    <x v="66"/>
    <s v="FJI"/>
    <x v="13"/>
    <n v="559222"/>
  </r>
  <r>
    <x v="66"/>
    <s v="FJI"/>
    <x v="14"/>
    <n v="567489"/>
  </r>
  <r>
    <x v="66"/>
    <s v="FJI"/>
    <x v="15"/>
    <n v="575906"/>
  </r>
  <r>
    <x v="66"/>
    <s v="FJI"/>
    <x v="16"/>
    <n v="585534"/>
  </r>
  <r>
    <x v="66"/>
    <s v="FJI"/>
    <x v="17"/>
    <n v="597805"/>
  </r>
  <r>
    <x v="66"/>
    <s v="FJI"/>
    <x v="18"/>
    <n v="612091"/>
  </r>
  <r>
    <x v="66"/>
    <s v="FJI"/>
    <x v="19"/>
    <n v="626862"/>
  </r>
  <r>
    <x v="66"/>
    <s v="FJI"/>
    <x v="20"/>
    <n v="641975"/>
  </r>
  <r>
    <x v="66"/>
    <s v="FJI"/>
    <x v="21"/>
    <n v="657471"/>
  </r>
  <r>
    <x v="66"/>
    <s v="FJI"/>
    <x v="22"/>
    <n v="673414"/>
  </r>
  <r>
    <x v="66"/>
    <s v="FJI"/>
    <x v="23"/>
    <n v="689835"/>
  </r>
  <r>
    <x v="66"/>
    <s v="FJI"/>
    <x v="24"/>
    <n v="706716"/>
  </r>
  <r>
    <x v="66"/>
    <s v="FJI"/>
    <x v="25"/>
    <n v="723761"/>
  </r>
  <r>
    <x v="66"/>
    <s v="FJI"/>
    <x v="26"/>
    <n v="739306"/>
  </r>
  <r>
    <x v="66"/>
    <s v="FJI"/>
    <x v="27"/>
    <n v="750540"/>
  </r>
  <r>
    <x v="66"/>
    <s v="FJI"/>
    <x v="28"/>
    <n v="758697"/>
  </r>
  <r>
    <x v="66"/>
    <s v="FJI"/>
    <x v="29"/>
    <n v="766321"/>
  </r>
  <r>
    <x v="66"/>
    <s v="FJI"/>
    <x v="30"/>
    <n v="773316"/>
  </r>
  <r>
    <x v="66"/>
    <s v="FJI"/>
    <x v="31"/>
    <n v="779656"/>
  </r>
  <r>
    <x v="66"/>
    <s v="FJI"/>
    <x v="32"/>
    <n v="785346"/>
  </r>
  <r>
    <x v="66"/>
    <s v="FJI"/>
    <x v="33"/>
    <n v="790369"/>
  </r>
  <r>
    <x v="66"/>
    <s v="FJI"/>
    <x v="34"/>
    <n v="794771"/>
  </r>
  <r>
    <x v="66"/>
    <s v="FJI"/>
    <x v="35"/>
    <n v="798746"/>
  </r>
  <r>
    <x v="66"/>
    <s v="FJI"/>
    <x v="36"/>
    <n v="803789"/>
  </r>
  <r>
    <x v="66"/>
    <s v="FJI"/>
    <x v="37"/>
    <n v="812139"/>
  </r>
  <r>
    <x v="66"/>
    <s v="FJI"/>
    <x v="38"/>
    <n v="822258"/>
  </r>
  <r>
    <x v="66"/>
    <s v="FJI"/>
    <x v="39"/>
    <n v="831828"/>
  </r>
  <r>
    <x v="66"/>
    <s v="FJI"/>
    <x v="40"/>
    <n v="840909"/>
  </r>
  <r>
    <x v="66"/>
    <s v="FJI"/>
    <x v="41"/>
    <n v="849596"/>
  </r>
  <r>
    <x v="66"/>
    <s v="FJI"/>
    <x v="42"/>
    <n v="858049"/>
  </r>
  <r>
    <x v="66"/>
    <s v="FJI"/>
    <x v="43"/>
    <n v="866286"/>
  </r>
  <r>
    <x v="66"/>
    <s v="FJI"/>
    <x v="44"/>
    <n v="874366"/>
  </r>
  <r>
    <x v="66"/>
    <s v="FJI"/>
    <x v="45"/>
    <n v="882379"/>
  </r>
  <r>
    <x v="66"/>
    <s v="FJI"/>
    <x v="46"/>
    <n v="890365"/>
  </r>
  <r>
    <x v="66"/>
    <s v="FJI"/>
    <x v="47"/>
    <n v="897832"/>
  </r>
  <r>
    <x v="66"/>
    <s v="FJI"/>
    <x v="48"/>
    <n v="903399"/>
  </r>
  <r>
    <x v="66"/>
    <s v="FJI"/>
    <x v="49"/>
    <n v="907239"/>
  </r>
  <r>
    <x v="66"/>
    <s v="FJI"/>
    <x v="50"/>
    <n v="910419"/>
  </r>
  <r>
    <x v="66"/>
    <s v="FJI"/>
    <x v="51"/>
    <n v="912989"/>
  </r>
  <r>
    <x v="66"/>
    <s v="FJI"/>
    <x v="52"/>
    <n v="914918"/>
  </r>
  <r>
    <x v="66"/>
    <s v="FJI"/>
    <x v="53"/>
    <n v="916352"/>
  </r>
  <r>
    <x v="66"/>
    <s v="FJI"/>
    <x v="54"/>
    <n v="917585"/>
  </r>
  <r>
    <x v="66"/>
    <s v="FJI"/>
    <x v="55"/>
    <n v="918578"/>
  </r>
  <r>
    <x v="66"/>
    <s v="FJI"/>
    <x v="56"/>
    <n v="919166"/>
  </r>
  <r>
    <x v="66"/>
    <s v="FJI"/>
    <x v="57"/>
    <n v="918759"/>
  </r>
  <r>
    <x v="66"/>
    <s v="FJI"/>
    <x v="58"/>
    <n v="917180"/>
  </r>
  <r>
    <x v="66"/>
    <s v="FJI"/>
    <x v="59"/>
    <n v="914899"/>
  </r>
  <r>
    <x v="66"/>
    <s v="FJI"/>
    <x v="60"/>
    <n v="914963"/>
  </r>
  <r>
    <x v="66"/>
    <s v="FJI"/>
    <x v="61"/>
    <n v="916711"/>
  </r>
  <r>
    <x v="66"/>
    <s v="FJI"/>
    <x v="62"/>
    <n v="919422"/>
  </r>
  <r>
    <x v="66"/>
    <s v="FJI"/>
    <x v="63"/>
    <n v="924145"/>
  </r>
  <r>
    <x v="66"/>
    <s v="FJI"/>
    <x v="64"/>
    <n v="928784"/>
  </r>
  <r>
    <x v="67"/>
    <s v="FIN"/>
    <x v="0"/>
    <n v="4429634"/>
  </r>
  <r>
    <x v="67"/>
    <s v="FIN"/>
    <x v="1"/>
    <n v="4461005"/>
  </r>
  <r>
    <x v="67"/>
    <s v="FIN"/>
    <x v="2"/>
    <n v="4491443"/>
  </r>
  <r>
    <x v="67"/>
    <s v="FIN"/>
    <x v="3"/>
    <n v="4523309"/>
  </r>
  <r>
    <x v="67"/>
    <s v="FIN"/>
    <x v="4"/>
    <n v="4548543"/>
  </r>
  <r>
    <x v="67"/>
    <s v="FIN"/>
    <x v="5"/>
    <n v="4563732"/>
  </r>
  <r>
    <x v="67"/>
    <s v="FIN"/>
    <x v="6"/>
    <n v="4580869"/>
  </r>
  <r>
    <x v="67"/>
    <s v="FIN"/>
    <x v="7"/>
    <n v="4605744"/>
  </r>
  <r>
    <x v="67"/>
    <s v="FIN"/>
    <x v="8"/>
    <n v="4626469"/>
  </r>
  <r>
    <x v="67"/>
    <s v="FIN"/>
    <x v="9"/>
    <n v="4623785"/>
  </r>
  <r>
    <x v="67"/>
    <s v="FIN"/>
    <x v="10"/>
    <n v="4606307"/>
  </r>
  <r>
    <x v="67"/>
    <s v="FIN"/>
    <x v="11"/>
    <n v="4612124"/>
  </r>
  <r>
    <x v="67"/>
    <s v="FIN"/>
    <x v="12"/>
    <n v="4639657"/>
  </r>
  <r>
    <x v="67"/>
    <s v="FIN"/>
    <x v="13"/>
    <n v="4666081"/>
  </r>
  <r>
    <x v="67"/>
    <s v="FIN"/>
    <x v="14"/>
    <n v="4690574"/>
  </r>
  <r>
    <x v="67"/>
    <s v="FIN"/>
    <x v="15"/>
    <n v="4711440"/>
  </r>
  <r>
    <x v="67"/>
    <s v="FIN"/>
    <x v="16"/>
    <n v="4725664"/>
  </r>
  <r>
    <x v="67"/>
    <s v="FIN"/>
    <x v="17"/>
    <n v="4738902"/>
  </r>
  <r>
    <x v="67"/>
    <s v="FIN"/>
    <x v="18"/>
    <n v="4752528"/>
  </r>
  <r>
    <x v="67"/>
    <s v="FIN"/>
    <x v="19"/>
    <n v="4764690"/>
  </r>
  <r>
    <x v="67"/>
    <s v="FIN"/>
    <x v="20"/>
    <n v="4779535"/>
  </r>
  <r>
    <x v="67"/>
    <s v="FIN"/>
    <x v="21"/>
    <n v="4799964"/>
  </r>
  <r>
    <x v="67"/>
    <s v="FIN"/>
    <x v="22"/>
    <n v="4826933"/>
  </r>
  <r>
    <x v="67"/>
    <s v="FIN"/>
    <x v="23"/>
    <n v="4855787"/>
  </r>
  <r>
    <x v="67"/>
    <s v="FIN"/>
    <x v="24"/>
    <n v="4881803"/>
  </r>
  <r>
    <x v="67"/>
    <s v="FIN"/>
    <x v="25"/>
    <n v="4902206"/>
  </r>
  <r>
    <x v="67"/>
    <s v="FIN"/>
    <x v="26"/>
    <n v="4918154"/>
  </r>
  <r>
    <x v="67"/>
    <s v="FIN"/>
    <x v="27"/>
    <n v="4932123"/>
  </r>
  <r>
    <x v="67"/>
    <s v="FIN"/>
    <x v="28"/>
    <n v="4946481"/>
  </r>
  <r>
    <x v="67"/>
    <s v="FIN"/>
    <x v="29"/>
    <n v="4964371"/>
  </r>
  <r>
    <x v="67"/>
    <s v="FIN"/>
    <x v="30"/>
    <n v="4986431"/>
  </r>
  <r>
    <x v="67"/>
    <s v="FIN"/>
    <x v="31"/>
    <n v="5013740"/>
  </r>
  <r>
    <x v="67"/>
    <s v="FIN"/>
    <x v="32"/>
    <n v="5041992"/>
  </r>
  <r>
    <x v="67"/>
    <s v="FIN"/>
    <x v="33"/>
    <n v="5066447"/>
  </r>
  <r>
    <x v="67"/>
    <s v="FIN"/>
    <x v="34"/>
    <n v="5088333"/>
  </r>
  <r>
    <x v="67"/>
    <s v="FIN"/>
    <x v="35"/>
    <n v="5107790"/>
  </r>
  <r>
    <x v="67"/>
    <s v="FIN"/>
    <x v="36"/>
    <n v="5124573"/>
  </r>
  <r>
    <x v="67"/>
    <s v="FIN"/>
    <x v="37"/>
    <n v="5139835"/>
  </r>
  <r>
    <x v="67"/>
    <s v="FIN"/>
    <x v="38"/>
    <n v="5153498"/>
  </r>
  <r>
    <x v="67"/>
    <s v="FIN"/>
    <x v="39"/>
    <n v="5165474"/>
  </r>
  <r>
    <x v="67"/>
    <s v="FIN"/>
    <x v="40"/>
    <n v="5176209"/>
  </r>
  <r>
    <x v="67"/>
    <s v="FIN"/>
    <x v="41"/>
    <n v="5188008"/>
  </r>
  <r>
    <x v="67"/>
    <s v="FIN"/>
    <x v="42"/>
    <n v="5200598"/>
  </r>
  <r>
    <x v="67"/>
    <s v="FIN"/>
    <x v="43"/>
    <n v="5213014"/>
  </r>
  <r>
    <x v="67"/>
    <s v="FIN"/>
    <x v="44"/>
    <n v="5228172"/>
  </r>
  <r>
    <x v="67"/>
    <s v="FIN"/>
    <x v="45"/>
    <n v="5246096"/>
  </r>
  <r>
    <x v="67"/>
    <s v="FIN"/>
    <x v="46"/>
    <n v="5266268"/>
  </r>
  <r>
    <x v="67"/>
    <s v="FIN"/>
    <x v="47"/>
    <n v="5288720"/>
  </r>
  <r>
    <x v="67"/>
    <s v="FIN"/>
    <x v="48"/>
    <n v="5313399"/>
  </r>
  <r>
    <x v="67"/>
    <s v="FIN"/>
    <x v="49"/>
    <n v="5338871"/>
  </r>
  <r>
    <x v="67"/>
    <s v="FIN"/>
    <x v="50"/>
    <n v="5363352"/>
  </r>
  <r>
    <x v="67"/>
    <s v="FIN"/>
    <x v="51"/>
    <n v="5388272"/>
  </r>
  <r>
    <x v="67"/>
    <s v="FIN"/>
    <x v="52"/>
    <n v="5413971"/>
  </r>
  <r>
    <x v="67"/>
    <s v="FIN"/>
    <x v="53"/>
    <n v="5438972"/>
  </r>
  <r>
    <x v="67"/>
    <s v="FIN"/>
    <x v="54"/>
    <n v="5461512"/>
  </r>
  <r>
    <x v="67"/>
    <s v="FIN"/>
    <x v="55"/>
    <n v="5479531"/>
  </r>
  <r>
    <x v="67"/>
    <s v="FIN"/>
    <x v="56"/>
    <n v="5495303"/>
  </r>
  <r>
    <x v="67"/>
    <s v="FIN"/>
    <x v="57"/>
    <n v="5508214"/>
  </r>
  <r>
    <x v="67"/>
    <s v="FIN"/>
    <x v="58"/>
    <n v="5515525"/>
  </r>
  <r>
    <x v="67"/>
    <s v="FIN"/>
    <x v="59"/>
    <n v="5521606"/>
  </r>
  <r>
    <x v="67"/>
    <s v="FIN"/>
    <x v="60"/>
    <n v="5529543"/>
  </r>
  <r>
    <x v="67"/>
    <s v="FIN"/>
    <x v="61"/>
    <n v="5541017"/>
  </r>
  <r>
    <x v="67"/>
    <s v="FIN"/>
    <x v="62"/>
    <n v="5556106"/>
  </r>
  <r>
    <x v="67"/>
    <s v="FIN"/>
    <x v="63"/>
    <n v="5583911"/>
  </r>
  <r>
    <x v="67"/>
    <s v="FIN"/>
    <x v="64"/>
    <n v="5637214"/>
  </r>
  <r>
    <x v="68"/>
    <s v="FRA"/>
    <x v="0"/>
    <n v="47412964"/>
  </r>
  <r>
    <x v="68"/>
    <s v="FRA"/>
    <x v="1"/>
    <n v="47905982"/>
  </r>
  <r>
    <x v="68"/>
    <s v="FRA"/>
    <x v="2"/>
    <n v="48389516"/>
  </r>
  <r>
    <x v="68"/>
    <s v="FRA"/>
    <x v="3"/>
    <n v="48877567"/>
  </r>
  <r>
    <x v="68"/>
    <s v="FRA"/>
    <x v="4"/>
    <n v="49401492"/>
  </r>
  <r>
    <x v="68"/>
    <s v="FRA"/>
    <x v="5"/>
    <n v="49877725"/>
  </r>
  <r>
    <x v="68"/>
    <s v="FRA"/>
    <x v="6"/>
    <n v="50311637"/>
  </r>
  <r>
    <x v="68"/>
    <s v="FRA"/>
    <x v="7"/>
    <n v="50722791"/>
  </r>
  <r>
    <x v="68"/>
    <s v="FRA"/>
    <x v="8"/>
    <n v="51112980"/>
  </r>
  <r>
    <x v="68"/>
    <s v="FRA"/>
    <x v="9"/>
    <n v="51536014"/>
  </r>
  <r>
    <x v="68"/>
    <s v="FRA"/>
    <x v="10"/>
    <n v="52007169"/>
  </r>
  <r>
    <x v="68"/>
    <s v="FRA"/>
    <x v="11"/>
    <n v="52499553"/>
  </r>
  <r>
    <x v="68"/>
    <s v="FRA"/>
    <x v="12"/>
    <n v="52962356"/>
  </r>
  <r>
    <x v="68"/>
    <s v="FRA"/>
    <x v="13"/>
    <n v="53392161"/>
  </r>
  <r>
    <x v="68"/>
    <s v="FRA"/>
    <x v="14"/>
    <n v="53746571"/>
  </r>
  <r>
    <x v="68"/>
    <s v="FRA"/>
    <x v="15"/>
    <n v="54002853"/>
  </r>
  <r>
    <x v="68"/>
    <s v="FRA"/>
    <x v="16"/>
    <n v="54232383"/>
  </r>
  <r>
    <x v="68"/>
    <s v="FRA"/>
    <x v="17"/>
    <n v="54486467"/>
  </r>
  <r>
    <x v="68"/>
    <s v="FRA"/>
    <x v="18"/>
    <n v="54734030"/>
  </r>
  <r>
    <x v="68"/>
    <s v="FRA"/>
    <x v="19"/>
    <n v="54979851"/>
  </r>
  <r>
    <x v="68"/>
    <s v="FRA"/>
    <x v="20"/>
    <n v="55274184"/>
  </r>
  <r>
    <x v="68"/>
    <s v="FRA"/>
    <x v="21"/>
    <n v="55603353"/>
  </r>
  <r>
    <x v="68"/>
    <s v="FRA"/>
    <x v="22"/>
    <n v="55806789"/>
  </r>
  <r>
    <x v="68"/>
    <s v="FRA"/>
    <x v="23"/>
    <n v="56108330"/>
  </r>
  <r>
    <x v="68"/>
    <s v="FRA"/>
    <x v="24"/>
    <n v="56383085"/>
  </r>
  <r>
    <x v="68"/>
    <s v="FRA"/>
    <x v="25"/>
    <n v="56665619"/>
  </r>
  <r>
    <x v="68"/>
    <s v="FRA"/>
    <x v="26"/>
    <n v="56956002"/>
  </r>
  <r>
    <x v="68"/>
    <s v="FRA"/>
    <x v="27"/>
    <n v="57266167"/>
  </r>
  <r>
    <x v="68"/>
    <s v="FRA"/>
    <x v="28"/>
    <n v="57598186"/>
  </r>
  <r>
    <x v="68"/>
    <s v="FRA"/>
    <x v="29"/>
    <n v="57943062"/>
  </r>
  <r>
    <x v="68"/>
    <s v="FRA"/>
    <x v="30"/>
    <n v="58261012"/>
  </r>
  <r>
    <x v="68"/>
    <s v="FRA"/>
    <x v="31"/>
    <n v="58554242"/>
  </r>
  <r>
    <x v="68"/>
    <s v="FRA"/>
    <x v="32"/>
    <n v="58846584"/>
  </r>
  <r>
    <x v="68"/>
    <s v="FRA"/>
    <x v="33"/>
    <n v="59103094"/>
  </r>
  <r>
    <x v="68"/>
    <s v="FRA"/>
    <x v="34"/>
    <n v="59324863"/>
  </r>
  <r>
    <x v="68"/>
    <s v="FRA"/>
    <x v="35"/>
    <n v="59541294"/>
  </r>
  <r>
    <x v="68"/>
    <s v="FRA"/>
    <x v="36"/>
    <n v="59754504"/>
  </r>
  <r>
    <x v="68"/>
    <s v="FRA"/>
    <x v="37"/>
    <n v="59968066"/>
  </r>
  <r>
    <x v="68"/>
    <s v="FRA"/>
    <x v="38"/>
    <n v="60190684"/>
  </r>
  <r>
    <x v="68"/>
    <s v="FRA"/>
    <x v="39"/>
    <n v="60501986"/>
  </r>
  <r>
    <x v="68"/>
    <s v="FRA"/>
    <x v="40"/>
    <n v="60918661"/>
  </r>
  <r>
    <x v="68"/>
    <s v="FRA"/>
    <x v="41"/>
    <n v="61364377"/>
  </r>
  <r>
    <x v="68"/>
    <s v="FRA"/>
    <x v="42"/>
    <n v="61812142"/>
  </r>
  <r>
    <x v="68"/>
    <s v="FRA"/>
    <x v="43"/>
    <n v="62249855"/>
  </r>
  <r>
    <x v="68"/>
    <s v="FRA"/>
    <x v="44"/>
    <n v="62707588"/>
  </r>
  <r>
    <x v="68"/>
    <s v="FRA"/>
    <x v="45"/>
    <n v="63180854"/>
  </r>
  <r>
    <x v="68"/>
    <s v="FRA"/>
    <x v="46"/>
    <n v="63622342"/>
  </r>
  <r>
    <x v="68"/>
    <s v="FRA"/>
    <x v="47"/>
    <n v="64016890"/>
  </r>
  <r>
    <x v="68"/>
    <s v="FRA"/>
    <x v="48"/>
    <n v="64375116"/>
  </r>
  <r>
    <x v="68"/>
    <s v="FRA"/>
    <x v="49"/>
    <n v="64706436"/>
  </r>
  <r>
    <x v="68"/>
    <s v="FRA"/>
    <x v="50"/>
    <n v="65026211"/>
  </r>
  <r>
    <x v="68"/>
    <s v="FRA"/>
    <x v="51"/>
    <n v="65340830"/>
  </r>
  <r>
    <x v="68"/>
    <s v="FRA"/>
    <x v="52"/>
    <n v="65657659"/>
  </r>
  <r>
    <x v="68"/>
    <s v="FRA"/>
    <x v="53"/>
    <n v="65997932"/>
  </r>
  <r>
    <x v="68"/>
    <s v="FRA"/>
    <x v="54"/>
    <n v="66312067"/>
  </r>
  <r>
    <x v="68"/>
    <s v="FRA"/>
    <x v="55"/>
    <n v="66548272"/>
  </r>
  <r>
    <x v="68"/>
    <s v="FRA"/>
    <x v="56"/>
    <n v="66724104"/>
  </r>
  <r>
    <x v="68"/>
    <s v="FRA"/>
    <x v="57"/>
    <n v="66918020"/>
  </r>
  <r>
    <x v="68"/>
    <s v="FRA"/>
    <x v="58"/>
    <n v="67158348"/>
  </r>
  <r>
    <x v="68"/>
    <s v="FRA"/>
    <x v="59"/>
    <n v="67382061"/>
  </r>
  <r>
    <x v="68"/>
    <s v="FRA"/>
    <x v="60"/>
    <n v="67601110"/>
  </r>
  <r>
    <x v="68"/>
    <s v="FRA"/>
    <x v="61"/>
    <n v="67842811"/>
  </r>
  <r>
    <x v="68"/>
    <s v="FRA"/>
    <x v="62"/>
    <n v="68065015"/>
  </r>
  <r>
    <x v="68"/>
    <s v="FRA"/>
    <x v="63"/>
    <n v="68287487"/>
  </r>
  <r>
    <x v="68"/>
    <s v="FRA"/>
    <x v="64"/>
    <n v="68516699"/>
  </r>
  <r>
    <x v="69"/>
    <s v="PYF"/>
    <x v="0"/>
    <n v="83671"/>
  </r>
  <r>
    <x v="69"/>
    <s v="PYF"/>
    <x v="1"/>
    <n v="85434"/>
  </r>
  <r>
    <x v="69"/>
    <s v="PYF"/>
    <x v="2"/>
    <n v="87261"/>
  </r>
  <r>
    <x v="69"/>
    <s v="PYF"/>
    <x v="3"/>
    <n v="89737"/>
  </r>
  <r>
    <x v="69"/>
    <s v="PYF"/>
    <x v="4"/>
    <n v="92823"/>
  </r>
  <r>
    <x v="69"/>
    <s v="PYF"/>
    <x v="5"/>
    <n v="96017"/>
  </r>
  <r>
    <x v="69"/>
    <s v="PYF"/>
    <x v="6"/>
    <n v="99320"/>
  </r>
  <r>
    <x v="69"/>
    <s v="PYF"/>
    <x v="7"/>
    <n v="102754"/>
  </r>
  <r>
    <x v="69"/>
    <s v="PYF"/>
    <x v="8"/>
    <n v="106353"/>
  </r>
  <r>
    <x v="69"/>
    <s v="PYF"/>
    <x v="9"/>
    <n v="110111"/>
  </r>
  <r>
    <x v="69"/>
    <s v="PYF"/>
    <x v="10"/>
    <n v="114010"/>
  </r>
  <r>
    <x v="69"/>
    <s v="PYF"/>
    <x v="11"/>
    <n v="117945"/>
  </r>
  <r>
    <x v="69"/>
    <s v="PYF"/>
    <x v="12"/>
    <n v="121886"/>
  </r>
  <r>
    <x v="69"/>
    <s v="PYF"/>
    <x v="13"/>
    <n v="125897"/>
  </r>
  <r>
    <x v="69"/>
    <s v="PYF"/>
    <x v="14"/>
    <n v="129960"/>
  </r>
  <r>
    <x v="69"/>
    <s v="PYF"/>
    <x v="15"/>
    <n v="134045"/>
  </r>
  <r>
    <x v="69"/>
    <s v="PYF"/>
    <x v="16"/>
    <n v="138114"/>
  </r>
  <r>
    <x v="69"/>
    <s v="PYF"/>
    <x v="17"/>
    <n v="142313"/>
  </r>
  <r>
    <x v="69"/>
    <s v="PYF"/>
    <x v="18"/>
    <n v="146821"/>
  </r>
  <r>
    <x v="69"/>
    <s v="PYF"/>
    <x v="19"/>
    <n v="151569"/>
  </r>
  <r>
    <x v="69"/>
    <s v="PYF"/>
    <x v="20"/>
    <n v="156471"/>
  </r>
  <r>
    <x v="69"/>
    <s v="PYF"/>
    <x v="21"/>
    <n v="161506"/>
  </r>
  <r>
    <x v="69"/>
    <s v="PYF"/>
    <x v="22"/>
    <n v="166646"/>
  </r>
  <r>
    <x v="69"/>
    <s v="PYF"/>
    <x v="23"/>
    <n v="171750"/>
  </r>
  <r>
    <x v="69"/>
    <s v="PYF"/>
    <x v="24"/>
    <n v="176469"/>
  </r>
  <r>
    <x v="69"/>
    <s v="PYF"/>
    <x v="25"/>
    <n v="180988"/>
  </r>
  <r>
    <x v="69"/>
    <s v="PYF"/>
    <x v="26"/>
    <n v="185669"/>
  </r>
  <r>
    <x v="69"/>
    <s v="PYF"/>
    <x v="27"/>
    <n v="190449"/>
  </r>
  <r>
    <x v="69"/>
    <s v="PYF"/>
    <x v="28"/>
    <n v="195193"/>
  </r>
  <r>
    <x v="69"/>
    <s v="PYF"/>
    <x v="29"/>
    <n v="199643"/>
  </r>
  <r>
    <x v="69"/>
    <s v="PYF"/>
    <x v="30"/>
    <n v="203776"/>
  </r>
  <r>
    <x v="69"/>
    <s v="PYF"/>
    <x v="31"/>
    <n v="207744"/>
  </r>
  <r>
    <x v="69"/>
    <s v="PYF"/>
    <x v="32"/>
    <n v="211559"/>
  </r>
  <r>
    <x v="69"/>
    <s v="PYF"/>
    <x v="33"/>
    <n v="215219"/>
  </r>
  <r>
    <x v="69"/>
    <s v="PYF"/>
    <x v="34"/>
    <n v="218738"/>
  </r>
  <r>
    <x v="69"/>
    <s v="PYF"/>
    <x v="35"/>
    <n v="222118"/>
  </r>
  <r>
    <x v="69"/>
    <s v="PYF"/>
    <x v="36"/>
    <n v="225489"/>
  </r>
  <r>
    <x v="69"/>
    <s v="PYF"/>
    <x v="37"/>
    <n v="229121"/>
  </r>
  <r>
    <x v="69"/>
    <s v="PYF"/>
    <x v="38"/>
    <n v="232891"/>
  </r>
  <r>
    <x v="69"/>
    <s v="PYF"/>
    <x v="39"/>
    <n v="236595"/>
  </r>
  <r>
    <x v="69"/>
    <s v="PYF"/>
    <x v="40"/>
    <n v="240337"/>
  </r>
  <r>
    <x v="69"/>
    <s v="PYF"/>
    <x v="41"/>
    <n v="244097"/>
  </r>
  <r>
    <x v="69"/>
    <s v="PYF"/>
    <x v="42"/>
    <n v="247775"/>
  </r>
  <r>
    <x v="69"/>
    <s v="PYF"/>
    <x v="43"/>
    <n v="251637"/>
  </r>
  <r>
    <x v="69"/>
    <s v="PYF"/>
    <x v="44"/>
    <n v="255654"/>
  </r>
  <r>
    <x v="69"/>
    <s v="PYF"/>
    <x v="45"/>
    <n v="259507"/>
  </r>
  <r>
    <x v="69"/>
    <s v="PYF"/>
    <x v="46"/>
    <n v="263223"/>
  </r>
  <r>
    <x v="69"/>
    <s v="PYF"/>
    <x v="47"/>
    <n v="266438"/>
  </r>
  <r>
    <x v="69"/>
    <s v="PYF"/>
    <x v="48"/>
    <n v="268379"/>
  </r>
  <r>
    <x v="69"/>
    <s v="PYF"/>
    <x v="49"/>
    <n v="269481"/>
  </r>
  <r>
    <x v="69"/>
    <s v="PYF"/>
    <x v="50"/>
    <n v="270580"/>
  </r>
  <r>
    <x v="69"/>
    <s v="PYF"/>
    <x v="51"/>
    <n v="271727"/>
  </r>
  <r>
    <x v="69"/>
    <s v="PYF"/>
    <x v="52"/>
    <n v="273084"/>
  </r>
  <r>
    <x v="69"/>
    <s v="PYF"/>
    <x v="53"/>
    <n v="274728"/>
  </r>
  <r>
    <x v="69"/>
    <s v="PYF"/>
    <x v="54"/>
    <n v="276387"/>
  </r>
  <r>
    <x v="69"/>
    <s v="PYF"/>
    <x v="55"/>
    <n v="277866"/>
  </r>
  <r>
    <x v="69"/>
    <s v="PYF"/>
    <x v="56"/>
    <n v="279178"/>
  </r>
  <r>
    <x v="69"/>
    <s v="PYF"/>
    <x v="57"/>
    <n v="280087"/>
  </r>
  <r>
    <x v="69"/>
    <s v="PYF"/>
    <x v="58"/>
    <n v="279815"/>
  </r>
  <r>
    <x v="69"/>
    <s v="PYF"/>
    <x v="59"/>
    <n v="279034"/>
  </r>
  <r>
    <x v="69"/>
    <s v="PYF"/>
    <x v="60"/>
    <n v="279209"/>
  </r>
  <r>
    <x v="69"/>
    <s v="PYF"/>
    <x v="61"/>
    <n v="279792"/>
  </r>
  <r>
    <x v="69"/>
    <s v="PYF"/>
    <x v="62"/>
    <n v="280378"/>
  </r>
  <r>
    <x v="69"/>
    <s v="PYF"/>
    <x v="63"/>
    <n v="281118"/>
  </r>
  <r>
    <x v="69"/>
    <s v="PYF"/>
    <x v="64"/>
    <n v="281807"/>
  </r>
  <r>
    <x v="70"/>
    <s v="GAB"/>
    <x v="0"/>
    <n v="512316"/>
  </r>
  <r>
    <x v="70"/>
    <s v="GAB"/>
    <x v="1"/>
    <n v="518266"/>
  </r>
  <r>
    <x v="70"/>
    <s v="GAB"/>
    <x v="2"/>
    <n v="524649"/>
  </r>
  <r>
    <x v="70"/>
    <s v="GAB"/>
    <x v="3"/>
    <n v="531452"/>
  </r>
  <r>
    <x v="70"/>
    <s v="GAB"/>
    <x v="4"/>
    <n v="538657"/>
  </r>
  <r>
    <x v="70"/>
    <s v="GAB"/>
    <x v="5"/>
    <n v="546308"/>
  </r>
  <r>
    <x v="70"/>
    <s v="GAB"/>
    <x v="6"/>
    <n v="554463"/>
  </r>
  <r>
    <x v="70"/>
    <s v="GAB"/>
    <x v="7"/>
    <n v="563108"/>
  </r>
  <r>
    <x v="70"/>
    <s v="GAB"/>
    <x v="8"/>
    <n v="572257"/>
  </r>
  <r>
    <x v="70"/>
    <s v="GAB"/>
    <x v="9"/>
    <n v="583276"/>
  </r>
  <r>
    <x v="70"/>
    <s v="GAB"/>
    <x v="10"/>
    <n v="595846"/>
  </r>
  <r>
    <x v="70"/>
    <s v="GAB"/>
    <x v="11"/>
    <n v="608348"/>
  </r>
  <r>
    <x v="70"/>
    <s v="GAB"/>
    <x v="12"/>
    <n v="620960"/>
  </r>
  <r>
    <x v="70"/>
    <s v="GAB"/>
    <x v="13"/>
    <n v="633995"/>
  </r>
  <r>
    <x v="70"/>
    <s v="GAB"/>
    <x v="14"/>
    <n v="647691"/>
  </r>
  <r>
    <x v="70"/>
    <s v="GAB"/>
    <x v="15"/>
    <n v="662197"/>
  </r>
  <r>
    <x v="70"/>
    <s v="GAB"/>
    <x v="16"/>
    <n v="677628"/>
  </r>
  <r>
    <x v="70"/>
    <s v="GAB"/>
    <x v="17"/>
    <n v="693984"/>
  </r>
  <r>
    <x v="70"/>
    <s v="GAB"/>
    <x v="18"/>
    <n v="711245"/>
  </r>
  <r>
    <x v="70"/>
    <s v="GAB"/>
    <x v="19"/>
    <n v="729375"/>
  </r>
  <r>
    <x v="70"/>
    <s v="GAB"/>
    <x v="20"/>
    <n v="748389"/>
  </r>
  <r>
    <x v="70"/>
    <s v="GAB"/>
    <x v="21"/>
    <n v="768385"/>
  </r>
  <r>
    <x v="70"/>
    <s v="GAB"/>
    <x v="22"/>
    <n v="789286"/>
  </r>
  <r>
    <x v="70"/>
    <s v="GAB"/>
    <x v="23"/>
    <n v="811005"/>
  </r>
  <r>
    <x v="70"/>
    <s v="GAB"/>
    <x v="24"/>
    <n v="833501"/>
  </r>
  <r>
    <x v="70"/>
    <s v="GAB"/>
    <x v="25"/>
    <n v="856726"/>
  </r>
  <r>
    <x v="70"/>
    <s v="GAB"/>
    <x v="26"/>
    <n v="880705"/>
  </r>
  <r>
    <x v="70"/>
    <s v="GAB"/>
    <x v="27"/>
    <n v="905479"/>
  </r>
  <r>
    <x v="70"/>
    <s v="GAB"/>
    <x v="28"/>
    <n v="931020"/>
  </r>
  <r>
    <x v="70"/>
    <s v="GAB"/>
    <x v="29"/>
    <n v="957138"/>
  </r>
  <r>
    <x v="70"/>
    <s v="GAB"/>
    <x v="30"/>
    <n v="983734"/>
  </r>
  <r>
    <x v="70"/>
    <s v="GAB"/>
    <x v="31"/>
    <n v="1010818"/>
  </r>
  <r>
    <x v="70"/>
    <s v="GAB"/>
    <x v="32"/>
    <n v="1038380"/>
  </r>
  <r>
    <x v="70"/>
    <s v="GAB"/>
    <x v="33"/>
    <n v="1066405"/>
  </r>
  <r>
    <x v="70"/>
    <s v="GAB"/>
    <x v="34"/>
    <n v="1094720"/>
  </r>
  <r>
    <x v="70"/>
    <s v="GAB"/>
    <x v="35"/>
    <n v="1123213"/>
  </r>
  <r>
    <x v="70"/>
    <s v="GAB"/>
    <x v="36"/>
    <n v="1152015"/>
  </r>
  <r>
    <x v="70"/>
    <s v="GAB"/>
    <x v="37"/>
    <n v="1181439"/>
  </r>
  <r>
    <x v="70"/>
    <s v="GAB"/>
    <x v="38"/>
    <n v="1211736"/>
  </r>
  <r>
    <x v="70"/>
    <s v="GAB"/>
    <x v="39"/>
    <n v="1243016"/>
  </r>
  <r>
    <x v="70"/>
    <s v="GAB"/>
    <x v="40"/>
    <n v="1275572"/>
  </r>
  <r>
    <x v="70"/>
    <s v="GAB"/>
    <x v="41"/>
    <n v="1309589"/>
  </r>
  <r>
    <x v="70"/>
    <s v="GAB"/>
    <x v="42"/>
    <n v="1345135"/>
  </r>
  <r>
    <x v="70"/>
    <s v="GAB"/>
    <x v="43"/>
    <n v="1382350"/>
  </r>
  <r>
    <x v="70"/>
    <s v="GAB"/>
    <x v="44"/>
    <n v="1421609"/>
  </r>
  <r>
    <x v="70"/>
    <s v="GAB"/>
    <x v="45"/>
    <n v="1463495"/>
  </r>
  <r>
    <x v="70"/>
    <s v="GAB"/>
    <x v="46"/>
    <n v="1508337"/>
  </r>
  <r>
    <x v="70"/>
    <s v="GAB"/>
    <x v="47"/>
    <n v="1556237"/>
  </r>
  <r>
    <x v="70"/>
    <s v="GAB"/>
    <x v="48"/>
    <n v="1607175"/>
  </r>
  <r>
    <x v="70"/>
    <s v="GAB"/>
    <x v="49"/>
    <n v="1661556"/>
  </r>
  <r>
    <x v="70"/>
    <s v="GAB"/>
    <x v="50"/>
    <n v="1719879"/>
  </r>
  <r>
    <x v="70"/>
    <s v="GAB"/>
    <x v="51"/>
    <n v="1781985"/>
  </r>
  <r>
    <x v="70"/>
    <s v="GAB"/>
    <x v="52"/>
    <n v="1846889"/>
  </r>
  <r>
    <x v="70"/>
    <s v="GAB"/>
    <x v="53"/>
    <n v="1913059"/>
  </r>
  <r>
    <x v="70"/>
    <s v="GAB"/>
    <x v="54"/>
    <n v="1978399"/>
  </r>
  <r>
    <x v="70"/>
    <s v="GAB"/>
    <x v="55"/>
    <n v="2040989"/>
  </r>
  <r>
    <x v="70"/>
    <s v="GAB"/>
    <x v="56"/>
    <n v="2100306"/>
  </r>
  <r>
    <x v="70"/>
    <s v="GAB"/>
    <x v="57"/>
    <n v="2156900"/>
  </r>
  <r>
    <x v="70"/>
    <s v="GAB"/>
    <x v="58"/>
    <n v="2212318"/>
  </r>
  <r>
    <x v="70"/>
    <s v="GAB"/>
    <x v="59"/>
    <n v="2267706"/>
  </r>
  <r>
    <x v="70"/>
    <s v="GAB"/>
    <x v="60"/>
    <n v="2322539"/>
  </r>
  <r>
    <x v="70"/>
    <s v="GAB"/>
    <x v="61"/>
    <n v="2376722"/>
  </r>
  <r>
    <x v="70"/>
    <s v="GAB"/>
    <x v="62"/>
    <n v="2430747"/>
  </r>
  <r>
    <x v="70"/>
    <s v="GAB"/>
    <x v="63"/>
    <n v="2484789"/>
  </r>
  <r>
    <x v="70"/>
    <s v="GAB"/>
    <x v="64"/>
    <n v="2538952"/>
  </r>
  <r>
    <x v="71"/>
    <s v="GMB"/>
    <x v="0"/>
    <n v="398060"/>
  </r>
  <r>
    <x v="71"/>
    <s v="GMB"/>
    <x v="1"/>
    <n v="408930"/>
  </r>
  <r>
    <x v="71"/>
    <s v="GMB"/>
    <x v="2"/>
    <n v="420163"/>
  </r>
  <r>
    <x v="71"/>
    <s v="GMB"/>
    <x v="3"/>
    <n v="431757"/>
  </r>
  <r>
    <x v="71"/>
    <s v="GMB"/>
    <x v="4"/>
    <n v="443687"/>
  </r>
  <r>
    <x v="71"/>
    <s v="GMB"/>
    <x v="5"/>
    <n v="455952"/>
  </r>
  <r>
    <x v="71"/>
    <s v="GMB"/>
    <x v="6"/>
    <n v="468516"/>
  </r>
  <r>
    <x v="71"/>
    <s v="GMB"/>
    <x v="7"/>
    <n v="481588"/>
  </r>
  <r>
    <x v="71"/>
    <s v="GMB"/>
    <x v="8"/>
    <n v="495269"/>
  </r>
  <r>
    <x v="71"/>
    <s v="GMB"/>
    <x v="9"/>
    <n v="509440"/>
  </r>
  <r>
    <x v="71"/>
    <s v="GMB"/>
    <x v="10"/>
    <n v="524105"/>
  </r>
  <r>
    <x v="71"/>
    <s v="GMB"/>
    <x v="11"/>
    <n v="539388"/>
  </r>
  <r>
    <x v="71"/>
    <s v="GMB"/>
    <x v="12"/>
    <n v="555370"/>
  </r>
  <r>
    <x v="71"/>
    <s v="GMB"/>
    <x v="13"/>
    <n v="571991"/>
  </r>
  <r>
    <x v="71"/>
    <s v="GMB"/>
    <x v="14"/>
    <n v="589085"/>
  </r>
  <r>
    <x v="71"/>
    <s v="GMB"/>
    <x v="15"/>
    <n v="606821"/>
  </r>
  <r>
    <x v="71"/>
    <s v="GMB"/>
    <x v="16"/>
    <n v="625667"/>
  </r>
  <r>
    <x v="71"/>
    <s v="GMB"/>
    <x v="17"/>
    <n v="645770"/>
  </r>
  <r>
    <x v="71"/>
    <s v="GMB"/>
    <x v="18"/>
    <n v="667103"/>
  </r>
  <r>
    <x v="71"/>
    <s v="GMB"/>
    <x v="19"/>
    <n v="689781"/>
  </r>
  <r>
    <x v="71"/>
    <s v="GMB"/>
    <x v="20"/>
    <n v="713913"/>
  </r>
  <r>
    <x v="71"/>
    <s v="GMB"/>
    <x v="21"/>
    <n v="739125"/>
  </r>
  <r>
    <x v="71"/>
    <s v="GMB"/>
    <x v="22"/>
    <n v="765753"/>
  </r>
  <r>
    <x v="71"/>
    <s v="GMB"/>
    <x v="23"/>
    <n v="794525"/>
  </r>
  <r>
    <x v="71"/>
    <s v="GMB"/>
    <x v="24"/>
    <n v="825631"/>
  </r>
  <r>
    <x v="71"/>
    <s v="GMB"/>
    <x v="25"/>
    <n v="858874"/>
  </r>
  <r>
    <x v="71"/>
    <s v="GMB"/>
    <x v="26"/>
    <n v="894019"/>
  </r>
  <r>
    <x v="71"/>
    <s v="GMB"/>
    <x v="27"/>
    <n v="931091"/>
  </r>
  <r>
    <x v="71"/>
    <s v="GMB"/>
    <x v="28"/>
    <n v="970160"/>
  </r>
  <r>
    <x v="71"/>
    <s v="GMB"/>
    <x v="29"/>
    <n v="1011357"/>
  </r>
  <r>
    <x v="71"/>
    <s v="GMB"/>
    <x v="30"/>
    <n v="1054696"/>
  </r>
  <r>
    <x v="71"/>
    <s v="GMB"/>
    <x v="31"/>
    <n v="1099959"/>
  </r>
  <r>
    <x v="71"/>
    <s v="GMB"/>
    <x v="32"/>
    <n v="1145582"/>
  </r>
  <r>
    <x v="71"/>
    <s v="GMB"/>
    <x v="33"/>
    <n v="1188365"/>
  </r>
  <r>
    <x v="71"/>
    <s v="GMB"/>
    <x v="34"/>
    <n v="1227226"/>
  </r>
  <r>
    <x v="71"/>
    <s v="GMB"/>
    <x v="35"/>
    <n v="1264313"/>
  </r>
  <r>
    <x v="71"/>
    <s v="GMB"/>
    <x v="36"/>
    <n v="1301410"/>
  </r>
  <r>
    <x v="71"/>
    <s v="GMB"/>
    <x v="37"/>
    <n v="1338889"/>
  </r>
  <r>
    <x v="71"/>
    <s v="GMB"/>
    <x v="38"/>
    <n v="1376987"/>
  </r>
  <r>
    <x v="71"/>
    <s v="GMB"/>
    <x v="39"/>
    <n v="1415779"/>
  </r>
  <r>
    <x v="71"/>
    <s v="GMB"/>
    <x v="40"/>
    <n v="1455084"/>
  </r>
  <r>
    <x v="71"/>
    <s v="GMB"/>
    <x v="41"/>
    <n v="1495011"/>
  </r>
  <r>
    <x v="71"/>
    <s v="GMB"/>
    <x v="42"/>
    <n v="1535691"/>
  </r>
  <r>
    <x v="71"/>
    <s v="GMB"/>
    <x v="43"/>
    <n v="1577611"/>
  </r>
  <r>
    <x v="71"/>
    <s v="GMB"/>
    <x v="44"/>
    <n v="1621312"/>
  </r>
  <r>
    <x v="71"/>
    <s v="GMB"/>
    <x v="45"/>
    <n v="1667037"/>
  </r>
  <r>
    <x v="71"/>
    <s v="GMB"/>
    <x v="46"/>
    <n v="1715275"/>
  </r>
  <r>
    <x v="71"/>
    <s v="GMB"/>
    <x v="47"/>
    <n v="1765774"/>
  </r>
  <r>
    <x v="71"/>
    <s v="GMB"/>
    <x v="48"/>
    <n v="1817852"/>
  </r>
  <r>
    <x v="71"/>
    <s v="GMB"/>
    <x v="49"/>
    <n v="1871422"/>
  </r>
  <r>
    <x v="71"/>
    <s v="GMB"/>
    <x v="50"/>
    <n v="1926630"/>
  </r>
  <r>
    <x v="71"/>
    <s v="GMB"/>
    <x v="51"/>
    <n v="1983784"/>
  </r>
  <r>
    <x v="71"/>
    <s v="GMB"/>
    <x v="52"/>
    <n v="2043094"/>
  </r>
  <r>
    <x v="71"/>
    <s v="GMB"/>
    <x v="53"/>
    <n v="2103820"/>
  </r>
  <r>
    <x v="71"/>
    <s v="GMB"/>
    <x v="54"/>
    <n v="2164528"/>
  </r>
  <r>
    <x v="71"/>
    <s v="GMB"/>
    <x v="55"/>
    <n v="2224529"/>
  </r>
  <r>
    <x v="71"/>
    <s v="GMB"/>
    <x v="56"/>
    <n v="2283769"/>
  </r>
  <r>
    <x v="71"/>
    <s v="GMB"/>
    <x v="57"/>
    <n v="2342189"/>
  </r>
  <r>
    <x v="71"/>
    <s v="GMB"/>
    <x v="58"/>
    <n v="2399632"/>
  </r>
  <r>
    <x v="71"/>
    <s v="GMB"/>
    <x v="59"/>
    <n v="2456844"/>
  </r>
  <r>
    <x v="71"/>
    <s v="GMB"/>
    <x v="60"/>
    <n v="2515733"/>
  </r>
  <r>
    <x v="71"/>
    <s v="GMB"/>
    <x v="61"/>
    <n v="2576010"/>
  </r>
  <r>
    <x v="71"/>
    <s v="GMB"/>
    <x v="62"/>
    <n v="2636470"/>
  </r>
  <r>
    <x v="71"/>
    <s v="GMB"/>
    <x v="63"/>
    <n v="2697845"/>
  </r>
  <r>
    <x v="71"/>
    <s v="GMB"/>
    <x v="64"/>
    <n v="2759988"/>
  </r>
  <r>
    <x v="72"/>
    <s v="GEO"/>
    <x v="0"/>
    <n v="3645600"/>
  </r>
  <r>
    <x v="72"/>
    <s v="GEO"/>
    <x v="1"/>
    <n v="3703600"/>
  </r>
  <r>
    <x v="72"/>
    <s v="GEO"/>
    <x v="2"/>
    <n v="3760300"/>
  </r>
  <r>
    <x v="72"/>
    <s v="GEO"/>
    <x v="3"/>
    <n v="3816100"/>
  </r>
  <r>
    <x v="72"/>
    <s v="GEO"/>
    <x v="4"/>
    <n v="3870300"/>
  </r>
  <r>
    <x v="72"/>
    <s v="GEO"/>
    <x v="5"/>
    <n v="3921600"/>
  </r>
  <r>
    <x v="72"/>
    <s v="GEO"/>
    <x v="6"/>
    <n v="3966700"/>
  </r>
  <r>
    <x v="72"/>
    <s v="GEO"/>
    <x v="7"/>
    <n v="4005800"/>
  </r>
  <r>
    <x v="72"/>
    <s v="GEO"/>
    <x v="8"/>
    <n v="4042300"/>
  </r>
  <r>
    <x v="72"/>
    <s v="GEO"/>
    <x v="9"/>
    <n v="4080300"/>
  </r>
  <r>
    <x v="72"/>
    <s v="GEO"/>
    <x v="10"/>
    <n v="4119900"/>
  </r>
  <r>
    <x v="72"/>
    <s v="GEO"/>
    <x v="11"/>
    <n v="4163000"/>
  </r>
  <r>
    <x v="72"/>
    <s v="GEO"/>
    <x v="12"/>
    <n v="4205300"/>
  </r>
  <r>
    <x v="72"/>
    <s v="GEO"/>
    <x v="13"/>
    <n v="4242500"/>
  </r>
  <r>
    <x v="72"/>
    <s v="GEO"/>
    <x v="14"/>
    <n v="4279500"/>
  </r>
  <r>
    <x v="72"/>
    <s v="GEO"/>
    <x v="15"/>
    <n v="4311200"/>
  </r>
  <r>
    <x v="72"/>
    <s v="GEO"/>
    <x v="16"/>
    <n v="4342400"/>
  </r>
  <r>
    <x v="72"/>
    <s v="GEO"/>
    <x v="17"/>
    <n v="4372100"/>
  </r>
  <r>
    <x v="72"/>
    <s v="GEO"/>
    <x v="18"/>
    <n v="4397700"/>
  </r>
  <r>
    <x v="72"/>
    <s v="GEO"/>
    <x v="19"/>
    <n v="4430200"/>
  </r>
  <r>
    <x v="72"/>
    <s v="GEO"/>
    <x v="20"/>
    <n v="4467700"/>
  </r>
  <r>
    <x v="72"/>
    <s v="GEO"/>
    <x v="21"/>
    <n v="4504500"/>
  </r>
  <r>
    <x v="72"/>
    <s v="GEO"/>
    <x v="22"/>
    <n v="4542800"/>
  </r>
  <r>
    <x v="72"/>
    <s v="GEO"/>
    <x v="23"/>
    <n v="4582900"/>
  </r>
  <r>
    <x v="72"/>
    <s v="GEO"/>
    <x v="24"/>
    <n v="4622200"/>
  </r>
  <r>
    <x v="72"/>
    <s v="GEO"/>
    <x v="25"/>
    <n v="4662900"/>
  </r>
  <r>
    <x v="72"/>
    <s v="GEO"/>
    <x v="26"/>
    <n v="4704500"/>
  </r>
  <r>
    <x v="72"/>
    <s v="GEO"/>
    <x v="27"/>
    <n v="4743500"/>
  </r>
  <r>
    <x v="72"/>
    <s v="GEO"/>
    <x v="28"/>
    <n v="4790700"/>
  </r>
  <r>
    <x v="72"/>
    <s v="GEO"/>
    <x v="29"/>
    <n v="4803300"/>
  </r>
  <r>
    <x v="72"/>
    <s v="GEO"/>
    <x v="30"/>
    <n v="4802000"/>
  </r>
  <r>
    <x v="72"/>
    <s v="GEO"/>
    <x v="31"/>
    <n v="4835900"/>
  </r>
  <r>
    <x v="72"/>
    <s v="GEO"/>
    <x v="32"/>
    <n v="4873500"/>
  </r>
  <r>
    <x v="72"/>
    <s v="GEO"/>
    <x v="33"/>
    <n v="4911100"/>
  </r>
  <r>
    <x v="72"/>
    <s v="GEO"/>
    <x v="34"/>
    <n v="4836076"/>
  </r>
  <r>
    <x v="72"/>
    <s v="GEO"/>
    <x v="35"/>
    <n v="4657722"/>
  </r>
  <r>
    <x v="72"/>
    <s v="GEO"/>
    <x v="36"/>
    <n v="4491699"/>
  </r>
  <r>
    <x v="72"/>
    <s v="GEO"/>
    <x v="37"/>
    <n v="4349913"/>
  </r>
  <r>
    <x v="72"/>
    <s v="GEO"/>
    <x v="38"/>
    <n v="4243607"/>
  </r>
  <r>
    <x v="72"/>
    <s v="GEO"/>
    <x v="39"/>
    <n v="4157192"/>
  </r>
  <r>
    <x v="72"/>
    <s v="GEO"/>
    <x v="40"/>
    <n v="4077131"/>
  </r>
  <r>
    <x v="72"/>
    <s v="GEO"/>
    <x v="41"/>
    <n v="4014373"/>
  </r>
  <r>
    <x v="72"/>
    <s v="GEO"/>
    <x v="42"/>
    <n v="3978515"/>
  </r>
  <r>
    <x v="72"/>
    <s v="GEO"/>
    <x v="43"/>
    <n v="3951736"/>
  </r>
  <r>
    <x v="72"/>
    <s v="GEO"/>
    <x v="44"/>
    <n v="3927340"/>
  </r>
  <r>
    <x v="72"/>
    <s v="GEO"/>
    <x v="45"/>
    <n v="3902469"/>
  </r>
  <r>
    <x v="72"/>
    <s v="GEO"/>
    <x v="46"/>
    <n v="3880347"/>
  </r>
  <r>
    <x v="72"/>
    <s v="GEO"/>
    <x v="47"/>
    <n v="3860158"/>
  </r>
  <r>
    <x v="72"/>
    <s v="GEO"/>
    <x v="48"/>
    <n v="3848449"/>
  </r>
  <r>
    <x v="72"/>
    <s v="GEO"/>
    <x v="49"/>
    <n v="3814419"/>
  </r>
  <r>
    <x v="72"/>
    <s v="GEO"/>
    <x v="50"/>
    <n v="3786695"/>
  </r>
  <r>
    <x v="72"/>
    <s v="GEO"/>
    <x v="51"/>
    <n v="3756441"/>
  </r>
  <r>
    <x v="72"/>
    <s v="GEO"/>
    <x v="52"/>
    <n v="3728874"/>
  </r>
  <r>
    <x v="72"/>
    <s v="GEO"/>
    <x v="53"/>
    <n v="3717668"/>
  </r>
  <r>
    <x v="72"/>
    <s v="GEO"/>
    <x v="54"/>
    <n v="3719414"/>
  </r>
  <r>
    <x v="72"/>
    <s v="GEO"/>
    <x v="55"/>
    <n v="3725276"/>
  </r>
  <r>
    <x v="72"/>
    <s v="GEO"/>
    <x v="56"/>
    <n v="3727505"/>
  </r>
  <r>
    <x v="72"/>
    <s v="GEO"/>
    <x v="57"/>
    <n v="3728004"/>
  </r>
  <r>
    <x v="72"/>
    <s v="GEO"/>
    <x v="58"/>
    <n v="3726549"/>
  </r>
  <r>
    <x v="72"/>
    <s v="GEO"/>
    <x v="59"/>
    <n v="3720161"/>
  </r>
  <r>
    <x v="72"/>
    <s v="GEO"/>
    <x v="60"/>
    <n v="3722716"/>
  </r>
  <r>
    <x v="72"/>
    <s v="GEO"/>
    <x v="61"/>
    <n v="3708610"/>
  </r>
  <r>
    <x v="72"/>
    <s v="GEO"/>
    <x v="62"/>
    <n v="3712502"/>
  </r>
  <r>
    <x v="72"/>
    <s v="GEO"/>
    <x v="63"/>
    <n v="3715483"/>
  </r>
  <r>
    <x v="72"/>
    <s v="GEO"/>
    <x v="64"/>
    <n v="3673850"/>
  </r>
  <r>
    <x v="73"/>
    <s v="DEU"/>
    <x v="0"/>
    <n v="72814900"/>
  </r>
  <r>
    <x v="73"/>
    <s v="DEU"/>
    <x v="1"/>
    <n v="73377632"/>
  </r>
  <r>
    <x v="73"/>
    <s v="DEU"/>
    <x v="2"/>
    <n v="74025784"/>
  </r>
  <r>
    <x v="73"/>
    <s v="DEU"/>
    <x v="3"/>
    <n v="74714353"/>
  </r>
  <r>
    <x v="73"/>
    <s v="DEU"/>
    <x v="4"/>
    <n v="75318337"/>
  </r>
  <r>
    <x v="73"/>
    <s v="DEU"/>
    <x v="5"/>
    <n v="75963695"/>
  </r>
  <r>
    <x v="73"/>
    <s v="DEU"/>
    <x v="6"/>
    <n v="76600311"/>
  </r>
  <r>
    <x v="73"/>
    <s v="DEU"/>
    <x v="7"/>
    <n v="76951336"/>
  </r>
  <r>
    <x v="73"/>
    <s v="DEU"/>
    <x v="8"/>
    <n v="77294314"/>
  </r>
  <r>
    <x v="73"/>
    <s v="DEU"/>
    <x v="9"/>
    <n v="77909682"/>
  </r>
  <r>
    <x v="73"/>
    <s v="DEU"/>
    <x v="10"/>
    <n v="78169289"/>
  </r>
  <r>
    <x v="73"/>
    <s v="DEU"/>
    <x v="11"/>
    <n v="78312842"/>
  </r>
  <r>
    <x v="73"/>
    <s v="DEU"/>
    <x v="12"/>
    <n v="78688452"/>
  </r>
  <r>
    <x v="73"/>
    <s v="DEU"/>
    <x v="13"/>
    <n v="78936666"/>
  </r>
  <r>
    <x v="73"/>
    <s v="DEU"/>
    <x v="14"/>
    <n v="78967433"/>
  </r>
  <r>
    <x v="73"/>
    <s v="DEU"/>
    <x v="15"/>
    <n v="78673554"/>
  </r>
  <r>
    <x v="73"/>
    <s v="DEU"/>
    <x v="16"/>
    <n v="78336950"/>
  </r>
  <r>
    <x v="73"/>
    <s v="DEU"/>
    <x v="17"/>
    <n v="78159814"/>
  </r>
  <r>
    <x v="73"/>
    <s v="DEU"/>
    <x v="18"/>
    <n v="78091820"/>
  </r>
  <r>
    <x v="73"/>
    <s v="DEU"/>
    <x v="19"/>
    <n v="78126350"/>
  </r>
  <r>
    <x v="73"/>
    <s v="DEU"/>
    <x v="20"/>
    <n v="78288576"/>
  </r>
  <r>
    <x v="73"/>
    <s v="DEU"/>
    <x v="21"/>
    <n v="78407907"/>
  </r>
  <r>
    <x v="73"/>
    <s v="DEU"/>
    <x v="22"/>
    <n v="78333366"/>
  </r>
  <r>
    <x v="73"/>
    <s v="DEU"/>
    <x v="23"/>
    <n v="78128282"/>
  </r>
  <r>
    <x v="73"/>
    <s v="DEU"/>
    <x v="24"/>
    <n v="77858685"/>
  </r>
  <r>
    <x v="73"/>
    <s v="DEU"/>
    <x v="25"/>
    <n v="77684873"/>
  </r>
  <r>
    <x v="73"/>
    <s v="DEU"/>
    <x v="26"/>
    <n v="77720436"/>
  </r>
  <r>
    <x v="73"/>
    <s v="DEU"/>
    <x v="27"/>
    <n v="77839920"/>
  </r>
  <r>
    <x v="73"/>
    <s v="DEU"/>
    <x v="28"/>
    <n v="78144619"/>
  </r>
  <r>
    <x v="73"/>
    <s v="DEU"/>
    <x v="29"/>
    <n v="78751283"/>
  </r>
  <r>
    <x v="73"/>
    <s v="DEU"/>
    <x v="30"/>
    <n v="79433029"/>
  </r>
  <r>
    <x v="73"/>
    <s v="DEU"/>
    <x v="31"/>
    <n v="80013896"/>
  </r>
  <r>
    <x v="73"/>
    <s v="DEU"/>
    <x v="32"/>
    <n v="80624598"/>
  </r>
  <r>
    <x v="73"/>
    <s v="DEU"/>
    <x v="33"/>
    <n v="81156363"/>
  </r>
  <r>
    <x v="73"/>
    <s v="DEU"/>
    <x v="34"/>
    <n v="81438348"/>
  </r>
  <r>
    <x v="73"/>
    <s v="DEU"/>
    <x v="35"/>
    <n v="81678051"/>
  </r>
  <r>
    <x v="73"/>
    <s v="DEU"/>
    <x v="36"/>
    <n v="81914831"/>
  </r>
  <r>
    <x v="73"/>
    <s v="DEU"/>
    <x v="37"/>
    <n v="82034771"/>
  </r>
  <r>
    <x v="73"/>
    <s v="DEU"/>
    <x v="38"/>
    <n v="82047195"/>
  </r>
  <r>
    <x v="73"/>
    <s v="DEU"/>
    <x v="39"/>
    <n v="82100243"/>
  </r>
  <r>
    <x v="73"/>
    <s v="DEU"/>
    <x v="40"/>
    <n v="82211508"/>
  </r>
  <r>
    <x v="73"/>
    <s v="DEU"/>
    <x v="41"/>
    <n v="82349925"/>
  </r>
  <r>
    <x v="73"/>
    <s v="DEU"/>
    <x v="42"/>
    <n v="82488495"/>
  </r>
  <r>
    <x v="73"/>
    <s v="DEU"/>
    <x v="43"/>
    <n v="82534176"/>
  </r>
  <r>
    <x v="73"/>
    <s v="DEU"/>
    <x v="44"/>
    <n v="82516260"/>
  </r>
  <r>
    <x v="73"/>
    <s v="DEU"/>
    <x v="45"/>
    <n v="82469422"/>
  </r>
  <r>
    <x v="73"/>
    <s v="DEU"/>
    <x v="46"/>
    <n v="82376451"/>
  </r>
  <r>
    <x v="73"/>
    <s v="DEU"/>
    <x v="47"/>
    <n v="82266372"/>
  </r>
  <r>
    <x v="73"/>
    <s v="DEU"/>
    <x v="48"/>
    <n v="82110097"/>
  </r>
  <r>
    <x v="73"/>
    <s v="DEU"/>
    <x v="49"/>
    <n v="81902307"/>
  </r>
  <r>
    <x v="73"/>
    <s v="DEU"/>
    <x v="50"/>
    <n v="81776930"/>
  </r>
  <r>
    <x v="73"/>
    <s v="DEU"/>
    <x v="51"/>
    <n v="80274983"/>
  </r>
  <r>
    <x v="73"/>
    <s v="DEU"/>
    <x v="52"/>
    <n v="80425823"/>
  </r>
  <r>
    <x v="73"/>
    <s v="DEU"/>
    <x v="53"/>
    <n v="80645605"/>
  </r>
  <r>
    <x v="73"/>
    <s v="DEU"/>
    <x v="54"/>
    <n v="80982500"/>
  </r>
  <r>
    <x v="73"/>
    <s v="DEU"/>
    <x v="55"/>
    <n v="81686611"/>
  </r>
  <r>
    <x v="73"/>
    <s v="DEU"/>
    <x v="56"/>
    <n v="82348669"/>
  </r>
  <r>
    <x v="73"/>
    <s v="DEU"/>
    <x v="57"/>
    <n v="82657002"/>
  </r>
  <r>
    <x v="73"/>
    <s v="DEU"/>
    <x v="58"/>
    <n v="82905782"/>
  </r>
  <r>
    <x v="73"/>
    <s v="DEU"/>
    <x v="59"/>
    <n v="83092962"/>
  </r>
  <r>
    <x v="73"/>
    <s v="DEU"/>
    <x v="60"/>
    <n v="83160871"/>
  </r>
  <r>
    <x v="73"/>
    <s v="DEU"/>
    <x v="61"/>
    <n v="83196078"/>
  </r>
  <r>
    <x v="73"/>
    <s v="DEU"/>
    <x v="62"/>
    <n v="83797985"/>
  </r>
  <r>
    <x v="73"/>
    <s v="DEU"/>
    <x v="63"/>
    <n v="83901923"/>
  </r>
  <r>
    <x v="73"/>
    <s v="DEU"/>
    <x v="64"/>
    <n v="83510950"/>
  </r>
  <r>
    <x v="74"/>
    <s v="GHA"/>
    <x v="0"/>
    <n v="6961215"/>
  </r>
  <r>
    <x v="74"/>
    <s v="GHA"/>
    <x v="1"/>
    <n v="7162667"/>
  </r>
  <r>
    <x v="74"/>
    <s v="GHA"/>
    <x v="2"/>
    <n v="7337375"/>
  </r>
  <r>
    <x v="74"/>
    <s v="GHA"/>
    <x v="3"/>
    <n v="7514714"/>
  </r>
  <r>
    <x v="74"/>
    <s v="GHA"/>
    <x v="4"/>
    <n v="7695739"/>
  </r>
  <r>
    <x v="74"/>
    <s v="GHA"/>
    <x v="5"/>
    <n v="7882606"/>
  </r>
  <r>
    <x v="74"/>
    <s v="GHA"/>
    <x v="6"/>
    <n v="8074521"/>
  </r>
  <r>
    <x v="74"/>
    <s v="GHA"/>
    <x v="7"/>
    <n v="8271913"/>
  </r>
  <r>
    <x v="74"/>
    <s v="GHA"/>
    <x v="8"/>
    <n v="8475729"/>
  </r>
  <r>
    <x v="74"/>
    <s v="GHA"/>
    <x v="9"/>
    <n v="8690383"/>
  </r>
  <r>
    <x v="74"/>
    <s v="GHA"/>
    <x v="10"/>
    <n v="8925813"/>
  </r>
  <r>
    <x v="74"/>
    <s v="GHA"/>
    <x v="11"/>
    <n v="9176264"/>
  </r>
  <r>
    <x v="74"/>
    <s v="GHA"/>
    <x v="12"/>
    <n v="9438187"/>
  </r>
  <r>
    <x v="74"/>
    <s v="GHA"/>
    <x v="13"/>
    <n v="9714617"/>
  </r>
  <r>
    <x v="74"/>
    <s v="GHA"/>
    <x v="14"/>
    <n v="10000523"/>
  </r>
  <r>
    <x v="74"/>
    <s v="GHA"/>
    <x v="15"/>
    <n v="10294308"/>
  </r>
  <r>
    <x v="74"/>
    <s v="GHA"/>
    <x v="16"/>
    <n v="10594913"/>
  </r>
  <r>
    <x v="74"/>
    <s v="GHA"/>
    <x v="17"/>
    <n v="10911871"/>
  </r>
  <r>
    <x v="74"/>
    <s v="GHA"/>
    <x v="18"/>
    <n v="11248450"/>
  </r>
  <r>
    <x v="74"/>
    <s v="GHA"/>
    <x v="19"/>
    <n v="11597255"/>
  </r>
  <r>
    <x v="74"/>
    <s v="GHA"/>
    <x v="20"/>
    <n v="11941448"/>
  </r>
  <r>
    <x v="74"/>
    <s v="GHA"/>
    <x v="21"/>
    <n v="12281712"/>
  </r>
  <r>
    <x v="74"/>
    <s v="GHA"/>
    <x v="22"/>
    <n v="12643819"/>
  </r>
  <r>
    <x v="74"/>
    <s v="GHA"/>
    <x v="23"/>
    <n v="13029836"/>
  </r>
  <r>
    <x v="74"/>
    <s v="GHA"/>
    <x v="24"/>
    <n v="13370590"/>
  </r>
  <r>
    <x v="74"/>
    <s v="GHA"/>
    <x v="25"/>
    <n v="13661229"/>
  </r>
  <r>
    <x v="74"/>
    <s v="GHA"/>
    <x v="26"/>
    <n v="13965217"/>
  </r>
  <r>
    <x v="74"/>
    <s v="GHA"/>
    <x v="27"/>
    <n v="14289108"/>
  </r>
  <r>
    <x v="74"/>
    <s v="GHA"/>
    <x v="28"/>
    <n v="14636568"/>
  </r>
  <r>
    <x v="74"/>
    <s v="GHA"/>
    <x v="29"/>
    <n v="15006813"/>
  </r>
  <r>
    <x v="74"/>
    <s v="GHA"/>
    <x v="30"/>
    <n v="15394648"/>
  </r>
  <r>
    <x v="74"/>
    <s v="GHA"/>
    <x v="31"/>
    <n v="15787496"/>
  </r>
  <r>
    <x v="74"/>
    <s v="GHA"/>
    <x v="32"/>
    <n v="16184855"/>
  </r>
  <r>
    <x v="74"/>
    <s v="GHA"/>
    <x v="33"/>
    <n v="16589519"/>
  </r>
  <r>
    <x v="74"/>
    <s v="GHA"/>
    <x v="34"/>
    <n v="16993190"/>
  </r>
  <r>
    <x v="74"/>
    <s v="GHA"/>
    <x v="35"/>
    <n v="17399017"/>
  </r>
  <r>
    <x v="74"/>
    <s v="GHA"/>
    <x v="36"/>
    <n v="17810181"/>
  </r>
  <r>
    <x v="74"/>
    <s v="GHA"/>
    <x v="37"/>
    <n v="18238958"/>
  </r>
  <r>
    <x v="74"/>
    <s v="GHA"/>
    <x v="38"/>
    <n v="18688036"/>
  </r>
  <r>
    <x v="74"/>
    <s v="GHA"/>
    <x v="39"/>
    <n v="19149864"/>
  </r>
  <r>
    <x v="74"/>
    <s v="GHA"/>
    <x v="40"/>
    <n v="19637087"/>
  </r>
  <r>
    <x v="74"/>
    <s v="GHA"/>
    <x v="41"/>
    <n v="20167069"/>
  </r>
  <r>
    <x v="74"/>
    <s v="GHA"/>
    <x v="42"/>
    <n v="20729388"/>
  </r>
  <r>
    <x v="74"/>
    <s v="GHA"/>
    <x v="43"/>
    <n v="21296705"/>
  </r>
  <r>
    <x v="74"/>
    <s v="GHA"/>
    <x v="44"/>
    <n v="21868298"/>
  </r>
  <r>
    <x v="74"/>
    <s v="GHA"/>
    <x v="45"/>
    <n v="22449438"/>
  </r>
  <r>
    <x v="74"/>
    <s v="GHA"/>
    <x v="46"/>
    <n v="23040702"/>
  </r>
  <r>
    <x v="74"/>
    <s v="GHA"/>
    <x v="47"/>
    <n v="23642279"/>
  </r>
  <r>
    <x v="74"/>
    <s v="GHA"/>
    <x v="48"/>
    <n v="24249946"/>
  </r>
  <r>
    <x v="74"/>
    <s v="GHA"/>
    <x v="49"/>
    <n v="24862664"/>
  </r>
  <r>
    <x v="74"/>
    <s v="GHA"/>
    <x v="50"/>
    <n v="25474995"/>
  </r>
  <r>
    <x v="74"/>
    <s v="GHA"/>
    <x v="51"/>
    <n v="26095088"/>
  </r>
  <r>
    <x v="74"/>
    <s v="GHA"/>
    <x v="52"/>
    <n v="26734268"/>
  </r>
  <r>
    <x v="74"/>
    <s v="GHA"/>
    <x v="53"/>
    <n v="27386193"/>
  </r>
  <r>
    <x v="74"/>
    <s v="GHA"/>
    <x v="54"/>
    <n v="28041592"/>
  </r>
  <r>
    <x v="74"/>
    <s v="GHA"/>
    <x v="55"/>
    <n v="28696068"/>
  </r>
  <r>
    <x v="74"/>
    <s v="GHA"/>
    <x v="56"/>
    <n v="29356742"/>
  </r>
  <r>
    <x v="74"/>
    <s v="GHA"/>
    <x v="57"/>
    <n v="30008354"/>
  </r>
  <r>
    <x v="74"/>
    <s v="GHA"/>
    <x v="58"/>
    <n v="30637585"/>
  </r>
  <r>
    <x v="74"/>
    <s v="GHA"/>
    <x v="59"/>
    <n v="31258945"/>
  </r>
  <r>
    <x v="74"/>
    <s v="GHA"/>
    <x v="60"/>
    <n v="31887809"/>
  </r>
  <r>
    <x v="74"/>
    <s v="GHA"/>
    <x v="61"/>
    <n v="32518665"/>
  </r>
  <r>
    <x v="74"/>
    <s v="GHA"/>
    <x v="62"/>
    <n v="33149152"/>
  </r>
  <r>
    <x v="74"/>
    <s v="GHA"/>
    <x v="63"/>
    <n v="33787914"/>
  </r>
  <r>
    <x v="74"/>
    <s v="GHA"/>
    <x v="64"/>
    <n v="34427414"/>
  </r>
  <r>
    <x v="75"/>
    <s v="GIB"/>
    <x v="0"/>
    <n v="21839"/>
  </r>
  <r>
    <x v="75"/>
    <s v="GIB"/>
    <x v="1"/>
    <n v="21872"/>
  </r>
  <r>
    <x v="75"/>
    <s v="GIB"/>
    <x v="2"/>
    <n v="22197"/>
  </r>
  <r>
    <x v="75"/>
    <s v="GIB"/>
    <x v="3"/>
    <n v="22753"/>
  </r>
  <r>
    <x v="75"/>
    <s v="GIB"/>
    <x v="4"/>
    <n v="23315"/>
  </r>
  <r>
    <x v="75"/>
    <s v="GIB"/>
    <x v="5"/>
    <n v="23878"/>
  </r>
  <r>
    <x v="75"/>
    <s v="GIB"/>
    <x v="6"/>
    <n v="24444"/>
  </r>
  <r>
    <x v="75"/>
    <s v="GIB"/>
    <x v="7"/>
    <n v="25015"/>
  </r>
  <r>
    <x v="75"/>
    <s v="GIB"/>
    <x v="8"/>
    <n v="25578"/>
  </r>
  <r>
    <x v="75"/>
    <s v="GIB"/>
    <x v="9"/>
    <n v="26120"/>
  </r>
  <r>
    <x v="75"/>
    <s v="GIB"/>
    <x v="10"/>
    <n v="26634"/>
  </r>
  <r>
    <x v="75"/>
    <s v="GIB"/>
    <x v="11"/>
    <n v="27020"/>
  </r>
  <r>
    <x v="75"/>
    <s v="GIB"/>
    <x v="12"/>
    <n v="27290"/>
  </r>
  <r>
    <x v="75"/>
    <s v="GIB"/>
    <x v="13"/>
    <n v="27537"/>
  </r>
  <r>
    <x v="75"/>
    <s v="GIB"/>
    <x v="14"/>
    <n v="27755"/>
  </r>
  <r>
    <x v="75"/>
    <s v="GIB"/>
    <x v="15"/>
    <n v="27951"/>
  </r>
  <r>
    <x v="75"/>
    <s v="GIB"/>
    <x v="16"/>
    <n v="28134"/>
  </r>
  <r>
    <x v="75"/>
    <s v="GIB"/>
    <x v="17"/>
    <n v="28300"/>
  </r>
  <r>
    <x v="75"/>
    <s v="GIB"/>
    <x v="18"/>
    <n v="28446"/>
  </r>
  <r>
    <x v="75"/>
    <s v="GIB"/>
    <x v="19"/>
    <n v="28575"/>
  </r>
  <r>
    <x v="75"/>
    <s v="GIB"/>
    <x v="20"/>
    <n v="28675"/>
  </r>
  <r>
    <x v="75"/>
    <s v="GIB"/>
    <x v="21"/>
    <n v="28740"/>
  </r>
  <r>
    <x v="75"/>
    <s v="GIB"/>
    <x v="22"/>
    <n v="28765"/>
  </r>
  <r>
    <x v="75"/>
    <s v="GIB"/>
    <x v="23"/>
    <n v="28733"/>
  </r>
  <r>
    <x v="75"/>
    <s v="GIB"/>
    <x v="24"/>
    <n v="28643"/>
  </r>
  <r>
    <x v="75"/>
    <s v="GIB"/>
    <x v="25"/>
    <n v="28512"/>
  </r>
  <r>
    <x v="75"/>
    <s v="GIB"/>
    <x v="26"/>
    <n v="28328"/>
  </r>
  <r>
    <x v="75"/>
    <s v="GIB"/>
    <x v="27"/>
    <n v="28096"/>
  </r>
  <r>
    <x v="75"/>
    <s v="GIB"/>
    <x v="28"/>
    <n v="27839"/>
  </r>
  <r>
    <x v="75"/>
    <s v="GIB"/>
    <x v="29"/>
    <n v="27544"/>
  </r>
  <r>
    <x v="75"/>
    <s v="GIB"/>
    <x v="30"/>
    <n v="27200"/>
  </r>
  <r>
    <x v="75"/>
    <s v="GIB"/>
    <x v="31"/>
    <n v="26898"/>
  </r>
  <r>
    <x v="75"/>
    <s v="GIB"/>
    <x v="32"/>
    <n v="26878"/>
  </r>
  <r>
    <x v="75"/>
    <s v="GIB"/>
    <x v="33"/>
    <n v="27070"/>
  </r>
  <r>
    <x v="75"/>
    <s v="GIB"/>
    <x v="34"/>
    <n v="27239"/>
  </r>
  <r>
    <x v="75"/>
    <s v="GIB"/>
    <x v="35"/>
    <n v="27377"/>
  </r>
  <r>
    <x v="75"/>
    <s v="GIB"/>
    <x v="36"/>
    <n v="27487"/>
  </r>
  <r>
    <x v="75"/>
    <s v="GIB"/>
    <x v="37"/>
    <n v="27582"/>
  </r>
  <r>
    <x v="75"/>
    <s v="GIB"/>
    <x v="38"/>
    <n v="27650"/>
  </r>
  <r>
    <x v="75"/>
    <s v="GIB"/>
    <x v="39"/>
    <n v="27692"/>
  </r>
  <r>
    <x v="75"/>
    <s v="GIB"/>
    <x v="40"/>
    <n v="27709"/>
  </r>
  <r>
    <x v="75"/>
    <s v="GIB"/>
    <x v="41"/>
    <n v="27657"/>
  </r>
  <r>
    <x v="75"/>
    <s v="GIB"/>
    <x v="42"/>
    <n v="27831"/>
  </r>
  <r>
    <x v="75"/>
    <s v="GIB"/>
    <x v="43"/>
    <n v="28274"/>
  </r>
  <r>
    <x v="75"/>
    <s v="GIB"/>
    <x v="44"/>
    <n v="28715"/>
  </r>
  <r>
    <x v="75"/>
    <s v="GIB"/>
    <x v="45"/>
    <n v="29163"/>
  </r>
  <r>
    <x v="75"/>
    <s v="GIB"/>
    <x v="46"/>
    <n v="29594"/>
  </r>
  <r>
    <x v="75"/>
    <s v="GIB"/>
    <x v="47"/>
    <n v="30006"/>
  </r>
  <r>
    <x v="75"/>
    <s v="GIB"/>
    <x v="48"/>
    <n v="30413"/>
  </r>
  <r>
    <x v="75"/>
    <s v="GIB"/>
    <x v="49"/>
    <n v="30823"/>
  </r>
  <r>
    <x v="75"/>
    <s v="GIB"/>
    <x v="50"/>
    <n v="31248"/>
  </r>
  <r>
    <x v="75"/>
    <s v="GIB"/>
    <x v="51"/>
    <n v="31660"/>
  </r>
  <r>
    <x v="75"/>
    <s v="GIB"/>
    <x v="52"/>
    <n v="32029"/>
  </r>
  <r>
    <x v="75"/>
    <s v="GIB"/>
    <x v="53"/>
    <n v="32407"/>
  </r>
  <r>
    <x v="75"/>
    <s v="GIB"/>
    <x v="54"/>
    <n v="32813"/>
  </r>
  <r>
    <x v="75"/>
    <s v="GIB"/>
    <x v="55"/>
    <n v="33193"/>
  </r>
  <r>
    <x v="75"/>
    <s v="GIB"/>
    <x v="56"/>
    <n v="33658"/>
  </r>
  <r>
    <x v="75"/>
    <s v="GIB"/>
    <x v="57"/>
    <n v="34245"/>
  </r>
  <r>
    <x v="75"/>
    <s v="GIB"/>
    <x v="58"/>
    <n v="34854"/>
  </r>
  <r>
    <x v="75"/>
    <s v="GIB"/>
    <x v="59"/>
    <n v="35494"/>
  </r>
  <r>
    <x v="75"/>
    <s v="GIB"/>
    <x v="60"/>
    <n v="36173"/>
  </r>
  <r>
    <x v="75"/>
    <s v="GIB"/>
    <x v="61"/>
    <n v="36858"/>
  </r>
  <r>
    <x v="75"/>
    <s v="GIB"/>
    <x v="62"/>
    <n v="37609"/>
  </r>
  <r>
    <x v="75"/>
    <s v="GIB"/>
    <x v="63"/>
    <n v="38471"/>
  </r>
  <r>
    <x v="75"/>
    <s v="GIB"/>
    <x v="64"/>
    <n v="39329"/>
  </r>
  <r>
    <x v="76"/>
    <s v="GRC"/>
    <x v="0"/>
    <n v="8331725"/>
  </r>
  <r>
    <x v="76"/>
    <s v="GRC"/>
    <x v="1"/>
    <n v="8398050"/>
  </r>
  <r>
    <x v="76"/>
    <s v="GRC"/>
    <x v="2"/>
    <n v="8448233"/>
  </r>
  <r>
    <x v="76"/>
    <s v="GRC"/>
    <x v="3"/>
    <n v="8479625"/>
  </r>
  <r>
    <x v="76"/>
    <s v="GRC"/>
    <x v="4"/>
    <n v="8510429"/>
  </r>
  <r>
    <x v="76"/>
    <s v="GRC"/>
    <x v="5"/>
    <n v="8550333"/>
  </r>
  <r>
    <x v="76"/>
    <s v="GRC"/>
    <x v="6"/>
    <n v="8613651"/>
  </r>
  <r>
    <x v="76"/>
    <s v="GRC"/>
    <x v="7"/>
    <n v="8684088"/>
  </r>
  <r>
    <x v="76"/>
    <s v="GRC"/>
    <x v="8"/>
    <n v="8740765"/>
  </r>
  <r>
    <x v="76"/>
    <s v="GRC"/>
    <x v="9"/>
    <n v="8772764"/>
  </r>
  <r>
    <x v="76"/>
    <s v="GRC"/>
    <x v="10"/>
    <n v="8792806"/>
  </r>
  <r>
    <x v="76"/>
    <s v="GRC"/>
    <x v="11"/>
    <n v="8831036"/>
  </r>
  <r>
    <x v="76"/>
    <s v="GRC"/>
    <x v="12"/>
    <n v="8888628"/>
  </r>
  <r>
    <x v="76"/>
    <s v="GRC"/>
    <x v="13"/>
    <n v="8929086"/>
  </r>
  <r>
    <x v="76"/>
    <s v="GRC"/>
    <x v="14"/>
    <n v="8962022"/>
  </r>
  <r>
    <x v="76"/>
    <s v="GRC"/>
    <x v="15"/>
    <n v="9046541"/>
  </r>
  <r>
    <x v="76"/>
    <s v="GRC"/>
    <x v="16"/>
    <n v="9188150"/>
  </r>
  <r>
    <x v="76"/>
    <s v="GRC"/>
    <x v="17"/>
    <n v="9308479"/>
  </r>
  <r>
    <x v="76"/>
    <s v="GRC"/>
    <x v="18"/>
    <n v="9429959"/>
  </r>
  <r>
    <x v="76"/>
    <s v="GRC"/>
    <x v="19"/>
    <n v="9548258"/>
  </r>
  <r>
    <x v="76"/>
    <s v="GRC"/>
    <x v="20"/>
    <n v="9642505"/>
  </r>
  <r>
    <x v="76"/>
    <s v="GRC"/>
    <x v="21"/>
    <n v="9729350"/>
  </r>
  <r>
    <x v="76"/>
    <s v="GRC"/>
    <x v="22"/>
    <n v="9789513"/>
  </r>
  <r>
    <x v="76"/>
    <s v="GRC"/>
    <x v="23"/>
    <n v="9846627"/>
  </r>
  <r>
    <x v="76"/>
    <s v="GRC"/>
    <x v="24"/>
    <n v="9895801"/>
  </r>
  <r>
    <x v="76"/>
    <s v="GRC"/>
    <x v="25"/>
    <n v="9934300"/>
  </r>
  <r>
    <x v="76"/>
    <s v="GRC"/>
    <x v="26"/>
    <n v="9967213"/>
  </r>
  <r>
    <x v="76"/>
    <s v="GRC"/>
    <x v="27"/>
    <n v="10000595"/>
  </r>
  <r>
    <x v="76"/>
    <s v="GRC"/>
    <x v="28"/>
    <n v="10036983"/>
  </r>
  <r>
    <x v="76"/>
    <s v="GRC"/>
    <x v="29"/>
    <n v="10089498"/>
  </r>
  <r>
    <x v="76"/>
    <s v="GRC"/>
    <x v="30"/>
    <n v="10196792"/>
  </r>
  <r>
    <x v="76"/>
    <s v="GRC"/>
    <x v="31"/>
    <n v="10319927"/>
  </r>
  <r>
    <x v="76"/>
    <s v="GRC"/>
    <x v="32"/>
    <n v="10399061"/>
  </r>
  <r>
    <x v="76"/>
    <s v="GRC"/>
    <x v="33"/>
    <n v="10460415"/>
  </r>
  <r>
    <x v="76"/>
    <s v="GRC"/>
    <x v="34"/>
    <n v="10512922"/>
  </r>
  <r>
    <x v="76"/>
    <s v="GRC"/>
    <x v="35"/>
    <n v="10562153"/>
  </r>
  <r>
    <x v="76"/>
    <s v="GRC"/>
    <x v="36"/>
    <n v="10608800"/>
  </r>
  <r>
    <x v="76"/>
    <s v="GRC"/>
    <x v="37"/>
    <n v="10661259"/>
  </r>
  <r>
    <x v="76"/>
    <s v="GRC"/>
    <x v="38"/>
    <n v="10720509"/>
  </r>
  <r>
    <x v="76"/>
    <s v="GRC"/>
    <x v="39"/>
    <n v="10761698"/>
  </r>
  <r>
    <x v="76"/>
    <s v="GRC"/>
    <x v="40"/>
    <n v="10805808"/>
  </r>
  <r>
    <x v="76"/>
    <s v="GRC"/>
    <x v="41"/>
    <n v="10862132"/>
  </r>
  <r>
    <x v="76"/>
    <s v="GRC"/>
    <x v="42"/>
    <n v="10902022"/>
  </r>
  <r>
    <x v="76"/>
    <s v="GRC"/>
    <x v="43"/>
    <n v="10928070"/>
  </r>
  <r>
    <x v="76"/>
    <s v="GRC"/>
    <x v="44"/>
    <n v="10955141"/>
  </r>
  <r>
    <x v="76"/>
    <s v="GRC"/>
    <x v="45"/>
    <n v="10987314"/>
  </r>
  <r>
    <x v="76"/>
    <s v="GRC"/>
    <x v="46"/>
    <n v="11020362"/>
  </r>
  <r>
    <x v="76"/>
    <s v="GRC"/>
    <x v="47"/>
    <n v="11048473"/>
  </r>
  <r>
    <x v="76"/>
    <s v="GRC"/>
    <x v="48"/>
    <n v="11077841"/>
  </r>
  <r>
    <x v="76"/>
    <s v="GRC"/>
    <x v="49"/>
    <n v="11107017"/>
  </r>
  <r>
    <x v="76"/>
    <s v="GRC"/>
    <x v="50"/>
    <n v="11121341"/>
  </r>
  <r>
    <x v="76"/>
    <s v="GRC"/>
    <x v="51"/>
    <n v="11104899"/>
  </r>
  <r>
    <x v="76"/>
    <s v="GRC"/>
    <x v="52"/>
    <n v="11045011"/>
  </r>
  <r>
    <x v="76"/>
    <s v="GRC"/>
    <x v="53"/>
    <n v="10965211"/>
  </r>
  <r>
    <x v="76"/>
    <s v="GRC"/>
    <x v="54"/>
    <n v="10892413"/>
  </r>
  <r>
    <x v="76"/>
    <s v="GRC"/>
    <x v="55"/>
    <n v="10820883"/>
  </r>
  <r>
    <x v="76"/>
    <s v="GRC"/>
    <x v="56"/>
    <n v="10775971"/>
  </r>
  <r>
    <x v="76"/>
    <s v="GRC"/>
    <x v="57"/>
    <n v="10754679"/>
  </r>
  <r>
    <x v="76"/>
    <s v="GRC"/>
    <x v="58"/>
    <n v="10732882"/>
  </r>
  <r>
    <x v="76"/>
    <s v="GRC"/>
    <x v="59"/>
    <n v="10721582"/>
  </r>
  <r>
    <x v="76"/>
    <s v="GRC"/>
    <x v="60"/>
    <n v="10698599"/>
  </r>
  <r>
    <x v="76"/>
    <s v="GRC"/>
    <x v="61"/>
    <n v="10569207"/>
  </r>
  <r>
    <x v="76"/>
    <s v="GRC"/>
    <x v="62"/>
    <n v="10436882"/>
  </r>
  <r>
    <x v="76"/>
    <s v="GRC"/>
    <x v="63"/>
    <n v="10405588"/>
  </r>
  <r>
    <x v="76"/>
    <s v="GRC"/>
    <x v="64"/>
    <n v="10388805"/>
  </r>
  <r>
    <x v="77"/>
    <s v="GRL"/>
    <x v="0"/>
    <n v="32500"/>
  </r>
  <r>
    <x v="77"/>
    <s v="GRL"/>
    <x v="1"/>
    <n v="33700"/>
  </r>
  <r>
    <x v="77"/>
    <s v="GRL"/>
    <x v="2"/>
    <n v="35000"/>
  </r>
  <r>
    <x v="77"/>
    <s v="GRL"/>
    <x v="3"/>
    <n v="36400"/>
  </r>
  <r>
    <x v="77"/>
    <s v="GRL"/>
    <x v="4"/>
    <n v="37600"/>
  </r>
  <r>
    <x v="77"/>
    <s v="GRL"/>
    <x v="5"/>
    <n v="39200"/>
  </r>
  <r>
    <x v="77"/>
    <s v="GRL"/>
    <x v="6"/>
    <n v="40500"/>
  </r>
  <r>
    <x v="77"/>
    <s v="GRL"/>
    <x v="7"/>
    <n v="41900"/>
  </r>
  <r>
    <x v="77"/>
    <s v="GRL"/>
    <x v="8"/>
    <n v="43400"/>
  </r>
  <r>
    <x v="77"/>
    <s v="GRL"/>
    <x v="9"/>
    <n v="44900"/>
  </r>
  <r>
    <x v="77"/>
    <s v="GRL"/>
    <x v="10"/>
    <n v="46400"/>
  </r>
  <r>
    <x v="77"/>
    <s v="GRL"/>
    <x v="11"/>
    <n v="47200"/>
  </r>
  <r>
    <x v="77"/>
    <s v="GRL"/>
    <x v="12"/>
    <n v="48300"/>
  </r>
  <r>
    <x v="77"/>
    <s v="GRL"/>
    <x v="13"/>
    <n v="49000"/>
  </r>
  <r>
    <x v="77"/>
    <s v="GRL"/>
    <x v="14"/>
    <n v="49500"/>
  </r>
  <r>
    <x v="77"/>
    <s v="GRL"/>
    <x v="15"/>
    <n v="49600"/>
  </r>
  <r>
    <x v="77"/>
    <s v="GRL"/>
    <x v="16"/>
    <n v="49700"/>
  </r>
  <r>
    <x v="77"/>
    <s v="GRL"/>
    <x v="17"/>
    <n v="49400"/>
  </r>
  <r>
    <x v="77"/>
    <s v="GRL"/>
    <x v="18"/>
    <n v="49200"/>
  </r>
  <r>
    <x v="77"/>
    <s v="GRL"/>
    <x v="19"/>
    <n v="49600"/>
  </r>
  <r>
    <x v="77"/>
    <s v="GRL"/>
    <x v="20"/>
    <n v="50200"/>
  </r>
  <r>
    <x v="77"/>
    <s v="GRL"/>
    <x v="21"/>
    <n v="51000"/>
  </r>
  <r>
    <x v="77"/>
    <s v="GRL"/>
    <x v="22"/>
    <n v="51500"/>
  </r>
  <r>
    <x v="77"/>
    <s v="GRL"/>
    <x v="23"/>
    <n v="52100"/>
  </r>
  <r>
    <x v="77"/>
    <s v="GRL"/>
    <x v="24"/>
    <n v="52700"/>
  </r>
  <r>
    <x v="77"/>
    <s v="GRL"/>
    <x v="25"/>
    <n v="53200"/>
  </r>
  <r>
    <x v="77"/>
    <s v="GRL"/>
    <x v="26"/>
    <n v="53500"/>
  </r>
  <r>
    <x v="77"/>
    <s v="GRL"/>
    <x v="27"/>
    <n v="54100"/>
  </r>
  <r>
    <x v="77"/>
    <s v="GRL"/>
    <x v="28"/>
    <n v="54800"/>
  </r>
  <r>
    <x v="77"/>
    <s v="GRL"/>
    <x v="29"/>
    <n v="55300"/>
  </r>
  <r>
    <x v="77"/>
    <s v="GRL"/>
    <x v="30"/>
    <n v="55600"/>
  </r>
  <r>
    <x v="77"/>
    <s v="GRL"/>
    <x v="31"/>
    <n v="55500"/>
  </r>
  <r>
    <x v="77"/>
    <s v="GRL"/>
    <x v="32"/>
    <n v="55300"/>
  </r>
  <r>
    <x v="77"/>
    <s v="GRL"/>
    <x v="33"/>
    <n v="55200"/>
  </r>
  <r>
    <x v="77"/>
    <s v="GRL"/>
    <x v="34"/>
    <n v="55500"/>
  </r>
  <r>
    <x v="77"/>
    <s v="GRL"/>
    <x v="35"/>
    <n v="55800"/>
  </r>
  <r>
    <x v="77"/>
    <s v="GRL"/>
    <x v="36"/>
    <n v="55900"/>
  </r>
  <r>
    <x v="77"/>
    <s v="GRL"/>
    <x v="37"/>
    <n v="56000"/>
  </r>
  <r>
    <x v="77"/>
    <s v="GRL"/>
    <x v="38"/>
    <n v="56100"/>
  </r>
  <r>
    <x v="77"/>
    <s v="GRL"/>
    <x v="39"/>
    <n v="56100"/>
  </r>
  <r>
    <x v="77"/>
    <s v="GRL"/>
    <x v="40"/>
    <n v="56185"/>
  </r>
  <r>
    <x v="77"/>
    <s v="GRL"/>
    <x v="41"/>
    <n v="56379"/>
  </r>
  <r>
    <x v="77"/>
    <s v="GRL"/>
    <x v="42"/>
    <n v="56595"/>
  </r>
  <r>
    <x v="77"/>
    <s v="GRL"/>
    <x v="43"/>
    <n v="56751"/>
  </r>
  <r>
    <x v="77"/>
    <s v="GRL"/>
    <x v="44"/>
    <n v="56898"/>
  </r>
  <r>
    <x v="77"/>
    <s v="GRL"/>
    <x v="45"/>
    <n v="56935"/>
  </r>
  <r>
    <x v="77"/>
    <s v="GRL"/>
    <x v="46"/>
    <n v="56775"/>
  </r>
  <r>
    <x v="77"/>
    <s v="GRL"/>
    <x v="47"/>
    <n v="56555"/>
  </r>
  <r>
    <x v="77"/>
    <s v="GRL"/>
    <x v="48"/>
    <n v="56328"/>
  </r>
  <r>
    <x v="77"/>
    <s v="GRL"/>
    <x v="49"/>
    <n v="56323"/>
  </r>
  <r>
    <x v="77"/>
    <s v="GRL"/>
    <x v="50"/>
    <n v="56534"/>
  </r>
  <r>
    <x v="77"/>
    <s v="GRL"/>
    <x v="51"/>
    <n v="56890"/>
  </r>
  <r>
    <x v="77"/>
    <s v="GRL"/>
    <x v="52"/>
    <n v="56810"/>
  </r>
  <r>
    <x v="77"/>
    <s v="GRL"/>
    <x v="53"/>
    <n v="56483"/>
  </r>
  <r>
    <x v="77"/>
    <s v="GRL"/>
    <x v="54"/>
    <n v="56295"/>
  </r>
  <r>
    <x v="77"/>
    <s v="GRL"/>
    <x v="55"/>
    <n v="56114"/>
  </r>
  <r>
    <x v="77"/>
    <s v="GRL"/>
    <x v="56"/>
    <n v="56186"/>
  </r>
  <r>
    <x v="77"/>
    <s v="GRL"/>
    <x v="57"/>
    <n v="56172"/>
  </r>
  <r>
    <x v="77"/>
    <s v="GRL"/>
    <x v="58"/>
    <n v="56023"/>
  </r>
  <r>
    <x v="77"/>
    <s v="GRL"/>
    <x v="59"/>
    <n v="56225"/>
  </r>
  <r>
    <x v="77"/>
    <s v="GRL"/>
    <x v="60"/>
    <n v="56367"/>
  </r>
  <r>
    <x v="77"/>
    <s v="GRL"/>
    <x v="61"/>
    <n v="56653"/>
  </r>
  <r>
    <x v="77"/>
    <s v="GRL"/>
    <x v="62"/>
    <n v="56661"/>
  </r>
  <r>
    <x v="77"/>
    <s v="GRL"/>
    <x v="63"/>
    <n v="56865"/>
  </r>
  <r>
    <x v="77"/>
    <s v="GRL"/>
    <x v="64"/>
    <n v="56836"/>
  </r>
  <r>
    <x v="78"/>
    <s v="GRD"/>
    <x v="0"/>
    <n v="94058"/>
  </r>
  <r>
    <x v="78"/>
    <s v="GRD"/>
    <x v="1"/>
    <n v="95335"/>
  </r>
  <r>
    <x v="78"/>
    <s v="GRD"/>
    <x v="2"/>
    <n v="96375"/>
  </r>
  <r>
    <x v="78"/>
    <s v="GRD"/>
    <x v="3"/>
    <n v="97195"/>
  </r>
  <r>
    <x v="78"/>
    <s v="GRD"/>
    <x v="4"/>
    <n v="97760"/>
  </r>
  <r>
    <x v="78"/>
    <s v="GRD"/>
    <x v="5"/>
    <n v="98067"/>
  </r>
  <r>
    <x v="78"/>
    <s v="GRD"/>
    <x v="6"/>
    <n v="98121"/>
  </r>
  <r>
    <x v="78"/>
    <s v="GRD"/>
    <x v="7"/>
    <n v="98066"/>
  </r>
  <r>
    <x v="78"/>
    <s v="GRD"/>
    <x v="8"/>
    <n v="98078"/>
  </r>
  <r>
    <x v="78"/>
    <s v="GRD"/>
    <x v="9"/>
    <n v="98204"/>
  </r>
  <r>
    <x v="78"/>
    <s v="GRD"/>
    <x v="10"/>
    <n v="98414"/>
  </r>
  <r>
    <x v="78"/>
    <s v="GRD"/>
    <x v="11"/>
    <n v="98648"/>
  </r>
  <r>
    <x v="78"/>
    <s v="GRD"/>
    <x v="12"/>
    <n v="98777"/>
  </r>
  <r>
    <x v="78"/>
    <s v="GRD"/>
    <x v="13"/>
    <n v="98709"/>
  </r>
  <r>
    <x v="78"/>
    <s v="GRD"/>
    <x v="14"/>
    <n v="98486"/>
  </r>
  <r>
    <x v="78"/>
    <s v="GRD"/>
    <x v="15"/>
    <n v="98126"/>
  </r>
  <r>
    <x v="78"/>
    <s v="GRD"/>
    <x v="16"/>
    <n v="97632"/>
  </r>
  <r>
    <x v="78"/>
    <s v="GRD"/>
    <x v="17"/>
    <n v="97017"/>
  </r>
  <r>
    <x v="78"/>
    <s v="GRD"/>
    <x v="18"/>
    <n v="96305"/>
  </r>
  <r>
    <x v="78"/>
    <s v="GRD"/>
    <x v="19"/>
    <n v="95490"/>
  </r>
  <r>
    <x v="78"/>
    <s v="GRD"/>
    <x v="20"/>
    <n v="94538"/>
  </r>
  <r>
    <x v="78"/>
    <s v="GRD"/>
    <x v="21"/>
    <n v="94052"/>
  </r>
  <r>
    <x v="78"/>
    <s v="GRD"/>
    <x v="22"/>
    <n v="94383"/>
  </r>
  <r>
    <x v="78"/>
    <s v="GRD"/>
    <x v="23"/>
    <n v="94948"/>
  </r>
  <r>
    <x v="78"/>
    <s v="GRD"/>
    <x v="24"/>
    <n v="95498"/>
  </r>
  <r>
    <x v="78"/>
    <s v="GRD"/>
    <x v="25"/>
    <n v="96111"/>
  </r>
  <r>
    <x v="78"/>
    <s v="GRD"/>
    <x v="26"/>
    <n v="96790"/>
  </r>
  <r>
    <x v="78"/>
    <s v="GRD"/>
    <x v="27"/>
    <n v="97526"/>
  </r>
  <r>
    <x v="78"/>
    <s v="GRD"/>
    <x v="28"/>
    <n v="98308"/>
  </r>
  <r>
    <x v="78"/>
    <s v="GRD"/>
    <x v="29"/>
    <n v="99121"/>
  </r>
  <r>
    <x v="78"/>
    <s v="GRD"/>
    <x v="30"/>
    <n v="99957"/>
  </r>
  <r>
    <x v="78"/>
    <s v="GRD"/>
    <x v="31"/>
    <n v="100793"/>
  </r>
  <r>
    <x v="78"/>
    <s v="GRD"/>
    <x v="32"/>
    <n v="101602"/>
  </r>
  <r>
    <x v="78"/>
    <s v="GRD"/>
    <x v="33"/>
    <n v="102382"/>
  </r>
  <r>
    <x v="78"/>
    <s v="GRD"/>
    <x v="34"/>
    <n v="103138"/>
  </r>
  <r>
    <x v="78"/>
    <s v="GRD"/>
    <x v="35"/>
    <n v="103869"/>
  </r>
  <r>
    <x v="78"/>
    <s v="GRD"/>
    <x v="36"/>
    <n v="104584"/>
  </r>
  <r>
    <x v="78"/>
    <s v="GRD"/>
    <x v="37"/>
    <n v="105293"/>
  </r>
  <r>
    <x v="78"/>
    <s v="GRD"/>
    <x v="38"/>
    <n v="106009"/>
  </r>
  <r>
    <x v="78"/>
    <s v="GRD"/>
    <x v="39"/>
    <n v="106727"/>
  </r>
  <r>
    <x v="78"/>
    <s v="GRD"/>
    <x v="40"/>
    <n v="107451"/>
  </r>
  <r>
    <x v="78"/>
    <s v="GRD"/>
    <x v="41"/>
    <n v="107987"/>
  </r>
  <r>
    <x v="78"/>
    <s v="GRD"/>
    <x v="42"/>
    <n v="108404"/>
  </r>
  <r>
    <x v="78"/>
    <s v="GRD"/>
    <x v="43"/>
    <n v="108884"/>
  </r>
  <r>
    <x v="78"/>
    <s v="GRD"/>
    <x v="44"/>
    <n v="109323"/>
  </r>
  <r>
    <x v="78"/>
    <s v="GRD"/>
    <x v="45"/>
    <n v="109734"/>
  </r>
  <r>
    <x v="78"/>
    <s v="GRD"/>
    <x v="46"/>
    <n v="110135"/>
  </r>
  <r>
    <x v="78"/>
    <s v="GRD"/>
    <x v="47"/>
    <n v="110522"/>
  </r>
  <r>
    <x v="78"/>
    <s v="GRD"/>
    <x v="48"/>
    <n v="110896"/>
  </r>
  <r>
    <x v="78"/>
    <s v="GRD"/>
    <x v="49"/>
    <n v="111254"/>
  </r>
  <r>
    <x v="78"/>
    <s v="GRD"/>
    <x v="50"/>
    <n v="111586"/>
  </r>
  <r>
    <x v="78"/>
    <s v="GRD"/>
    <x v="51"/>
    <n v="112079"/>
  </r>
  <r>
    <x v="78"/>
    <s v="GRD"/>
    <x v="52"/>
    <n v="112775"/>
  </r>
  <r>
    <x v="78"/>
    <s v="GRD"/>
    <x v="53"/>
    <n v="113487"/>
  </r>
  <r>
    <x v="78"/>
    <s v="GRD"/>
    <x v="54"/>
    <n v="114132"/>
  </r>
  <r>
    <x v="78"/>
    <s v="GRD"/>
    <x v="55"/>
    <n v="114676"/>
  </r>
  <r>
    <x v="78"/>
    <s v="GRD"/>
    <x v="56"/>
    <n v="115130"/>
  </r>
  <r>
    <x v="78"/>
    <s v="GRD"/>
    <x v="57"/>
    <n v="115438"/>
  </r>
  <r>
    <x v="78"/>
    <s v="GRD"/>
    <x v="58"/>
    <n v="115691"/>
  </r>
  <r>
    <x v="78"/>
    <s v="GRD"/>
    <x v="59"/>
    <n v="115981"/>
  </r>
  <r>
    <x v="78"/>
    <s v="GRD"/>
    <x v="60"/>
    <n v="116341"/>
  </r>
  <r>
    <x v="78"/>
    <s v="GRD"/>
    <x v="61"/>
    <n v="116688"/>
  </r>
  <r>
    <x v="78"/>
    <s v="GRD"/>
    <x v="62"/>
    <n v="116913"/>
  </r>
  <r>
    <x v="78"/>
    <s v="GRD"/>
    <x v="63"/>
    <n v="117081"/>
  </r>
  <r>
    <x v="78"/>
    <s v="GRD"/>
    <x v="64"/>
    <n v="117207"/>
  </r>
  <r>
    <x v="79"/>
    <s v="GUM"/>
    <x v="0"/>
    <n v="69525"/>
  </r>
  <r>
    <x v="79"/>
    <s v="GUM"/>
    <x v="1"/>
    <n v="71311"/>
  </r>
  <r>
    <x v="79"/>
    <s v="GUM"/>
    <x v="2"/>
    <n v="73192"/>
  </r>
  <r>
    <x v="79"/>
    <s v="GUM"/>
    <x v="3"/>
    <n v="75095"/>
  </r>
  <r>
    <x v="79"/>
    <s v="GUM"/>
    <x v="4"/>
    <n v="77008"/>
  </r>
  <r>
    <x v="79"/>
    <s v="GUM"/>
    <x v="5"/>
    <n v="78932"/>
  </r>
  <r>
    <x v="79"/>
    <s v="GUM"/>
    <x v="6"/>
    <n v="80844"/>
  </r>
  <r>
    <x v="79"/>
    <s v="GUM"/>
    <x v="7"/>
    <n v="82719"/>
  </r>
  <r>
    <x v="79"/>
    <s v="GUM"/>
    <x v="8"/>
    <n v="84563"/>
  </r>
  <r>
    <x v="79"/>
    <s v="GUM"/>
    <x v="9"/>
    <n v="86404"/>
  </r>
  <r>
    <x v="79"/>
    <s v="GUM"/>
    <x v="10"/>
    <n v="88365"/>
  </r>
  <r>
    <x v="79"/>
    <s v="GUM"/>
    <x v="11"/>
    <n v="90466"/>
  </r>
  <r>
    <x v="79"/>
    <s v="GUM"/>
    <x v="12"/>
    <n v="92619"/>
  </r>
  <r>
    <x v="79"/>
    <s v="GUM"/>
    <x v="13"/>
    <n v="94781"/>
  </r>
  <r>
    <x v="79"/>
    <s v="GUM"/>
    <x v="14"/>
    <n v="96939"/>
  </r>
  <r>
    <x v="79"/>
    <s v="GUM"/>
    <x v="15"/>
    <n v="99057"/>
  </r>
  <r>
    <x v="79"/>
    <s v="GUM"/>
    <x v="16"/>
    <n v="101166"/>
  </r>
  <r>
    <x v="79"/>
    <s v="GUM"/>
    <x v="17"/>
    <n v="103298"/>
  </r>
  <r>
    <x v="79"/>
    <s v="GUM"/>
    <x v="18"/>
    <n v="105424"/>
  </r>
  <r>
    <x v="79"/>
    <s v="GUM"/>
    <x v="19"/>
    <n v="107636"/>
  </r>
  <r>
    <x v="79"/>
    <s v="GUM"/>
    <x v="20"/>
    <n v="110141"/>
  </r>
  <r>
    <x v="79"/>
    <s v="GUM"/>
    <x v="21"/>
    <n v="112902"/>
  </r>
  <r>
    <x v="79"/>
    <s v="GUM"/>
    <x v="22"/>
    <n v="115711"/>
  </r>
  <r>
    <x v="79"/>
    <s v="GUM"/>
    <x v="23"/>
    <n v="118508"/>
  </r>
  <r>
    <x v="79"/>
    <s v="GUM"/>
    <x v="24"/>
    <n v="121302"/>
  </r>
  <r>
    <x v="79"/>
    <s v="GUM"/>
    <x v="25"/>
    <n v="124117"/>
  </r>
  <r>
    <x v="79"/>
    <s v="GUM"/>
    <x v="26"/>
    <n v="126965"/>
  </r>
  <r>
    <x v="79"/>
    <s v="GUM"/>
    <x v="27"/>
    <n v="129858"/>
  </r>
  <r>
    <x v="79"/>
    <s v="GUM"/>
    <x v="28"/>
    <n v="132799"/>
  </r>
  <r>
    <x v="79"/>
    <s v="GUM"/>
    <x v="29"/>
    <n v="135799"/>
  </r>
  <r>
    <x v="79"/>
    <s v="GUM"/>
    <x v="30"/>
    <n v="138610"/>
  </r>
  <r>
    <x v="79"/>
    <s v="GUM"/>
    <x v="31"/>
    <n v="141073"/>
  </r>
  <r>
    <x v="79"/>
    <s v="GUM"/>
    <x v="32"/>
    <n v="143393"/>
  </r>
  <r>
    <x v="79"/>
    <s v="GUM"/>
    <x v="33"/>
    <n v="145654"/>
  </r>
  <r>
    <x v="79"/>
    <s v="GUM"/>
    <x v="34"/>
    <n v="147868"/>
  </r>
  <r>
    <x v="79"/>
    <s v="GUM"/>
    <x v="35"/>
    <n v="150054"/>
  </r>
  <r>
    <x v="79"/>
    <s v="GUM"/>
    <x v="36"/>
    <n v="152169"/>
  </r>
  <r>
    <x v="79"/>
    <s v="GUM"/>
    <x v="37"/>
    <n v="154215"/>
  </r>
  <r>
    <x v="79"/>
    <s v="GUM"/>
    <x v="38"/>
    <n v="156237"/>
  </r>
  <r>
    <x v="79"/>
    <s v="GUM"/>
    <x v="39"/>
    <n v="158289"/>
  </r>
  <r>
    <x v="79"/>
    <s v="GUM"/>
    <x v="40"/>
    <n v="160065"/>
  </r>
  <r>
    <x v="79"/>
    <s v="GUM"/>
    <x v="41"/>
    <n v="161329"/>
  </r>
  <r>
    <x v="79"/>
    <s v="GUM"/>
    <x v="42"/>
    <n v="162315"/>
  </r>
  <r>
    <x v="79"/>
    <s v="GUM"/>
    <x v="43"/>
    <n v="163137"/>
  </r>
  <r>
    <x v="79"/>
    <s v="GUM"/>
    <x v="44"/>
    <n v="163810"/>
  </r>
  <r>
    <x v="79"/>
    <s v="GUM"/>
    <x v="45"/>
    <n v="164365"/>
  </r>
  <r>
    <x v="79"/>
    <s v="GUM"/>
    <x v="46"/>
    <n v="164839"/>
  </r>
  <r>
    <x v="79"/>
    <s v="GUM"/>
    <x v="47"/>
    <n v="165267"/>
  </r>
  <r>
    <x v="79"/>
    <s v="GUM"/>
    <x v="48"/>
    <n v="165693"/>
  </r>
  <r>
    <x v="79"/>
    <s v="GUM"/>
    <x v="49"/>
    <n v="166173"/>
  </r>
  <r>
    <x v="79"/>
    <s v="GUM"/>
    <x v="50"/>
    <n v="166522"/>
  </r>
  <r>
    <x v="79"/>
    <s v="GUM"/>
    <x v="51"/>
    <n v="166543"/>
  </r>
  <r>
    <x v="79"/>
    <s v="GUM"/>
    <x v="52"/>
    <n v="166331"/>
  </r>
  <r>
    <x v="79"/>
    <s v="GUM"/>
    <x v="53"/>
    <n v="165966"/>
  </r>
  <r>
    <x v="79"/>
    <s v="GUM"/>
    <x v="54"/>
    <n v="165486"/>
  </r>
  <r>
    <x v="79"/>
    <s v="GUM"/>
    <x v="55"/>
    <n v="164905"/>
  </r>
  <r>
    <x v="79"/>
    <s v="GUM"/>
    <x v="56"/>
    <n v="164233"/>
  </r>
  <r>
    <x v="79"/>
    <s v="GUM"/>
    <x v="57"/>
    <n v="163490"/>
  </r>
  <r>
    <x v="79"/>
    <s v="GUM"/>
    <x v="58"/>
    <n v="162679"/>
  </r>
  <r>
    <x v="79"/>
    <s v="GUM"/>
    <x v="59"/>
    <n v="161808"/>
  </r>
  <r>
    <x v="79"/>
    <s v="GUM"/>
    <x v="60"/>
    <n v="162158"/>
  </r>
  <r>
    <x v="79"/>
    <s v="GUM"/>
    <x v="61"/>
    <n v="163730"/>
  </r>
  <r>
    <x v="79"/>
    <s v="GUM"/>
    <x v="62"/>
    <n v="165180"/>
  </r>
  <r>
    <x v="79"/>
    <s v="GUM"/>
    <x v="63"/>
    <n v="166506"/>
  </r>
  <r>
    <x v="79"/>
    <s v="GUM"/>
    <x v="64"/>
    <n v="167777"/>
  </r>
  <r>
    <x v="80"/>
    <s v="GTM"/>
    <x v="0"/>
    <n v="4063655"/>
  </r>
  <r>
    <x v="80"/>
    <s v="GTM"/>
    <x v="1"/>
    <n v="4186201"/>
  </r>
  <r>
    <x v="80"/>
    <s v="GTM"/>
    <x v="2"/>
    <n v="4312044"/>
  </r>
  <r>
    <x v="80"/>
    <s v="GTM"/>
    <x v="3"/>
    <n v="4440264"/>
  </r>
  <r>
    <x v="80"/>
    <s v="GTM"/>
    <x v="4"/>
    <n v="4571109"/>
  </r>
  <r>
    <x v="80"/>
    <s v="GTM"/>
    <x v="5"/>
    <n v="4704965"/>
  </r>
  <r>
    <x v="80"/>
    <s v="GTM"/>
    <x v="6"/>
    <n v="4840958"/>
  </r>
  <r>
    <x v="80"/>
    <s v="GTM"/>
    <x v="7"/>
    <n v="4978862"/>
  </r>
  <r>
    <x v="80"/>
    <s v="GTM"/>
    <x v="8"/>
    <n v="5118111"/>
  </r>
  <r>
    <x v="80"/>
    <s v="GTM"/>
    <x v="9"/>
    <n v="5257081"/>
  </r>
  <r>
    <x v="80"/>
    <s v="GTM"/>
    <x v="10"/>
    <n v="5396966"/>
  </r>
  <r>
    <x v="80"/>
    <s v="GTM"/>
    <x v="11"/>
    <n v="5538355"/>
  </r>
  <r>
    <x v="80"/>
    <s v="GTM"/>
    <x v="12"/>
    <n v="5682833"/>
  </r>
  <r>
    <x v="80"/>
    <s v="GTM"/>
    <x v="13"/>
    <n v="5831631"/>
  </r>
  <r>
    <x v="80"/>
    <s v="GTM"/>
    <x v="14"/>
    <n v="5981197"/>
  </r>
  <r>
    <x v="80"/>
    <s v="GTM"/>
    <x v="15"/>
    <n v="6128731"/>
  </r>
  <r>
    <x v="80"/>
    <s v="GTM"/>
    <x v="16"/>
    <n v="6262404"/>
  </r>
  <r>
    <x v="80"/>
    <s v="GTM"/>
    <x v="17"/>
    <n v="6401515"/>
  </r>
  <r>
    <x v="80"/>
    <s v="GTM"/>
    <x v="18"/>
    <n v="6561534"/>
  </r>
  <r>
    <x v="80"/>
    <s v="GTM"/>
    <x v="19"/>
    <n v="6727797"/>
  </r>
  <r>
    <x v="80"/>
    <s v="GTM"/>
    <x v="20"/>
    <n v="6900212"/>
  </r>
  <r>
    <x v="80"/>
    <s v="GTM"/>
    <x v="21"/>
    <n v="7075648"/>
  </r>
  <r>
    <x v="80"/>
    <s v="GTM"/>
    <x v="22"/>
    <n v="7240241"/>
  </r>
  <r>
    <x v="80"/>
    <s v="GTM"/>
    <x v="23"/>
    <n v="7419642"/>
  </r>
  <r>
    <x v="80"/>
    <s v="GTM"/>
    <x v="24"/>
    <n v="7630682"/>
  </r>
  <r>
    <x v="80"/>
    <s v="GTM"/>
    <x v="25"/>
    <n v="7849693"/>
  </r>
  <r>
    <x v="80"/>
    <s v="GTM"/>
    <x v="26"/>
    <n v="8070818"/>
  </r>
  <r>
    <x v="80"/>
    <s v="GTM"/>
    <x v="27"/>
    <n v="8296485"/>
  </r>
  <r>
    <x v="80"/>
    <s v="GTM"/>
    <x v="28"/>
    <n v="8532099"/>
  </r>
  <r>
    <x v="80"/>
    <s v="GTM"/>
    <x v="29"/>
    <n v="8775546"/>
  </r>
  <r>
    <x v="80"/>
    <s v="GTM"/>
    <x v="30"/>
    <n v="9024773"/>
  </r>
  <r>
    <x v="80"/>
    <s v="GTM"/>
    <x v="31"/>
    <n v="9272584"/>
  </r>
  <r>
    <x v="80"/>
    <s v="GTM"/>
    <x v="32"/>
    <n v="9522266"/>
  </r>
  <r>
    <x v="80"/>
    <s v="GTM"/>
    <x v="33"/>
    <n v="9779761"/>
  </r>
  <r>
    <x v="80"/>
    <s v="GTM"/>
    <x v="34"/>
    <n v="10043718"/>
  </r>
  <r>
    <x v="80"/>
    <s v="GTM"/>
    <x v="35"/>
    <n v="10312996"/>
  </r>
  <r>
    <x v="80"/>
    <s v="GTM"/>
    <x v="36"/>
    <n v="10583526"/>
  </r>
  <r>
    <x v="80"/>
    <s v="GTM"/>
    <x v="37"/>
    <n v="10857754"/>
  </r>
  <r>
    <x v="80"/>
    <s v="GTM"/>
    <x v="38"/>
    <n v="11139145"/>
  </r>
  <r>
    <x v="80"/>
    <s v="GTM"/>
    <x v="39"/>
    <n v="11422965"/>
  </r>
  <r>
    <x v="80"/>
    <s v="GTM"/>
    <x v="40"/>
    <n v="11697592"/>
  </r>
  <r>
    <x v="80"/>
    <s v="GTM"/>
    <x v="41"/>
    <n v="11969422"/>
  </r>
  <r>
    <x v="80"/>
    <s v="GTM"/>
    <x v="42"/>
    <n v="12246915"/>
  </r>
  <r>
    <x v="80"/>
    <s v="GTM"/>
    <x v="43"/>
    <n v="12525842"/>
  </r>
  <r>
    <x v="80"/>
    <s v="GTM"/>
    <x v="44"/>
    <n v="12807402"/>
  </r>
  <r>
    <x v="80"/>
    <s v="GTM"/>
    <x v="45"/>
    <n v="13087629"/>
  </r>
  <r>
    <x v="80"/>
    <s v="GTM"/>
    <x v="46"/>
    <n v="13367459"/>
  </r>
  <r>
    <x v="80"/>
    <s v="GTM"/>
    <x v="47"/>
    <n v="13652040"/>
  </r>
  <r>
    <x v="80"/>
    <s v="GTM"/>
    <x v="48"/>
    <n v="13935174"/>
  </r>
  <r>
    <x v="80"/>
    <s v="GTM"/>
    <x v="49"/>
    <n v="14215611"/>
  </r>
  <r>
    <x v="80"/>
    <s v="GTM"/>
    <x v="50"/>
    <n v="14500112"/>
  </r>
  <r>
    <x v="80"/>
    <s v="GTM"/>
    <x v="51"/>
    <n v="14792126"/>
  </r>
  <r>
    <x v="80"/>
    <s v="GTM"/>
    <x v="52"/>
    <n v="15089647"/>
  </r>
  <r>
    <x v="80"/>
    <s v="GTM"/>
    <x v="53"/>
    <n v="15387337"/>
  </r>
  <r>
    <x v="80"/>
    <s v="GTM"/>
    <x v="54"/>
    <n v="15681725"/>
  </r>
  <r>
    <x v="80"/>
    <s v="GTM"/>
    <x v="55"/>
    <n v="15971743"/>
  </r>
  <r>
    <x v="80"/>
    <s v="GTM"/>
    <x v="56"/>
    <n v="16268760"/>
  </r>
  <r>
    <x v="80"/>
    <s v="GTM"/>
    <x v="57"/>
    <n v="16567357"/>
  </r>
  <r>
    <x v="80"/>
    <s v="GTM"/>
    <x v="58"/>
    <n v="16845685"/>
  </r>
  <r>
    <x v="80"/>
    <s v="GTM"/>
    <x v="59"/>
    <n v="17103803"/>
  </r>
  <r>
    <x v="80"/>
    <s v="GTM"/>
    <x v="60"/>
    <n v="17357325"/>
  </r>
  <r>
    <x v="80"/>
    <s v="GTM"/>
    <x v="61"/>
    <n v="17598650"/>
  </r>
  <r>
    <x v="80"/>
    <s v="GTM"/>
    <x v="62"/>
    <n v="17847877"/>
  </r>
  <r>
    <x v="80"/>
    <s v="GTM"/>
    <x v="63"/>
    <n v="18124838"/>
  </r>
  <r>
    <x v="80"/>
    <s v="GTM"/>
    <x v="64"/>
    <n v="18406359"/>
  </r>
  <r>
    <x v="81"/>
    <s v="GIN"/>
    <x v="0"/>
    <n v="3556749"/>
  </r>
  <r>
    <x v="81"/>
    <s v="GIN"/>
    <x v="1"/>
    <n v="3619551"/>
  </r>
  <r>
    <x v="81"/>
    <s v="GIN"/>
    <x v="2"/>
    <n v="3684273"/>
  </r>
  <r>
    <x v="81"/>
    <s v="GIN"/>
    <x v="3"/>
    <n v="3750954"/>
  </r>
  <r>
    <x v="81"/>
    <s v="GIN"/>
    <x v="4"/>
    <n v="3819722"/>
  </r>
  <r>
    <x v="81"/>
    <s v="GIN"/>
    <x v="5"/>
    <n v="3890716"/>
  </r>
  <r>
    <x v="81"/>
    <s v="GIN"/>
    <x v="6"/>
    <n v="3964155"/>
  </r>
  <r>
    <x v="81"/>
    <s v="GIN"/>
    <x v="7"/>
    <n v="4040153"/>
  </r>
  <r>
    <x v="81"/>
    <s v="GIN"/>
    <x v="8"/>
    <n v="4118550"/>
  </r>
  <r>
    <x v="81"/>
    <s v="GIN"/>
    <x v="9"/>
    <n v="4198300"/>
  </r>
  <r>
    <x v="81"/>
    <s v="GIN"/>
    <x v="10"/>
    <n v="4277535"/>
  </r>
  <r>
    <x v="81"/>
    <s v="GIN"/>
    <x v="11"/>
    <n v="4355200"/>
  </r>
  <r>
    <x v="81"/>
    <s v="GIN"/>
    <x v="12"/>
    <n v="4431292"/>
  </r>
  <r>
    <x v="81"/>
    <s v="GIN"/>
    <x v="13"/>
    <n v="4506324"/>
  </r>
  <r>
    <x v="81"/>
    <s v="GIN"/>
    <x v="14"/>
    <n v="4580510"/>
  </r>
  <r>
    <x v="81"/>
    <s v="GIN"/>
    <x v="15"/>
    <n v="4653876"/>
  </r>
  <r>
    <x v="81"/>
    <s v="GIN"/>
    <x v="16"/>
    <n v="4727022"/>
  </r>
  <r>
    <x v="81"/>
    <s v="GIN"/>
    <x v="17"/>
    <n v="4801128"/>
  </r>
  <r>
    <x v="81"/>
    <s v="GIN"/>
    <x v="18"/>
    <n v="4877854"/>
  </r>
  <r>
    <x v="81"/>
    <s v="GIN"/>
    <x v="19"/>
    <n v="4959283"/>
  </r>
  <r>
    <x v="81"/>
    <s v="GIN"/>
    <x v="20"/>
    <n v="5047419"/>
  </r>
  <r>
    <x v="81"/>
    <s v="GIN"/>
    <x v="21"/>
    <n v="5143288"/>
  </r>
  <r>
    <x v="81"/>
    <s v="GIN"/>
    <x v="22"/>
    <n v="5247672"/>
  </r>
  <r>
    <x v="81"/>
    <s v="GIN"/>
    <x v="23"/>
    <n v="5359814"/>
  </r>
  <r>
    <x v="81"/>
    <s v="GIN"/>
    <x v="24"/>
    <n v="5480096"/>
  </r>
  <r>
    <x v="81"/>
    <s v="GIN"/>
    <x v="25"/>
    <n v="5610373"/>
  </r>
  <r>
    <x v="81"/>
    <s v="GIN"/>
    <x v="26"/>
    <n v="5750668"/>
  </r>
  <r>
    <x v="81"/>
    <s v="GIN"/>
    <x v="27"/>
    <n v="5900198"/>
  </r>
  <r>
    <x v="81"/>
    <s v="GIN"/>
    <x v="28"/>
    <n v="6056574"/>
  </r>
  <r>
    <x v="81"/>
    <s v="GIN"/>
    <x v="29"/>
    <n v="6215811"/>
  </r>
  <r>
    <x v="81"/>
    <s v="GIN"/>
    <x v="30"/>
    <n v="6434374"/>
  </r>
  <r>
    <x v="81"/>
    <s v="GIN"/>
    <x v="31"/>
    <n v="6697166"/>
  </r>
  <r>
    <x v="81"/>
    <s v="GIN"/>
    <x v="32"/>
    <n v="6914366"/>
  </r>
  <r>
    <x v="81"/>
    <s v="GIN"/>
    <x v="33"/>
    <n v="7128177"/>
  </r>
  <r>
    <x v="81"/>
    <s v="GIN"/>
    <x v="34"/>
    <n v="7345107"/>
  </r>
  <r>
    <x v="81"/>
    <s v="GIN"/>
    <x v="35"/>
    <n v="7553249"/>
  </r>
  <r>
    <x v="81"/>
    <s v="GIN"/>
    <x v="36"/>
    <n v="7770035"/>
  </r>
  <r>
    <x v="81"/>
    <s v="GIN"/>
    <x v="37"/>
    <n v="7931370"/>
  </r>
  <r>
    <x v="81"/>
    <s v="GIN"/>
    <x v="38"/>
    <n v="8081990"/>
  </r>
  <r>
    <x v="81"/>
    <s v="GIN"/>
    <x v="39"/>
    <n v="8265123"/>
  </r>
  <r>
    <x v="81"/>
    <s v="GIN"/>
    <x v="40"/>
    <n v="8428832"/>
  </r>
  <r>
    <x v="81"/>
    <s v="GIN"/>
    <x v="41"/>
    <n v="8539960"/>
  </r>
  <r>
    <x v="81"/>
    <s v="GIN"/>
    <x v="42"/>
    <n v="8674066"/>
  </r>
  <r>
    <x v="81"/>
    <s v="GIN"/>
    <x v="43"/>
    <n v="8870781"/>
  </r>
  <r>
    <x v="81"/>
    <s v="GIN"/>
    <x v="44"/>
    <n v="9062726"/>
  </r>
  <r>
    <x v="81"/>
    <s v="GIN"/>
    <x v="45"/>
    <n v="9245844"/>
  </r>
  <r>
    <x v="81"/>
    <s v="GIN"/>
    <x v="46"/>
    <n v="9441171"/>
  </r>
  <r>
    <x v="81"/>
    <s v="GIN"/>
    <x v="47"/>
    <n v="9662281"/>
  </r>
  <r>
    <x v="81"/>
    <s v="GIN"/>
    <x v="48"/>
    <n v="9898870"/>
  </r>
  <r>
    <x v="81"/>
    <s v="GIN"/>
    <x v="49"/>
    <n v="10143534"/>
  </r>
  <r>
    <x v="81"/>
    <s v="GIN"/>
    <x v="50"/>
    <n v="10396086"/>
  </r>
  <r>
    <x v="81"/>
    <s v="GIN"/>
    <x v="51"/>
    <n v="10656810"/>
  </r>
  <r>
    <x v="81"/>
    <s v="GIN"/>
    <x v="52"/>
    <n v="10921581"/>
  </r>
  <r>
    <x v="81"/>
    <s v="GIN"/>
    <x v="53"/>
    <n v="11191873"/>
  </r>
  <r>
    <x v="81"/>
    <s v="GIN"/>
    <x v="54"/>
    <n v="11472924"/>
  </r>
  <r>
    <x v="81"/>
    <s v="GIN"/>
    <x v="55"/>
    <n v="11767070"/>
  </r>
  <r>
    <x v="81"/>
    <s v="GIN"/>
    <x v="56"/>
    <n v="12073030"/>
  </r>
  <r>
    <x v="81"/>
    <s v="GIN"/>
    <x v="57"/>
    <n v="12385659"/>
  </r>
  <r>
    <x v="81"/>
    <s v="GIN"/>
    <x v="58"/>
    <n v="12704774"/>
  </r>
  <r>
    <x v="81"/>
    <s v="GIN"/>
    <x v="59"/>
    <n v="13034346"/>
  </r>
  <r>
    <x v="81"/>
    <s v="GIN"/>
    <x v="60"/>
    <n v="13371183"/>
  </r>
  <r>
    <x v="81"/>
    <s v="GIN"/>
    <x v="61"/>
    <n v="13710513"/>
  </r>
  <r>
    <x v="81"/>
    <s v="GIN"/>
    <x v="62"/>
    <n v="14055137"/>
  </r>
  <r>
    <x v="81"/>
    <s v="GIN"/>
    <x v="63"/>
    <n v="14405468"/>
  </r>
  <r>
    <x v="81"/>
    <s v="GIN"/>
    <x v="64"/>
    <n v="14754785"/>
  </r>
  <r>
    <x v="82"/>
    <s v="GNB"/>
    <x v="0"/>
    <n v="577633"/>
  </r>
  <r>
    <x v="82"/>
    <s v="GNB"/>
    <x v="1"/>
    <n v="582532"/>
  </r>
  <r>
    <x v="82"/>
    <s v="GNB"/>
    <x v="2"/>
    <n v="589474"/>
  </r>
  <r>
    <x v="82"/>
    <s v="GNB"/>
    <x v="3"/>
    <n v="594418"/>
  </r>
  <r>
    <x v="82"/>
    <s v="GNB"/>
    <x v="4"/>
    <n v="588543"/>
  </r>
  <r>
    <x v="82"/>
    <s v="GNB"/>
    <x v="5"/>
    <n v="575005"/>
  </r>
  <r>
    <x v="82"/>
    <s v="GNB"/>
    <x v="6"/>
    <n v="566908"/>
  </r>
  <r>
    <x v="82"/>
    <s v="GNB"/>
    <x v="7"/>
    <n v="569011"/>
  </r>
  <r>
    <x v="82"/>
    <s v="GNB"/>
    <x v="8"/>
    <n v="578170"/>
  </r>
  <r>
    <x v="82"/>
    <s v="GNB"/>
    <x v="9"/>
    <n v="581610"/>
  </r>
  <r>
    <x v="82"/>
    <s v="GNB"/>
    <x v="10"/>
    <n v="584403"/>
  </r>
  <r>
    <x v="82"/>
    <s v="GNB"/>
    <x v="11"/>
    <n v="586221"/>
  </r>
  <r>
    <x v="82"/>
    <s v="GNB"/>
    <x v="12"/>
    <n v="586620"/>
  </r>
  <r>
    <x v="82"/>
    <s v="GNB"/>
    <x v="13"/>
    <n v="592808"/>
  </r>
  <r>
    <x v="82"/>
    <s v="GNB"/>
    <x v="14"/>
    <n v="613338"/>
  </r>
  <r>
    <x v="82"/>
    <s v="GNB"/>
    <x v="15"/>
    <n v="650966"/>
  </r>
  <r>
    <x v="82"/>
    <s v="GNB"/>
    <x v="16"/>
    <n v="694191"/>
  </r>
  <r>
    <x v="82"/>
    <s v="GNB"/>
    <x v="17"/>
    <n v="741789"/>
  </r>
  <r>
    <x v="82"/>
    <s v="GNB"/>
    <x v="18"/>
    <n v="791694"/>
  </r>
  <r>
    <x v="82"/>
    <s v="GNB"/>
    <x v="19"/>
    <n v="819867"/>
  </r>
  <r>
    <x v="82"/>
    <s v="GNB"/>
    <x v="20"/>
    <n v="829303"/>
  </r>
  <r>
    <x v="82"/>
    <s v="GNB"/>
    <x v="21"/>
    <n v="842432"/>
  </r>
  <r>
    <x v="82"/>
    <s v="GNB"/>
    <x v="22"/>
    <n v="855891"/>
  </r>
  <r>
    <x v="82"/>
    <s v="GNB"/>
    <x v="23"/>
    <n v="869592"/>
  </r>
  <r>
    <x v="82"/>
    <s v="GNB"/>
    <x v="24"/>
    <n v="883519"/>
  </r>
  <r>
    <x v="82"/>
    <s v="GNB"/>
    <x v="25"/>
    <n v="897697"/>
  </r>
  <r>
    <x v="82"/>
    <s v="GNB"/>
    <x v="26"/>
    <n v="912126"/>
  </r>
  <r>
    <x v="82"/>
    <s v="GNB"/>
    <x v="27"/>
    <n v="926862"/>
  </r>
  <r>
    <x v="82"/>
    <s v="GNB"/>
    <x v="28"/>
    <n v="942061"/>
  </r>
  <r>
    <x v="82"/>
    <s v="GNB"/>
    <x v="29"/>
    <n v="957789"/>
  </r>
  <r>
    <x v="82"/>
    <s v="GNB"/>
    <x v="30"/>
    <n v="973669"/>
  </r>
  <r>
    <x v="82"/>
    <s v="GNB"/>
    <x v="31"/>
    <n v="994639"/>
  </r>
  <r>
    <x v="82"/>
    <s v="GNB"/>
    <x v="32"/>
    <n v="1024356"/>
  </r>
  <r>
    <x v="82"/>
    <s v="GNB"/>
    <x v="33"/>
    <n v="1058745"/>
  </r>
  <r>
    <x v="82"/>
    <s v="GNB"/>
    <x v="34"/>
    <n v="1092031"/>
  </r>
  <r>
    <x v="82"/>
    <s v="GNB"/>
    <x v="35"/>
    <n v="1119949"/>
  </r>
  <r>
    <x v="82"/>
    <s v="GNB"/>
    <x v="36"/>
    <n v="1143535"/>
  </r>
  <r>
    <x v="82"/>
    <s v="GNB"/>
    <x v="37"/>
    <n v="1165545"/>
  </r>
  <r>
    <x v="82"/>
    <s v="GNB"/>
    <x v="38"/>
    <n v="1187473"/>
  </r>
  <r>
    <x v="82"/>
    <s v="GNB"/>
    <x v="39"/>
    <n v="1210206"/>
  </r>
  <r>
    <x v="82"/>
    <s v="GNB"/>
    <x v="40"/>
    <n v="1234741"/>
  </r>
  <r>
    <x v="82"/>
    <s v="GNB"/>
    <x v="41"/>
    <n v="1261273"/>
  </r>
  <r>
    <x v="82"/>
    <s v="GNB"/>
    <x v="42"/>
    <n v="1289307"/>
  </r>
  <r>
    <x v="82"/>
    <s v="GNB"/>
    <x v="43"/>
    <n v="1318806"/>
  </r>
  <r>
    <x v="82"/>
    <s v="GNB"/>
    <x v="44"/>
    <n v="1349563"/>
  </r>
  <r>
    <x v="82"/>
    <s v="GNB"/>
    <x v="45"/>
    <n v="1381585"/>
  </r>
  <r>
    <x v="82"/>
    <s v="GNB"/>
    <x v="46"/>
    <n v="1415303"/>
  </r>
  <r>
    <x v="82"/>
    <s v="GNB"/>
    <x v="47"/>
    <n v="1450986"/>
  </r>
  <r>
    <x v="82"/>
    <s v="GNB"/>
    <x v="48"/>
    <n v="1488054"/>
  </r>
  <r>
    <x v="82"/>
    <s v="GNB"/>
    <x v="49"/>
    <n v="1526377"/>
  </r>
  <r>
    <x v="82"/>
    <s v="GNB"/>
    <x v="50"/>
    <n v="1566347"/>
  </r>
  <r>
    <x v="82"/>
    <s v="GNB"/>
    <x v="51"/>
    <n v="1608076"/>
  </r>
  <r>
    <x v="82"/>
    <s v="GNB"/>
    <x v="52"/>
    <n v="1651417"/>
  </r>
  <r>
    <x v="82"/>
    <s v="GNB"/>
    <x v="53"/>
    <n v="1695973"/>
  </r>
  <r>
    <x v="82"/>
    <s v="GNB"/>
    <x v="54"/>
    <n v="1741122"/>
  </r>
  <r>
    <x v="82"/>
    <s v="GNB"/>
    <x v="55"/>
    <n v="1786457"/>
  </r>
  <r>
    <x v="82"/>
    <s v="GNB"/>
    <x v="56"/>
    <n v="1831893"/>
  </r>
  <r>
    <x v="82"/>
    <s v="GNB"/>
    <x v="57"/>
    <n v="1877072"/>
  </r>
  <r>
    <x v="82"/>
    <s v="GNB"/>
    <x v="58"/>
    <n v="1922168"/>
  </r>
  <r>
    <x v="82"/>
    <s v="GNB"/>
    <x v="59"/>
    <n v="1967696"/>
  </r>
  <r>
    <x v="82"/>
    <s v="GNB"/>
    <x v="60"/>
    <n v="2013255"/>
  </r>
  <r>
    <x v="82"/>
    <s v="GNB"/>
    <x v="61"/>
    <n v="2058841"/>
  </r>
  <r>
    <x v="82"/>
    <s v="GNB"/>
    <x v="62"/>
    <n v="2105529"/>
  </r>
  <r>
    <x v="82"/>
    <s v="GNB"/>
    <x v="63"/>
    <n v="2153339"/>
  </r>
  <r>
    <x v="82"/>
    <s v="GNB"/>
    <x v="64"/>
    <n v="2201352"/>
  </r>
  <r>
    <x v="83"/>
    <s v="GUY"/>
    <x v="0"/>
    <n v="569143"/>
  </r>
  <r>
    <x v="83"/>
    <s v="GUY"/>
    <x v="1"/>
    <n v="582568"/>
  </r>
  <r>
    <x v="83"/>
    <s v="GUY"/>
    <x v="2"/>
    <n v="595461"/>
  </r>
  <r>
    <x v="83"/>
    <s v="GUY"/>
    <x v="3"/>
    <n v="608537"/>
  </r>
  <r>
    <x v="83"/>
    <s v="GUY"/>
    <x v="4"/>
    <n v="621764"/>
  </r>
  <r>
    <x v="83"/>
    <s v="GUY"/>
    <x v="5"/>
    <n v="635128"/>
  </r>
  <r>
    <x v="83"/>
    <s v="GUY"/>
    <x v="6"/>
    <n v="648646"/>
  </r>
  <r>
    <x v="83"/>
    <s v="GUY"/>
    <x v="7"/>
    <n v="662311"/>
  </r>
  <r>
    <x v="83"/>
    <s v="GUY"/>
    <x v="8"/>
    <n v="676160"/>
  </r>
  <r>
    <x v="83"/>
    <s v="GUY"/>
    <x v="9"/>
    <n v="690223"/>
  </r>
  <r>
    <x v="83"/>
    <s v="GUY"/>
    <x v="10"/>
    <n v="702705"/>
  </r>
  <r>
    <x v="83"/>
    <s v="GUY"/>
    <x v="11"/>
    <n v="712662"/>
  </r>
  <r>
    <x v="83"/>
    <s v="GUY"/>
    <x v="12"/>
    <n v="721617"/>
  </r>
  <r>
    <x v="83"/>
    <s v="GUY"/>
    <x v="13"/>
    <n v="730138"/>
  </r>
  <r>
    <x v="83"/>
    <s v="GUY"/>
    <x v="14"/>
    <n v="738057"/>
  </r>
  <r>
    <x v="83"/>
    <s v="GUY"/>
    <x v="15"/>
    <n v="745393"/>
  </r>
  <r>
    <x v="83"/>
    <s v="GUY"/>
    <x v="16"/>
    <n v="752253"/>
  </r>
  <r>
    <x v="83"/>
    <s v="GUY"/>
    <x v="17"/>
    <n v="758654"/>
  </r>
  <r>
    <x v="83"/>
    <s v="GUY"/>
    <x v="18"/>
    <n v="764586"/>
  </r>
  <r>
    <x v="83"/>
    <s v="GUY"/>
    <x v="19"/>
    <n v="770062"/>
  </r>
  <r>
    <x v="83"/>
    <s v="GUY"/>
    <x v="20"/>
    <n v="774367"/>
  </r>
  <r>
    <x v="83"/>
    <s v="GUY"/>
    <x v="21"/>
    <n v="776453"/>
  </r>
  <r>
    <x v="83"/>
    <s v="GUY"/>
    <x v="22"/>
    <n v="776712"/>
  </r>
  <r>
    <x v="83"/>
    <s v="GUY"/>
    <x v="23"/>
    <n v="775891"/>
  </r>
  <r>
    <x v="83"/>
    <s v="GUY"/>
    <x v="24"/>
    <n v="774111"/>
  </r>
  <r>
    <x v="83"/>
    <s v="GUY"/>
    <x v="25"/>
    <n v="771477"/>
  </r>
  <r>
    <x v="83"/>
    <s v="GUY"/>
    <x v="26"/>
    <n v="768098"/>
  </r>
  <r>
    <x v="83"/>
    <s v="GUY"/>
    <x v="27"/>
    <n v="764120"/>
  </r>
  <r>
    <x v="83"/>
    <s v="GUY"/>
    <x v="28"/>
    <n v="759663"/>
  </r>
  <r>
    <x v="83"/>
    <s v="GUY"/>
    <x v="29"/>
    <n v="754865"/>
  </r>
  <r>
    <x v="83"/>
    <s v="GUY"/>
    <x v="30"/>
    <n v="749894"/>
  </r>
  <r>
    <x v="83"/>
    <s v="GUY"/>
    <x v="31"/>
    <n v="747861"/>
  </r>
  <r>
    <x v="83"/>
    <s v="GUY"/>
    <x v="32"/>
    <n v="749911"/>
  </r>
  <r>
    <x v="83"/>
    <s v="GUY"/>
    <x v="33"/>
    <n v="752965"/>
  </r>
  <r>
    <x v="83"/>
    <s v="GUY"/>
    <x v="34"/>
    <n v="755822"/>
  </r>
  <r>
    <x v="83"/>
    <s v="GUY"/>
    <x v="35"/>
    <n v="758388"/>
  </r>
  <r>
    <x v="83"/>
    <s v="GUY"/>
    <x v="36"/>
    <n v="760526"/>
  </r>
  <r>
    <x v="83"/>
    <s v="GUY"/>
    <x v="37"/>
    <n v="762245"/>
  </r>
  <r>
    <x v="83"/>
    <s v="GUY"/>
    <x v="38"/>
    <n v="763586"/>
  </r>
  <r>
    <x v="83"/>
    <s v="GUY"/>
    <x v="39"/>
    <n v="764483"/>
  </r>
  <r>
    <x v="83"/>
    <s v="GUY"/>
    <x v="40"/>
    <n v="764832"/>
  </r>
  <r>
    <x v="83"/>
    <s v="GUY"/>
    <x v="41"/>
    <n v="764477"/>
  </r>
  <r>
    <x v="83"/>
    <s v="GUY"/>
    <x v="42"/>
    <n v="763652"/>
  </r>
  <r>
    <x v="83"/>
    <s v="GUY"/>
    <x v="43"/>
    <n v="763101"/>
  </r>
  <r>
    <x v="83"/>
    <s v="GUY"/>
    <x v="44"/>
    <n v="762418"/>
  </r>
  <r>
    <x v="83"/>
    <s v="GUY"/>
    <x v="45"/>
    <n v="760914"/>
  </r>
  <r>
    <x v="83"/>
    <s v="GUY"/>
    <x v="46"/>
    <n v="758966"/>
  </r>
  <r>
    <x v="83"/>
    <s v="GUY"/>
    <x v="47"/>
    <n v="756861"/>
  </r>
  <r>
    <x v="83"/>
    <s v="GUY"/>
    <x v="48"/>
    <n v="754606"/>
  </r>
  <r>
    <x v="83"/>
    <s v="GUY"/>
    <x v="49"/>
    <n v="752094"/>
  </r>
  <r>
    <x v="83"/>
    <s v="GUY"/>
    <x v="50"/>
    <n v="749256"/>
  </r>
  <r>
    <x v="83"/>
    <s v="GUY"/>
    <x v="51"/>
    <n v="746153"/>
  </r>
  <r>
    <x v="83"/>
    <s v="GUY"/>
    <x v="52"/>
    <n v="746288"/>
  </r>
  <r>
    <x v="83"/>
    <s v="GUY"/>
    <x v="53"/>
    <n v="750021"/>
  </r>
  <r>
    <x v="83"/>
    <s v="GUY"/>
    <x v="54"/>
    <n v="754229"/>
  </r>
  <r>
    <x v="83"/>
    <s v="GUY"/>
    <x v="55"/>
    <n v="758781"/>
  </r>
  <r>
    <x v="83"/>
    <s v="GUY"/>
    <x v="56"/>
    <n v="763548"/>
  </r>
  <r>
    <x v="83"/>
    <s v="GUY"/>
    <x v="57"/>
    <n v="768479"/>
  </r>
  <r>
    <x v="83"/>
    <s v="GUY"/>
    <x v="58"/>
    <n v="791556"/>
  </r>
  <r>
    <x v="83"/>
    <s v="GUY"/>
    <x v="59"/>
    <n v="807665"/>
  </r>
  <r>
    <x v="83"/>
    <s v="GUY"/>
    <x v="60"/>
    <n v="807481"/>
  </r>
  <r>
    <x v="83"/>
    <s v="GUY"/>
    <x v="61"/>
    <n v="815482"/>
  </r>
  <r>
    <x v="83"/>
    <s v="GUY"/>
    <x v="62"/>
    <n v="821637"/>
  </r>
  <r>
    <x v="83"/>
    <s v="GUY"/>
    <x v="63"/>
    <n v="826353"/>
  </r>
  <r>
    <x v="83"/>
    <s v="GUY"/>
    <x v="64"/>
    <n v="831087"/>
  </r>
  <r>
    <x v="84"/>
    <s v="HTI"/>
    <x v="0"/>
    <n v="3858443"/>
  </r>
  <r>
    <x v="84"/>
    <s v="HTI"/>
    <x v="1"/>
    <n v="3929030"/>
  </r>
  <r>
    <x v="84"/>
    <s v="HTI"/>
    <x v="2"/>
    <n v="4001575"/>
  </r>
  <r>
    <x v="84"/>
    <s v="HTI"/>
    <x v="3"/>
    <n v="4073068"/>
  </r>
  <r>
    <x v="84"/>
    <s v="HTI"/>
    <x v="4"/>
    <n v="4146244"/>
  </r>
  <r>
    <x v="84"/>
    <s v="HTI"/>
    <x v="5"/>
    <n v="4223820"/>
  </r>
  <r>
    <x v="84"/>
    <s v="HTI"/>
    <x v="6"/>
    <n v="4302639"/>
  </r>
  <r>
    <x v="84"/>
    <s v="HTI"/>
    <x v="7"/>
    <n v="4382999"/>
  </r>
  <r>
    <x v="84"/>
    <s v="HTI"/>
    <x v="8"/>
    <n v="4465328"/>
  </r>
  <r>
    <x v="84"/>
    <s v="HTI"/>
    <x v="9"/>
    <n v="4549334"/>
  </r>
  <r>
    <x v="84"/>
    <s v="HTI"/>
    <x v="10"/>
    <n v="4635124"/>
  </r>
  <r>
    <x v="84"/>
    <s v="HTI"/>
    <x v="11"/>
    <n v="4723244"/>
  </r>
  <r>
    <x v="84"/>
    <s v="HTI"/>
    <x v="12"/>
    <n v="4813868"/>
  </r>
  <r>
    <x v="84"/>
    <s v="HTI"/>
    <x v="13"/>
    <n v="4906743"/>
  </r>
  <r>
    <x v="84"/>
    <s v="HTI"/>
    <x v="14"/>
    <n v="5001796"/>
  </r>
  <r>
    <x v="84"/>
    <s v="HTI"/>
    <x v="15"/>
    <n v="5099086"/>
  </r>
  <r>
    <x v="84"/>
    <s v="HTI"/>
    <x v="16"/>
    <n v="5198357"/>
  </r>
  <r>
    <x v="84"/>
    <s v="HTI"/>
    <x v="17"/>
    <n v="5299476"/>
  </r>
  <r>
    <x v="84"/>
    <s v="HTI"/>
    <x v="18"/>
    <n v="5402580"/>
  </r>
  <r>
    <x v="84"/>
    <s v="HTI"/>
    <x v="19"/>
    <n v="5507590"/>
  </r>
  <r>
    <x v="84"/>
    <s v="HTI"/>
    <x v="20"/>
    <n v="5614493"/>
  </r>
  <r>
    <x v="84"/>
    <s v="HTI"/>
    <x v="21"/>
    <n v="5723725"/>
  </r>
  <r>
    <x v="84"/>
    <s v="HTI"/>
    <x v="22"/>
    <n v="5835937"/>
  </r>
  <r>
    <x v="84"/>
    <s v="HTI"/>
    <x v="23"/>
    <n v="5951096"/>
  </r>
  <r>
    <x v="84"/>
    <s v="HTI"/>
    <x v="24"/>
    <n v="6069230"/>
  </r>
  <r>
    <x v="84"/>
    <s v="HTI"/>
    <x v="25"/>
    <n v="6190862"/>
  </r>
  <r>
    <x v="84"/>
    <s v="HTI"/>
    <x v="26"/>
    <n v="6316122"/>
  </r>
  <r>
    <x v="84"/>
    <s v="HTI"/>
    <x v="27"/>
    <n v="6445123"/>
  </r>
  <r>
    <x v="84"/>
    <s v="HTI"/>
    <x v="28"/>
    <n v="6578145"/>
  </r>
  <r>
    <x v="84"/>
    <s v="HTI"/>
    <x v="29"/>
    <n v="6714730"/>
  </r>
  <r>
    <x v="84"/>
    <s v="HTI"/>
    <x v="30"/>
    <n v="6854441"/>
  </r>
  <r>
    <x v="84"/>
    <s v="HTI"/>
    <x v="31"/>
    <n v="6995450"/>
  </r>
  <r>
    <x v="84"/>
    <s v="HTI"/>
    <x v="32"/>
    <n v="7136571"/>
  </r>
  <r>
    <x v="84"/>
    <s v="HTI"/>
    <x v="33"/>
    <n v="7278181"/>
  </r>
  <r>
    <x v="84"/>
    <s v="HTI"/>
    <x v="34"/>
    <n v="7419771"/>
  </r>
  <r>
    <x v="84"/>
    <s v="HTI"/>
    <x v="35"/>
    <n v="7562546"/>
  </r>
  <r>
    <x v="84"/>
    <s v="HTI"/>
    <x v="36"/>
    <n v="7707557"/>
  </r>
  <r>
    <x v="84"/>
    <s v="HTI"/>
    <x v="37"/>
    <n v="7854298"/>
  </r>
  <r>
    <x v="84"/>
    <s v="HTI"/>
    <x v="38"/>
    <n v="8002143"/>
  </r>
  <r>
    <x v="84"/>
    <s v="HTI"/>
    <x v="39"/>
    <n v="8151296"/>
  </r>
  <r>
    <x v="84"/>
    <s v="HTI"/>
    <x v="40"/>
    <n v="8303151"/>
  </r>
  <r>
    <x v="84"/>
    <s v="HTI"/>
    <x v="41"/>
    <n v="8455918"/>
  </r>
  <r>
    <x v="84"/>
    <s v="HTI"/>
    <x v="42"/>
    <n v="8607641"/>
  </r>
  <r>
    <x v="84"/>
    <s v="HTI"/>
    <x v="43"/>
    <n v="8759912"/>
  </r>
  <r>
    <x v="84"/>
    <s v="HTI"/>
    <x v="44"/>
    <n v="8910263"/>
  </r>
  <r>
    <x v="84"/>
    <s v="HTI"/>
    <x v="45"/>
    <n v="9061273"/>
  </r>
  <r>
    <x v="84"/>
    <s v="HTI"/>
    <x v="46"/>
    <n v="9216562"/>
  </r>
  <r>
    <x v="84"/>
    <s v="HTI"/>
    <x v="47"/>
    <n v="9373296"/>
  </r>
  <r>
    <x v="84"/>
    <s v="HTI"/>
    <x v="48"/>
    <n v="9530774"/>
  </r>
  <r>
    <x v="84"/>
    <s v="HTI"/>
    <x v="49"/>
    <n v="9689581"/>
  </r>
  <r>
    <x v="84"/>
    <s v="HTI"/>
    <x v="50"/>
    <n v="9803294"/>
  </r>
  <r>
    <x v="84"/>
    <s v="HTI"/>
    <x v="51"/>
    <n v="9914904"/>
  </r>
  <r>
    <x v="84"/>
    <s v="HTI"/>
    <x v="52"/>
    <n v="10069771"/>
  </r>
  <r>
    <x v="84"/>
    <s v="HTI"/>
    <x v="53"/>
    <n v="10222362"/>
  </r>
  <r>
    <x v="84"/>
    <s v="HTI"/>
    <x v="54"/>
    <n v="10373235"/>
  </r>
  <r>
    <x v="84"/>
    <s v="HTI"/>
    <x v="55"/>
    <n v="10523242"/>
  </r>
  <r>
    <x v="84"/>
    <s v="HTI"/>
    <x v="56"/>
    <n v="10671457"/>
  </r>
  <r>
    <x v="84"/>
    <s v="HTI"/>
    <x v="57"/>
    <n v="10817754"/>
  </r>
  <r>
    <x v="84"/>
    <s v="HTI"/>
    <x v="58"/>
    <n v="10962362"/>
  </r>
  <r>
    <x v="84"/>
    <s v="HTI"/>
    <x v="59"/>
    <n v="11105163"/>
  </r>
  <r>
    <x v="84"/>
    <s v="HTI"/>
    <x v="60"/>
    <n v="11243848"/>
  </r>
  <r>
    <x v="84"/>
    <s v="HTI"/>
    <x v="61"/>
    <n v="11374586"/>
  </r>
  <r>
    <x v="84"/>
    <s v="HTI"/>
    <x v="62"/>
    <n v="11503606"/>
  </r>
  <r>
    <x v="84"/>
    <s v="HTI"/>
    <x v="63"/>
    <n v="11637398"/>
  </r>
  <r>
    <x v="84"/>
    <s v="HTI"/>
    <x v="64"/>
    <n v="11772557"/>
  </r>
  <r>
    <x v="85"/>
    <s v="HND"/>
    <x v="0"/>
    <n v="2062060"/>
  </r>
  <r>
    <x v="85"/>
    <s v="HND"/>
    <x v="1"/>
    <n v="2121242"/>
  </r>
  <r>
    <x v="85"/>
    <s v="HND"/>
    <x v="2"/>
    <n v="2182064"/>
  </r>
  <r>
    <x v="85"/>
    <s v="HND"/>
    <x v="3"/>
    <n v="2244878"/>
  </r>
  <r>
    <x v="85"/>
    <s v="HND"/>
    <x v="4"/>
    <n v="2309855"/>
  </r>
  <r>
    <x v="85"/>
    <s v="HND"/>
    <x v="5"/>
    <n v="2377157"/>
  </r>
  <r>
    <x v="85"/>
    <s v="HND"/>
    <x v="6"/>
    <n v="2446751"/>
  </r>
  <r>
    <x v="85"/>
    <s v="HND"/>
    <x v="7"/>
    <n v="2518648"/>
  </r>
  <r>
    <x v="85"/>
    <s v="HND"/>
    <x v="8"/>
    <n v="2593057"/>
  </r>
  <r>
    <x v="85"/>
    <s v="HND"/>
    <x v="9"/>
    <n v="2670289"/>
  </r>
  <r>
    <x v="85"/>
    <s v="HND"/>
    <x v="10"/>
    <n v="2750715"/>
  </r>
  <r>
    <x v="85"/>
    <s v="HND"/>
    <x v="11"/>
    <n v="2834616"/>
  </r>
  <r>
    <x v="85"/>
    <s v="HND"/>
    <x v="12"/>
    <n v="2922064"/>
  </r>
  <r>
    <x v="85"/>
    <s v="HND"/>
    <x v="13"/>
    <n v="3011459"/>
  </r>
  <r>
    <x v="85"/>
    <s v="HND"/>
    <x v="14"/>
    <n v="3099836"/>
  </r>
  <r>
    <x v="85"/>
    <s v="HND"/>
    <x v="15"/>
    <n v="3193234"/>
  </r>
  <r>
    <x v="85"/>
    <s v="HND"/>
    <x v="16"/>
    <n v="3294457"/>
  </r>
  <r>
    <x v="85"/>
    <s v="HND"/>
    <x v="17"/>
    <n v="3398655"/>
  </r>
  <r>
    <x v="85"/>
    <s v="HND"/>
    <x v="18"/>
    <n v="3505463"/>
  </r>
  <r>
    <x v="85"/>
    <s v="HND"/>
    <x v="19"/>
    <n v="3614981"/>
  </r>
  <r>
    <x v="85"/>
    <s v="HND"/>
    <x v="20"/>
    <n v="3727173"/>
  </r>
  <r>
    <x v="85"/>
    <s v="HND"/>
    <x v="21"/>
    <n v="3841778"/>
  </r>
  <r>
    <x v="85"/>
    <s v="HND"/>
    <x v="22"/>
    <n v="3958728"/>
  </r>
  <r>
    <x v="85"/>
    <s v="HND"/>
    <x v="23"/>
    <n v="4078174"/>
  </r>
  <r>
    <x v="85"/>
    <s v="HND"/>
    <x v="24"/>
    <n v="4199850"/>
  </r>
  <r>
    <x v="85"/>
    <s v="HND"/>
    <x v="25"/>
    <n v="4323342"/>
  </r>
  <r>
    <x v="85"/>
    <s v="HND"/>
    <x v="26"/>
    <n v="4448899"/>
  </r>
  <r>
    <x v="85"/>
    <s v="HND"/>
    <x v="27"/>
    <n v="4576910"/>
  </r>
  <r>
    <x v="85"/>
    <s v="HND"/>
    <x v="28"/>
    <n v="4707677"/>
  </r>
  <r>
    <x v="85"/>
    <s v="HND"/>
    <x v="29"/>
    <n v="4841838"/>
  </r>
  <r>
    <x v="85"/>
    <s v="HND"/>
    <x v="30"/>
    <n v="4980488"/>
  </r>
  <r>
    <x v="85"/>
    <s v="HND"/>
    <x v="31"/>
    <n v="5123792"/>
  </r>
  <r>
    <x v="85"/>
    <s v="HND"/>
    <x v="32"/>
    <n v="5271431"/>
  </r>
  <r>
    <x v="85"/>
    <s v="HND"/>
    <x v="33"/>
    <n v="5423249"/>
  </r>
  <r>
    <x v="85"/>
    <s v="HND"/>
    <x v="34"/>
    <n v="5579242"/>
  </r>
  <r>
    <x v="85"/>
    <s v="HND"/>
    <x v="35"/>
    <n v="5739637"/>
  </r>
  <r>
    <x v="85"/>
    <s v="HND"/>
    <x v="36"/>
    <n v="5903954"/>
  </r>
  <r>
    <x v="85"/>
    <s v="HND"/>
    <x v="37"/>
    <n v="6071454"/>
  </r>
  <r>
    <x v="85"/>
    <s v="HND"/>
    <x v="38"/>
    <n v="6234431"/>
  </r>
  <r>
    <x v="85"/>
    <s v="HND"/>
    <x v="39"/>
    <n v="6400463"/>
  </r>
  <r>
    <x v="85"/>
    <s v="HND"/>
    <x v="40"/>
    <n v="6577773"/>
  </r>
  <r>
    <x v="85"/>
    <s v="HND"/>
    <x v="41"/>
    <n v="6757993"/>
  </r>
  <r>
    <x v="85"/>
    <s v="HND"/>
    <x v="42"/>
    <n v="6938859"/>
  </r>
  <r>
    <x v="85"/>
    <s v="HND"/>
    <x v="43"/>
    <n v="7119213"/>
  </r>
  <r>
    <x v="85"/>
    <s v="HND"/>
    <x v="44"/>
    <n v="7298994"/>
  </r>
  <r>
    <x v="85"/>
    <s v="HND"/>
    <x v="45"/>
    <n v="7478355"/>
  </r>
  <r>
    <x v="85"/>
    <s v="HND"/>
    <x v="46"/>
    <n v="7656832"/>
  </r>
  <r>
    <x v="85"/>
    <s v="HND"/>
    <x v="47"/>
    <n v="7834798"/>
  </r>
  <r>
    <x v="85"/>
    <s v="HND"/>
    <x v="48"/>
    <n v="8012587"/>
  </r>
  <r>
    <x v="85"/>
    <s v="HND"/>
    <x v="49"/>
    <n v="8189899"/>
  </r>
  <r>
    <x v="85"/>
    <s v="HND"/>
    <x v="50"/>
    <n v="8365878"/>
  </r>
  <r>
    <x v="85"/>
    <s v="HND"/>
    <x v="51"/>
    <n v="8540583"/>
  </r>
  <r>
    <x v="85"/>
    <s v="HND"/>
    <x v="52"/>
    <n v="8715076"/>
  </r>
  <r>
    <x v="85"/>
    <s v="HND"/>
    <x v="53"/>
    <n v="8889278"/>
  </r>
  <r>
    <x v="85"/>
    <s v="HND"/>
    <x v="54"/>
    <n v="9063122"/>
  </r>
  <r>
    <x v="85"/>
    <s v="HND"/>
    <x v="55"/>
    <n v="9237305"/>
  </r>
  <r>
    <x v="85"/>
    <s v="HND"/>
    <x v="56"/>
    <n v="9412380"/>
  </r>
  <r>
    <x v="85"/>
    <s v="HND"/>
    <x v="57"/>
    <n v="9588137"/>
  </r>
  <r>
    <x v="85"/>
    <s v="HND"/>
    <x v="58"/>
    <n v="9765210"/>
  </r>
  <r>
    <x v="85"/>
    <s v="HND"/>
    <x v="59"/>
    <n v="9943633"/>
  </r>
  <r>
    <x v="85"/>
    <s v="HND"/>
    <x v="60"/>
    <n v="10119640"/>
  </r>
  <r>
    <x v="85"/>
    <s v="HND"/>
    <x v="61"/>
    <n v="10289877"/>
  </r>
  <r>
    <x v="85"/>
    <s v="HND"/>
    <x v="62"/>
    <n v="10463872"/>
  </r>
  <r>
    <x v="85"/>
    <s v="HND"/>
    <x v="63"/>
    <n v="10644851"/>
  </r>
  <r>
    <x v="85"/>
    <s v="HND"/>
    <x v="64"/>
    <n v="10825703"/>
  </r>
  <r>
    <x v="86"/>
    <s v="HKG"/>
    <x v="0"/>
    <n v="3094840"/>
  </r>
  <r>
    <x v="86"/>
    <s v="HKG"/>
    <x v="1"/>
    <n v="3168100"/>
  </r>
  <r>
    <x v="86"/>
    <s v="HKG"/>
    <x v="2"/>
    <n v="3305200"/>
  </r>
  <r>
    <x v="86"/>
    <s v="HKG"/>
    <x v="3"/>
    <n v="3420900"/>
  </r>
  <r>
    <x v="86"/>
    <s v="HKG"/>
    <x v="4"/>
    <n v="3504600"/>
  </r>
  <r>
    <x v="86"/>
    <s v="HKG"/>
    <x v="5"/>
    <n v="3597900"/>
  </r>
  <r>
    <x v="86"/>
    <s v="HKG"/>
    <x v="6"/>
    <n v="3629900"/>
  </r>
  <r>
    <x v="86"/>
    <s v="HKG"/>
    <x v="7"/>
    <n v="3722800"/>
  </r>
  <r>
    <x v="86"/>
    <s v="HKG"/>
    <x v="8"/>
    <n v="3802700"/>
  </r>
  <r>
    <x v="86"/>
    <s v="HKG"/>
    <x v="9"/>
    <n v="3863900"/>
  </r>
  <r>
    <x v="86"/>
    <s v="HKG"/>
    <x v="10"/>
    <n v="3959000"/>
  </r>
  <r>
    <x v="86"/>
    <s v="HKG"/>
    <x v="11"/>
    <n v="4045300"/>
  </r>
  <r>
    <x v="86"/>
    <s v="HKG"/>
    <x v="12"/>
    <n v="4123600"/>
  </r>
  <r>
    <x v="86"/>
    <s v="HKG"/>
    <x v="13"/>
    <n v="4241600"/>
  </r>
  <r>
    <x v="86"/>
    <s v="HKG"/>
    <x v="14"/>
    <n v="4377800"/>
  </r>
  <r>
    <x v="86"/>
    <s v="HKG"/>
    <x v="15"/>
    <n v="4461600"/>
  </r>
  <r>
    <x v="86"/>
    <s v="HKG"/>
    <x v="16"/>
    <n v="4518000"/>
  </r>
  <r>
    <x v="86"/>
    <s v="HKG"/>
    <x v="17"/>
    <n v="4583700"/>
  </r>
  <r>
    <x v="86"/>
    <s v="HKG"/>
    <x v="18"/>
    <n v="4667500"/>
  </r>
  <r>
    <x v="86"/>
    <s v="HKG"/>
    <x v="19"/>
    <n v="4929700"/>
  </r>
  <r>
    <x v="86"/>
    <s v="HKG"/>
    <x v="20"/>
    <n v="5063100"/>
  </r>
  <r>
    <x v="86"/>
    <s v="HKG"/>
    <x v="21"/>
    <n v="5183400"/>
  </r>
  <r>
    <x v="86"/>
    <s v="HKG"/>
    <x v="22"/>
    <n v="5264500"/>
  </r>
  <r>
    <x v="86"/>
    <s v="HKG"/>
    <x v="23"/>
    <n v="5345100"/>
  </r>
  <r>
    <x v="86"/>
    <s v="HKG"/>
    <x v="24"/>
    <n v="5397900"/>
  </r>
  <r>
    <x v="86"/>
    <s v="HKG"/>
    <x v="25"/>
    <n v="5456200"/>
  </r>
  <r>
    <x v="86"/>
    <s v="HKG"/>
    <x v="26"/>
    <n v="5524600"/>
  </r>
  <r>
    <x v="86"/>
    <s v="HKG"/>
    <x v="27"/>
    <n v="5580500"/>
  </r>
  <r>
    <x v="86"/>
    <s v="HKG"/>
    <x v="28"/>
    <n v="5627600"/>
  </r>
  <r>
    <x v="86"/>
    <s v="HKG"/>
    <x v="29"/>
    <n v="5686200"/>
  </r>
  <r>
    <x v="86"/>
    <s v="HKG"/>
    <x v="30"/>
    <n v="5704500"/>
  </r>
  <r>
    <x v="86"/>
    <s v="HKG"/>
    <x v="31"/>
    <n v="5752000"/>
  </r>
  <r>
    <x v="86"/>
    <s v="HKG"/>
    <x v="32"/>
    <n v="5800500"/>
  </r>
  <r>
    <x v="86"/>
    <s v="HKG"/>
    <x v="33"/>
    <n v="5901000"/>
  </r>
  <r>
    <x v="86"/>
    <s v="HKG"/>
    <x v="34"/>
    <n v="6035400"/>
  </r>
  <r>
    <x v="86"/>
    <s v="HKG"/>
    <x v="35"/>
    <n v="6156100"/>
  </r>
  <r>
    <x v="86"/>
    <s v="HKG"/>
    <x v="36"/>
    <n v="6435500"/>
  </r>
  <r>
    <x v="86"/>
    <s v="HKG"/>
    <x v="37"/>
    <n v="6489300"/>
  </r>
  <r>
    <x v="86"/>
    <s v="HKG"/>
    <x v="38"/>
    <n v="6543700"/>
  </r>
  <r>
    <x v="86"/>
    <s v="HKG"/>
    <x v="39"/>
    <n v="6606500"/>
  </r>
  <r>
    <x v="86"/>
    <s v="HKG"/>
    <x v="40"/>
    <n v="6665000"/>
  </r>
  <r>
    <x v="86"/>
    <s v="HKG"/>
    <x v="41"/>
    <n v="6714300"/>
  </r>
  <r>
    <x v="86"/>
    <s v="HKG"/>
    <x v="42"/>
    <n v="6744100"/>
  </r>
  <r>
    <x v="86"/>
    <s v="HKG"/>
    <x v="43"/>
    <n v="6730800"/>
  </r>
  <r>
    <x v="86"/>
    <s v="HKG"/>
    <x v="44"/>
    <n v="6783500"/>
  </r>
  <r>
    <x v="86"/>
    <s v="HKG"/>
    <x v="45"/>
    <n v="6813200"/>
  </r>
  <r>
    <x v="86"/>
    <s v="HKG"/>
    <x v="46"/>
    <n v="6857100"/>
  </r>
  <r>
    <x v="86"/>
    <s v="HKG"/>
    <x v="47"/>
    <n v="6916300"/>
  </r>
  <r>
    <x v="86"/>
    <s v="HKG"/>
    <x v="48"/>
    <n v="6957800"/>
  </r>
  <r>
    <x v="86"/>
    <s v="HKG"/>
    <x v="49"/>
    <n v="6972800"/>
  </r>
  <r>
    <x v="86"/>
    <s v="HKG"/>
    <x v="50"/>
    <n v="7024200"/>
  </r>
  <r>
    <x v="86"/>
    <s v="HKG"/>
    <x v="51"/>
    <n v="7071600"/>
  </r>
  <r>
    <x v="86"/>
    <s v="HKG"/>
    <x v="52"/>
    <n v="7150100"/>
  </r>
  <r>
    <x v="86"/>
    <s v="HKG"/>
    <x v="53"/>
    <n v="7178900"/>
  </r>
  <r>
    <x v="86"/>
    <s v="HKG"/>
    <x v="54"/>
    <n v="7229500"/>
  </r>
  <r>
    <x v="86"/>
    <s v="HKG"/>
    <x v="55"/>
    <n v="7291300"/>
  </r>
  <r>
    <x v="86"/>
    <s v="HKG"/>
    <x v="56"/>
    <n v="7336600"/>
  </r>
  <r>
    <x v="86"/>
    <s v="HKG"/>
    <x v="57"/>
    <n v="7393200"/>
  </r>
  <r>
    <x v="86"/>
    <s v="HKG"/>
    <x v="58"/>
    <n v="7452600"/>
  </r>
  <r>
    <x v="86"/>
    <s v="HKG"/>
    <x v="59"/>
    <n v="7507900"/>
  </r>
  <r>
    <x v="86"/>
    <s v="HKG"/>
    <x v="60"/>
    <n v="7481000"/>
  </r>
  <r>
    <x v="86"/>
    <s v="HKG"/>
    <x v="61"/>
    <n v="7413100"/>
  </r>
  <r>
    <x v="86"/>
    <s v="HKG"/>
    <x v="62"/>
    <n v="7346100"/>
  </r>
  <r>
    <x v="86"/>
    <s v="HKG"/>
    <x v="63"/>
    <n v="7536100"/>
  </r>
  <r>
    <x v="86"/>
    <s v="HKG"/>
    <x v="64"/>
    <n v="7524100"/>
  </r>
  <r>
    <x v="87"/>
    <s v="HUN"/>
    <x v="0"/>
    <n v="9983512"/>
  </r>
  <r>
    <x v="87"/>
    <s v="HUN"/>
    <x v="1"/>
    <n v="10027958"/>
  </r>
  <r>
    <x v="87"/>
    <s v="HUN"/>
    <x v="2"/>
    <n v="10060825"/>
  </r>
  <r>
    <x v="87"/>
    <s v="HUN"/>
    <x v="3"/>
    <n v="10087947"/>
  </r>
  <r>
    <x v="87"/>
    <s v="HUN"/>
    <x v="4"/>
    <n v="10119835"/>
  </r>
  <r>
    <x v="87"/>
    <s v="HUN"/>
    <x v="5"/>
    <n v="10147935"/>
  </r>
  <r>
    <x v="87"/>
    <s v="HUN"/>
    <x v="6"/>
    <n v="10178653"/>
  </r>
  <r>
    <x v="87"/>
    <s v="HUN"/>
    <x v="7"/>
    <n v="10216604"/>
  </r>
  <r>
    <x v="87"/>
    <s v="HUN"/>
    <x v="8"/>
    <n v="10255815"/>
  </r>
  <r>
    <x v="87"/>
    <s v="HUN"/>
    <x v="9"/>
    <n v="10298723"/>
  </r>
  <r>
    <x v="87"/>
    <s v="HUN"/>
    <x v="10"/>
    <n v="10337910"/>
  </r>
  <r>
    <x v="87"/>
    <s v="HUN"/>
    <x v="11"/>
    <n v="10367537"/>
  </r>
  <r>
    <x v="87"/>
    <s v="HUN"/>
    <x v="12"/>
    <n v="10398489"/>
  </r>
  <r>
    <x v="87"/>
    <s v="HUN"/>
    <x v="13"/>
    <n v="10432055"/>
  </r>
  <r>
    <x v="87"/>
    <s v="HUN"/>
    <x v="14"/>
    <n v="10478720"/>
  </r>
  <r>
    <x v="87"/>
    <s v="HUN"/>
    <x v="15"/>
    <n v="10540525"/>
  </r>
  <r>
    <x v="87"/>
    <s v="HUN"/>
    <x v="16"/>
    <n v="10598677"/>
  </r>
  <r>
    <x v="87"/>
    <s v="HUN"/>
    <x v="17"/>
    <n v="10648031"/>
  </r>
  <r>
    <x v="87"/>
    <s v="HUN"/>
    <x v="18"/>
    <n v="10684822"/>
  </r>
  <r>
    <x v="87"/>
    <s v="HUN"/>
    <x v="19"/>
    <n v="10704152"/>
  </r>
  <r>
    <x v="87"/>
    <s v="HUN"/>
    <x v="20"/>
    <n v="10711122"/>
  </r>
  <r>
    <x v="87"/>
    <s v="HUN"/>
    <x v="21"/>
    <n v="10711848"/>
  </r>
  <r>
    <x v="87"/>
    <s v="HUN"/>
    <x v="22"/>
    <n v="10705535"/>
  </r>
  <r>
    <x v="87"/>
    <s v="HUN"/>
    <x v="23"/>
    <n v="10689463"/>
  </r>
  <r>
    <x v="87"/>
    <s v="HUN"/>
    <x v="24"/>
    <n v="10668095"/>
  </r>
  <r>
    <x v="87"/>
    <s v="HUN"/>
    <x v="25"/>
    <n v="10648713"/>
  </r>
  <r>
    <x v="87"/>
    <s v="HUN"/>
    <x v="26"/>
    <n v="10630564"/>
  </r>
  <r>
    <x v="87"/>
    <s v="HUN"/>
    <x v="27"/>
    <n v="10612741"/>
  </r>
  <r>
    <x v="87"/>
    <s v="HUN"/>
    <x v="28"/>
    <n v="10596487"/>
  </r>
  <r>
    <x v="87"/>
    <s v="HUN"/>
    <x v="29"/>
    <n v="10481719"/>
  </r>
  <r>
    <x v="87"/>
    <s v="HUN"/>
    <x v="30"/>
    <n v="10373988"/>
  </r>
  <r>
    <x v="87"/>
    <s v="HUN"/>
    <x v="31"/>
    <n v="10373400"/>
  </r>
  <r>
    <x v="87"/>
    <s v="HUN"/>
    <x v="32"/>
    <n v="10369341"/>
  </r>
  <r>
    <x v="87"/>
    <s v="HUN"/>
    <x v="33"/>
    <n v="10357523"/>
  </r>
  <r>
    <x v="87"/>
    <s v="HUN"/>
    <x v="34"/>
    <n v="10343355"/>
  </r>
  <r>
    <x v="87"/>
    <s v="HUN"/>
    <x v="35"/>
    <n v="10328965"/>
  </r>
  <r>
    <x v="87"/>
    <s v="HUN"/>
    <x v="36"/>
    <n v="10311238"/>
  </r>
  <r>
    <x v="87"/>
    <s v="HUN"/>
    <x v="37"/>
    <n v="10290486"/>
  </r>
  <r>
    <x v="87"/>
    <s v="HUN"/>
    <x v="38"/>
    <n v="10266570"/>
  </r>
  <r>
    <x v="87"/>
    <s v="HUN"/>
    <x v="39"/>
    <n v="10237530"/>
  </r>
  <r>
    <x v="87"/>
    <s v="HUN"/>
    <x v="40"/>
    <n v="10210971"/>
  </r>
  <r>
    <x v="87"/>
    <s v="HUN"/>
    <x v="41"/>
    <n v="10187576"/>
  </r>
  <r>
    <x v="87"/>
    <s v="HUN"/>
    <x v="42"/>
    <n v="10158608"/>
  </r>
  <r>
    <x v="87"/>
    <s v="HUN"/>
    <x v="43"/>
    <n v="10129552"/>
  </r>
  <r>
    <x v="87"/>
    <s v="HUN"/>
    <x v="44"/>
    <n v="10107146"/>
  </r>
  <r>
    <x v="87"/>
    <s v="HUN"/>
    <x v="45"/>
    <n v="10087065"/>
  </r>
  <r>
    <x v="87"/>
    <s v="HUN"/>
    <x v="46"/>
    <n v="10071370"/>
  </r>
  <r>
    <x v="87"/>
    <s v="HUN"/>
    <x v="47"/>
    <n v="10055780"/>
  </r>
  <r>
    <x v="87"/>
    <s v="HUN"/>
    <x v="48"/>
    <n v="10038188"/>
  </r>
  <r>
    <x v="87"/>
    <s v="HUN"/>
    <x v="49"/>
    <n v="10022650"/>
  </r>
  <r>
    <x v="87"/>
    <s v="HUN"/>
    <x v="50"/>
    <n v="10000023"/>
  </r>
  <r>
    <x v="87"/>
    <s v="HUN"/>
    <x v="51"/>
    <n v="9971727"/>
  </r>
  <r>
    <x v="87"/>
    <s v="HUN"/>
    <x v="52"/>
    <n v="9920362"/>
  </r>
  <r>
    <x v="87"/>
    <s v="HUN"/>
    <x v="53"/>
    <n v="9872734"/>
  </r>
  <r>
    <x v="87"/>
    <s v="HUN"/>
    <x v="54"/>
    <n v="9833038"/>
  </r>
  <r>
    <x v="87"/>
    <s v="HUN"/>
    <x v="55"/>
    <n v="9797755"/>
  </r>
  <r>
    <x v="87"/>
    <s v="HUN"/>
    <x v="56"/>
    <n v="9759755"/>
  </r>
  <r>
    <x v="87"/>
    <s v="HUN"/>
    <x v="57"/>
    <n v="9726756"/>
  </r>
  <r>
    <x v="87"/>
    <s v="HUN"/>
    <x v="58"/>
    <n v="9706964"/>
  </r>
  <r>
    <x v="87"/>
    <s v="HUN"/>
    <x v="59"/>
    <n v="9694824"/>
  </r>
  <r>
    <x v="87"/>
    <s v="HUN"/>
    <x v="60"/>
    <n v="9670419"/>
  </r>
  <r>
    <x v="87"/>
    <s v="HUN"/>
    <x v="61"/>
    <n v="9630932"/>
  </r>
  <r>
    <x v="87"/>
    <s v="HUN"/>
    <x v="62"/>
    <n v="9605074"/>
  </r>
  <r>
    <x v="87"/>
    <s v="HUN"/>
    <x v="63"/>
    <n v="9592186"/>
  </r>
  <r>
    <x v="87"/>
    <s v="HUN"/>
    <x v="64"/>
    <n v="9562314"/>
  </r>
  <r>
    <x v="88"/>
    <s v="ISL"/>
    <x v="0"/>
    <n v="175574"/>
  </r>
  <r>
    <x v="88"/>
    <s v="ISL"/>
    <x v="1"/>
    <n v="179029"/>
  </r>
  <r>
    <x v="88"/>
    <s v="ISL"/>
    <x v="2"/>
    <n v="182378"/>
  </r>
  <r>
    <x v="88"/>
    <s v="ISL"/>
    <x v="3"/>
    <n v="185653"/>
  </r>
  <r>
    <x v="88"/>
    <s v="ISL"/>
    <x v="4"/>
    <n v="188983"/>
  </r>
  <r>
    <x v="88"/>
    <s v="ISL"/>
    <x v="5"/>
    <n v="192286"/>
  </r>
  <r>
    <x v="88"/>
    <s v="ISL"/>
    <x v="6"/>
    <n v="195570"/>
  </r>
  <r>
    <x v="88"/>
    <s v="ISL"/>
    <x v="7"/>
    <n v="198751"/>
  </r>
  <r>
    <x v="88"/>
    <s v="ISL"/>
    <x v="8"/>
    <n v="201488"/>
  </r>
  <r>
    <x v="88"/>
    <s v="ISL"/>
    <x v="9"/>
    <n v="203369"/>
  </r>
  <r>
    <x v="88"/>
    <s v="ISL"/>
    <x v="10"/>
    <n v="204438"/>
  </r>
  <r>
    <x v="88"/>
    <s v="ISL"/>
    <x v="11"/>
    <n v="206098"/>
  </r>
  <r>
    <x v="88"/>
    <s v="ISL"/>
    <x v="12"/>
    <n v="209137"/>
  </r>
  <r>
    <x v="88"/>
    <s v="ISL"/>
    <x v="13"/>
    <n v="212317"/>
  </r>
  <r>
    <x v="88"/>
    <s v="ISL"/>
    <x v="14"/>
    <n v="215209"/>
  </r>
  <r>
    <x v="88"/>
    <s v="ISL"/>
    <x v="15"/>
    <n v="217979"/>
  </r>
  <r>
    <x v="88"/>
    <s v="ISL"/>
    <x v="16"/>
    <n v="220154"/>
  </r>
  <r>
    <x v="88"/>
    <s v="ISL"/>
    <x v="17"/>
    <n v="221799"/>
  </r>
  <r>
    <x v="88"/>
    <s v="ISL"/>
    <x v="18"/>
    <n v="223537"/>
  </r>
  <r>
    <x v="88"/>
    <s v="ISL"/>
    <x v="19"/>
    <n v="225735"/>
  </r>
  <r>
    <x v="88"/>
    <s v="ISL"/>
    <x v="20"/>
    <n v="228138"/>
  </r>
  <r>
    <x v="88"/>
    <s v="ISL"/>
    <x v="21"/>
    <n v="230755"/>
  </r>
  <r>
    <x v="88"/>
    <s v="ISL"/>
    <x v="22"/>
    <n v="233860"/>
  </r>
  <r>
    <x v="88"/>
    <s v="ISL"/>
    <x v="23"/>
    <n v="236977"/>
  </r>
  <r>
    <x v="88"/>
    <s v="ISL"/>
    <x v="24"/>
    <n v="239511"/>
  </r>
  <r>
    <x v="88"/>
    <s v="ISL"/>
    <x v="25"/>
    <n v="241405"/>
  </r>
  <r>
    <x v="88"/>
    <s v="ISL"/>
    <x v="26"/>
    <n v="243180"/>
  </r>
  <r>
    <x v="88"/>
    <s v="ISL"/>
    <x v="27"/>
    <n v="245859"/>
  </r>
  <r>
    <x v="88"/>
    <s v="ISL"/>
    <x v="28"/>
    <n v="249740"/>
  </r>
  <r>
    <x v="88"/>
    <s v="ISL"/>
    <x v="29"/>
    <n v="252852"/>
  </r>
  <r>
    <x v="88"/>
    <s v="ISL"/>
    <x v="30"/>
    <n v="254826"/>
  </r>
  <r>
    <x v="88"/>
    <s v="ISL"/>
    <x v="31"/>
    <n v="257797"/>
  </r>
  <r>
    <x v="88"/>
    <s v="ISL"/>
    <x v="32"/>
    <n v="261057"/>
  </r>
  <r>
    <x v="88"/>
    <s v="ISL"/>
    <x v="33"/>
    <n v="263725"/>
  </r>
  <r>
    <x v="88"/>
    <s v="ISL"/>
    <x v="34"/>
    <n v="266021"/>
  </r>
  <r>
    <x v="88"/>
    <s v="ISL"/>
    <x v="35"/>
    <n v="267468"/>
  </r>
  <r>
    <x v="88"/>
    <s v="ISL"/>
    <x v="36"/>
    <n v="268916"/>
  </r>
  <r>
    <x v="88"/>
    <s v="ISL"/>
    <x v="37"/>
    <n v="271128"/>
  </r>
  <r>
    <x v="88"/>
    <s v="ISL"/>
    <x v="38"/>
    <n v="274047"/>
  </r>
  <r>
    <x v="88"/>
    <s v="ISL"/>
    <x v="39"/>
    <n v="277381"/>
  </r>
  <r>
    <x v="88"/>
    <s v="ISL"/>
    <x v="40"/>
    <n v="281205"/>
  </r>
  <r>
    <x v="88"/>
    <s v="ISL"/>
    <x v="41"/>
    <n v="284968"/>
  </r>
  <r>
    <x v="88"/>
    <s v="ISL"/>
    <x v="42"/>
    <n v="287523"/>
  </r>
  <r>
    <x v="88"/>
    <s v="ISL"/>
    <x v="43"/>
    <n v="289521"/>
  </r>
  <r>
    <x v="88"/>
    <s v="ISL"/>
    <x v="44"/>
    <n v="292074"/>
  </r>
  <r>
    <x v="88"/>
    <s v="ISL"/>
    <x v="45"/>
    <n v="296734"/>
  </r>
  <r>
    <x v="88"/>
    <s v="ISL"/>
    <x v="46"/>
    <n v="303782"/>
  </r>
  <r>
    <x v="88"/>
    <s v="ISL"/>
    <x v="47"/>
    <n v="311566"/>
  </r>
  <r>
    <x v="88"/>
    <s v="ISL"/>
    <x v="48"/>
    <n v="317414"/>
  </r>
  <r>
    <x v="88"/>
    <s v="ISL"/>
    <x v="49"/>
    <n v="318499"/>
  </r>
  <r>
    <x v="88"/>
    <s v="ISL"/>
    <x v="50"/>
    <n v="318041"/>
  </r>
  <r>
    <x v="88"/>
    <s v="ISL"/>
    <x v="51"/>
    <n v="319014"/>
  </r>
  <r>
    <x v="88"/>
    <s v="ISL"/>
    <x v="52"/>
    <n v="320716"/>
  </r>
  <r>
    <x v="88"/>
    <s v="ISL"/>
    <x v="53"/>
    <n v="323764"/>
  </r>
  <r>
    <x v="88"/>
    <s v="ISL"/>
    <x v="54"/>
    <n v="327386"/>
  </r>
  <r>
    <x v="88"/>
    <s v="ISL"/>
    <x v="55"/>
    <n v="330815"/>
  </r>
  <r>
    <x v="88"/>
    <s v="ISL"/>
    <x v="56"/>
    <n v="335439"/>
  </r>
  <r>
    <x v="88"/>
    <s v="ISL"/>
    <x v="57"/>
    <n v="343400"/>
  </r>
  <r>
    <x v="88"/>
    <s v="ISL"/>
    <x v="58"/>
    <n v="352721"/>
  </r>
  <r>
    <x v="88"/>
    <s v="ISL"/>
    <x v="59"/>
    <n v="360563"/>
  </r>
  <r>
    <x v="88"/>
    <s v="ISL"/>
    <x v="60"/>
    <n v="366463"/>
  </r>
  <r>
    <x v="88"/>
    <s v="ISL"/>
    <x v="61"/>
    <n v="372520"/>
  </r>
  <r>
    <x v="88"/>
    <s v="ISL"/>
    <x v="62"/>
    <n v="382003"/>
  </r>
  <r>
    <x v="88"/>
    <s v="ISL"/>
    <x v="63"/>
    <n v="393349"/>
  </r>
  <r>
    <x v="88"/>
    <s v="ISL"/>
    <x v="64"/>
    <n v="404610"/>
  </r>
  <r>
    <x v="89"/>
    <s v="IND"/>
    <x v="0"/>
    <n v="435990338"/>
  </r>
  <r>
    <x v="89"/>
    <s v="IND"/>
    <x v="1"/>
    <n v="446564729"/>
  </r>
  <r>
    <x v="89"/>
    <s v="IND"/>
    <x v="2"/>
    <n v="457283090"/>
  </r>
  <r>
    <x v="89"/>
    <s v="IND"/>
    <x v="3"/>
    <n v="468138575"/>
  </r>
  <r>
    <x v="89"/>
    <s v="IND"/>
    <x v="4"/>
    <n v="479229598"/>
  </r>
  <r>
    <x v="89"/>
    <s v="IND"/>
    <x v="5"/>
    <n v="490140146"/>
  </r>
  <r>
    <x v="89"/>
    <s v="IND"/>
    <x v="6"/>
    <n v="500740247"/>
  </r>
  <r>
    <x v="89"/>
    <s v="IND"/>
    <x v="7"/>
    <n v="511606372"/>
  </r>
  <r>
    <x v="89"/>
    <s v="IND"/>
    <x v="8"/>
    <n v="522716889"/>
  </r>
  <r>
    <x v="89"/>
    <s v="IND"/>
    <x v="9"/>
    <n v="533880544"/>
  </r>
  <r>
    <x v="89"/>
    <s v="IND"/>
    <x v="10"/>
    <n v="545864268"/>
  </r>
  <r>
    <x v="89"/>
    <s v="IND"/>
    <x v="11"/>
    <n v="558096387"/>
  </r>
  <r>
    <x v="89"/>
    <s v="IND"/>
    <x v="12"/>
    <n v="570482142"/>
  </r>
  <r>
    <x v="89"/>
    <s v="IND"/>
    <x v="13"/>
    <n v="583465598"/>
  </r>
  <r>
    <x v="89"/>
    <s v="IND"/>
    <x v="14"/>
    <n v="597041391"/>
  </r>
  <r>
    <x v="89"/>
    <s v="IND"/>
    <x v="15"/>
    <n v="611309535"/>
  </r>
  <r>
    <x v="89"/>
    <s v="IND"/>
    <x v="16"/>
    <n v="625861883"/>
  </r>
  <r>
    <x v="89"/>
    <s v="IND"/>
    <x v="17"/>
    <n v="640801103"/>
  </r>
  <r>
    <x v="89"/>
    <s v="IND"/>
    <x v="18"/>
    <n v="655728229"/>
  </r>
  <r>
    <x v="89"/>
    <s v="IND"/>
    <x v="19"/>
    <n v="671155747"/>
  </r>
  <r>
    <x v="89"/>
    <s v="IND"/>
    <x v="20"/>
    <n v="687354025"/>
  </r>
  <r>
    <x v="89"/>
    <s v="IND"/>
    <x v="21"/>
    <n v="703696250"/>
  </r>
  <r>
    <x v="89"/>
    <s v="IND"/>
    <x v="22"/>
    <n v="720313473"/>
  </r>
  <r>
    <x v="89"/>
    <s v="IND"/>
    <x v="23"/>
    <n v="737372681"/>
  </r>
  <r>
    <x v="89"/>
    <s v="IND"/>
    <x v="24"/>
    <n v="754875449"/>
  </r>
  <r>
    <x v="89"/>
    <s v="IND"/>
    <x v="25"/>
    <n v="772647793"/>
  </r>
  <r>
    <x v="89"/>
    <s v="IND"/>
    <x v="26"/>
    <n v="790689978"/>
  </r>
  <r>
    <x v="89"/>
    <s v="IND"/>
    <x v="27"/>
    <n v="808931270"/>
  </r>
  <r>
    <x v="89"/>
    <s v="IND"/>
    <x v="28"/>
    <n v="827342990"/>
  </r>
  <r>
    <x v="89"/>
    <s v="IND"/>
    <x v="29"/>
    <n v="846039529"/>
  </r>
  <r>
    <x v="89"/>
    <s v="IND"/>
    <x v="30"/>
    <n v="864972221"/>
  </r>
  <r>
    <x v="89"/>
    <s v="IND"/>
    <x v="31"/>
    <n v="883927600"/>
  </r>
  <r>
    <x v="89"/>
    <s v="IND"/>
    <x v="32"/>
    <n v="902957070"/>
  </r>
  <r>
    <x v="89"/>
    <s v="IND"/>
    <x v="33"/>
    <n v="922118387"/>
  </r>
  <r>
    <x v="89"/>
    <s v="IND"/>
    <x v="34"/>
    <n v="941163767"/>
  </r>
  <r>
    <x v="89"/>
    <s v="IND"/>
    <x v="35"/>
    <n v="960301044"/>
  </r>
  <r>
    <x v="89"/>
    <s v="IND"/>
    <x v="36"/>
    <n v="979678458"/>
  </r>
  <r>
    <x v="89"/>
    <s v="IND"/>
    <x v="37"/>
    <n v="999133762"/>
  </r>
  <r>
    <x v="89"/>
    <s v="IND"/>
    <x v="38"/>
    <n v="1018665080"/>
  </r>
  <r>
    <x v="89"/>
    <s v="IND"/>
    <x v="39"/>
    <n v="1038225823"/>
  </r>
  <r>
    <x v="89"/>
    <s v="IND"/>
    <x v="40"/>
    <n v="1057922733"/>
  </r>
  <r>
    <x v="89"/>
    <s v="IND"/>
    <x v="41"/>
    <n v="1077898575"/>
  </r>
  <r>
    <x v="89"/>
    <s v="IND"/>
    <x v="42"/>
    <n v="1097600380"/>
  </r>
  <r>
    <x v="89"/>
    <s v="IND"/>
    <x v="43"/>
    <n v="1116803006"/>
  </r>
  <r>
    <x v="89"/>
    <s v="IND"/>
    <x v="44"/>
    <n v="1135991513"/>
  </r>
  <r>
    <x v="89"/>
    <s v="IND"/>
    <x v="45"/>
    <n v="1154676322"/>
  </r>
  <r>
    <x v="89"/>
    <s v="IND"/>
    <x v="46"/>
    <n v="1172878890"/>
  </r>
  <r>
    <x v="89"/>
    <s v="IND"/>
    <x v="47"/>
    <n v="1190676021"/>
  </r>
  <r>
    <x v="89"/>
    <s v="IND"/>
    <x v="48"/>
    <n v="1207930964"/>
  </r>
  <r>
    <x v="89"/>
    <s v="IND"/>
    <x v="49"/>
    <n v="1225524753"/>
  </r>
  <r>
    <x v="89"/>
    <s v="IND"/>
    <x v="50"/>
    <n v="1243481564"/>
  </r>
  <r>
    <x v="89"/>
    <s v="IND"/>
    <x v="51"/>
    <n v="1261224954"/>
  </r>
  <r>
    <x v="89"/>
    <s v="IND"/>
    <x v="52"/>
    <n v="1278674502"/>
  </r>
  <r>
    <x v="89"/>
    <s v="IND"/>
    <x v="53"/>
    <n v="1295829511"/>
  </r>
  <r>
    <x v="89"/>
    <s v="IND"/>
    <x v="54"/>
    <n v="1312277191"/>
  </r>
  <r>
    <x v="89"/>
    <s v="IND"/>
    <x v="55"/>
    <n v="1328024498"/>
  </r>
  <r>
    <x v="89"/>
    <s v="IND"/>
    <x v="56"/>
    <n v="1343944296"/>
  </r>
  <r>
    <x v="89"/>
    <s v="IND"/>
    <x v="57"/>
    <n v="1359657400"/>
  </r>
  <r>
    <x v="89"/>
    <s v="IND"/>
    <x v="58"/>
    <n v="1374659064"/>
  </r>
  <r>
    <x v="89"/>
    <s v="IND"/>
    <x v="59"/>
    <n v="1389030312"/>
  </r>
  <r>
    <x v="89"/>
    <s v="IND"/>
    <x v="60"/>
    <n v="1402617695"/>
  </r>
  <r>
    <x v="89"/>
    <s v="IND"/>
    <x v="61"/>
    <n v="1414203896"/>
  </r>
  <r>
    <x v="89"/>
    <s v="IND"/>
    <x v="62"/>
    <n v="1425423212"/>
  </r>
  <r>
    <x v="89"/>
    <s v="IND"/>
    <x v="63"/>
    <n v="1438069596"/>
  </r>
  <r>
    <x v="89"/>
    <s v="IND"/>
    <x v="64"/>
    <n v="1450935791"/>
  </r>
  <r>
    <x v="90"/>
    <s v="IDN"/>
    <x v="0"/>
    <n v="88296070"/>
  </r>
  <r>
    <x v="90"/>
    <s v="IDN"/>
    <x v="1"/>
    <n v="90791249"/>
  </r>
  <r>
    <x v="90"/>
    <s v="IDN"/>
    <x v="2"/>
    <n v="93375850"/>
  </r>
  <r>
    <x v="90"/>
    <s v="IDN"/>
    <x v="3"/>
    <n v="96051424"/>
  </r>
  <r>
    <x v="90"/>
    <s v="IDN"/>
    <x v="4"/>
    <n v="98833749"/>
  </r>
  <r>
    <x v="90"/>
    <s v="IDN"/>
    <x v="5"/>
    <n v="101365130"/>
  </r>
  <r>
    <x v="90"/>
    <s v="IDN"/>
    <x v="6"/>
    <n v="103792754"/>
  </r>
  <r>
    <x v="90"/>
    <s v="IDN"/>
    <x v="7"/>
    <n v="106526393"/>
  </r>
  <r>
    <x v="90"/>
    <s v="IDN"/>
    <x v="8"/>
    <n v="109450006"/>
  </r>
  <r>
    <x v="90"/>
    <s v="IDN"/>
    <x v="9"/>
    <n v="112517639"/>
  </r>
  <r>
    <x v="90"/>
    <s v="IDN"/>
    <x v="10"/>
    <n v="115657495"/>
  </r>
  <r>
    <x v="90"/>
    <s v="IDN"/>
    <x v="11"/>
    <n v="118833702"/>
  </r>
  <r>
    <x v="90"/>
    <s v="IDN"/>
    <x v="12"/>
    <n v="122039841"/>
  </r>
  <r>
    <x v="90"/>
    <s v="IDN"/>
    <x v="13"/>
    <n v="125288515"/>
  </r>
  <r>
    <x v="90"/>
    <s v="IDN"/>
    <x v="14"/>
    <n v="128555045"/>
  </r>
  <r>
    <x v="90"/>
    <s v="IDN"/>
    <x v="15"/>
    <n v="131843848"/>
  </r>
  <r>
    <x v="90"/>
    <s v="IDN"/>
    <x v="16"/>
    <n v="135173655"/>
  </r>
  <r>
    <x v="90"/>
    <s v="IDN"/>
    <x v="17"/>
    <n v="138533541"/>
  </r>
  <r>
    <x v="90"/>
    <s v="IDN"/>
    <x v="18"/>
    <n v="141953163"/>
  </r>
  <r>
    <x v="90"/>
    <s v="IDN"/>
    <x v="19"/>
    <n v="145434834"/>
  </r>
  <r>
    <x v="90"/>
    <s v="IDN"/>
    <x v="20"/>
    <n v="148950540"/>
  </r>
  <r>
    <x v="90"/>
    <s v="IDN"/>
    <x v="21"/>
    <n v="152485035"/>
  </r>
  <r>
    <x v="90"/>
    <s v="IDN"/>
    <x v="22"/>
    <n v="156052152"/>
  </r>
  <r>
    <x v="90"/>
    <s v="IDN"/>
    <x v="23"/>
    <n v="159651381"/>
  </r>
  <r>
    <x v="90"/>
    <s v="IDN"/>
    <x v="24"/>
    <n v="163251124"/>
  </r>
  <r>
    <x v="90"/>
    <s v="IDN"/>
    <x v="25"/>
    <n v="166776185"/>
  </r>
  <r>
    <x v="90"/>
    <s v="IDN"/>
    <x v="26"/>
    <n v="170175065"/>
  </r>
  <r>
    <x v="90"/>
    <s v="IDN"/>
    <x v="27"/>
    <n v="173511154"/>
  </r>
  <r>
    <x v="90"/>
    <s v="IDN"/>
    <x v="28"/>
    <n v="176855065"/>
  </r>
  <r>
    <x v="90"/>
    <s v="IDN"/>
    <x v="29"/>
    <n v="180201630"/>
  </r>
  <r>
    <x v="90"/>
    <s v="IDN"/>
    <x v="30"/>
    <n v="183501098"/>
  </r>
  <r>
    <x v="90"/>
    <s v="IDN"/>
    <x v="31"/>
    <n v="186778238"/>
  </r>
  <r>
    <x v="90"/>
    <s v="IDN"/>
    <x v="32"/>
    <n v="190043744"/>
  </r>
  <r>
    <x v="90"/>
    <s v="IDN"/>
    <x v="33"/>
    <n v="193305168"/>
  </r>
  <r>
    <x v="90"/>
    <s v="IDN"/>
    <x v="34"/>
    <n v="196591828"/>
  </r>
  <r>
    <x v="90"/>
    <s v="IDN"/>
    <x v="35"/>
    <n v="199888057"/>
  </r>
  <r>
    <x v="90"/>
    <s v="IDN"/>
    <x v="36"/>
    <n v="203204348"/>
  </r>
  <r>
    <x v="90"/>
    <s v="IDN"/>
    <x v="37"/>
    <n v="206536095"/>
  </r>
  <r>
    <x v="90"/>
    <s v="IDN"/>
    <x v="38"/>
    <n v="209826788"/>
  </r>
  <r>
    <x v="90"/>
    <s v="IDN"/>
    <x v="39"/>
    <n v="213004668"/>
  </r>
  <r>
    <x v="90"/>
    <s v="IDN"/>
    <x v="40"/>
    <n v="216077790"/>
  </r>
  <r>
    <x v="90"/>
    <s v="IDN"/>
    <x v="41"/>
    <n v="219097902"/>
  </r>
  <r>
    <x v="90"/>
    <s v="IDN"/>
    <x v="42"/>
    <n v="222088495"/>
  </r>
  <r>
    <x v="90"/>
    <s v="IDN"/>
    <x v="43"/>
    <n v="225048008"/>
  </r>
  <r>
    <x v="90"/>
    <s v="IDN"/>
    <x v="44"/>
    <n v="227926649"/>
  </r>
  <r>
    <x v="90"/>
    <s v="IDN"/>
    <x v="45"/>
    <n v="230871650"/>
  </r>
  <r>
    <x v="90"/>
    <s v="IDN"/>
    <x v="46"/>
    <n v="233951652"/>
  </r>
  <r>
    <x v="90"/>
    <s v="IDN"/>
    <x v="47"/>
    <n v="237062337"/>
  </r>
  <r>
    <x v="90"/>
    <s v="IDN"/>
    <x v="48"/>
    <n v="240157903"/>
  </r>
  <r>
    <x v="90"/>
    <s v="IDN"/>
    <x v="49"/>
    <n v="243220028"/>
  </r>
  <r>
    <x v="90"/>
    <s v="IDN"/>
    <x v="50"/>
    <n v="246305322"/>
  </r>
  <r>
    <x v="90"/>
    <s v="IDN"/>
    <x v="51"/>
    <n v="249470032"/>
  </r>
  <r>
    <x v="90"/>
    <s v="IDN"/>
    <x v="52"/>
    <n v="252698525"/>
  </r>
  <r>
    <x v="90"/>
    <s v="IDN"/>
    <x v="53"/>
    <n v="255852467"/>
  </r>
  <r>
    <x v="90"/>
    <s v="IDN"/>
    <x v="54"/>
    <n v="258877399"/>
  </r>
  <r>
    <x v="90"/>
    <s v="IDN"/>
    <x v="55"/>
    <n v="261799249"/>
  </r>
  <r>
    <x v="90"/>
    <s v="IDN"/>
    <x v="56"/>
    <n v="264627418"/>
  </r>
  <r>
    <x v="90"/>
    <s v="IDN"/>
    <x v="57"/>
    <n v="267346658"/>
  </r>
  <r>
    <x v="90"/>
    <s v="IDN"/>
    <x v="58"/>
    <n v="269951846"/>
  </r>
  <r>
    <x v="90"/>
    <s v="IDN"/>
    <x v="59"/>
    <n v="272489381"/>
  </r>
  <r>
    <x v="90"/>
    <s v="IDN"/>
    <x v="60"/>
    <n v="274814866"/>
  </r>
  <r>
    <x v="90"/>
    <s v="IDN"/>
    <x v="61"/>
    <n v="276758053"/>
  </r>
  <r>
    <x v="90"/>
    <s v="IDN"/>
    <x v="62"/>
    <n v="278830529"/>
  </r>
  <r>
    <x v="90"/>
    <s v="IDN"/>
    <x v="63"/>
    <n v="281190067"/>
  </r>
  <r>
    <x v="90"/>
    <s v="IDN"/>
    <x v="64"/>
    <n v="283487931"/>
  </r>
  <r>
    <x v="91"/>
    <s v="IRN"/>
    <x v="0"/>
    <n v="21470434"/>
  </r>
  <r>
    <x v="91"/>
    <s v="IRN"/>
    <x v="1"/>
    <n v="22125726"/>
  </r>
  <r>
    <x v="91"/>
    <s v="IRN"/>
    <x v="2"/>
    <n v="22807907"/>
  </r>
  <r>
    <x v="91"/>
    <s v="IRN"/>
    <x v="3"/>
    <n v="23519005"/>
  </r>
  <r>
    <x v="91"/>
    <s v="IRN"/>
    <x v="4"/>
    <n v="24262859"/>
  </r>
  <r>
    <x v="91"/>
    <s v="IRN"/>
    <x v="5"/>
    <n v="25036978"/>
  </r>
  <r>
    <x v="91"/>
    <s v="IRN"/>
    <x v="6"/>
    <n v="25829270"/>
  </r>
  <r>
    <x v="91"/>
    <s v="IRN"/>
    <x v="7"/>
    <n v="26628432"/>
  </r>
  <r>
    <x v="91"/>
    <s v="IRN"/>
    <x v="8"/>
    <n v="27437391"/>
  </r>
  <r>
    <x v="91"/>
    <s v="IRN"/>
    <x v="9"/>
    <n v="28273482"/>
  </r>
  <r>
    <x v="91"/>
    <s v="IRN"/>
    <x v="10"/>
    <n v="29145100"/>
  </r>
  <r>
    <x v="91"/>
    <s v="IRN"/>
    <x v="11"/>
    <n v="30029071"/>
  </r>
  <r>
    <x v="91"/>
    <s v="IRN"/>
    <x v="12"/>
    <n v="30921179"/>
  </r>
  <r>
    <x v="91"/>
    <s v="IRN"/>
    <x v="13"/>
    <n v="31839838"/>
  </r>
  <r>
    <x v="91"/>
    <s v="IRN"/>
    <x v="14"/>
    <n v="32796463"/>
  </r>
  <r>
    <x v="91"/>
    <s v="IRN"/>
    <x v="15"/>
    <n v="33802973"/>
  </r>
  <r>
    <x v="91"/>
    <s v="IRN"/>
    <x v="16"/>
    <n v="34837271"/>
  </r>
  <r>
    <x v="91"/>
    <s v="IRN"/>
    <x v="17"/>
    <n v="35933181"/>
  </r>
  <r>
    <x v="91"/>
    <s v="IRN"/>
    <x v="18"/>
    <n v="37126535"/>
  </r>
  <r>
    <x v="91"/>
    <s v="IRN"/>
    <x v="19"/>
    <n v="38424952"/>
  </r>
  <r>
    <x v="91"/>
    <s v="IRN"/>
    <x v="20"/>
    <n v="39842324"/>
  </r>
  <r>
    <x v="91"/>
    <s v="IRN"/>
    <x v="21"/>
    <n v="41989312"/>
  </r>
  <r>
    <x v="91"/>
    <s v="IRN"/>
    <x v="22"/>
    <n v="44272141"/>
  </r>
  <r>
    <x v="91"/>
    <s v="IRN"/>
    <x v="23"/>
    <n v="46029535"/>
  </r>
  <r>
    <x v="91"/>
    <s v="IRN"/>
    <x v="24"/>
    <n v="47793998"/>
  </r>
  <r>
    <x v="91"/>
    <s v="IRN"/>
    <x v="25"/>
    <n v="49582289"/>
  </r>
  <r>
    <x v="91"/>
    <s v="IRN"/>
    <x v="26"/>
    <n v="51446045"/>
  </r>
  <r>
    <x v="91"/>
    <s v="IRN"/>
    <x v="27"/>
    <n v="53323493"/>
  </r>
  <r>
    <x v="91"/>
    <s v="IRN"/>
    <x v="28"/>
    <n v="55072694"/>
  </r>
  <r>
    <x v="91"/>
    <s v="IRN"/>
    <x v="29"/>
    <n v="56704914"/>
  </r>
  <r>
    <x v="91"/>
    <s v="IRN"/>
    <x v="30"/>
    <n v="58380092"/>
  </r>
  <r>
    <x v="91"/>
    <s v="IRN"/>
    <x v="31"/>
    <n v="59986931"/>
  </r>
  <r>
    <x v="91"/>
    <s v="IRN"/>
    <x v="32"/>
    <n v="61184983"/>
  </r>
  <r>
    <x v="91"/>
    <s v="IRN"/>
    <x v="33"/>
    <n v="61403543"/>
  </r>
  <r>
    <x v="91"/>
    <s v="IRN"/>
    <x v="34"/>
    <n v="61520598"/>
  </r>
  <r>
    <x v="91"/>
    <s v="IRN"/>
    <x v="35"/>
    <n v="62205567"/>
  </r>
  <r>
    <x v="91"/>
    <s v="IRN"/>
    <x v="36"/>
    <n v="62881300"/>
  </r>
  <r>
    <x v="91"/>
    <s v="IRN"/>
    <x v="37"/>
    <n v="63639638"/>
  </r>
  <r>
    <x v="91"/>
    <s v="IRN"/>
    <x v="38"/>
    <n v="64519859"/>
  </r>
  <r>
    <x v="91"/>
    <s v="IRN"/>
    <x v="39"/>
    <n v="65445391"/>
  </r>
  <r>
    <x v="91"/>
    <s v="IRN"/>
    <x v="40"/>
    <n v="66418659"/>
  </r>
  <r>
    <x v="91"/>
    <s v="IRN"/>
    <x v="41"/>
    <n v="67452005"/>
  </r>
  <r>
    <x v="91"/>
    <s v="IRN"/>
    <x v="42"/>
    <n v="68011317"/>
  </r>
  <r>
    <x v="91"/>
    <s v="IRN"/>
    <x v="43"/>
    <n v="68769340"/>
  </r>
  <r>
    <x v="91"/>
    <s v="IRN"/>
    <x v="44"/>
    <n v="70256316"/>
  </r>
  <r>
    <x v="91"/>
    <s v="IRN"/>
    <x v="45"/>
    <n v="71828455"/>
  </r>
  <r>
    <x v="91"/>
    <s v="IRN"/>
    <x v="46"/>
    <n v="73392747"/>
  </r>
  <r>
    <x v="91"/>
    <s v="IRN"/>
    <x v="47"/>
    <n v="74602648"/>
  </r>
  <r>
    <x v="91"/>
    <s v="IRN"/>
    <x v="48"/>
    <n v="75514204"/>
  </r>
  <r>
    <x v="91"/>
    <s v="IRN"/>
    <x v="49"/>
    <n v="76457825"/>
  </r>
  <r>
    <x v="91"/>
    <s v="IRN"/>
    <x v="50"/>
    <n v="77420842"/>
  </r>
  <r>
    <x v="91"/>
    <s v="IRN"/>
    <x v="51"/>
    <n v="78383598"/>
  </r>
  <r>
    <x v="91"/>
    <s v="IRN"/>
    <x v="52"/>
    <n v="79370580"/>
  </r>
  <r>
    <x v="91"/>
    <s v="IRN"/>
    <x v="53"/>
    <n v="80414686"/>
  </r>
  <r>
    <x v="91"/>
    <s v="IRN"/>
    <x v="54"/>
    <n v="81502045"/>
  </r>
  <r>
    <x v="91"/>
    <s v="IRN"/>
    <x v="55"/>
    <n v="82619362"/>
  </r>
  <r>
    <x v="91"/>
    <s v="IRN"/>
    <x v="56"/>
    <n v="83812228"/>
  </r>
  <r>
    <x v="91"/>
    <s v="IRN"/>
    <x v="57"/>
    <n v="85026754"/>
  </r>
  <r>
    <x v="91"/>
    <s v="IRN"/>
    <x v="58"/>
    <n v="86117998"/>
  </r>
  <r>
    <x v="91"/>
    <s v="IRN"/>
    <x v="59"/>
    <n v="87051648"/>
  </r>
  <r>
    <x v="91"/>
    <s v="IRN"/>
    <x v="60"/>
    <n v="87723443"/>
  </r>
  <r>
    <x v="91"/>
    <s v="IRN"/>
    <x v="61"/>
    <n v="88455488"/>
  </r>
  <r>
    <x v="91"/>
    <s v="IRN"/>
    <x v="62"/>
    <n v="89524246"/>
  </r>
  <r>
    <x v="91"/>
    <s v="IRN"/>
    <x v="63"/>
    <n v="90608707"/>
  </r>
  <r>
    <x v="91"/>
    <s v="IRN"/>
    <x v="64"/>
    <n v="91567738"/>
  </r>
  <r>
    <x v="92"/>
    <s v="IRQ"/>
    <x v="0"/>
    <n v="7022052"/>
  </r>
  <r>
    <x v="92"/>
    <s v="IRQ"/>
    <x v="1"/>
    <n v="7194553"/>
  </r>
  <r>
    <x v="92"/>
    <s v="IRQ"/>
    <x v="2"/>
    <n v="7413875"/>
  </r>
  <r>
    <x v="92"/>
    <s v="IRQ"/>
    <x v="3"/>
    <n v="7667928"/>
  </r>
  <r>
    <x v="92"/>
    <s v="IRQ"/>
    <x v="4"/>
    <n v="7929566"/>
  </r>
  <r>
    <x v="92"/>
    <s v="IRQ"/>
    <x v="5"/>
    <n v="8202140"/>
  </r>
  <r>
    <x v="92"/>
    <s v="IRQ"/>
    <x v="6"/>
    <n v="8485104"/>
  </r>
  <r>
    <x v="92"/>
    <s v="IRQ"/>
    <x v="7"/>
    <n v="8778869"/>
  </r>
  <r>
    <x v="92"/>
    <s v="IRQ"/>
    <x v="8"/>
    <n v="9085016"/>
  </r>
  <r>
    <x v="92"/>
    <s v="IRQ"/>
    <x v="9"/>
    <n v="9403356"/>
  </r>
  <r>
    <x v="92"/>
    <s v="IRQ"/>
    <x v="10"/>
    <n v="9735611"/>
  </r>
  <r>
    <x v="92"/>
    <s v="IRQ"/>
    <x v="11"/>
    <n v="10077809"/>
  </r>
  <r>
    <x v="92"/>
    <s v="IRQ"/>
    <x v="12"/>
    <n v="10430164"/>
  </r>
  <r>
    <x v="92"/>
    <s v="IRQ"/>
    <x v="13"/>
    <n v="10795869"/>
  </r>
  <r>
    <x v="92"/>
    <s v="IRQ"/>
    <x v="14"/>
    <n v="11167761"/>
  </r>
  <r>
    <x v="92"/>
    <s v="IRQ"/>
    <x v="15"/>
    <n v="11543639"/>
  </r>
  <r>
    <x v="92"/>
    <s v="IRQ"/>
    <x v="16"/>
    <n v="11927651"/>
  </r>
  <r>
    <x v="92"/>
    <s v="IRQ"/>
    <x v="17"/>
    <n v="12331046"/>
  </r>
  <r>
    <x v="92"/>
    <s v="IRQ"/>
    <x v="18"/>
    <n v="12753355"/>
  </r>
  <r>
    <x v="92"/>
    <s v="IRQ"/>
    <x v="19"/>
    <n v="13170365"/>
  </r>
  <r>
    <x v="92"/>
    <s v="IRQ"/>
    <x v="20"/>
    <n v="13591992"/>
  </r>
  <r>
    <x v="92"/>
    <s v="IRQ"/>
    <x v="21"/>
    <n v="14006381"/>
  </r>
  <r>
    <x v="92"/>
    <s v="IRQ"/>
    <x v="22"/>
    <n v="14406083"/>
  </r>
  <r>
    <x v="92"/>
    <s v="IRQ"/>
    <x v="23"/>
    <n v="14840555"/>
  </r>
  <r>
    <x v="92"/>
    <s v="IRQ"/>
    <x v="24"/>
    <n v="15310733"/>
  </r>
  <r>
    <x v="92"/>
    <s v="IRQ"/>
    <x v="25"/>
    <n v="15683430"/>
  </r>
  <r>
    <x v="92"/>
    <s v="IRQ"/>
    <x v="26"/>
    <n v="16074145"/>
  </r>
  <r>
    <x v="92"/>
    <s v="IRQ"/>
    <x v="27"/>
    <n v="16521049"/>
  </r>
  <r>
    <x v="92"/>
    <s v="IRQ"/>
    <x v="28"/>
    <n v="16908819"/>
  </r>
  <r>
    <x v="92"/>
    <s v="IRQ"/>
    <x v="29"/>
    <n v="17364542"/>
  </r>
  <r>
    <x v="92"/>
    <s v="IRQ"/>
    <x v="30"/>
    <n v="17581206"/>
  </r>
  <r>
    <x v="92"/>
    <s v="IRQ"/>
    <x v="31"/>
    <n v="17767253"/>
  </r>
  <r>
    <x v="92"/>
    <s v="IRQ"/>
    <x v="32"/>
    <n v="18300845"/>
  </r>
  <r>
    <x v="92"/>
    <s v="IRQ"/>
    <x v="33"/>
    <n v="19201195"/>
  </r>
  <r>
    <x v="92"/>
    <s v="IRQ"/>
    <x v="34"/>
    <n v="20139807"/>
  </r>
  <r>
    <x v="92"/>
    <s v="IRQ"/>
    <x v="35"/>
    <n v="20825860"/>
  </r>
  <r>
    <x v="92"/>
    <s v="IRQ"/>
    <x v="36"/>
    <n v="21501321"/>
  </r>
  <r>
    <x v="92"/>
    <s v="IRQ"/>
    <x v="37"/>
    <n v="22176593"/>
  </r>
  <r>
    <x v="92"/>
    <s v="IRQ"/>
    <x v="38"/>
    <n v="22884399"/>
  </r>
  <r>
    <x v="92"/>
    <s v="IRQ"/>
    <x v="39"/>
    <n v="23636527"/>
  </r>
  <r>
    <x v="92"/>
    <s v="IRQ"/>
    <x v="40"/>
    <n v="24424056"/>
  </r>
  <r>
    <x v="92"/>
    <s v="IRQ"/>
    <x v="41"/>
    <n v="25197840"/>
  </r>
  <r>
    <x v="92"/>
    <s v="IRQ"/>
    <x v="42"/>
    <n v="26006559"/>
  </r>
  <r>
    <x v="92"/>
    <s v="IRQ"/>
    <x v="43"/>
    <n v="26802659"/>
  </r>
  <r>
    <x v="92"/>
    <s v="IRQ"/>
    <x v="44"/>
    <n v="27577878"/>
  </r>
  <r>
    <x v="92"/>
    <s v="IRQ"/>
    <x v="45"/>
    <n v="28407448"/>
  </r>
  <r>
    <x v="92"/>
    <s v="IRQ"/>
    <x v="46"/>
    <n v="28616515"/>
  </r>
  <r>
    <x v="92"/>
    <s v="IRQ"/>
    <x v="47"/>
    <n v="28391607"/>
  </r>
  <r>
    <x v="92"/>
    <s v="IRQ"/>
    <x v="48"/>
    <n v="28971036"/>
  </r>
  <r>
    <x v="92"/>
    <s v="IRQ"/>
    <x v="49"/>
    <n v="30058206"/>
  </r>
  <r>
    <x v="92"/>
    <s v="IRQ"/>
    <x v="50"/>
    <n v="31045366"/>
  </r>
  <r>
    <x v="92"/>
    <s v="IRQ"/>
    <x v="51"/>
    <n v="32161424"/>
  </r>
  <r>
    <x v="92"/>
    <s v="IRQ"/>
    <x v="52"/>
    <n v="33654842"/>
  </r>
  <r>
    <x v="92"/>
    <s v="IRQ"/>
    <x v="53"/>
    <n v="35281989"/>
  </r>
  <r>
    <x v="92"/>
    <s v="IRQ"/>
    <x v="54"/>
    <n v="36550059"/>
  </r>
  <r>
    <x v="92"/>
    <s v="IRQ"/>
    <x v="55"/>
    <n v="37560535"/>
  </r>
  <r>
    <x v="92"/>
    <s v="IRQ"/>
    <x v="56"/>
    <n v="38469627"/>
  </r>
  <r>
    <x v="92"/>
    <s v="IRQ"/>
    <x v="57"/>
    <n v="39337353"/>
  </r>
  <r>
    <x v="92"/>
    <s v="IRQ"/>
    <x v="58"/>
    <n v="40265624"/>
  </r>
  <r>
    <x v="92"/>
    <s v="IRQ"/>
    <x v="59"/>
    <n v="41192171"/>
  </r>
  <r>
    <x v="92"/>
    <s v="IRQ"/>
    <x v="60"/>
    <n v="42116605"/>
  </r>
  <r>
    <x v="92"/>
    <s v="IRQ"/>
    <x v="61"/>
    <n v="43071211"/>
  </r>
  <r>
    <x v="92"/>
    <s v="IRQ"/>
    <x v="62"/>
    <n v="44070551"/>
  </r>
  <r>
    <x v="92"/>
    <s v="IRQ"/>
    <x v="63"/>
    <n v="45074049"/>
  </r>
  <r>
    <x v="92"/>
    <s v="IRQ"/>
    <x v="64"/>
    <n v="46042015"/>
  </r>
  <r>
    <x v="93"/>
    <s v="IRL"/>
    <x v="0"/>
    <n v="2828600"/>
  </r>
  <r>
    <x v="93"/>
    <s v="IRL"/>
    <x v="1"/>
    <n v="2824400"/>
  </r>
  <r>
    <x v="93"/>
    <s v="IRL"/>
    <x v="2"/>
    <n v="2836050"/>
  </r>
  <r>
    <x v="93"/>
    <s v="IRL"/>
    <x v="3"/>
    <n v="2852650"/>
  </r>
  <r>
    <x v="93"/>
    <s v="IRL"/>
    <x v="4"/>
    <n v="2866550"/>
  </r>
  <r>
    <x v="93"/>
    <s v="IRL"/>
    <x v="5"/>
    <n v="2877300"/>
  </r>
  <r>
    <x v="93"/>
    <s v="IRL"/>
    <x v="6"/>
    <n v="2888800"/>
  </r>
  <r>
    <x v="93"/>
    <s v="IRL"/>
    <x v="7"/>
    <n v="2902450"/>
  </r>
  <r>
    <x v="93"/>
    <s v="IRL"/>
    <x v="8"/>
    <n v="2915550"/>
  </r>
  <r>
    <x v="93"/>
    <s v="IRL"/>
    <x v="9"/>
    <n v="2932650"/>
  </r>
  <r>
    <x v="93"/>
    <s v="IRL"/>
    <x v="10"/>
    <n v="2957250"/>
  </r>
  <r>
    <x v="93"/>
    <s v="IRL"/>
    <x v="11"/>
    <n v="2992050"/>
  </r>
  <r>
    <x v="93"/>
    <s v="IRL"/>
    <x v="12"/>
    <n v="3036850"/>
  </r>
  <r>
    <x v="93"/>
    <s v="IRL"/>
    <x v="13"/>
    <n v="3085950"/>
  </r>
  <r>
    <x v="93"/>
    <s v="IRL"/>
    <x v="14"/>
    <n v="3137500"/>
  </r>
  <r>
    <x v="93"/>
    <s v="IRL"/>
    <x v="15"/>
    <n v="3189550"/>
  </r>
  <r>
    <x v="93"/>
    <s v="IRL"/>
    <x v="16"/>
    <n v="3238050"/>
  </r>
  <r>
    <x v="93"/>
    <s v="IRL"/>
    <x v="17"/>
    <n v="3282200"/>
  </r>
  <r>
    <x v="93"/>
    <s v="IRL"/>
    <x v="18"/>
    <n v="3329100"/>
  </r>
  <r>
    <x v="93"/>
    <s v="IRL"/>
    <x v="19"/>
    <n v="3373750"/>
  </r>
  <r>
    <x v="93"/>
    <s v="IRL"/>
    <x v="20"/>
    <n v="3412800"/>
  </r>
  <r>
    <x v="93"/>
    <s v="IRL"/>
    <x v="21"/>
    <n v="3453000"/>
  </r>
  <r>
    <x v="93"/>
    <s v="IRL"/>
    <x v="22"/>
    <n v="3485800"/>
  </r>
  <r>
    <x v="93"/>
    <s v="IRL"/>
    <x v="23"/>
    <n v="3510600"/>
  </r>
  <r>
    <x v="93"/>
    <s v="IRL"/>
    <x v="24"/>
    <n v="3532423"/>
  </r>
  <r>
    <x v="93"/>
    <s v="IRL"/>
    <x v="25"/>
    <n v="3538082"/>
  </r>
  <r>
    <x v="93"/>
    <s v="IRL"/>
    <x v="26"/>
    <n v="3539690"/>
  </r>
  <r>
    <x v="93"/>
    <s v="IRL"/>
    <x v="27"/>
    <n v="3540057"/>
  </r>
  <r>
    <x v="93"/>
    <s v="IRL"/>
    <x v="28"/>
    <n v="3524949"/>
  </r>
  <r>
    <x v="93"/>
    <s v="IRL"/>
    <x v="29"/>
    <n v="3511009"/>
  </r>
  <r>
    <x v="93"/>
    <s v="IRL"/>
    <x v="30"/>
    <n v="3513974"/>
  </r>
  <r>
    <x v="93"/>
    <s v="IRL"/>
    <x v="31"/>
    <n v="3534235"/>
  </r>
  <r>
    <x v="93"/>
    <s v="IRL"/>
    <x v="32"/>
    <n v="3558430"/>
  </r>
  <r>
    <x v="93"/>
    <s v="IRL"/>
    <x v="33"/>
    <n v="3576261"/>
  </r>
  <r>
    <x v="93"/>
    <s v="IRL"/>
    <x v="34"/>
    <n v="3590386"/>
  </r>
  <r>
    <x v="93"/>
    <s v="IRL"/>
    <x v="35"/>
    <n v="3608841"/>
  </r>
  <r>
    <x v="93"/>
    <s v="IRL"/>
    <x v="36"/>
    <n v="3637510"/>
  </r>
  <r>
    <x v="93"/>
    <s v="IRL"/>
    <x v="37"/>
    <n v="3674171"/>
  </r>
  <r>
    <x v="93"/>
    <s v="IRL"/>
    <x v="38"/>
    <n v="3712696"/>
  </r>
  <r>
    <x v="93"/>
    <s v="IRL"/>
    <x v="39"/>
    <n v="3754786"/>
  </r>
  <r>
    <x v="93"/>
    <s v="IRL"/>
    <x v="40"/>
    <n v="3805174"/>
  </r>
  <r>
    <x v="93"/>
    <s v="IRL"/>
    <x v="41"/>
    <n v="3866243"/>
  </r>
  <r>
    <x v="93"/>
    <s v="IRL"/>
    <x v="42"/>
    <n v="3931947"/>
  </r>
  <r>
    <x v="93"/>
    <s v="IRL"/>
    <x v="43"/>
    <n v="3996521"/>
  </r>
  <r>
    <x v="93"/>
    <s v="IRL"/>
    <x v="44"/>
    <n v="4070262"/>
  </r>
  <r>
    <x v="93"/>
    <s v="IRL"/>
    <x v="45"/>
    <n v="4159914"/>
  </r>
  <r>
    <x v="93"/>
    <s v="IRL"/>
    <x v="46"/>
    <n v="4273591"/>
  </r>
  <r>
    <x v="93"/>
    <s v="IRL"/>
    <x v="47"/>
    <n v="4398942"/>
  </r>
  <r>
    <x v="93"/>
    <s v="IRL"/>
    <x v="48"/>
    <n v="4489544"/>
  </r>
  <r>
    <x v="93"/>
    <s v="IRL"/>
    <x v="49"/>
    <n v="4535375"/>
  </r>
  <r>
    <x v="93"/>
    <s v="IRL"/>
    <x v="50"/>
    <n v="4560155"/>
  </r>
  <r>
    <x v="93"/>
    <s v="IRL"/>
    <x v="51"/>
    <n v="4580084"/>
  </r>
  <r>
    <x v="93"/>
    <s v="IRL"/>
    <x v="52"/>
    <n v="4599533"/>
  </r>
  <r>
    <x v="93"/>
    <s v="IRL"/>
    <x v="53"/>
    <n v="4623816"/>
  </r>
  <r>
    <x v="93"/>
    <s v="IRL"/>
    <x v="54"/>
    <n v="4657740"/>
  </r>
  <r>
    <x v="93"/>
    <s v="IRL"/>
    <x v="55"/>
    <n v="4701957"/>
  </r>
  <r>
    <x v="93"/>
    <s v="IRL"/>
    <x v="56"/>
    <n v="4762722"/>
  </r>
  <r>
    <x v="93"/>
    <s v="IRL"/>
    <x v="57"/>
    <n v="4827445"/>
  </r>
  <r>
    <x v="93"/>
    <s v="IRL"/>
    <x v="58"/>
    <n v="4898022"/>
  </r>
  <r>
    <x v="93"/>
    <s v="IRL"/>
    <x v="59"/>
    <n v="4976456"/>
  </r>
  <r>
    <x v="93"/>
    <s v="IRL"/>
    <x v="60"/>
    <n v="5039747"/>
  </r>
  <r>
    <x v="93"/>
    <s v="IRL"/>
    <x v="61"/>
    <n v="5110585"/>
  </r>
  <r>
    <x v="93"/>
    <s v="IRL"/>
    <x v="62"/>
    <n v="5212836"/>
  </r>
  <r>
    <x v="93"/>
    <s v="IRL"/>
    <x v="63"/>
    <n v="5307600"/>
  </r>
  <r>
    <x v="93"/>
    <s v="IRL"/>
    <x v="64"/>
    <n v="5380257"/>
  </r>
  <r>
    <x v="94"/>
    <s v="IMN"/>
    <x v="0"/>
    <n v="48868"/>
  </r>
  <r>
    <x v="94"/>
    <s v="IMN"/>
    <x v="1"/>
    <n v="48451"/>
  </r>
  <r>
    <x v="94"/>
    <s v="IMN"/>
    <x v="2"/>
    <n v="48688"/>
  </r>
  <r>
    <x v="94"/>
    <s v="IMN"/>
    <x v="3"/>
    <n v="49151"/>
  </r>
  <r>
    <x v="94"/>
    <s v="IMN"/>
    <x v="4"/>
    <n v="49625"/>
  </r>
  <r>
    <x v="94"/>
    <s v="IMN"/>
    <x v="5"/>
    <n v="50090"/>
  </r>
  <r>
    <x v="94"/>
    <s v="IMN"/>
    <x v="6"/>
    <n v="50749"/>
  </r>
  <r>
    <x v="94"/>
    <s v="IMN"/>
    <x v="7"/>
    <n v="51741"/>
  </r>
  <r>
    <x v="94"/>
    <s v="IMN"/>
    <x v="8"/>
    <n v="52891"/>
  </r>
  <r>
    <x v="94"/>
    <s v="IMN"/>
    <x v="9"/>
    <n v="54074"/>
  </r>
  <r>
    <x v="94"/>
    <s v="IMN"/>
    <x v="10"/>
    <n v="55300"/>
  </r>
  <r>
    <x v="94"/>
    <s v="IMN"/>
    <x v="11"/>
    <n v="56427"/>
  </r>
  <r>
    <x v="94"/>
    <s v="IMN"/>
    <x v="12"/>
    <n v="57367"/>
  </r>
  <r>
    <x v="94"/>
    <s v="IMN"/>
    <x v="13"/>
    <n v="58256"/>
  </r>
  <r>
    <x v="94"/>
    <s v="IMN"/>
    <x v="14"/>
    <n v="59139"/>
  </r>
  <r>
    <x v="94"/>
    <s v="IMN"/>
    <x v="15"/>
    <n v="59959"/>
  </r>
  <r>
    <x v="94"/>
    <s v="IMN"/>
    <x v="16"/>
    <n v="60750"/>
  </r>
  <r>
    <x v="94"/>
    <s v="IMN"/>
    <x v="17"/>
    <n v="61566"/>
  </r>
  <r>
    <x v="94"/>
    <s v="IMN"/>
    <x v="18"/>
    <n v="62398"/>
  </r>
  <r>
    <x v="94"/>
    <s v="IMN"/>
    <x v="19"/>
    <n v="63239"/>
  </r>
  <r>
    <x v="94"/>
    <s v="IMN"/>
    <x v="20"/>
    <n v="64076"/>
  </r>
  <r>
    <x v="94"/>
    <s v="IMN"/>
    <x v="21"/>
    <n v="64596"/>
  </r>
  <r>
    <x v="94"/>
    <s v="IMN"/>
    <x v="22"/>
    <n v="64686"/>
  </r>
  <r>
    <x v="94"/>
    <s v="IMN"/>
    <x v="23"/>
    <n v="64630"/>
  </r>
  <r>
    <x v="94"/>
    <s v="IMN"/>
    <x v="24"/>
    <n v="64528"/>
  </r>
  <r>
    <x v="94"/>
    <s v="IMN"/>
    <x v="25"/>
    <n v="64401"/>
  </r>
  <r>
    <x v="94"/>
    <s v="IMN"/>
    <x v="26"/>
    <n v="64695"/>
  </r>
  <r>
    <x v="94"/>
    <s v="IMN"/>
    <x v="27"/>
    <n v="65597"/>
  </r>
  <r>
    <x v="94"/>
    <s v="IMN"/>
    <x v="28"/>
    <n v="66680"/>
  </r>
  <r>
    <x v="94"/>
    <s v="IMN"/>
    <x v="29"/>
    <n v="67790"/>
  </r>
  <r>
    <x v="94"/>
    <s v="IMN"/>
    <x v="30"/>
    <n v="68916"/>
  </r>
  <r>
    <x v="94"/>
    <s v="IMN"/>
    <x v="31"/>
    <n v="69808"/>
  </r>
  <r>
    <x v="94"/>
    <s v="IMN"/>
    <x v="32"/>
    <n v="70353"/>
  </r>
  <r>
    <x v="94"/>
    <s v="IMN"/>
    <x v="33"/>
    <n v="70772"/>
  </r>
  <r>
    <x v="94"/>
    <s v="IMN"/>
    <x v="34"/>
    <n v="71168"/>
  </r>
  <r>
    <x v="94"/>
    <s v="IMN"/>
    <x v="35"/>
    <n v="71513"/>
  </r>
  <r>
    <x v="94"/>
    <s v="IMN"/>
    <x v="36"/>
    <n v="72047"/>
  </r>
  <r>
    <x v="94"/>
    <s v="IMN"/>
    <x v="37"/>
    <n v="72909"/>
  </r>
  <r>
    <x v="94"/>
    <s v="IMN"/>
    <x v="38"/>
    <n v="73861"/>
  </r>
  <r>
    <x v="94"/>
    <s v="IMN"/>
    <x v="39"/>
    <n v="74790"/>
  </r>
  <r>
    <x v="94"/>
    <s v="IMN"/>
    <x v="40"/>
    <n v="75659"/>
  </r>
  <r>
    <x v="94"/>
    <s v="IMN"/>
    <x v="41"/>
    <n v="76476"/>
  </r>
  <r>
    <x v="94"/>
    <s v="IMN"/>
    <x v="42"/>
    <n v="77275"/>
  </r>
  <r>
    <x v="94"/>
    <s v="IMN"/>
    <x v="43"/>
    <n v="78049"/>
  </r>
  <r>
    <x v="94"/>
    <s v="IMN"/>
    <x v="44"/>
    <n v="78792"/>
  </r>
  <r>
    <x v="94"/>
    <s v="IMN"/>
    <x v="45"/>
    <n v="79516"/>
  </r>
  <r>
    <x v="94"/>
    <s v="IMN"/>
    <x v="46"/>
    <n v="80294"/>
  </r>
  <r>
    <x v="94"/>
    <s v="IMN"/>
    <x v="47"/>
    <n v="81147"/>
  </r>
  <r>
    <x v="94"/>
    <s v="IMN"/>
    <x v="48"/>
    <n v="82029"/>
  </r>
  <r>
    <x v="94"/>
    <s v="IMN"/>
    <x v="49"/>
    <n v="82939"/>
  </r>
  <r>
    <x v="94"/>
    <s v="IMN"/>
    <x v="50"/>
    <n v="83873"/>
  </r>
  <r>
    <x v="94"/>
    <s v="IMN"/>
    <x v="51"/>
    <n v="84382"/>
  </r>
  <r>
    <x v="94"/>
    <s v="IMN"/>
    <x v="52"/>
    <n v="84335"/>
  </r>
  <r>
    <x v="94"/>
    <s v="IMN"/>
    <x v="53"/>
    <n v="84141"/>
  </r>
  <r>
    <x v="94"/>
    <s v="IMN"/>
    <x v="54"/>
    <n v="83892"/>
  </r>
  <r>
    <x v="94"/>
    <s v="IMN"/>
    <x v="55"/>
    <n v="83593"/>
  </r>
  <r>
    <x v="94"/>
    <s v="IMN"/>
    <x v="56"/>
    <n v="83466"/>
  </r>
  <r>
    <x v="94"/>
    <s v="IMN"/>
    <x v="57"/>
    <n v="83609"/>
  </r>
  <r>
    <x v="94"/>
    <s v="IMN"/>
    <x v="58"/>
    <n v="83805"/>
  </r>
  <r>
    <x v="94"/>
    <s v="IMN"/>
    <x v="59"/>
    <n v="83957"/>
  </r>
  <r>
    <x v="94"/>
    <s v="IMN"/>
    <x v="60"/>
    <n v="84064"/>
  </r>
  <r>
    <x v="94"/>
    <s v="IMN"/>
    <x v="61"/>
    <n v="84106"/>
  </r>
  <r>
    <x v="94"/>
    <s v="IMN"/>
    <x v="62"/>
    <n v="84132"/>
  </r>
  <r>
    <x v="94"/>
    <s v="IMN"/>
    <x v="63"/>
    <n v="84165"/>
  </r>
  <r>
    <x v="94"/>
    <s v="IMN"/>
    <x v="64"/>
    <n v="84160"/>
  </r>
  <r>
    <x v="95"/>
    <s v="ISR"/>
    <x v="0"/>
    <n v="2114020"/>
  </r>
  <r>
    <x v="95"/>
    <s v="ISR"/>
    <x v="1"/>
    <n v="2185000"/>
  </r>
  <r>
    <x v="95"/>
    <s v="ISR"/>
    <x v="2"/>
    <n v="2293000"/>
  </r>
  <r>
    <x v="95"/>
    <s v="ISR"/>
    <x v="3"/>
    <n v="2379000"/>
  </r>
  <r>
    <x v="95"/>
    <s v="ISR"/>
    <x v="4"/>
    <n v="2475000"/>
  </r>
  <r>
    <x v="95"/>
    <s v="ISR"/>
    <x v="5"/>
    <n v="2563000"/>
  </r>
  <r>
    <x v="95"/>
    <s v="ISR"/>
    <x v="6"/>
    <n v="2629000"/>
  </r>
  <r>
    <x v="95"/>
    <s v="ISR"/>
    <x v="7"/>
    <n v="2745000"/>
  </r>
  <r>
    <x v="95"/>
    <s v="ISR"/>
    <x v="8"/>
    <n v="2803000"/>
  </r>
  <r>
    <x v="95"/>
    <s v="ISR"/>
    <x v="9"/>
    <n v="2877000"/>
  </r>
  <r>
    <x v="95"/>
    <s v="ISR"/>
    <x v="10"/>
    <n v="2974000"/>
  </r>
  <r>
    <x v="95"/>
    <s v="ISR"/>
    <x v="11"/>
    <n v="3069000"/>
  </r>
  <r>
    <x v="95"/>
    <s v="ISR"/>
    <x v="12"/>
    <n v="3148000"/>
  </r>
  <r>
    <x v="95"/>
    <s v="ISR"/>
    <x v="13"/>
    <n v="3278000"/>
  </r>
  <r>
    <x v="95"/>
    <s v="ISR"/>
    <x v="14"/>
    <n v="3377000"/>
  </r>
  <r>
    <x v="95"/>
    <s v="ISR"/>
    <x v="15"/>
    <n v="3455000"/>
  </r>
  <r>
    <x v="95"/>
    <s v="ISR"/>
    <x v="16"/>
    <n v="3533000"/>
  </r>
  <r>
    <x v="95"/>
    <s v="ISR"/>
    <x v="17"/>
    <n v="3613000"/>
  </r>
  <r>
    <x v="95"/>
    <s v="ISR"/>
    <x v="18"/>
    <n v="3690000"/>
  </r>
  <r>
    <x v="95"/>
    <s v="ISR"/>
    <x v="19"/>
    <n v="3786000"/>
  </r>
  <r>
    <x v="95"/>
    <s v="ISR"/>
    <x v="20"/>
    <n v="3878000"/>
  </r>
  <r>
    <x v="95"/>
    <s v="ISR"/>
    <x v="21"/>
    <n v="3956000"/>
  </r>
  <r>
    <x v="95"/>
    <s v="ISR"/>
    <x v="22"/>
    <n v="4031000"/>
  </r>
  <r>
    <x v="95"/>
    <s v="ISR"/>
    <x v="23"/>
    <n v="4105000"/>
  </r>
  <r>
    <x v="95"/>
    <s v="ISR"/>
    <x v="24"/>
    <n v="4159000"/>
  </r>
  <r>
    <x v="95"/>
    <s v="ISR"/>
    <x v="25"/>
    <n v="4233000"/>
  </r>
  <r>
    <x v="95"/>
    <s v="ISR"/>
    <x v="26"/>
    <n v="4299000"/>
  </r>
  <r>
    <x v="95"/>
    <s v="ISR"/>
    <x v="27"/>
    <n v="4369000"/>
  </r>
  <r>
    <x v="95"/>
    <s v="ISR"/>
    <x v="28"/>
    <n v="4442000"/>
  </r>
  <r>
    <x v="95"/>
    <s v="ISR"/>
    <x v="29"/>
    <n v="4518000"/>
  </r>
  <r>
    <x v="95"/>
    <s v="ISR"/>
    <x v="30"/>
    <n v="4660000"/>
  </r>
  <r>
    <x v="95"/>
    <s v="ISR"/>
    <x v="31"/>
    <n v="4949000"/>
  </r>
  <r>
    <x v="95"/>
    <s v="ISR"/>
    <x v="32"/>
    <n v="5123000"/>
  </r>
  <r>
    <x v="95"/>
    <s v="ISR"/>
    <x v="33"/>
    <n v="5261000"/>
  </r>
  <r>
    <x v="95"/>
    <s v="ISR"/>
    <x v="34"/>
    <n v="5399000"/>
  </r>
  <r>
    <x v="95"/>
    <s v="ISR"/>
    <x v="35"/>
    <n v="5545000"/>
  </r>
  <r>
    <x v="95"/>
    <s v="ISR"/>
    <x v="36"/>
    <n v="5692000"/>
  </r>
  <r>
    <x v="95"/>
    <s v="ISR"/>
    <x v="37"/>
    <n v="5836000"/>
  </r>
  <r>
    <x v="95"/>
    <s v="ISR"/>
    <x v="38"/>
    <n v="5971000"/>
  </r>
  <r>
    <x v="95"/>
    <s v="ISR"/>
    <x v="39"/>
    <n v="6125000"/>
  </r>
  <r>
    <x v="95"/>
    <s v="ISR"/>
    <x v="40"/>
    <n v="6289000"/>
  </r>
  <r>
    <x v="95"/>
    <s v="ISR"/>
    <x v="41"/>
    <n v="6439000"/>
  </r>
  <r>
    <x v="95"/>
    <s v="ISR"/>
    <x v="42"/>
    <n v="6570000"/>
  </r>
  <r>
    <x v="95"/>
    <s v="ISR"/>
    <x v="43"/>
    <n v="6689700"/>
  </r>
  <r>
    <x v="95"/>
    <s v="ISR"/>
    <x v="44"/>
    <n v="6809000"/>
  </r>
  <r>
    <x v="95"/>
    <s v="ISR"/>
    <x v="45"/>
    <n v="6930100"/>
  </r>
  <r>
    <x v="95"/>
    <s v="ISR"/>
    <x v="46"/>
    <n v="7053700"/>
  </r>
  <r>
    <x v="95"/>
    <s v="ISR"/>
    <x v="47"/>
    <n v="7180100"/>
  </r>
  <r>
    <x v="95"/>
    <s v="ISR"/>
    <x v="48"/>
    <n v="7308800"/>
  </r>
  <r>
    <x v="95"/>
    <s v="ISR"/>
    <x v="49"/>
    <n v="7485600"/>
  </r>
  <r>
    <x v="95"/>
    <s v="ISR"/>
    <x v="50"/>
    <n v="7623600"/>
  </r>
  <r>
    <x v="95"/>
    <s v="ISR"/>
    <x v="51"/>
    <n v="7765800"/>
  </r>
  <r>
    <x v="95"/>
    <s v="ISR"/>
    <x v="52"/>
    <n v="7910500"/>
  </r>
  <r>
    <x v="95"/>
    <s v="ISR"/>
    <x v="53"/>
    <n v="8059500"/>
  </r>
  <r>
    <x v="95"/>
    <s v="ISR"/>
    <x v="54"/>
    <n v="8215700"/>
  </r>
  <r>
    <x v="95"/>
    <s v="ISR"/>
    <x v="55"/>
    <n v="8380100"/>
  </r>
  <r>
    <x v="95"/>
    <s v="ISR"/>
    <x v="56"/>
    <n v="8546000"/>
  </r>
  <r>
    <x v="95"/>
    <s v="ISR"/>
    <x v="57"/>
    <n v="8713300"/>
  </r>
  <r>
    <x v="95"/>
    <s v="ISR"/>
    <x v="58"/>
    <n v="8882800"/>
  </r>
  <r>
    <x v="95"/>
    <s v="ISR"/>
    <x v="59"/>
    <n v="9054000"/>
  </r>
  <r>
    <x v="95"/>
    <s v="ISR"/>
    <x v="60"/>
    <n v="9215100"/>
  </r>
  <r>
    <x v="95"/>
    <s v="ISR"/>
    <x v="61"/>
    <n v="9371400"/>
  </r>
  <r>
    <x v="95"/>
    <s v="ISR"/>
    <x v="62"/>
    <n v="9557500"/>
  </r>
  <r>
    <x v="95"/>
    <s v="ISR"/>
    <x v="63"/>
    <n v="9849000"/>
  </r>
  <r>
    <x v="95"/>
    <s v="ISR"/>
    <x v="64"/>
    <n v="9974400"/>
  </r>
  <r>
    <x v="96"/>
    <s v="ITA"/>
    <x v="0"/>
    <n v="50199700"/>
  </r>
  <r>
    <x v="96"/>
    <s v="ITA"/>
    <x v="1"/>
    <n v="50536350"/>
  </r>
  <r>
    <x v="96"/>
    <s v="ITA"/>
    <x v="2"/>
    <n v="50879450"/>
  </r>
  <r>
    <x v="96"/>
    <s v="ITA"/>
    <x v="3"/>
    <n v="51252000"/>
  </r>
  <r>
    <x v="96"/>
    <s v="ITA"/>
    <x v="4"/>
    <n v="51675350"/>
  </r>
  <r>
    <x v="96"/>
    <s v="ITA"/>
    <x v="5"/>
    <n v="52112350"/>
  </r>
  <r>
    <x v="96"/>
    <s v="ITA"/>
    <x v="6"/>
    <n v="52519000"/>
  </r>
  <r>
    <x v="96"/>
    <s v="ITA"/>
    <x v="7"/>
    <n v="52900500"/>
  </r>
  <r>
    <x v="96"/>
    <s v="ITA"/>
    <x v="8"/>
    <n v="53235750"/>
  </r>
  <r>
    <x v="96"/>
    <s v="ITA"/>
    <x v="9"/>
    <n v="53537950"/>
  </r>
  <r>
    <x v="96"/>
    <s v="ITA"/>
    <x v="10"/>
    <n v="53821850"/>
  </r>
  <r>
    <x v="96"/>
    <s v="ITA"/>
    <x v="11"/>
    <n v="54073490"/>
  </r>
  <r>
    <x v="96"/>
    <s v="ITA"/>
    <x v="12"/>
    <n v="54381345"/>
  </r>
  <r>
    <x v="96"/>
    <s v="ITA"/>
    <x v="13"/>
    <n v="54751406"/>
  </r>
  <r>
    <x v="96"/>
    <s v="ITA"/>
    <x v="14"/>
    <n v="55110868"/>
  </r>
  <r>
    <x v="96"/>
    <s v="ITA"/>
    <x v="15"/>
    <n v="55441001"/>
  </r>
  <r>
    <x v="96"/>
    <s v="ITA"/>
    <x v="16"/>
    <n v="55718260"/>
  </r>
  <r>
    <x v="96"/>
    <s v="ITA"/>
    <x v="17"/>
    <n v="55955411"/>
  </r>
  <r>
    <x v="96"/>
    <s v="ITA"/>
    <x v="18"/>
    <n v="56155143"/>
  </r>
  <r>
    <x v="96"/>
    <s v="ITA"/>
    <x v="19"/>
    <n v="56317749"/>
  </r>
  <r>
    <x v="96"/>
    <s v="ITA"/>
    <x v="20"/>
    <n v="56433883"/>
  </r>
  <r>
    <x v="96"/>
    <s v="ITA"/>
    <x v="21"/>
    <n v="56501675"/>
  </r>
  <r>
    <x v="96"/>
    <s v="ITA"/>
    <x v="22"/>
    <n v="56543548"/>
  </r>
  <r>
    <x v="96"/>
    <s v="ITA"/>
    <x v="23"/>
    <n v="56564074"/>
  </r>
  <r>
    <x v="96"/>
    <s v="ITA"/>
    <x v="24"/>
    <n v="56576718"/>
  </r>
  <r>
    <x v="96"/>
    <s v="ITA"/>
    <x v="25"/>
    <n v="56593071"/>
  </r>
  <r>
    <x v="96"/>
    <s v="ITA"/>
    <x v="26"/>
    <n v="56596155"/>
  </r>
  <r>
    <x v="96"/>
    <s v="ITA"/>
    <x v="27"/>
    <n v="56601931"/>
  </r>
  <r>
    <x v="96"/>
    <s v="ITA"/>
    <x v="28"/>
    <n v="56629288"/>
  </r>
  <r>
    <x v="96"/>
    <s v="ITA"/>
    <x v="29"/>
    <n v="56671781"/>
  </r>
  <r>
    <x v="96"/>
    <s v="ITA"/>
    <x v="30"/>
    <n v="56719240"/>
  </r>
  <r>
    <x v="96"/>
    <s v="ITA"/>
    <x v="31"/>
    <n v="56758521"/>
  </r>
  <r>
    <x v="96"/>
    <s v="ITA"/>
    <x v="32"/>
    <n v="56797087"/>
  </r>
  <r>
    <x v="96"/>
    <s v="ITA"/>
    <x v="33"/>
    <n v="56831821"/>
  </r>
  <r>
    <x v="96"/>
    <s v="ITA"/>
    <x v="34"/>
    <n v="56843400"/>
  </r>
  <r>
    <x v="96"/>
    <s v="ITA"/>
    <x v="35"/>
    <n v="56844303"/>
  </r>
  <r>
    <x v="96"/>
    <s v="ITA"/>
    <x v="36"/>
    <n v="56860281"/>
  </r>
  <r>
    <x v="96"/>
    <s v="ITA"/>
    <x v="37"/>
    <n v="56890372"/>
  </r>
  <r>
    <x v="96"/>
    <s v="ITA"/>
    <x v="38"/>
    <n v="56906744"/>
  </r>
  <r>
    <x v="96"/>
    <s v="ITA"/>
    <x v="39"/>
    <n v="56916317"/>
  </r>
  <r>
    <x v="96"/>
    <s v="ITA"/>
    <x v="40"/>
    <n v="56942108"/>
  </r>
  <r>
    <x v="96"/>
    <s v="ITA"/>
    <x v="41"/>
    <n v="56976981"/>
  </r>
  <r>
    <x v="96"/>
    <s v="ITA"/>
    <x v="42"/>
    <n v="57089824"/>
  </r>
  <r>
    <x v="96"/>
    <s v="ITA"/>
    <x v="43"/>
    <n v="57399184"/>
  </r>
  <r>
    <x v="96"/>
    <s v="ITA"/>
    <x v="44"/>
    <n v="57828179"/>
  </r>
  <r>
    <x v="96"/>
    <s v="ITA"/>
    <x v="45"/>
    <n v="58166682"/>
  </r>
  <r>
    <x v="96"/>
    <s v="ITA"/>
    <x v="46"/>
    <n v="58399861"/>
  </r>
  <r>
    <x v="96"/>
    <s v="ITA"/>
    <x v="47"/>
    <n v="58756247"/>
  </r>
  <r>
    <x v="96"/>
    <s v="ITA"/>
    <x v="48"/>
    <n v="59211181"/>
  </r>
  <r>
    <x v="96"/>
    <s v="ITA"/>
    <x v="49"/>
    <n v="59555454"/>
  </r>
  <r>
    <x v="96"/>
    <s v="ITA"/>
    <x v="50"/>
    <n v="59819407"/>
  </r>
  <r>
    <x v="96"/>
    <s v="ITA"/>
    <x v="51"/>
    <n v="60026841"/>
  </r>
  <r>
    <x v="96"/>
    <s v="ITA"/>
    <x v="52"/>
    <n v="60191247"/>
  </r>
  <r>
    <x v="96"/>
    <s v="ITA"/>
    <x v="53"/>
    <n v="60311613"/>
  </r>
  <r>
    <x v="96"/>
    <s v="ITA"/>
    <x v="54"/>
    <n v="60320707"/>
  </r>
  <r>
    <x v="96"/>
    <s v="ITA"/>
    <x v="55"/>
    <n v="60229605"/>
  </r>
  <r>
    <x v="96"/>
    <s v="ITA"/>
    <x v="56"/>
    <n v="60115223"/>
  </r>
  <r>
    <x v="96"/>
    <s v="ITA"/>
    <x v="57"/>
    <n v="60002252"/>
  </r>
  <r>
    <x v="96"/>
    <s v="ITA"/>
    <x v="58"/>
    <n v="60148658"/>
  </r>
  <r>
    <x v="96"/>
    <s v="ITA"/>
    <x v="59"/>
    <n v="59729081"/>
  </r>
  <r>
    <x v="96"/>
    <s v="ITA"/>
    <x v="60"/>
    <n v="59438851"/>
  </r>
  <r>
    <x v="96"/>
    <s v="ITA"/>
    <x v="61"/>
    <n v="59133173"/>
  </r>
  <r>
    <x v="96"/>
    <s v="ITA"/>
    <x v="62"/>
    <n v="59013667"/>
  </r>
  <r>
    <x v="96"/>
    <s v="ITA"/>
    <x v="63"/>
    <n v="58993475"/>
  </r>
  <r>
    <x v="96"/>
    <s v="ITA"/>
    <x v="64"/>
    <n v="58986023"/>
  </r>
  <r>
    <x v="97"/>
    <s v="JAM"/>
    <x v="0"/>
    <n v="1650005"/>
  </r>
  <r>
    <x v="97"/>
    <s v="JAM"/>
    <x v="1"/>
    <n v="1673261"/>
  </r>
  <r>
    <x v="97"/>
    <s v="JAM"/>
    <x v="2"/>
    <n v="1696932"/>
  </r>
  <r>
    <x v="97"/>
    <s v="JAM"/>
    <x v="3"/>
    <n v="1721099"/>
  </r>
  <r>
    <x v="97"/>
    <s v="JAM"/>
    <x v="4"/>
    <n v="1745568"/>
  </r>
  <r>
    <x v="97"/>
    <s v="JAM"/>
    <x v="5"/>
    <n v="1769192"/>
  </r>
  <r>
    <x v="97"/>
    <s v="JAM"/>
    <x v="6"/>
    <n v="1791475"/>
  </r>
  <r>
    <x v="97"/>
    <s v="JAM"/>
    <x v="7"/>
    <n v="1812865"/>
  </r>
  <r>
    <x v="97"/>
    <s v="JAM"/>
    <x v="8"/>
    <n v="1833765"/>
  </r>
  <r>
    <x v="97"/>
    <s v="JAM"/>
    <x v="9"/>
    <n v="1855127"/>
  </r>
  <r>
    <x v="97"/>
    <s v="JAM"/>
    <x v="10"/>
    <n v="1878196"/>
  </r>
  <r>
    <x v="97"/>
    <s v="JAM"/>
    <x v="11"/>
    <n v="1903728"/>
  </r>
  <r>
    <x v="97"/>
    <s v="JAM"/>
    <x v="12"/>
    <n v="1931542"/>
  </r>
  <r>
    <x v="97"/>
    <s v="JAM"/>
    <x v="13"/>
    <n v="1961219"/>
  </r>
  <r>
    <x v="97"/>
    <s v="JAM"/>
    <x v="14"/>
    <n v="1990906"/>
  </r>
  <r>
    <x v="97"/>
    <s v="JAM"/>
    <x v="15"/>
    <n v="2018981"/>
  </r>
  <r>
    <x v="97"/>
    <s v="JAM"/>
    <x v="16"/>
    <n v="2045578"/>
  </r>
  <r>
    <x v="97"/>
    <s v="JAM"/>
    <x v="17"/>
    <n v="2070657"/>
  </r>
  <r>
    <x v="97"/>
    <s v="JAM"/>
    <x v="18"/>
    <n v="2094836"/>
  </r>
  <r>
    <x v="97"/>
    <s v="JAM"/>
    <x v="19"/>
    <n v="2119486"/>
  </r>
  <r>
    <x v="97"/>
    <s v="JAM"/>
    <x v="20"/>
    <n v="2145658"/>
  </r>
  <r>
    <x v="97"/>
    <s v="JAM"/>
    <x v="21"/>
    <n v="2173818"/>
  </r>
  <r>
    <x v="97"/>
    <s v="JAM"/>
    <x v="22"/>
    <n v="2203889"/>
  </r>
  <r>
    <x v="97"/>
    <s v="JAM"/>
    <x v="23"/>
    <n v="2234832"/>
  </r>
  <r>
    <x v="97"/>
    <s v="JAM"/>
    <x v="24"/>
    <n v="2264562"/>
  </r>
  <r>
    <x v="97"/>
    <s v="JAM"/>
    <x v="25"/>
    <n v="2290656"/>
  </r>
  <r>
    <x v="97"/>
    <s v="JAM"/>
    <x v="26"/>
    <n v="2312125"/>
  </r>
  <r>
    <x v="97"/>
    <s v="JAM"/>
    <x v="27"/>
    <n v="2329813"/>
  </r>
  <r>
    <x v="97"/>
    <s v="JAM"/>
    <x v="28"/>
    <n v="2345777"/>
  </r>
  <r>
    <x v="97"/>
    <s v="JAM"/>
    <x v="29"/>
    <n v="2361916"/>
  </r>
  <r>
    <x v="97"/>
    <s v="JAM"/>
    <x v="30"/>
    <n v="2379877"/>
  </r>
  <r>
    <x v="97"/>
    <s v="JAM"/>
    <x v="31"/>
    <n v="2400869"/>
  </r>
  <r>
    <x v="97"/>
    <s v="JAM"/>
    <x v="32"/>
    <n v="2424701"/>
  </r>
  <r>
    <x v="97"/>
    <s v="JAM"/>
    <x v="33"/>
    <n v="2449916"/>
  </r>
  <r>
    <x v="97"/>
    <s v="JAM"/>
    <x v="34"/>
    <n v="2475220"/>
  </r>
  <r>
    <x v="97"/>
    <s v="JAM"/>
    <x v="35"/>
    <n v="2500151"/>
  </r>
  <r>
    <x v="97"/>
    <s v="JAM"/>
    <x v="36"/>
    <n v="2524463"/>
  </r>
  <r>
    <x v="97"/>
    <s v="JAM"/>
    <x v="37"/>
    <n v="2547848"/>
  </r>
  <r>
    <x v="97"/>
    <s v="JAM"/>
    <x v="38"/>
    <n v="2569736"/>
  </r>
  <r>
    <x v="97"/>
    <s v="JAM"/>
    <x v="39"/>
    <n v="2589795"/>
  </r>
  <r>
    <x v="97"/>
    <s v="JAM"/>
    <x v="40"/>
    <n v="2607826"/>
  </r>
  <r>
    <x v="97"/>
    <s v="JAM"/>
    <x v="41"/>
    <n v="2624403"/>
  </r>
  <r>
    <x v="97"/>
    <s v="JAM"/>
    <x v="42"/>
    <n v="2640572"/>
  </r>
  <r>
    <x v="97"/>
    <s v="JAM"/>
    <x v="43"/>
    <n v="2656623"/>
  </r>
  <r>
    <x v="97"/>
    <s v="JAM"/>
    <x v="44"/>
    <n v="2672225"/>
  </r>
  <r>
    <x v="97"/>
    <s v="JAM"/>
    <x v="45"/>
    <n v="2687066"/>
  </r>
  <r>
    <x v="97"/>
    <s v="JAM"/>
    <x v="46"/>
    <n v="2700968"/>
  </r>
  <r>
    <x v="97"/>
    <s v="JAM"/>
    <x v="47"/>
    <n v="2713800"/>
  </r>
  <r>
    <x v="97"/>
    <s v="JAM"/>
    <x v="48"/>
    <n v="2725635"/>
  </r>
  <r>
    <x v="97"/>
    <s v="JAM"/>
    <x v="49"/>
    <n v="2736995"/>
  </r>
  <r>
    <x v="97"/>
    <s v="JAM"/>
    <x v="50"/>
    <n v="2748568"/>
  </r>
  <r>
    <x v="97"/>
    <s v="JAM"/>
    <x v="51"/>
    <n v="2760494"/>
  </r>
  <r>
    <x v="97"/>
    <s v="JAM"/>
    <x v="52"/>
    <n v="2772430"/>
  </r>
  <r>
    <x v="97"/>
    <s v="JAM"/>
    <x v="53"/>
    <n v="2783687"/>
  </r>
  <r>
    <x v="97"/>
    <s v="JAM"/>
    <x v="54"/>
    <n v="2793749"/>
  </r>
  <r>
    <x v="97"/>
    <s v="JAM"/>
    <x v="55"/>
    <n v="2802534"/>
  </r>
  <r>
    <x v="97"/>
    <s v="JAM"/>
    <x v="56"/>
    <n v="2809915"/>
  </r>
  <r>
    <x v="97"/>
    <s v="JAM"/>
    <x v="57"/>
    <n v="2815764"/>
  </r>
  <r>
    <x v="97"/>
    <s v="JAM"/>
    <x v="58"/>
    <n v="2820097"/>
  </r>
  <r>
    <x v="97"/>
    <s v="JAM"/>
    <x v="59"/>
    <n v="2823271"/>
  </r>
  <r>
    <x v="97"/>
    <s v="JAM"/>
    <x v="60"/>
    <n v="2830739"/>
  </r>
  <r>
    <x v="97"/>
    <s v="JAM"/>
    <x v="61"/>
    <n v="2837682"/>
  </r>
  <r>
    <x v="97"/>
    <s v="JAM"/>
    <x v="62"/>
    <n v="2839144"/>
  </r>
  <r>
    <x v="97"/>
    <s v="JAM"/>
    <x v="63"/>
    <n v="2839786"/>
  </r>
  <r>
    <x v="97"/>
    <s v="JAM"/>
    <x v="64"/>
    <n v="2839175"/>
  </r>
  <r>
    <x v="98"/>
    <s v="JPN"/>
    <x v="0"/>
    <n v="93216000"/>
  </r>
  <r>
    <x v="98"/>
    <s v="JPN"/>
    <x v="1"/>
    <n v="94055000"/>
  </r>
  <r>
    <x v="98"/>
    <s v="JPN"/>
    <x v="2"/>
    <n v="94933000"/>
  </r>
  <r>
    <x v="98"/>
    <s v="JPN"/>
    <x v="3"/>
    <n v="95900000"/>
  </r>
  <r>
    <x v="98"/>
    <s v="JPN"/>
    <x v="4"/>
    <n v="96903000"/>
  </r>
  <r>
    <x v="98"/>
    <s v="JPN"/>
    <x v="5"/>
    <n v="97952000"/>
  </r>
  <r>
    <x v="98"/>
    <s v="JPN"/>
    <x v="6"/>
    <n v="98851000"/>
  </r>
  <r>
    <x v="98"/>
    <s v="JPN"/>
    <x v="7"/>
    <n v="99879000"/>
  </r>
  <r>
    <x v="98"/>
    <s v="JPN"/>
    <x v="8"/>
    <n v="101011000"/>
  </r>
  <r>
    <x v="98"/>
    <s v="JPN"/>
    <x v="9"/>
    <n v="102219000"/>
  </r>
  <r>
    <x v="98"/>
    <s v="JPN"/>
    <x v="10"/>
    <n v="103403000"/>
  </r>
  <r>
    <x v="98"/>
    <s v="JPN"/>
    <x v="11"/>
    <n v="105697000"/>
  </r>
  <r>
    <x v="98"/>
    <s v="JPN"/>
    <x v="12"/>
    <n v="107188000"/>
  </r>
  <r>
    <x v="98"/>
    <s v="JPN"/>
    <x v="13"/>
    <n v="108707000"/>
  </r>
  <r>
    <x v="98"/>
    <s v="JPN"/>
    <x v="14"/>
    <n v="110162000"/>
  </r>
  <r>
    <x v="98"/>
    <s v="JPN"/>
    <x v="15"/>
    <n v="111573000"/>
  </r>
  <r>
    <x v="98"/>
    <s v="JPN"/>
    <x v="16"/>
    <n v="112775000"/>
  </r>
  <r>
    <x v="98"/>
    <s v="JPN"/>
    <x v="17"/>
    <n v="113872000"/>
  </r>
  <r>
    <x v="98"/>
    <s v="JPN"/>
    <x v="18"/>
    <n v="114913000"/>
  </r>
  <r>
    <x v="98"/>
    <s v="JPN"/>
    <x v="19"/>
    <n v="115890000"/>
  </r>
  <r>
    <x v="98"/>
    <s v="JPN"/>
    <x v="20"/>
    <n v="116807000"/>
  </r>
  <r>
    <x v="98"/>
    <s v="JPN"/>
    <x v="21"/>
    <n v="117661000"/>
  </r>
  <r>
    <x v="98"/>
    <s v="JPN"/>
    <x v="22"/>
    <n v="118480000"/>
  </r>
  <r>
    <x v="98"/>
    <s v="JPN"/>
    <x v="23"/>
    <n v="119307000"/>
  </r>
  <r>
    <x v="98"/>
    <s v="JPN"/>
    <x v="24"/>
    <n v="120083000"/>
  </r>
  <r>
    <x v="98"/>
    <s v="JPN"/>
    <x v="25"/>
    <n v="120837000"/>
  </r>
  <r>
    <x v="98"/>
    <s v="JPN"/>
    <x v="26"/>
    <n v="121482000"/>
  </r>
  <r>
    <x v="98"/>
    <s v="JPN"/>
    <x v="27"/>
    <n v="122069000"/>
  </r>
  <r>
    <x v="98"/>
    <s v="JPN"/>
    <x v="28"/>
    <n v="122578000"/>
  </r>
  <r>
    <x v="98"/>
    <s v="JPN"/>
    <x v="29"/>
    <n v="123069000"/>
  </r>
  <r>
    <x v="98"/>
    <s v="JPN"/>
    <x v="30"/>
    <n v="123478000"/>
  </r>
  <r>
    <x v="98"/>
    <s v="JPN"/>
    <x v="31"/>
    <n v="123964000"/>
  </r>
  <r>
    <x v="98"/>
    <s v="JPN"/>
    <x v="32"/>
    <n v="124425000"/>
  </r>
  <r>
    <x v="98"/>
    <s v="JPN"/>
    <x v="33"/>
    <n v="124829000"/>
  </r>
  <r>
    <x v="98"/>
    <s v="JPN"/>
    <x v="34"/>
    <n v="125178000"/>
  </r>
  <r>
    <x v="98"/>
    <s v="JPN"/>
    <x v="35"/>
    <n v="125472000"/>
  </r>
  <r>
    <x v="98"/>
    <s v="JPN"/>
    <x v="36"/>
    <n v="125757000"/>
  </r>
  <r>
    <x v="98"/>
    <s v="JPN"/>
    <x v="37"/>
    <n v="126057000"/>
  </r>
  <r>
    <x v="98"/>
    <s v="JPN"/>
    <x v="38"/>
    <n v="126400000"/>
  </r>
  <r>
    <x v="98"/>
    <s v="JPN"/>
    <x v="39"/>
    <n v="126631000"/>
  </r>
  <r>
    <x v="98"/>
    <s v="JPN"/>
    <x v="40"/>
    <n v="126843000"/>
  </r>
  <r>
    <x v="98"/>
    <s v="JPN"/>
    <x v="41"/>
    <n v="127149000"/>
  </r>
  <r>
    <x v="98"/>
    <s v="JPN"/>
    <x v="42"/>
    <n v="127445000"/>
  </r>
  <r>
    <x v="98"/>
    <s v="JPN"/>
    <x v="43"/>
    <n v="127718000"/>
  </r>
  <r>
    <x v="98"/>
    <s v="JPN"/>
    <x v="44"/>
    <n v="127761000"/>
  </r>
  <r>
    <x v="98"/>
    <s v="JPN"/>
    <x v="45"/>
    <n v="127773000"/>
  </r>
  <r>
    <x v="98"/>
    <s v="JPN"/>
    <x v="46"/>
    <n v="127854000"/>
  </r>
  <r>
    <x v="98"/>
    <s v="JPN"/>
    <x v="47"/>
    <n v="128001000"/>
  </r>
  <r>
    <x v="98"/>
    <s v="JPN"/>
    <x v="48"/>
    <n v="128063000"/>
  </r>
  <r>
    <x v="98"/>
    <s v="JPN"/>
    <x v="49"/>
    <n v="128047000"/>
  </r>
  <r>
    <x v="98"/>
    <s v="JPN"/>
    <x v="50"/>
    <n v="128070000"/>
  </r>
  <r>
    <x v="98"/>
    <s v="JPN"/>
    <x v="51"/>
    <n v="127833000"/>
  </r>
  <r>
    <x v="98"/>
    <s v="JPN"/>
    <x v="52"/>
    <n v="127629000"/>
  </r>
  <r>
    <x v="98"/>
    <s v="JPN"/>
    <x v="53"/>
    <n v="127445000"/>
  </r>
  <r>
    <x v="98"/>
    <s v="JPN"/>
    <x v="54"/>
    <n v="127276000"/>
  </r>
  <r>
    <x v="98"/>
    <s v="JPN"/>
    <x v="55"/>
    <n v="127141000"/>
  </r>
  <r>
    <x v="98"/>
    <s v="JPN"/>
    <x v="56"/>
    <n v="127076000"/>
  </r>
  <r>
    <x v="98"/>
    <s v="JPN"/>
    <x v="57"/>
    <n v="126972000"/>
  </r>
  <r>
    <x v="98"/>
    <s v="JPN"/>
    <x v="58"/>
    <n v="126811000"/>
  </r>
  <r>
    <x v="98"/>
    <s v="JPN"/>
    <x v="59"/>
    <n v="126633000"/>
  </r>
  <r>
    <x v="98"/>
    <s v="JPN"/>
    <x v="60"/>
    <n v="126261000"/>
  </r>
  <r>
    <x v="98"/>
    <s v="JPN"/>
    <x v="61"/>
    <n v="125681593"/>
  </r>
  <r>
    <x v="98"/>
    <s v="JPN"/>
    <x v="62"/>
    <n v="125124989"/>
  </r>
  <r>
    <x v="98"/>
    <s v="JPN"/>
    <x v="63"/>
    <n v="124516650"/>
  </r>
  <r>
    <x v="98"/>
    <s v="JPN"/>
    <x v="64"/>
    <n v="123975371"/>
  </r>
  <r>
    <x v="99"/>
    <s v="JOR"/>
    <x v="0"/>
    <n v="853471"/>
  </r>
  <r>
    <x v="99"/>
    <s v="JOR"/>
    <x v="1"/>
    <n v="897591"/>
  </r>
  <r>
    <x v="99"/>
    <s v="JOR"/>
    <x v="2"/>
    <n v="940554"/>
  </r>
  <r>
    <x v="99"/>
    <s v="JOR"/>
    <x v="3"/>
    <n v="984714"/>
  </r>
  <r>
    <x v="99"/>
    <s v="JOR"/>
    <x v="4"/>
    <n v="1035640"/>
  </r>
  <r>
    <x v="99"/>
    <s v="JOR"/>
    <x v="5"/>
    <n v="1099440"/>
  </r>
  <r>
    <x v="99"/>
    <s v="JOR"/>
    <x v="6"/>
    <n v="1178360"/>
  </r>
  <r>
    <x v="99"/>
    <s v="JOR"/>
    <x v="7"/>
    <n v="1271183"/>
  </r>
  <r>
    <x v="99"/>
    <s v="JOR"/>
    <x v="8"/>
    <n v="1372460"/>
  </r>
  <r>
    <x v="99"/>
    <s v="JOR"/>
    <x v="9"/>
    <n v="1473100"/>
  </r>
  <r>
    <x v="99"/>
    <s v="JOR"/>
    <x v="10"/>
    <n v="1565163"/>
  </r>
  <r>
    <x v="99"/>
    <s v="JOR"/>
    <x v="11"/>
    <n v="1645145"/>
  </r>
  <r>
    <x v="99"/>
    <s v="JOR"/>
    <x v="12"/>
    <n v="1714555"/>
  </r>
  <r>
    <x v="99"/>
    <s v="JOR"/>
    <x v="13"/>
    <n v="1778094"/>
  </r>
  <r>
    <x v="99"/>
    <s v="JOR"/>
    <x v="14"/>
    <n v="1839182"/>
  </r>
  <r>
    <x v="99"/>
    <s v="JOR"/>
    <x v="15"/>
    <n v="1899055"/>
  </r>
  <r>
    <x v="99"/>
    <s v="JOR"/>
    <x v="16"/>
    <n v="1958177"/>
  </r>
  <r>
    <x v="99"/>
    <s v="JOR"/>
    <x v="17"/>
    <n v="2019002"/>
  </r>
  <r>
    <x v="99"/>
    <s v="JOR"/>
    <x v="18"/>
    <n v="2083595"/>
  </r>
  <r>
    <x v="99"/>
    <s v="JOR"/>
    <x v="19"/>
    <n v="2153882"/>
  </r>
  <r>
    <x v="99"/>
    <s v="JOR"/>
    <x v="20"/>
    <n v="2234186"/>
  </r>
  <r>
    <x v="99"/>
    <s v="JOR"/>
    <x v="21"/>
    <n v="2325517"/>
  </r>
  <r>
    <x v="99"/>
    <s v="JOR"/>
    <x v="22"/>
    <n v="2426927"/>
  </r>
  <r>
    <x v="99"/>
    <s v="JOR"/>
    <x v="23"/>
    <n v="2537307"/>
  </r>
  <r>
    <x v="99"/>
    <s v="JOR"/>
    <x v="24"/>
    <n v="2654688"/>
  </r>
  <r>
    <x v="99"/>
    <s v="JOR"/>
    <x v="25"/>
    <n v="2778810"/>
  </r>
  <r>
    <x v="99"/>
    <s v="JOR"/>
    <x v="26"/>
    <n v="2909887"/>
  </r>
  <r>
    <x v="99"/>
    <s v="JOR"/>
    <x v="27"/>
    <n v="3047634"/>
  </r>
  <r>
    <x v="99"/>
    <s v="JOR"/>
    <x v="28"/>
    <n v="3193039"/>
  </r>
  <r>
    <x v="99"/>
    <s v="JOR"/>
    <x v="29"/>
    <n v="3349627"/>
  </r>
  <r>
    <x v="99"/>
    <s v="JOR"/>
    <x v="30"/>
    <n v="3621908"/>
  </r>
  <r>
    <x v="99"/>
    <s v="JOR"/>
    <x v="31"/>
    <n v="3915149"/>
  </r>
  <r>
    <x v="99"/>
    <s v="JOR"/>
    <x v="32"/>
    <n v="4127693"/>
  </r>
  <r>
    <x v="99"/>
    <s v="JOR"/>
    <x v="33"/>
    <n v="4348020"/>
  </r>
  <r>
    <x v="99"/>
    <s v="JOR"/>
    <x v="34"/>
    <n v="4561406"/>
  </r>
  <r>
    <x v="99"/>
    <s v="JOR"/>
    <x v="35"/>
    <n v="4752096"/>
  </r>
  <r>
    <x v="99"/>
    <s v="JOR"/>
    <x v="36"/>
    <n v="4912516"/>
  </r>
  <r>
    <x v="99"/>
    <s v="JOR"/>
    <x v="37"/>
    <n v="5046285"/>
  </r>
  <r>
    <x v="99"/>
    <s v="JOR"/>
    <x v="38"/>
    <n v="5164284"/>
  </r>
  <r>
    <x v="99"/>
    <s v="JOR"/>
    <x v="39"/>
    <n v="5276444"/>
  </r>
  <r>
    <x v="99"/>
    <s v="JOR"/>
    <x v="40"/>
    <n v="5386945"/>
  </r>
  <r>
    <x v="99"/>
    <s v="JOR"/>
    <x v="41"/>
    <n v="5498894"/>
  </r>
  <r>
    <x v="99"/>
    <s v="JOR"/>
    <x v="42"/>
    <n v="5616066"/>
  </r>
  <r>
    <x v="99"/>
    <s v="JOR"/>
    <x v="43"/>
    <n v="5741828"/>
  </r>
  <r>
    <x v="99"/>
    <s v="JOR"/>
    <x v="44"/>
    <n v="5882061"/>
  </r>
  <r>
    <x v="99"/>
    <s v="JOR"/>
    <x v="45"/>
    <n v="6029587"/>
  </r>
  <r>
    <x v="99"/>
    <s v="JOR"/>
    <x v="46"/>
    <n v="6427371"/>
  </r>
  <r>
    <x v="99"/>
    <s v="JOR"/>
    <x v="47"/>
    <n v="6827227"/>
  </r>
  <r>
    <x v="99"/>
    <s v="JOR"/>
    <x v="48"/>
    <n v="6989866"/>
  </r>
  <r>
    <x v="99"/>
    <s v="JOR"/>
    <x v="49"/>
    <n v="7141753"/>
  </r>
  <r>
    <x v="99"/>
    <s v="JOR"/>
    <x v="50"/>
    <n v="7297043"/>
  </r>
  <r>
    <x v="99"/>
    <s v="JOR"/>
    <x v="51"/>
    <n v="7480424"/>
  </r>
  <r>
    <x v="99"/>
    <s v="JOR"/>
    <x v="52"/>
    <n v="7587127"/>
  </r>
  <r>
    <x v="99"/>
    <s v="JOR"/>
    <x v="53"/>
    <n v="7991809"/>
  </r>
  <r>
    <x v="99"/>
    <s v="JOR"/>
    <x v="54"/>
    <n v="8791710"/>
  </r>
  <r>
    <x v="99"/>
    <s v="JOR"/>
    <x v="55"/>
    <n v="9544729"/>
  </r>
  <r>
    <x v="99"/>
    <s v="JOR"/>
    <x v="56"/>
    <n v="10006367"/>
  </r>
  <r>
    <x v="99"/>
    <s v="JOR"/>
    <x v="57"/>
    <n v="10234226"/>
  </r>
  <r>
    <x v="99"/>
    <s v="JOR"/>
    <x v="58"/>
    <n v="10462306"/>
  </r>
  <r>
    <x v="99"/>
    <s v="JOR"/>
    <x v="59"/>
    <n v="10671891"/>
  </r>
  <r>
    <x v="99"/>
    <s v="JOR"/>
    <x v="60"/>
    <n v="10865228"/>
  </r>
  <r>
    <x v="99"/>
    <s v="JOR"/>
    <x v="61"/>
    <n v="11066356"/>
  </r>
  <r>
    <x v="99"/>
    <s v="JOR"/>
    <x v="62"/>
    <n v="11256263"/>
  </r>
  <r>
    <x v="99"/>
    <s v="JOR"/>
    <x v="63"/>
    <n v="11439213"/>
  </r>
  <r>
    <x v="99"/>
    <s v="JOR"/>
    <x v="64"/>
    <n v="11552876"/>
  </r>
  <r>
    <x v="100"/>
    <s v="KAZ"/>
    <x v="0"/>
    <n v="9429981"/>
  </r>
  <r>
    <x v="100"/>
    <s v="KAZ"/>
    <x v="1"/>
    <n v="9742085"/>
  </r>
  <r>
    <x v="100"/>
    <s v="KAZ"/>
    <x v="2"/>
    <n v="10058928"/>
  </r>
  <r>
    <x v="100"/>
    <s v="KAZ"/>
    <x v="3"/>
    <n v="10377466"/>
  </r>
  <r>
    <x v="100"/>
    <s v="KAZ"/>
    <x v="4"/>
    <n v="10690309"/>
  </r>
  <r>
    <x v="100"/>
    <s v="KAZ"/>
    <x v="5"/>
    <n v="10993183"/>
  </r>
  <r>
    <x v="100"/>
    <s v="KAZ"/>
    <x v="6"/>
    <n v="11288989"/>
  </r>
  <r>
    <x v="100"/>
    <s v="KAZ"/>
    <x v="7"/>
    <n v="11584428"/>
  </r>
  <r>
    <x v="100"/>
    <s v="KAZ"/>
    <x v="8"/>
    <n v="11879182"/>
  </r>
  <r>
    <x v="100"/>
    <s v="KAZ"/>
    <x v="9"/>
    <n v="12156212"/>
  </r>
  <r>
    <x v="100"/>
    <s v="KAZ"/>
    <x v="10"/>
    <n v="12419057"/>
  </r>
  <r>
    <x v="100"/>
    <s v="KAZ"/>
    <x v="11"/>
    <n v="12684813"/>
  </r>
  <r>
    <x v="100"/>
    <s v="KAZ"/>
    <x v="12"/>
    <n v="12951798"/>
  </r>
  <r>
    <x v="100"/>
    <s v="KAZ"/>
    <x v="13"/>
    <n v="13208121"/>
  </r>
  <r>
    <x v="100"/>
    <s v="KAZ"/>
    <x v="14"/>
    <n v="13454570"/>
  </r>
  <r>
    <x v="100"/>
    <s v="KAZ"/>
    <x v="15"/>
    <n v="13700843"/>
  </r>
  <r>
    <x v="100"/>
    <s v="KAZ"/>
    <x v="16"/>
    <n v="13998738"/>
  </r>
  <r>
    <x v="100"/>
    <s v="KAZ"/>
    <x v="17"/>
    <n v="14353265"/>
  </r>
  <r>
    <x v="100"/>
    <s v="KAZ"/>
    <x v="18"/>
    <n v="14711497"/>
  </r>
  <r>
    <x v="100"/>
    <s v="KAZ"/>
    <x v="19"/>
    <n v="14978696"/>
  </r>
  <r>
    <x v="100"/>
    <s v="KAZ"/>
    <x v="20"/>
    <n v="15152949"/>
  </r>
  <r>
    <x v="100"/>
    <s v="KAZ"/>
    <x v="21"/>
    <n v="15323082"/>
  </r>
  <r>
    <x v="100"/>
    <s v="KAZ"/>
    <x v="22"/>
    <n v="15492595"/>
  </r>
  <r>
    <x v="100"/>
    <s v="KAZ"/>
    <x v="23"/>
    <n v="15665551"/>
  </r>
  <r>
    <x v="100"/>
    <s v="KAZ"/>
    <x v="24"/>
    <n v="15844621"/>
  </r>
  <r>
    <x v="100"/>
    <s v="KAZ"/>
    <x v="25"/>
    <n v="16031090"/>
  </r>
  <r>
    <x v="100"/>
    <s v="KAZ"/>
    <x v="26"/>
    <n v="16262702"/>
  </r>
  <r>
    <x v="100"/>
    <s v="KAZ"/>
    <x v="27"/>
    <n v="16527715"/>
  </r>
  <r>
    <x v="100"/>
    <s v="KAZ"/>
    <x v="28"/>
    <n v="16781168"/>
  </r>
  <r>
    <x v="100"/>
    <s v="KAZ"/>
    <x v="29"/>
    <n v="16997013"/>
  </r>
  <r>
    <x v="100"/>
    <s v="KAZ"/>
    <x v="30"/>
    <n v="17154054"/>
  </r>
  <r>
    <x v="100"/>
    <s v="KAZ"/>
    <x v="31"/>
    <n v="17278600"/>
  </r>
  <r>
    <x v="100"/>
    <s v="KAZ"/>
    <x v="32"/>
    <n v="17332625"/>
  </r>
  <r>
    <x v="100"/>
    <s v="KAZ"/>
    <x v="33"/>
    <n v="17274487"/>
  </r>
  <r>
    <x v="100"/>
    <s v="KAZ"/>
    <x v="34"/>
    <n v="17043771"/>
  </r>
  <r>
    <x v="100"/>
    <s v="KAZ"/>
    <x v="35"/>
    <n v="16730536"/>
  </r>
  <r>
    <x v="100"/>
    <s v="KAZ"/>
    <x v="36"/>
    <n v="16416027"/>
  </r>
  <r>
    <x v="100"/>
    <s v="KAZ"/>
    <x v="37"/>
    <n v="16043251"/>
  </r>
  <r>
    <x v="100"/>
    <s v="KAZ"/>
    <x v="38"/>
    <n v="15647785"/>
  </r>
  <r>
    <x v="100"/>
    <s v="KAZ"/>
    <x v="39"/>
    <n v="15455874"/>
  </r>
  <r>
    <x v="100"/>
    <s v="KAZ"/>
    <x v="40"/>
    <n v="15501103"/>
  </r>
  <r>
    <x v="100"/>
    <s v="KAZ"/>
    <x v="41"/>
    <n v="15575550"/>
  </r>
  <r>
    <x v="100"/>
    <s v="KAZ"/>
    <x v="42"/>
    <n v="15656677"/>
  </r>
  <r>
    <x v="100"/>
    <s v="KAZ"/>
    <x v="43"/>
    <n v="15747380"/>
  </r>
  <r>
    <x v="100"/>
    <s v="KAZ"/>
    <x v="44"/>
    <n v="15850159"/>
  </r>
  <r>
    <x v="100"/>
    <s v="KAZ"/>
    <x v="45"/>
    <n v="15968117"/>
  </r>
  <r>
    <x v="100"/>
    <s v="KAZ"/>
    <x v="46"/>
    <n v="16103716"/>
  </r>
  <r>
    <x v="100"/>
    <s v="KAZ"/>
    <x v="47"/>
    <n v="16257214"/>
  </r>
  <r>
    <x v="100"/>
    <s v="KAZ"/>
    <x v="48"/>
    <n v="16426525"/>
  </r>
  <r>
    <x v="100"/>
    <s v="KAZ"/>
    <x v="49"/>
    <n v="16619846"/>
  </r>
  <r>
    <x v="100"/>
    <s v="KAZ"/>
    <x v="50"/>
    <n v="16836810"/>
  </r>
  <r>
    <x v="100"/>
    <s v="KAZ"/>
    <x v="51"/>
    <n v="17066002"/>
  </r>
  <r>
    <x v="100"/>
    <s v="KAZ"/>
    <x v="52"/>
    <n v="17306106"/>
  </r>
  <r>
    <x v="100"/>
    <s v="KAZ"/>
    <x v="53"/>
    <n v="17556502"/>
  </r>
  <r>
    <x v="100"/>
    <s v="KAZ"/>
    <x v="54"/>
    <n v="17816285"/>
  </r>
  <r>
    <x v="100"/>
    <s v="KAZ"/>
    <x v="55"/>
    <n v="18084169"/>
  </r>
  <r>
    <x v="100"/>
    <s v="KAZ"/>
    <x v="56"/>
    <n v="18363600"/>
  </r>
  <r>
    <x v="100"/>
    <s v="KAZ"/>
    <x v="57"/>
    <n v="18651931"/>
  </r>
  <r>
    <x v="100"/>
    <s v="KAZ"/>
    <x v="58"/>
    <n v="18932727"/>
  </r>
  <r>
    <x v="100"/>
    <s v="KAZ"/>
    <x v="59"/>
    <n v="19209555"/>
  </r>
  <r>
    <x v="100"/>
    <s v="KAZ"/>
    <x v="60"/>
    <n v="19482117"/>
  </r>
  <r>
    <x v="100"/>
    <s v="KAZ"/>
    <x v="61"/>
    <n v="19743603"/>
  </r>
  <r>
    <x v="100"/>
    <s v="KAZ"/>
    <x v="62"/>
    <n v="20034609"/>
  </r>
  <r>
    <x v="100"/>
    <s v="KAZ"/>
    <x v="63"/>
    <n v="20330104"/>
  </r>
  <r>
    <x v="100"/>
    <s v="KAZ"/>
    <x v="64"/>
    <n v="20592571"/>
  </r>
  <r>
    <x v="101"/>
    <s v="KEN"/>
    <x v="0"/>
    <n v="7695307"/>
  </r>
  <r>
    <x v="101"/>
    <s v="KEN"/>
    <x v="1"/>
    <n v="7987770"/>
  </r>
  <r>
    <x v="101"/>
    <s v="KEN"/>
    <x v="2"/>
    <n v="8299308"/>
  </r>
  <r>
    <x v="101"/>
    <s v="KEN"/>
    <x v="3"/>
    <n v="8627971"/>
  </r>
  <r>
    <x v="101"/>
    <s v="KEN"/>
    <x v="4"/>
    <n v="8973535"/>
  </r>
  <r>
    <x v="101"/>
    <s v="KEN"/>
    <x v="5"/>
    <n v="9338078"/>
  </r>
  <r>
    <x v="101"/>
    <s v="KEN"/>
    <x v="6"/>
    <n v="9717816"/>
  </r>
  <r>
    <x v="101"/>
    <s v="KEN"/>
    <x v="7"/>
    <n v="10111057"/>
  </r>
  <r>
    <x v="101"/>
    <s v="KEN"/>
    <x v="8"/>
    <n v="10518823"/>
  </r>
  <r>
    <x v="101"/>
    <s v="KEN"/>
    <x v="9"/>
    <n v="10939695"/>
  </r>
  <r>
    <x v="101"/>
    <s v="KEN"/>
    <x v="10"/>
    <n v="11368791"/>
  </r>
  <r>
    <x v="101"/>
    <s v="KEN"/>
    <x v="11"/>
    <n v="11788904"/>
  </r>
  <r>
    <x v="101"/>
    <s v="KEN"/>
    <x v="12"/>
    <n v="12206060"/>
  </r>
  <r>
    <x v="101"/>
    <s v="KEN"/>
    <x v="13"/>
    <n v="12634835"/>
  </r>
  <r>
    <x v="101"/>
    <s v="KEN"/>
    <x v="14"/>
    <n v="13070078"/>
  </r>
  <r>
    <x v="101"/>
    <s v="KEN"/>
    <x v="15"/>
    <n v="13511671"/>
  </r>
  <r>
    <x v="101"/>
    <s v="KEN"/>
    <x v="16"/>
    <n v="13957623"/>
  </r>
  <r>
    <x v="101"/>
    <s v="KEN"/>
    <x v="17"/>
    <n v="14428819"/>
  </r>
  <r>
    <x v="101"/>
    <s v="KEN"/>
    <x v="18"/>
    <n v="14934126"/>
  </r>
  <r>
    <x v="101"/>
    <s v="KEN"/>
    <x v="19"/>
    <n v="15460666"/>
  </r>
  <r>
    <x v="101"/>
    <s v="KEN"/>
    <x v="20"/>
    <n v="16018459"/>
  </r>
  <r>
    <x v="101"/>
    <s v="KEN"/>
    <x v="21"/>
    <n v="16601507"/>
  </r>
  <r>
    <x v="101"/>
    <s v="KEN"/>
    <x v="22"/>
    <n v="17206175"/>
  </r>
  <r>
    <x v="101"/>
    <s v="KEN"/>
    <x v="23"/>
    <n v="17846374"/>
  </r>
  <r>
    <x v="101"/>
    <s v="KEN"/>
    <x v="24"/>
    <n v="18514906"/>
  </r>
  <r>
    <x v="101"/>
    <s v="KEN"/>
    <x v="25"/>
    <n v="19201768"/>
  </r>
  <r>
    <x v="101"/>
    <s v="KEN"/>
    <x v="26"/>
    <n v="19901646"/>
  </r>
  <r>
    <x v="101"/>
    <s v="KEN"/>
    <x v="27"/>
    <n v="20616096"/>
  </r>
  <r>
    <x v="101"/>
    <s v="KEN"/>
    <x v="28"/>
    <n v="21356219"/>
  </r>
  <r>
    <x v="101"/>
    <s v="KEN"/>
    <x v="29"/>
    <n v="22118434"/>
  </r>
  <r>
    <x v="101"/>
    <s v="KEN"/>
    <x v="30"/>
    <n v="22892651"/>
  </r>
  <r>
    <x v="101"/>
    <s v="KEN"/>
    <x v="31"/>
    <n v="23646514"/>
  </r>
  <r>
    <x v="101"/>
    <s v="KEN"/>
    <x v="32"/>
    <n v="24382460"/>
  </r>
  <r>
    <x v="101"/>
    <s v="KEN"/>
    <x v="33"/>
    <n v="25117188"/>
  </r>
  <r>
    <x v="101"/>
    <s v="KEN"/>
    <x v="34"/>
    <n v="25857130"/>
  </r>
  <r>
    <x v="101"/>
    <s v="KEN"/>
    <x v="35"/>
    <n v="26601751"/>
  </r>
  <r>
    <x v="101"/>
    <s v="KEN"/>
    <x v="36"/>
    <n v="27344211"/>
  </r>
  <r>
    <x v="101"/>
    <s v="KEN"/>
    <x v="37"/>
    <n v="28101768"/>
  </r>
  <r>
    <x v="101"/>
    <s v="KEN"/>
    <x v="38"/>
    <n v="28888057"/>
  </r>
  <r>
    <x v="101"/>
    <s v="KEN"/>
    <x v="39"/>
    <n v="29733408"/>
  </r>
  <r>
    <x v="101"/>
    <s v="KEN"/>
    <x v="40"/>
    <n v="30642890"/>
  </r>
  <r>
    <x v="101"/>
    <s v="KEN"/>
    <x v="41"/>
    <n v="31619170"/>
  </r>
  <r>
    <x v="101"/>
    <s v="KEN"/>
    <x v="42"/>
    <n v="32629808"/>
  </r>
  <r>
    <x v="101"/>
    <s v="KEN"/>
    <x v="43"/>
    <n v="33652223"/>
  </r>
  <r>
    <x v="101"/>
    <s v="KEN"/>
    <x v="44"/>
    <n v="34713455"/>
  </r>
  <r>
    <x v="101"/>
    <s v="KEN"/>
    <x v="45"/>
    <n v="35796484"/>
  </r>
  <r>
    <x v="101"/>
    <s v="KEN"/>
    <x v="46"/>
    <n v="36904008"/>
  </r>
  <r>
    <x v="101"/>
    <s v="KEN"/>
    <x v="47"/>
    <n v="38036349"/>
  </r>
  <r>
    <x v="101"/>
    <s v="KEN"/>
    <x v="48"/>
    <n v="39206351"/>
  </r>
  <r>
    <x v="101"/>
    <s v="KEN"/>
    <x v="49"/>
    <n v="40408891"/>
  </r>
  <r>
    <x v="101"/>
    <s v="KEN"/>
    <x v="50"/>
    <n v="41598567"/>
  </r>
  <r>
    <x v="101"/>
    <s v="KEN"/>
    <x v="51"/>
    <n v="42758461"/>
  </r>
  <r>
    <x v="101"/>
    <s v="KEN"/>
    <x v="52"/>
    <n v="43888303"/>
  </r>
  <r>
    <x v="101"/>
    <s v="KEN"/>
    <x v="53"/>
    <n v="44986791"/>
  </r>
  <r>
    <x v="101"/>
    <s v="KEN"/>
    <x v="54"/>
    <n v="46051440"/>
  </r>
  <r>
    <x v="101"/>
    <s v="KEN"/>
    <x v="55"/>
    <n v="47088526"/>
  </r>
  <r>
    <x v="101"/>
    <s v="KEN"/>
    <x v="56"/>
    <n v="48139687"/>
  </r>
  <r>
    <x v="101"/>
    <s v="KEN"/>
    <x v="57"/>
    <n v="49197766"/>
  </r>
  <r>
    <x v="101"/>
    <s v="KEN"/>
    <x v="58"/>
    <n v="50207107"/>
  </r>
  <r>
    <x v="101"/>
    <s v="KEN"/>
    <x v="59"/>
    <n v="51202827"/>
  </r>
  <r>
    <x v="101"/>
    <s v="KEN"/>
    <x v="60"/>
    <n v="52217334"/>
  </r>
  <r>
    <x v="101"/>
    <s v="KEN"/>
    <x v="61"/>
    <n v="53219166"/>
  </r>
  <r>
    <x v="101"/>
    <s v="KEN"/>
    <x v="62"/>
    <n v="54252461"/>
  </r>
  <r>
    <x v="101"/>
    <s v="KEN"/>
    <x v="63"/>
    <n v="55339003"/>
  </r>
  <r>
    <x v="101"/>
    <s v="KEN"/>
    <x v="64"/>
    <n v="56432944"/>
  </r>
  <r>
    <x v="102"/>
    <s v="KIR"/>
    <x v="0"/>
    <n v="47157"/>
  </r>
  <r>
    <x v="102"/>
    <s v="KIR"/>
    <x v="1"/>
    <n v="48323"/>
  </r>
  <r>
    <x v="102"/>
    <s v="KIR"/>
    <x v="2"/>
    <n v="49538"/>
  </r>
  <r>
    <x v="102"/>
    <s v="KIR"/>
    <x v="3"/>
    <n v="50791"/>
  </r>
  <r>
    <x v="102"/>
    <s v="KIR"/>
    <x v="4"/>
    <n v="52088"/>
  </r>
  <r>
    <x v="102"/>
    <s v="KIR"/>
    <x v="5"/>
    <n v="53439"/>
  </r>
  <r>
    <x v="102"/>
    <s v="KIR"/>
    <x v="6"/>
    <n v="54425"/>
  </r>
  <r>
    <x v="102"/>
    <s v="KIR"/>
    <x v="7"/>
    <n v="54996"/>
  </r>
  <r>
    <x v="102"/>
    <s v="KIR"/>
    <x v="8"/>
    <n v="55529"/>
  </r>
  <r>
    <x v="102"/>
    <s v="KIR"/>
    <x v="9"/>
    <n v="56360"/>
  </r>
  <r>
    <x v="102"/>
    <s v="KIR"/>
    <x v="10"/>
    <n v="57510"/>
  </r>
  <r>
    <x v="102"/>
    <s v="KIR"/>
    <x v="11"/>
    <n v="58652"/>
  </r>
  <r>
    <x v="102"/>
    <s v="KIR"/>
    <x v="12"/>
    <n v="59778"/>
  </r>
  <r>
    <x v="102"/>
    <s v="KIR"/>
    <x v="13"/>
    <n v="60824"/>
  </r>
  <r>
    <x v="102"/>
    <s v="KIR"/>
    <x v="14"/>
    <n v="61219"/>
  </r>
  <r>
    <x v="102"/>
    <s v="KIR"/>
    <x v="15"/>
    <n v="60987"/>
  </r>
  <r>
    <x v="102"/>
    <s v="KIR"/>
    <x v="16"/>
    <n v="60661"/>
  </r>
  <r>
    <x v="102"/>
    <s v="KIR"/>
    <x v="17"/>
    <n v="60267"/>
  </r>
  <r>
    <x v="102"/>
    <s v="KIR"/>
    <x v="18"/>
    <n v="59864"/>
  </r>
  <r>
    <x v="102"/>
    <s v="KIR"/>
    <x v="19"/>
    <n v="60172"/>
  </r>
  <r>
    <x v="102"/>
    <s v="KIR"/>
    <x v="20"/>
    <n v="61148"/>
  </r>
  <r>
    <x v="102"/>
    <s v="KIR"/>
    <x v="21"/>
    <n v="62121"/>
  </r>
  <r>
    <x v="102"/>
    <s v="KIR"/>
    <x v="22"/>
    <n v="63134"/>
  </r>
  <r>
    <x v="102"/>
    <s v="KIR"/>
    <x v="23"/>
    <n v="64169"/>
  </r>
  <r>
    <x v="102"/>
    <s v="KIR"/>
    <x v="24"/>
    <n v="65228"/>
  </r>
  <r>
    <x v="102"/>
    <s v="KIR"/>
    <x v="25"/>
    <n v="66496"/>
  </r>
  <r>
    <x v="102"/>
    <s v="KIR"/>
    <x v="26"/>
    <n v="68059"/>
  </r>
  <r>
    <x v="102"/>
    <s v="KIR"/>
    <x v="27"/>
    <n v="69733"/>
  </r>
  <r>
    <x v="102"/>
    <s v="KIR"/>
    <x v="28"/>
    <n v="71427"/>
  </r>
  <r>
    <x v="102"/>
    <s v="KIR"/>
    <x v="29"/>
    <n v="73147"/>
  </r>
  <r>
    <x v="102"/>
    <s v="KIR"/>
    <x v="30"/>
    <n v="74855"/>
  </r>
  <r>
    <x v="102"/>
    <s v="KIR"/>
    <x v="31"/>
    <n v="76367"/>
  </r>
  <r>
    <x v="102"/>
    <s v="KIR"/>
    <x v="32"/>
    <n v="77641"/>
  </r>
  <r>
    <x v="102"/>
    <s v="KIR"/>
    <x v="33"/>
    <n v="78841"/>
  </r>
  <r>
    <x v="102"/>
    <s v="KIR"/>
    <x v="34"/>
    <n v="80021"/>
  </r>
  <r>
    <x v="102"/>
    <s v="KIR"/>
    <x v="35"/>
    <n v="81234"/>
  </r>
  <r>
    <x v="102"/>
    <s v="KIR"/>
    <x v="36"/>
    <n v="82623"/>
  </r>
  <r>
    <x v="102"/>
    <s v="KIR"/>
    <x v="37"/>
    <n v="84147"/>
  </r>
  <r>
    <x v="102"/>
    <s v="KIR"/>
    <x v="38"/>
    <n v="85657"/>
  </r>
  <r>
    <x v="102"/>
    <s v="KIR"/>
    <x v="39"/>
    <n v="87126"/>
  </r>
  <r>
    <x v="102"/>
    <s v="KIR"/>
    <x v="40"/>
    <n v="88613"/>
  </r>
  <r>
    <x v="102"/>
    <s v="KIR"/>
    <x v="41"/>
    <n v="90335"/>
  </r>
  <r>
    <x v="102"/>
    <s v="KIR"/>
    <x v="42"/>
    <n v="92264"/>
  </r>
  <r>
    <x v="102"/>
    <s v="KIR"/>
    <x v="43"/>
    <n v="94175"/>
  </r>
  <r>
    <x v="102"/>
    <s v="KIR"/>
    <x v="44"/>
    <n v="96085"/>
  </r>
  <r>
    <x v="102"/>
    <s v="KIR"/>
    <x v="45"/>
    <n v="98035"/>
  </r>
  <r>
    <x v="102"/>
    <s v="KIR"/>
    <x v="46"/>
    <n v="100017"/>
  </r>
  <r>
    <x v="102"/>
    <s v="KIR"/>
    <x v="47"/>
    <n v="102068"/>
  </r>
  <r>
    <x v="102"/>
    <s v="KIR"/>
    <x v="48"/>
    <n v="104222"/>
  </r>
  <r>
    <x v="102"/>
    <s v="KIR"/>
    <x v="49"/>
    <n v="106467"/>
  </r>
  <r>
    <x v="102"/>
    <s v="KIR"/>
    <x v="50"/>
    <n v="108704"/>
  </r>
  <r>
    <x v="102"/>
    <s v="KIR"/>
    <x v="51"/>
    <n v="110647"/>
  </r>
  <r>
    <x v="102"/>
    <s v="KIR"/>
    <x v="52"/>
    <n v="112284"/>
  </r>
  <r>
    <x v="102"/>
    <s v="KIR"/>
    <x v="53"/>
    <n v="113838"/>
  </r>
  <r>
    <x v="102"/>
    <s v="KIR"/>
    <x v="54"/>
    <n v="115326"/>
  </r>
  <r>
    <x v="102"/>
    <s v="KIR"/>
    <x v="55"/>
    <n v="116815"/>
  </r>
  <r>
    <x v="102"/>
    <s v="KIR"/>
    <x v="56"/>
    <n v="118478"/>
  </r>
  <r>
    <x v="102"/>
    <s v="KIR"/>
    <x v="57"/>
    <n v="120275"/>
  </r>
  <r>
    <x v="102"/>
    <s v="KIR"/>
    <x v="58"/>
    <n v="122084"/>
  </r>
  <r>
    <x v="102"/>
    <s v="KIR"/>
    <x v="59"/>
    <n v="123921"/>
  </r>
  <r>
    <x v="102"/>
    <s v="KIR"/>
    <x v="60"/>
    <n v="126099"/>
  </r>
  <r>
    <x v="102"/>
    <s v="KIR"/>
    <x v="61"/>
    <n v="128377"/>
  </r>
  <r>
    <x v="102"/>
    <s v="KIR"/>
    <x v="62"/>
    <n v="130469"/>
  </r>
  <r>
    <x v="102"/>
    <s v="KIR"/>
    <x v="63"/>
    <n v="132530"/>
  </r>
  <r>
    <x v="102"/>
    <s v="KIR"/>
    <x v="64"/>
    <n v="134518"/>
  </r>
  <r>
    <x v="103"/>
    <s v="PRK"/>
    <x v="0"/>
    <n v="11722953"/>
  </r>
  <r>
    <x v="103"/>
    <s v="PRK"/>
    <x v="1"/>
    <n v="11990713"/>
  </r>
  <r>
    <x v="103"/>
    <s v="PRK"/>
    <x v="2"/>
    <n v="12262882"/>
  </r>
  <r>
    <x v="103"/>
    <s v="PRK"/>
    <x v="3"/>
    <n v="12567057"/>
  </r>
  <r>
    <x v="103"/>
    <s v="PRK"/>
    <x v="4"/>
    <n v="12889770"/>
  </r>
  <r>
    <x v="103"/>
    <s v="PRK"/>
    <x v="5"/>
    <n v="13219369"/>
  </r>
  <r>
    <x v="103"/>
    <s v="PRK"/>
    <x v="6"/>
    <n v="13569094"/>
  </r>
  <r>
    <x v="103"/>
    <s v="PRK"/>
    <x v="7"/>
    <n v="13958350"/>
  </r>
  <r>
    <x v="103"/>
    <s v="PRK"/>
    <x v="8"/>
    <n v="14365596"/>
  </r>
  <r>
    <x v="103"/>
    <s v="PRK"/>
    <x v="9"/>
    <n v="14767615"/>
  </r>
  <r>
    <x v="103"/>
    <s v="PRK"/>
    <x v="10"/>
    <n v="15172775"/>
  </r>
  <r>
    <x v="103"/>
    <s v="PRK"/>
    <x v="11"/>
    <n v="15572457"/>
  </r>
  <r>
    <x v="103"/>
    <s v="PRK"/>
    <x v="12"/>
    <n v="15975069"/>
  </r>
  <r>
    <x v="103"/>
    <s v="PRK"/>
    <x v="13"/>
    <n v="16350367"/>
  </r>
  <r>
    <x v="103"/>
    <s v="PRK"/>
    <x v="14"/>
    <n v="16673121"/>
  </r>
  <r>
    <x v="103"/>
    <s v="PRK"/>
    <x v="15"/>
    <n v="16971055"/>
  </r>
  <r>
    <x v="103"/>
    <s v="PRK"/>
    <x v="16"/>
    <n v="17243450"/>
  </r>
  <r>
    <x v="103"/>
    <s v="PRK"/>
    <x v="17"/>
    <n v="17492798"/>
  </r>
  <r>
    <x v="103"/>
    <s v="PRK"/>
    <x v="18"/>
    <n v="17735995"/>
  </r>
  <r>
    <x v="103"/>
    <s v="PRK"/>
    <x v="19"/>
    <n v="17983470"/>
  </r>
  <r>
    <x v="103"/>
    <s v="PRK"/>
    <x v="20"/>
    <n v="18236786"/>
  </r>
  <r>
    <x v="103"/>
    <s v="PRK"/>
    <x v="21"/>
    <n v="18501295"/>
  </r>
  <r>
    <x v="103"/>
    <s v="PRK"/>
    <x v="22"/>
    <n v="18776357"/>
  </r>
  <r>
    <x v="103"/>
    <s v="PRK"/>
    <x v="23"/>
    <n v="19054034"/>
  </r>
  <r>
    <x v="103"/>
    <s v="PRK"/>
    <x v="24"/>
    <n v="19335043"/>
  </r>
  <r>
    <x v="103"/>
    <s v="PRK"/>
    <x v="25"/>
    <n v="19620388"/>
  </r>
  <r>
    <x v="103"/>
    <s v="PRK"/>
    <x v="26"/>
    <n v="19910855"/>
  </r>
  <r>
    <x v="103"/>
    <s v="PRK"/>
    <x v="27"/>
    <n v="20205483"/>
  </r>
  <r>
    <x v="103"/>
    <s v="PRK"/>
    <x v="28"/>
    <n v="20503161"/>
  </r>
  <r>
    <x v="103"/>
    <s v="PRK"/>
    <x v="29"/>
    <n v="20804367"/>
  </r>
  <r>
    <x v="103"/>
    <s v="PRK"/>
    <x v="30"/>
    <n v="21112137"/>
  </r>
  <r>
    <x v="103"/>
    <s v="PRK"/>
    <x v="31"/>
    <n v="21428638"/>
  </r>
  <r>
    <x v="103"/>
    <s v="PRK"/>
    <x v="32"/>
    <n v="21750911"/>
  </r>
  <r>
    <x v="103"/>
    <s v="PRK"/>
    <x v="33"/>
    <n v="22073352"/>
  </r>
  <r>
    <x v="103"/>
    <s v="PRK"/>
    <x v="34"/>
    <n v="22393975"/>
  </r>
  <r>
    <x v="103"/>
    <s v="PRK"/>
    <x v="35"/>
    <n v="22669304"/>
  </r>
  <r>
    <x v="103"/>
    <s v="PRK"/>
    <x v="36"/>
    <n v="22895746"/>
  </r>
  <r>
    <x v="103"/>
    <s v="PRK"/>
    <x v="37"/>
    <n v="23110830"/>
  </r>
  <r>
    <x v="103"/>
    <s v="PRK"/>
    <x v="38"/>
    <n v="23311564"/>
  </r>
  <r>
    <x v="103"/>
    <s v="PRK"/>
    <x v="39"/>
    <n v="23497599"/>
  </r>
  <r>
    <x v="103"/>
    <s v="PRK"/>
    <x v="40"/>
    <n v="23665910"/>
  </r>
  <r>
    <x v="103"/>
    <s v="PRK"/>
    <x v="41"/>
    <n v="23815358"/>
  </r>
  <r>
    <x v="103"/>
    <s v="PRK"/>
    <x v="42"/>
    <n v="23943973"/>
  </r>
  <r>
    <x v="103"/>
    <s v="PRK"/>
    <x v="43"/>
    <n v="24090380"/>
  </r>
  <r>
    <x v="103"/>
    <s v="PRK"/>
    <x v="44"/>
    <n v="24254943"/>
  </r>
  <r>
    <x v="103"/>
    <s v="PRK"/>
    <x v="45"/>
    <n v="24396433"/>
  </r>
  <r>
    <x v="103"/>
    <s v="PRK"/>
    <x v="46"/>
    <n v="24524507"/>
  </r>
  <r>
    <x v="103"/>
    <s v="PRK"/>
    <x v="47"/>
    <n v="24646383"/>
  </r>
  <r>
    <x v="103"/>
    <s v="PRK"/>
    <x v="48"/>
    <n v="24764618"/>
  </r>
  <r>
    <x v="103"/>
    <s v="PRK"/>
    <x v="49"/>
    <n v="24878332"/>
  </r>
  <r>
    <x v="103"/>
    <s v="PRK"/>
    <x v="50"/>
    <n v="24987258"/>
  </r>
  <r>
    <x v="103"/>
    <s v="PRK"/>
    <x v="51"/>
    <n v="25097874"/>
  </r>
  <r>
    <x v="103"/>
    <s v="PRK"/>
    <x v="52"/>
    <n v="25211728"/>
  </r>
  <r>
    <x v="103"/>
    <s v="PRK"/>
    <x v="53"/>
    <n v="25329451"/>
  </r>
  <r>
    <x v="103"/>
    <s v="PRK"/>
    <x v="54"/>
    <n v="25451262"/>
  </r>
  <r>
    <x v="103"/>
    <s v="PRK"/>
    <x v="55"/>
    <n v="25575350"/>
  </r>
  <r>
    <x v="103"/>
    <s v="PRK"/>
    <x v="56"/>
    <n v="25698326"/>
  </r>
  <r>
    <x v="103"/>
    <s v="PRK"/>
    <x v="57"/>
    <n v="25817709"/>
  </r>
  <r>
    <x v="103"/>
    <s v="PRK"/>
    <x v="58"/>
    <n v="25931147"/>
  </r>
  <r>
    <x v="103"/>
    <s v="PRK"/>
    <x v="59"/>
    <n v="26037632"/>
  </r>
  <r>
    <x v="103"/>
    <s v="PRK"/>
    <x v="60"/>
    <n v="26136312"/>
  </r>
  <r>
    <x v="103"/>
    <s v="PRK"/>
    <x v="61"/>
    <n v="26232534"/>
  </r>
  <r>
    <x v="103"/>
    <s v="PRK"/>
    <x v="62"/>
    <n v="26328845"/>
  </r>
  <r>
    <x v="103"/>
    <s v="PRK"/>
    <x v="63"/>
    <n v="26418204"/>
  </r>
  <r>
    <x v="103"/>
    <s v="PRK"/>
    <x v="64"/>
    <n v="26498823"/>
  </r>
  <r>
    <x v="104"/>
    <s v="KOR"/>
    <x v="0"/>
    <n v="25012374"/>
  </r>
  <r>
    <x v="104"/>
    <s v="KOR"/>
    <x v="1"/>
    <n v="25765673"/>
  </r>
  <r>
    <x v="104"/>
    <s v="KOR"/>
    <x v="2"/>
    <n v="26513030"/>
  </r>
  <r>
    <x v="104"/>
    <s v="KOR"/>
    <x v="3"/>
    <n v="27261747"/>
  </r>
  <r>
    <x v="104"/>
    <s v="KOR"/>
    <x v="4"/>
    <n v="27984155"/>
  </r>
  <r>
    <x v="104"/>
    <s v="KOR"/>
    <x v="5"/>
    <n v="28704674"/>
  </r>
  <r>
    <x v="104"/>
    <s v="KOR"/>
    <x v="6"/>
    <n v="29435571"/>
  </r>
  <r>
    <x v="104"/>
    <s v="KOR"/>
    <x v="7"/>
    <n v="30130983"/>
  </r>
  <r>
    <x v="104"/>
    <s v="KOR"/>
    <x v="8"/>
    <n v="30838302"/>
  </r>
  <r>
    <x v="104"/>
    <s v="KOR"/>
    <x v="9"/>
    <n v="31544266"/>
  </r>
  <r>
    <x v="104"/>
    <s v="KOR"/>
    <x v="10"/>
    <n v="32240827"/>
  </r>
  <r>
    <x v="104"/>
    <s v="KOR"/>
    <x v="11"/>
    <n v="32882704"/>
  </r>
  <r>
    <x v="104"/>
    <s v="KOR"/>
    <x v="12"/>
    <n v="33505406"/>
  </r>
  <r>
    <x v="104"/>
    <s v="KOR"/>
    <x v="13"/>
    <n v="34103149"/>
  </r>
  <r>
    <x v="104"/>
    <s v="KOR"/>
    <x v="14"/>
    <n v="34692266"/>
  </r>
  <r>
    <x v="104"/>
    <s v="KOR"/>
    <x v="15"/>
    <n v="35280725"/>
  </r>
  <r>
    <x v="104"/>
    <s v="KOR"/>
    <x v="16"/>
    <n v="35848523"/>
  </r>
  <r>
    <x v="104"/>
    <s v="KOR"/>
    <x v="17"/>
    <n v="36411795"/>
  </r>
  <r>
    <x v="104"/>
    <s v="KOR"/>
    <x v="18"/>
    <n v="36969185"/>
  </r>
  <r>
    <x v="104"/>
    <s v="KOR"/>
    <x v="19"/>
    <n v="37534236"/>
  </r>
  <r>
    <x v="104"/>
    <s v="KOR"/>
    <x v="20"/>
    <n v="38123775"/>
  </r>
  <r>
    <x v="104"/>
    <s v="KOR"/>
    <x v="21"/>
    <n v="38723248"/>
  </r>
  <r>
    <x v="104"/>
    <s v="KOR"/>
    <x v="22"/>
    <n v="39326352"/>
  </r>
  <r>
    <x v="104"/>
    <s v="KOR"/>
    <x v="23"/>
    <n v="39910403"/>
  </r>
  <r>
    <x v="104"/>
    <s v="KOR"/>
    <x v="24"/>
    <n v="40405956"/>
  </r>
  <r>
    <x v="104"/>
    <s v="KOR"/>
    <x v="25"/>
    <n v="40805744"/>
  </r>
  <r>
    <x v="104"/>
    <s v="KOR"/>
    <x v="26"/>
    <n v="41213674"/>
  </r>
  <r>
    <x v="104"/>
    <s v="KOR"/>
    <x v="27"/>
    <n v="41621690"/>
  </r>
  <r>
    <x v="104"/>
    <s v="KOR"/>
    <x v="28"/>
    <n v="42031247"/>
  </r>
  <r>
    <x v="104"/>
    <s v="KOR"/>
    <x v="29"/>
    <n v="42449038"/>
  </r>
  <r>
    <x v="104"/>
    <s v="KOR"/>
    <x v="30"/>
    <n v="42869283"/>
  </r>
  <r>
    <x v="104"/>
    <s v="KOR"/>
    <x v="31"/>
    <n v="43295704"/>
  </r>
  <r>
    <x v="104"/>
    <s v="KOR"/>
    <x v="32"/>
    <n v="43747962"/>
  </r>
  <r>
    <x v="104"/>
    <s v="KOR"/>
    <x v="33"/>
    <n v="44194628"/>
  </r>
  <r>
    <x v="104"/>
    <s v="KOR"/>
    <x v="34"/>
    <n v="44641540"/>
  </r>
  <r>
    <x v="104"/>
    <s v="KOR"/>
    <x v="35"/>
    <n v="45092991"/>
  </r>
  <r>
    <x v="104"/>
    <s v="KOR"/>
    <x v="36"/>
    <n v="45524681"/>
  </r>
  <r>
    <x v="104"/>
    <s v="KOR"/>
    <x v="37"/>
    <n v="45953580"/>
  </r>
  <r>
    <x v="104"/>
    <s v="KOR"/>
    <x v="38"/>
    <n v="46286503"/>
  </r>
  <r>
    <x v="104"/>
    <s v="KOR"/>
    <x v="39"/>
    <n v="46616677"/>
  </r>
  <r>
    <x v="104"/>
    <s v="KOR"/>
    <x v="40"/>
    <n v="47008111"/>
  </r>
  <r>
    <x v="104"/>
    <s v="KOR"/>
    <x v="41"/>
    <n v="47370164"/>
  </r>
  <r>
    <x v="104"/>
    <s v="KOR"/>
    <x v="42"/>
    <n v="47644736"/>
  </r>
  <r>
    <x v="104"/>
    <s v="KOR"/>
    <x v="43"/>
    <n v="47892330"/>
  </r>
  <r>
    <x v="104"/>
    <s v="KOR"/>
    <x v="44"/>
    <n v="48082519"/>
  </r>
  <r>
    <x v="104"/>
    <s v="KOR"/>
    <x v="45"/>
    <n v="48184561"/>
  </r>
  <r>
    <x v="104"/>
    <s v="KOR"/>
    <x v="46"/>
    <n v="48438292"/>
  </r>
  <r>
    <x v="104"/>
    <s v="KOR"/>
    <x v="47"/>
    <n v="48683638"/>
  </r>
  <r>
    <x v="104"/>
    <s v="KOR"/>
    <x v="48"/>
    <n v="49054708"/>
  </r>
  <r>
    <x v="104"/>
    <s v="KOR"/>
    <x v="49"/>
    <n v="49307835"/>
  </r>
  <r>
    <x v="104"/>
    <s v="KOR"/>
    <x v="50"/>
    <n v="49554112"/>
  </r>
  <r>
    <x v="104"/>
    <s v="KOR"/>
    <x v="51"/>
    <n v="49936638"/>
  </r>
  <r>
    <x v="104"/>
    <s v="KOR"/>
    <x v="52"/>
    <n v="50199853"/>
  </r>
  <r>
    <x v="104"/>
    <s v="KOR"/>
    <x v="53"/>
    <n v="50428893"/>
  </r>
  <r>
    <x v="104"/>
    <s v="KOR"/>
    <x v="54"/>
    <n v="50746659"/>
  </r>
  <r>
    <x v="104"/>
    <s v="KOR"/>
    <x v="55"/>
    <n v="51014947"/>
  </r>
  <r>
    <x v="104"/>
    <s v="KOR"/>
    <x v="56"/>
    <n v="51217803"/>
  </r>
  <r>
    <x v="104"/>
    <s v="KOR"/>
    <x v="57"/>
    <n v="51361911"/>
  </r>
  <r>
    <x v="104"/>
    <s v="KOR"/>
    <x v="58"/>
    <n v="51585058"/>
  </r>
  <r>
    <x v="104"/>
    <s v="KOR"/>
    <x v="59"/>
    <n v="51764822"/>
  </r>
  <r>
    <x v="104"/>
    <s v="KOR"/>
    <x v="60"/>
    <n v="51836239"/>
  </r>
  <r>
    <x v="104"/>
    <s v="KOR"/>
    <x v="61"/>
    <n v="51769539"/>
  </r>
  <r>
    <x v="104"/>
    <s v="KOR"/>
    <x v="62"/>
    <n v="51672569"/>
  </r>
  <r>
    <x v="104"/>
    <s v="KOR"/>
    <x v="63"/>
    <n v="51712619"/>
  </r>
  <r>
    <x v="104"/>
    <s v="KOR"/>
    <x v="64"/>
    <n v="51751065"/>
  </r>
  <r>
    <x v="105"/>
    <s v="XKX"/>
    <x v="0"/>
    <n v="984846"/>
  </r>
  <r>
    <x v="105"/>
    <s v="XKX"/>
    <x v="1"/>
    <n v="1011421"/>
  </r>
  <r>
    <x v="105"/>
    <s v="XKX"/>
    <x v="2"/>
    <n v="1036950"/>
  </r>
  <r>
    <x v="105"/>
    <s v="XKX"/>
    <x v="3"/>
    <n v="1062737"/>
  </r>
  <r>
    <x v="105"/>
    <s v="XKX"/>
    <x v="4"/>
    <n v="1090270"/>
  </r>
  <r>
    <x v="105"/>
    <s v="XKX"/>
    <x v="5"/>
    <n v="1120168"/>
  </r>
  <r>
    <x v="105"/>
    <s v="XKX"/>
    <x v="6"/>
    <n v="1152586"/>
  </r>
  <r>
    <x v="105"/>
    <s v="XKX"/>
    <x v="7"/>
    <n v="1187667"/>
  </r>
  <r>
    <x v="105"/>
    <s v="XKX"/>
    <x v="8"/>
    <n v="1214208"/>
  </r>
  <r>
    <x v="105"/>
    <s v="XKX"/>
    <x v="9"/>
    <n v="1231460"/>
  </r>
  <r>
    <x v="105"/>
    <s v="XKX"/>
    <x v="10"/>
    <n v="1249555"/>
  </r>
  <r>
    <x v="105"/>
    <s v="XKX"/>
    <x v="11"/>
    <n v="1273021"/>
  </r>
  <r>
    <x v="105"/>
    <s v="XKX"/>
    <x v="12"/>
    <n v="1301579"/>
  </r>
  <r>
    <x v="105"/>
    <s v="XKX"/>
    <x v="13"/>
    <n v="1331176"/>
  </r>
  <r>
    <x v="105"/>
    <s v="XKX"/>
    <x v="14"/>
    <n v="1363123"/>
  </r>
  <r>
    <x v="105"/>
    <s v="XKX"/>
    <x v="15"/>
    <n v="1397686"/>
  </r>
  <r>
    <x v="105"/>
    <s v="XKX"/>
    <x v="16"/>
    <n v="1434880"/>
  </r>
  <r>
    <x v="105"/>
    <s v="XKX"/>
    <x v="17"/>
    <n v="1474457"/>
  </r>
  <r>
    <x v="105"/>
    <s v="XKX"/>
    <x v="18"/>
    <n v="1516249"/>
  </r>
  <r>
    <x v="105"/>
    <s v="XKX"/>
    <x v="19"/>
    <n v="1559787"/>
  </r>
  <r>
    <x v="105"/>
    <s v="XKX"/>
    <x v="20"/>
    <n v="1604818"/>
  </r>
  <r>
    <x v="105"/>
    <s v="XKX"/>
    <x v="21"/>
    <n v="1646565"/>
  </r>
  <r>
    <x v="105"/>
    <s v="XKX"/>
    <x v="22"/>
    <n v="1683166"/>
  </r>
  <r>
    <x v="105"/>
    <s v="XKX"/>
    <x v="23"/>
    <n v="1719245"/>
  </r>
  <r>
    <x v="105"/>
    <s v="XKX"/>
    <x v="24"/>
    <n v="1756818"/>
  </r>
  <r>
    <x v="105"/>
    <s v="XKX"/>
    <x v="25"/>
    <n v="1796018"/>
  </r>
  <r>
    <x v="105"/>
    <s v="XKX"/>
    <x v="26"/>
    <n v="1836972"/>
  </r>
  <r>
    <x v="105"/>
    <s v="XKX"/>
    <x v="27"/>
    <n v="1880590"/>
  </r>
  <r>
    <x v="105"/>
    <s v="XKX"/>
    <x v="28"/>
    <n v="1917882"/>
  </r>
  <r>
    <x v="105"/>
    <s v="XKX"/>
    <x v="29"/>
    <n v="1946339"/>
  </r>
  <r>
    <x v="105"/>
    <s v="XKX"/>
    <x v="30"/>
    <n v="1973790"/>
  </r>
  <r>
    <x v="105"/>
    <s v="XKX"/>
    <x v="31"/>
    <n v="2005362"/>
  </r>
  <r>
    <x v="105"/>
    <s v="XKX"/>
    <x v="32"/>
    <n v="2039723"/>
  </r>
  <r>
    <x v="105"/>
    <s v="XKX"/>
    <x v="33"/>
    <n v="2072664"/>
  </r>
  <r>
    <x v="105"/>
    <s v="XKX"/>
    <x v="34"/>
    <n v="2105256"/>
  </r>
  <r>
    <x v="105"/>
    <s v="XKX"/>
    <x v="35"/>
    <n v="2137514"/>
  </r>
  <r>
    <x v="105"/>
    <s v="XKX"/>
    <x v="36"/>
    <n v="2168753"/>
  </r>
  <r>
    <x v="105"/>
    <s v="XKX"/>
    <x v="37"/>
    <n v="2197284"/>
  </r>
  <r>
    <x v="105"/>
    <s v="XKX"/>
    <x v="38"/>
    <n v="2078964"/>
  </r>
  <r>
    <x v="105"/>
    <s v="XKX"/>
    <x v="39"/>
    <n v="1871524"/>
  </r>
  <r>
    <x v="105"/>
    <s v="XKX"/>
    <x v="40"/>
    <n v="1802493"/>
  </r>
  <r>
    <x v="105"/>
    <s v="XKX"/>
    <x v="41"/>
    <n v="1820009"/>
  </r>
  <r>
    <x v="105"/>
    <s v="XKX"/>
    <x v="42"/>
    <n v="1829462"/>
  </r>
  <r>
    <x v="105"/>
    <s v="XKX"/>
    <x v="43"/>
    <n v="1826434"/>
  </r>
  <r>
    <x v="105"/>
    <s v="XKX"/>
    <x v="44"/>
    <n v="1822773"/>
  </r>
  <r>
    <x v="105"/>
    <s v="XKX"/>
    <x v="45"/>
    <n v="1818354"/>
  </r>
  <r>
    <x v="105"/>
    <s v="XKX"/>
    <x v="46"/>
    <n v="1813079"/>
  </r>
  <r>
    <x v="105"/>
    <s v="XKX"/>
    <x v="47"/>
    <n v="1807094"/>
  </r>
  <r>
    <x v="105"/>
    <s v="XKX"/>
    <x v="48"/>
    <n v="1800858"/>
  </r>
  <r>
    <x v="105"/>
    <s v="XKX"/>
    <x v="49"/>
    <n v="1794681"/>
  </r>
  <r>
    <x v="105"/>
    <s v="XKX"/>
    <x v="50"/>
    <n v="1788743"/>
  </r>
  <r>
    <x v="105"/>
    <s v="XKX"/>
    <x v="51"/>
    <n v="1791949"/>
  </r>
  <r>
    <x v="105"/>
    <s v="XKX"/>
    <x v="52"/>
    <n v="1807126"/>
  </r>
  <r>
    <x v="105"/>
    <s v="XKX"/>
    <x v="53"/>
    <n v="1818119"/>
  </r>
  <r>
    <x v="105"/>
    <s v="XKX"/>
    <x v="54"/>
    <n v="1812788"/>
  </r>
  <r>
    <x v="105"/>
    <s v="XKX"/>
    <x v="55"/>
    <n v="1788274"/>
  </r>
  <r>
    <x v="105"/>
    <s v="XKX"/>
    <x v="56"/>
    <n v="1777568"/>
  </r>
  <r>
    <x v="105"/>
    <s v="XKX"/>
    <x v="57"/>
    <n v="1791019"/>
  </r>
  <r>
    <x v="105"/>
    <s v="XKX"/>
    <x v="58"/>
    <n v="1797086"/>
  </r>
  <r>
    <x v="105"/>
    <s v="XKX"/>
    <x v="59"/>
    <n v="1788891"/>
  </r>
  <r>
    <x v="105"/>
    <s v="XKX"/>
    <x v="60"/>
    <n v="1790151"/>
  </r>
  <r>
    <x v="105"/>
    <s v="XKX"/>
    <x v="61"/>
    <n v="1786079"/>
  </r>
  <r>
    <x v="105"/>
    <s v="XKX"/>
    <x v="62"/>
    <n v="1768096"/>
  </r>
  <r>
    <x v="105"/>
    <s v="XKX"/>
    <x v="63"/>
    <n v="1682668"/>
  </r>
  <r>
    <x v="105"/>
    <s v="XKX"/>
    <x v="64"/>
    <n v="1527324"/>
  </r>
  <r>
    <x v="106"/>
    <s v="KWT"/>
    <x v="0"/>
    <n v="311060"/>
  </r>
  <r>
    <x v="106"/>
    <s v="KWT"/>
    <x v="1"/>
    <n v="345945"/>
  </r>
  <r>
    <x v="106"/>
    <s v="KWT"/>
    <x v="2"/>
    <n v="384995"/>
  </r>
  <r>
    <x v="106"/>
    <s v="KWT"/>
    <x v="3"/>
    <n v="427694"/>
  </r>
  <r>
    <x v="106"/>
    <s v="KWT"/>
    <x v="4"/>
    <n v="473115"/>
  </r>
  <r>
    <x v="106"/>
    <s v="KWT"/>
    <x v="5"/>
    <n v="521174"/>
  </r>
  <r>
    <x v="106"/>
    <s v="KWT"/>
    <x v="6"/>
    <n v="572590"/>
  </r>
  <r>
    <x v="106"/>
    <s v="KWT"/>
    <x v="7"/>
    <n v="628089"/>
  </r>
  <r>
    <x v="106"/>
    <s v="KWT"/>
    <x v="8"/>
    <n v="687716"/>
  </r>
  <r>
    <x v="106"/>
    <s v="KWT"/>
    <x v="9"/>
    <n v="749452"/>
  </r>
  <r>
    <x v="106"/>
    <s v="KWT"/>
    <x v="10"/>
    <n v="809114"/>
  </r>
  <r>
    <x v="106"/>
    <s v="KWT"/>
    <x v="11"/>
    <n v="865076"/>
  </r>
  <r>
    <x v="106"/>
    <s v="KWT"/>
    <x v="12"/>
    <n v="920352"/>
  </r>
  <r>
    <x v="106"/>
    <s v="KWT"/>
    <x v="13"/>
    <n v="977654"/>
  </r>
  <r>
    <x v="106"/>
    <s v="KWT"/>
    <x v="14"/>
    <n v="1038346"/>
  </r>
  <r>
    <x v="106"/>
    <s v="KWT"/>
    <x v="15"/>
    <n v="1104863"/>
  </r>
  <r>
    <x v="106"/>
    <s v="KWT"/>
    <x v="16"/>
    <n v="1178711"/>
  </r>
  <r>
    <x v="106"/>
    <s v="KWT"/>
    <x v="17"/>
    <n v="1258023"/>
  </r>
  <r>
    <x v="106"/>
    <s v="KWT"/>
    <x v="18"/>
    <n v="1340319"/>
  </r>
  <r>
    <x v="106"/>
    <s v="KWT"/>
    <x v="19"/>
    <n v="1423514"/>
  </r>
  <r>
    <x v="106"/>
    <s v="KWT"/>
    <x v="20"/>
    <n v="1504782"/>
  </r>
  <r>
    <x v="106"/>
    <s v="KWT"/>
    <x v="21"/>
    <n v="1583426"/>
  </r>
  <r>
    <x v="106"/>
    <s v="KWT"/>
    <x v="22"/>
    <n v="1662480"/>
  </r>
  <r>
    <x v="106"/>
    <s v="KWT"/>
    <x v="23"/>
    <n v="1744295"/>
  </r>
  <r>
    <x v="106"/>
    <s v="KWT"/>
    <x v="24"/>
    <n v="1820688"/>
  </r>
  <r>
    <x v="106"/>
    <s v="KWT"/>
    <x v="25"/>
    <n v="1894242"/>
  </r>
  <r>
    <x v="106"/>
    <s v="KWT"/>
    <x v="26"/>
    <n v="1972520"/>
  </r>
  <r>
    <x v="106"/>
    <s v="KWT"/>
    <x v="27"/>
    <n v="2052994"/>
  </r>
  <r>
    <x v="106"/>
    <s v="KWT"/>
    <x v="28"/>
    <n v="2134707"/>
  </r>
  <r>
    <x v="106"/>
    <s v="KWT"/>
    <x v="29"/>
    <n v="2217468"/>
  </r>
  <r>
    <x v="106"/>
    <s v="KWT"/>
    <x v="30"/>
    <n v="1684819"/>
  </r>
  <r>
    <x v="106"/>
    <s v="KWT"/>
    <x v="31"/>
    <n v="1351399"/>
  </r>
  <r>
    <x v="106"/>
    <s v="KWT"/>
    <x v="32"/>
    <n v="1634961"/>
  </r>
  <r>
    <x v="106"/>
    <s v="KWT"/>
    <x v="33"/>
    <n v="1672151"/>
  </r>
  <r>
    <x v="106"/>
    <s v="KWT"/>
    <x v="34"/>
    <n v="1664361"/>
  </r>
  <r>
    <x v="106"/>
    <s v="KWT"/>
    <x v="35"/>
    <n v="1681513"/>
  </r>
  <r>
    <x v="106"/>
    <s v="KWT"/>
    <x v="36"/>
    <n v="1730246"/>
  </r>
  <r>
    <x v="106"/>
    <s v="KWT"/>
    <x v="37"/>
    <n v="1787683"/>
  </r>
  <r>
    <x v="106"/>
    <s v="KWT"/>
    <x v="38"/>
    <n v="1844302"/>
  </r>
  <r>
    <x v="106"/>
    <s v="KWT"/>
    <x v="39"/>
    <n v="1900030"/>
  </r>
  <r>
    <x v="106"/>
    <s v="KWT"/>
    <x v="40"/>
    <n v="1954709"/>
  </r>
  <r>
    <x v="106"/>
    <s v="KWT"/>
    <x v="41"/>
    <n v="2008121"/>
  </r>
  <r>
    <x v="106"/>
    <s v="KWT"/>
    <x v="42"/>
    <n v="2059974"/>
  </r>
  <r>
    <x v="106"/>
    <s v="KWT"/>
    <x v="43"/>
    <n v="2109881"/>
  </r>
  <r>
    <x v="106"/>
    <s v="KWT"/>
    <x v="44"/>
    <n v="2157320"/>
  </r>
  <r>
    <x v="106"/>
    <s v="KWT"/>
    <x v="45"/>
    <n v="2236788"/>
  </r>
  <r>
    <x v="106"/>
    <s v="KWT"/>
    <x v="46"/>
    <n v="2364733"/>
  </r>
  <r>
    <x v="106"/>
    <s v="KWT"/>
    <x v="47"/>
    <n v="2507887"/>
  </r>
  <r>
    <x v="106"/>
    <s v="KWT"/>
    <x v="48"/>
    <n v="2651421"/>
  </r>
  <r>
    <x v="106"/>
    <s v="KWT"/>
    <x v="49"/>
    <n v="2795484"/>
  </r>
  <r>
    <x v="106"/>
    <s v="KWT"/>
    <x v="50"/>
    <n v="2943372"/>
  </r>
  <r>
    <x v="106"/>
    <s v="KWT"/>
    <x v="51"/>
    <n v="3132814"/>
  </r>
  <r>
    <x v="106"/>
    <s v="KWT"/>
    <x v="52"/>
    <n v="3337109"/>
  </r>
  <r>
    <x v="106"/>
    <s v="KWT"/>
    <x v="53"/>
    <n v="3507844"/>
  </r>
  <r>
    <x v="106"/>
    <s v="KWT"/>
    <x v="54"/>
    <n v="3665876"/>
  </r>
  <r>
    <x v="106"/>
    <s v="KWT"/>
    <x v="55"/>
    <n v="3834574"/>
  </r>
  <r>
    <x v="106"/>
    <s v="KWT"/>
    <x v="56"/>
    <n v="4004096"/>
  </r>
  <r>
    <x v="106"/>
    <s v="KWT"/>
    <x v="57"/>
    <n v="4154812"/>
  </r>
  <r>
    <x v="106"/>
    <s v="KWT"/>
    <x v="58"/>
    <n v="4323515"/>
  </r>
  <r>
    <x v="106"/>
    <s v="KWT"/>
    <x v="59"/>
    <n v="4442316"/>
  </r>
  <r>
    <x v="106"/>
    <s v="KWT"/>
    <x v="60"/>
    <n v="4400267"/>
  </r>
  <r>
    <x v="106"/>
    <s v="KWT"/>
    <x v="61"/>
    <n v="4360865"/>
  </r>
  <r>
    <x v="106"/>
    <s v="KWT"/>
    <x v="62"/>
    <n v="4589643"/>
  </r>
  <r>
    <x v="106"/>
    <s v="KWT"/>
    <x v="63"/>
    <n v="4853420"/>
  </r>
  <r>
    <x v="106"/>
    <s v="KWT"/>
    <x v="64"/>
    <n v="4973861"/>
  </r>
  <r>
    <x v="107"/>
    <s v="KGZ"/>
    <x v="0"/>
    <n v="2172300"/>
  </r>
  <r>
    <x v="107"/>
    <s v="KGZ"/>
    <x v="1"/>
    <n v="2255900"/>
  </r>
  <r>
    <x v="107"/>
    <s v="KGZ"/>
    <x v="2"/>
    <n v="2333400"/>
  </r>
  <r>
    <x v="107"/>
    <s v="KGZ"/>
    <x v="3"/>
    <n v="2413700"/>
  </r>
  <r>
    <x v="107"/>
    <s v="KGZ"/>
    <x v="4"/>
    <n v="2495300"/>
  </r>
  <r>
    <x v="107"/>
    <s v="KGZ"/>
    <x v="5"/>
    <n v="2573300"/>
  </r>
  <r>
    <x v="107"/>
    <s v="KGZ"/>
    <x v="6"/>
    <n v="2655300"/>
  </r>
  <r>
    <x v="107"/>
    <s v="KGZ"/>
    <x v="7"/>
    <n v="2736500"/>
  </r>
  <r>
    <x v="107"/>
    <s v="KGZ"/>
    <x v="8"/>
    <n v="2818300"/>
  </r>
  <r>
    <x v="107"/>
    <s v="KGZ"/>
    <x v="9"/>
    <n v="2894800"/>
  </r>
  <r>
    <x v="107"/>
    <s v="KGZ"/>
    <x v="10"/>
    <n v="2959900"/>
  </r>
  <r>
    <x v="107"/>
    <s v="KGZ"/>
    <x v="11"/>
    <n v="3022300"/>
  </r>
  <r>
    <x v="107"/>
    <s v="KGZ"/>
    <x v="12"/>
    <n v="3088200"/>
  </r>
  <r>
    <x v="107"/>
    <s v="KGZ"/>
    <x v="13"/>
    <n v="3153800"/>
  </r>
  <r>
    <x v="107"/>
    <s v="KGZ"/>
    <x v="14"/>
    <n v="3223900"/>
  </r>
  <r>
    <x v="107"/>
    <s v="KGZ"/>
    <x v="15"/>
    <n v="3292400"/>
  </r>
  <r>
    <x v="107"/>
    <s v="KGZ"/>
    <x v="16"/>
    <n v="3358700"/>
  </r>
  <r>
    <x v="107"/>
    <s v="KGZ"/>
    <x v="17"/>
    <n v="3423900"/>
  </r>
  <r>
    <x v="107"/>
    <s v="KGZ"/>
    <x v="18"/>
    <n v="3487100"/>
  </r>
  <r>
    <x v="107"/>
    <s v="KGZ"/>
    <x v="19"/>
    <n v="3552000"/>
  </r>
  <r>
    <x v="107"/>
    <s v="KGZ"/>
    <x v="20"/>
    <n v="3617400"/>
  </r>
  <r>
    <x v="107"/>
    <s v="KGZ"/>
    <x v="21"/>
    <n v="3685800"/>
  </r>
  <r>
    <x v="107"/>
    <s v="KGZ"/>
    <x v="22"/>
    <n v="3759300"/>
  </r>
  <r>
    <x v="107"/>
    <s v="KGZ"/>
    <x v="23"/>
    <n v="3838300"/>
  </r>
  <r>
    <x v="107"/>
    <s v="KGZ"/>
    <x v="24"/>
    <n v="3916400"/>
  </r>
  <r>
    <x v="107"/>
    <s v="KGZ"/>
    <x v="25"/>
    <n v="3990300"/>
  </r>
  <r>
    <x v="107"/>
    <s v="KGZ"/>
    <x v="26"/>
    <n v="4066500"/>
  </r>
  <r>
    <x v="107"/>
    <s v="KGZ"/>
    <x v="27"/>
    <n v="4144600"/>
  </r>
  <r>
    <x v="107"/>
    <s v="KGZ"/>
    <x v="28"/>
    <n v="4218400"/>
  </r>
  <r>
    <x v="107"/>
    <s v="KGZ"/>
    <x v="29"/>
    <n v="4307500"/>
  </r>
  <r>
    <x v="107"/>
    <s v="KGZ"/>
    <x v="30"/>
    <n v="4391236"/>
  </r>
  <r>
    <x v="107"/>
    <s v="KGZ"/>
    <x v="31"/>
    <n v="4463634"/>
  </r>
  <r>
    <x v="107"/>
    <s v="KGZ"/>
    <x v="32"/>
    <n v="4515400"/>
  </r>
  <r>
    <x v="107"/>
    <s v="KGZ"/>
    <x v="33"/>
    <n v="4516777"/>
  </r>
  <r>
    <x v="107"/>
    <s v="KGZ"/>
    <x v="34"/>
    <n v="4515069"/>
  </r>
  <r>
    <x v="107"/>
    <s v="KGZ"/>
    <x v="35"/>
    <n v="4560454"/>
  </r>
  <r>
    <x v="107"/>
    <s v="KGZ"/>
    <x v="36"/>
    <n v="4628438"/>
  </r>
  <r>
    <x v="107"/>
    <s v="KGZ"/>
    <x v="37"/>
    <n v="4696421"/>
  </r>
  <r>
    <x v="107"/>
    <s v="KGZ"/>
    <x v="38"/>
    <n v="4769015"/>
  </r>
  <r>
    <x v="107"/>
    <s v="KGZ"/>
    <x v="39"/>
    <n v="4840422"/>
  </r>
  <r>
    <x v="107"/>
    <s v="KGZ"/>
    <x v="40"/>
    <n v="4898362"/>
  </r>
  <r>
    <x v="107"/>
    <s v="KGZ"/>
    <x v="41"/>
    <n v="4945073"/>
  </r>
  <r>
    <x v="107"/>
    <s v="KGZ"/>
    <x v="42"/>
    <n v="4990704"/>
  </r>
  <r>
    <x v="107"/>
    <s v="KGZ"/>
    <x v="43"/>
    <n v="5043308"/>
  </r>
  <r>
    <x v="107"/>
    <s v="KGZ"/>
    <x v="44"/>
    <n v="5104713"/>
  </r>
  <r>
    <x v="107"/>
    <s v="KGZ"/>
    <x v="45"/>
    <n v="5162640"/>
  </r>
  <r>
    <x v="107"/>
    <s v="KGZ"/>
    <x v="46"/>
    <n v="5218373"/>
  </r>
  <r>
    <x v="107"/>
    <s v="KGZ"/>
    <x v="47"/>
    <n v="5268385"/>
  </r>
  <r>
    <x v="107"/>
    <s v="KGZ"/>
    <x v="48"/>
    <n v="5318729"/>
  </r>
  <r>
    <x v="107"/>
    <s v="KGZ"/>
    <x v="49"/>
    <n v="5389643"/>
  </r>
  <r>
    <x v="107"/>
    <s v="KGZ"/>
    <x v="50"/>
    <n v="5467059"/>
  </r>
  <r>
    <x v="107"/>
    <s v="KGZ"/>
    <x v="51"/>
    <n v="5546587"/>
  </r>
  <r>
    <x v="107"/>
    <s v="KGZ"/>
    <x v="52"/>
    <n v="5652076"/>
  </r>
  <r>
    <x v="107"/>
    <s v="KGZ"/>
    <x v="53"/>
    <n v="5777150"/>
  </r>
  <r>
    <x v="107"/>
    <s v="KGZ"/>
    <x v="54"/>
    <n v="5905848"/>
  </r>
  <r>
    <x v="107"/>
    <s v="KGZ"/>
    <x v="55"/>
    <n v="6040036"/>
  </r>
  <r>
    <x v="107"/>
    <s v="KGZ"/>
    <x v="56"/>
    <n v="6175338"/>
  </r>
  <r>
    <x v="107"/>
    <s v="KGZ"/>
    <x v="57"/>
    <n v="6306696"/>
  </r>
  <r>
    <x v="107"/>
    <s v="KGZ"/>
    <x v="58"/>
    <n v="6444079"/>
  </r>
  <r>
    <x v="107"/>
    <s v="KGZ"/>
    <x v="59"/>
    <n v="6590211"/>
  </r>
  <r>
    <x v="107"/>
    <s v="KGZ"/>
    <x v="60"/>
    <n v="6726596"/>
  </r>
  <r>
    <x v="107"/>
    <s v="KGZ"/>
    <x v="61"/>
    <n v="6851224"/>
  </r>
  <r>
    <x v="107"/>
    <s v="KGZ"/>
    <x v="62"/>
    <n v="6975220"/>
  </r>
  <r>
    <x v="107"/>
    <s v="KGZ"/>
    <x v="63"/>
    <n v="7099750"/>
  </r>
  <r>
    <x v="107"/>
    <s v="KGZ"/>
    <x v="64"/>
    <n v="7224614"/>
  </r>
  <r>
    <x v="108"/>
    <s v="LAO"/>
    <x v="0"/>
    <n v="2121514"/>
  </r>
  <r>
    <x v="108"/>
    <s v="LAO"/>
    <x v="1"/>
    <n v="2169796"/>
  </r>
  <r>
    <x v="108"/>
    <s v="LAO"/>
    <x v="2"/>
    <n v="2219910"/>
  </r>
  <r>
    <x v="108"/>
    <s v="LAO"/>
    <x v="3"/>
    <n v="2271061"/>
  </r>
  <r>
    <x v="108"/>
    <s v="LAO"/>
    <x v="4"/>
    <n v="2322826"/>
  </r>
  <r>
    <x v="108"/>
    <s v="LAO"/>
    <x v="5"/>
    <n v="2376200"/>
  </r>
  <r>
    <x v="108"/>
    <s v="LAO"/>
    <x v="6"/>
    <n v="2431084"/>
  </r>
  <r>
    <x v="108"/>
    <s v="LAO"/>
    <x v="7"/>
    <n v="2487715"/>
  </r>
  <r>
    <x v="108"/>
    <s v="LAO"/>
    <x v="8"/>
    <n v="2546377"/>
  </r>
  <r>
    <x v="108"/>
    <s v="LAO"/>
    <x v="9"/>
    <n v="2606959"/>
  </r>
  <r>
    <x v="108"/>
    <s v="LAO"/>
    <x v="10"/>
    <n v="2669702"/>
  </r>
  <r>
    <x v="108"/>
    <s v="LAO"/>
    <x v="11"/>
    <n v="2734628"/>
  </r>
  <r>
    <x v="108"/>
    <s v="LAO"/>
    <x v="12"/>
    <n v="2801660"/>
  </r>
  <r>
    <x v="108"/>
    <s v="LAO"/>
    <x v="13"/>
    <n v="2870573"/>
  </r>
  <r>
    <x v="108"/>
    <s v="LAO"/>
    <x v="14"/>
    <n v="2939761"/>
  </r>
  <r>
    <x v="108"/>
    <s v="LAO"/>
    <x v="15"/>
    <n v="3005521"/>
  </r>
  <r>
    <x v="108"/>
    <s v="LAO"/>
    <x v="16"/>
    <n v="3064876"/>
  </r>
  <r>
    <x v="108"/>
    <s v="LAO"/>
    <x v="17"/>
    <n v="3118923"/>
  </r>
  <r>
    <x v="108"/>
    <s v="LAO"/>
    <x v="18"/>
    <n v="3171740"/>
  </r>
  <r>
    <x v="108"/>
    <s v="LAO"/>
    <x v="19"/>
    <n v="3228202"/>
  </r>
  <r>
    <x v="108"/>
    <s v="LAO"/>
    <x v="20"/>
    <n v="3292573"/>
  </r>
  <r>
    <x v="108"/>
    <s v="LAO"/>
    <x v="21"/>
    <n v="3366631"/>
  </r>
  <r>
    <x v="108"/>
    <s v="LAO"/>
    <x v="22"/>
    <n v="3450026"/>
  </r>
  <r>
    <x v="108"/>
    <s v="LAO"/>
    <x v="23"/>
    <n v="3541001"/>
  </r>
  <r>
    <x v="108"/>
    <s v="LAO"/>
    <x v="24"/>
    <n v="3637843"/>
  </r>
  <r>
    <x v="108"/>
    <s v="LAO"/>
    <x v="25"/>
    <n v="3739985"/>
  </r>
  <r>
    <x v="108"/>
    <s v="LAO"/>
    <x v="26"/>
    <n v="3846715"/>
  </r>
  <r>
    <x v="108"/>
    <s v="LAO"/>
    <x v="27"/>
    <n v="3957612"/>
  </r>
  <r>
    <x v="108"/>
    <s v="LAO"/>
    <x v="28"/>
    <n v="4072601"/>
  </r>
  <r>
    <x v="108"/>
    <s v="LAO"/>
    <x v="29"/>
    <n v="4190974"/>
  </r>
  <r>
    <x v="108"/>
    <s v="LAO"/>
    <x v="30"/>
    <n v="4311955"/>
  </r>
  <r>
    <x v="108"/>
    <s v="LAO"/>
    <x v="31"/>
    <n v="4435118"/>
  </r>
  <r>
    <x v="108"/>
    <s v="LAO"/>
    <x v="32"/>
    <n v="4559646"/>
  </r>
  <r>
    <x v="108"/>
    <s v="LAO"/>
    <x v="33"/>
    <n v="4685060"/>
  </r>
  <r>
    <x v="108"/>
    <s v="LAO"/>
    <x v="34"/>
    <n v="4809220"/>
  </r>
  <r>
    <x v="108"/>
    <s v="LAO"/>
    <x v="35"/>
    <n v="4929409"/>
  </r>
  <r>
    <x v="108"/>
    <s v="LAO"/>
    <x v="36"/>
    <n v="5045678"/>
  </r>
  <r>
    <x v="108"/>
    <s v="LAO"/>
    <x v="37"/>
    <n v="5152011"/>
  </r>
  <r>
    <x v="108"/>
    <s v="LAO"/>
    <x v="38"/>
    <n v="5248266"/>
  </r>
  <r>
    <x v="108"/>
    <s v="LAO"/>
    <x v="39"/>
    <n v="5340784"/>
  </r>
  <r>
    <x v="108"/>
    <s v="LAO"/>
    <x v="40"/>
    <n v="5431212"/>
  </r>
  <r>
    <x v="108"/>
    <s v="LAO"/>
    <x v="41"/>
    <n v="5521482"/>
  </r>
  <r>
    <x v="108"/>
    <s v="LAO"/>
    <x v="42"/>
    <n v="5610889"/>
  </r>
  <r>
    <x v="108"/>
    <s v="LAO"/>
    <x v="43"/>
    <n v="5697945"/>
  </r>
  <r>
    <x v="108"/>
    <s v="LAO"/>
    <x v="44"/>
    <n v="5781626"/>
  </r>
  <r>
    <x v="108"/>
    <s v="LAO"/>
    <x v="45"/>
    <n v="5869523"/>
  </r>
  <r>
    <x v="108"/>
    <s v="LAO"/>
    <x v="46"/>
    <n v="5963200"/>
  </r>
  <r>
    <x v="108"/>
    <s v="LAO"/>
    <x v="47"/>
    <n v="6056236"/>
  </r>
  <r>
    <x v="108"/>
    <s v="LAO"/>
    <x v="48"/>
    <n v="6148969"/>
  </r>
  <r>
    <x v="108"/>
    <s v="LAO"/>
    <x v="49"/>
    <n v="6241642"/>
  </r>
  <r>
    <x v="108"/>
    <s v="LAO"/>
    <x v="50"/>
    <n v="6334194"/>
  </r>
  <r>
    <x v="108"/>
    <s v="LAO"/>
    <x v="51"/>
    <n v="6426590"/>
  </r>
  <r>
    <x v="108"/>
    <s v="LAO"/>
    <x v="52"/>
    <n v="6518978"/>
  </r>
  <r>
    <x v="108"/>
    <s v="LAO"/>
    <x v="53"/>
    <n v="6611385"/>
  </r>
  <r>
    <x v="108"/>
    <s v="LAO"/>
    <x v="54"/>
    <n v="6703172"/>
  </r>
  <r>
    <x v="108"/>
    <s v="LAO"/>
    <x v="55"/>
    <n v="6801645"/>
  </r>
  <r>
    <x v="108"/>
    <s v="LAO"/>
    <x v="56"/>
    <n v="6908802"/>
  </r>
  <r>
    <x v="108"/>
    <s v="LAO"/>
    <x v="57"/>
    <n v="7018147"/>
  </r>
  <r>
    <x v="108"/>
    <s v="LAO"/>
    <x v="58"/>
    <n v="7128045"/>
  </r>
  <r>
    <x v="108"/>
    <s v="LAO"/>
    <x v="59"/>
    <n v="7237636"/>
  </r>
  <r>
    <x v="108"/>
    <s v="LAO"/>
    <x v="60"/>
    <n v="7346533"/>
  </r>
  <r>
    <x v="108"/>
    <s v="LAO"/>
    <x v="61"/>
    <n v="7453194"/>
  </r>
  <r>
    <x v="108"/>
    <s v="LAO"/>
    <x v="62"/>
    <n v="7559007"/>
  </r>
  <r>
    <x v="108"/>
    <s v="LAO"/>
    <x v="63"/>
    <n v="7664993"/>
  </r>
  <r>
    <x v="108"/>
    <s v="LAO"/>
    <x v="64"/>
    <n v="7769819"/>
  </r>
  <r>
    <x v="109"/>
    <s v="LVA"/>
    <x v="0"/>
    <n v="2120979"/>
  </r>
  <r>
    <x v="109"/>
    <s v="LVA"/>
    <x v="1"/>
    <n v="2152681"/>
  </r>
  <r>
    <x v="109"/>
    <s v="LVA"/>
    <x v="2"/>
    <n v="2181586"/>
  </r>
  <r>
    <x v="109"/>
    <s v="LVA"/>
    <x v="3"/>
    <n v="2210919"/>
  </r>
  <r>
    <x v="109"/>
    <s v="LVA"/>
    <x v="4"/>
    <n v="2240623"/>
  </r>
  <r>
    <x v="109"/>
    <s v="LVA"/>
    <x v="5"/>
    <n v="2265919"/>
  </r>
  <r>
    <x v="109"/>
    <s v="LVA"/>
    <x v="6"/>
    <n v="2283217"/>
  </r>
  <r>
    <x v="109"/>
    <s v="LVA"/>
    <x v="7"/>
    <n v="2301220"/>
  </r>
  <r>
    <x v="109"/>
    <s v="LVA"/>
    <x v="8"/>
    <n v="2323619"/>
  </r>
  <r>
    <x v="109"/>
    <s v="LVA"/>
    <x v="9"/>
    <n v="2343173"/>
  </r>
  <r>
    <x v="109"/>
    <s v="LVA"/>
    <x v="10"/>
    <n v="2359164"/>
  </r>
  <r>
    <x v="109"/>
    <s v="LVA"/>
    <x v="11"/>
    <n v="2376389"/>
  </r>
  <r>
    <x v="109"/>
    <s v="LVA"/>
    <x v="12"/>
    <n v="2395674"/>
  </r>
  <r>
    <x v="109"/>
    <s v="LVA"/>
    <x v="13"/>
    <n v="2415819"/>
  </r>
  <r>
    <x v="109"/>
    <s v="LVA"/>
    <x v="14"/>
    <n v="2437186"/>
  </r>
  <r>
    <x v="109"/>
    <s v="LVA"/>
    <x v="15"/>
    <n v="2456130"/>
  </r>
  <r>
    <x v="109"/>
    <s v="LVA"/>
    <x v="16"/>
    <n v="2470989"/>
  </r>
  <r>
    <x v="109"/>
    <s v="LVA"/>
    <x v="17"/>
    <n v="2485073"/>
  </r>
  <r>
    <x v="109"/>
    <s v="LVA"/>
    <x v="18"/>
    <n v="2497921"/>
  </r>
  <r>
    <x v="109"/>
    <s v="LVA"/>
    <x v="19"/>
    <n v="2505953"/>
  </r>
  <r>
    <x v="109"/>
    <s v="LVA"/>
    <x v="20"/>
    <n v="2511701"/>
  </r>
  <r>
    <x v="109"/>
    <s v="LVA"/>
    <x v="21"/>
    <n v="2519421"/>
  </r>
  <r>
    <x v="109"/>
    <s v="LVA"/>
    <x v="22"/>
    <n v="2531080"/>
  </r>
  <r>
    <x v="109"/>
    <s v="LVA"/>
    <x v="23"/>
    <n v="2546011"/>
  </r>
  <r>
    <x v="109"/>
    <s v="LVA"/>
    <x v="24"/>
    <n v="2562047"/>
  </r>
  <r>
    <x v="109"/>
    <s v="LVA"/>
    <x v="25"/>
    <n v="2578873"/>
  </r>
  <r>
    <x v="109"/>
    <s v="LVA"/>
    <x v="26"/>
    <n v="2599892"/>
  </r>
  <r>
    <x v="109"/>
    <s v="LVA"/>
    <x v="27"/>
    <n v="2626583"/>
  </r>
  <r>
    <x v="109"/>
    <s v="LVA"/>
    <x v="28"/>
    <n v="2653434"/>
  </r>
  <r>
    <x v="109"/>
    <s v="LVA"/>
    <x v="29"/>
    <n v="2666955"/>
  </r>
  <r>
    <x v="109"/>
    <s v="LVA"/>
    <x v="30"/>
    <n v="2663151"/>
  </r>
  <r>
    <x v="109"/>
    <s v="LVA"/>
    <x v="31"/>
    <n v="2650581"/>
  </r>
  <r>
    <x v="109"/>
    <s v="LVA"/>
    <x v="32"/>
    <n v="2614338"/>
  </r>
  <r>
    <x v="109"/>
    <s v="LVA"/>
    <x v="33"/>
    <n v="2563290"/>
  </r>
  <r>
    <x v="109"/>
    <s v="LVA"/>
    <x v="34"/>
    <n v="2520742"/>
  </r>
  <r>
    <x v="109"/>
    <s v="LVA"/>
    <x v="35"/>
    <n v="2485056"/>
  </r>
  <r>
    <x v="109"/>
    <s v="LVA"/>
    <x v="36"/>
    <n v="2457222"/>
  </r>
  <r>
    <x v="109"/>
    <s v="LVA"/>
    <x v="37"/>
    <n v="2432851"/>
  </r>
  <r>
    <x v="109"/>
    <s v="LVA"/>
    <x v="38"/>
    <n v="2410019"/>
  </r>
  <r>
    <x v="109"/>
    <s v="LVA"/>
    <x v="39"/>
    <n v="2390482"/>
  </r>
  <r>
    <x v="109"/>
    <s v="LVA"/>
    <x v="40"/>
    <n v="2367550"/>
  </r>
  <r>
    <x v="109"/>
    <s v="LVA"/>
    <x v="41"/>
    <n v="2337170"/>
  </r>
  <r>
    <x v="109"/>
    <s v="LVA"/>
    <x v="42"/>
    <n v="2310173"/>
  </r>
  <r>
    <x v="109"/>
    <s v="LVA"/>
    <x v="43"/>
    <n v="2287955"/>
  </r>
  <r>
    <x v="109"/>
    <s v="LVA"/>
    <x v="44"/>
    <n v="2263122"/>
  </r>
  <r>
    <x v="109"/>
    <s v="LVA"/>
    <x v="45"/>
    <n v="2238799"/>
  </r>
  <r>
    <x v="109"/>
    <s v="LVA"/>
    <x v="46"/>
    <n v="2218357"/>
  </r>
  <r>
    <x v="109"/>
    <s v="LVA"/>
    <x v="47"/>
    <n v="2200325"/>
  </r>
  <r>
    <x v="109"/>
    <s v="LVA"/>
    <x v="48"/>
    <n v="2177322"/>
  </r>
  <r>
    <x v="109"/>
    <s v="LVA"/>
    <x v="49"/>
    <n v="2141669"/>
  </r>
  <r>
    <x v="109"/>
    <s v="LVA"/>
    <x v="50"/>
    <n v="2097555"/>
  </r>
  <r>
    <x v="109"/>
    <s v="LVA"/>
    <x v="51"/>
    <n v="2059709"/>
  </r>
  <r>
    <x v="109"/>
    <s v="LVA"/>
    <x v="52"/>
    <n v="2034319"/>
  </r>
  <r>
    <x v="109"/>
    <s v="LVA"/>
    <x v="53"/>
    <n v="2012647"/>
  </r>
  <r>
    <x v="109"/>
    <s v="LVA"/>
    <x v="54"/>
    <n v="1993782"/>
  </r>
  <r>
    <x v="109"/>
    <s v="LVA"/>
    <x v="55"/>
    <n v="1977527"/>
  </r>
  <r>
    <x v="109"/>
    <s v="LVA"/>
    <x v="56"/>
    <n v="1959537"/>
  </r>
  <r>
    <x v="109"/>
    <s v="LVA"/>
    <x v="57"/>
    <n v="1942248"/>
  </r>
  <r>
    <x v="109"/>
    <s v="LVA"/>
    <x v="58"/>
    <n v="1927174"/>
  </r>
  <r>
    <x v="109"/>
    <s v="LVA"/>
    <x v="59"/>
    <n v="1913822"/>
  </r>
  <r>
    <x v="109"/>
    <s v="LVA"/>
    <x v="60"/>
    <n v="1900449"/>
  </r>
  <r>
    <x v="109"/>
    <s v="LVA"/>
    <x v="61"/>
    <n v="1884490"/>
  </r>
  <r>
    <x v="109"/>
    <s v="LVA"/>
    <x v="62"/>
    <n v="1879383"/>
  </r>
  <r>
    <x v="109"/>
    <s v="LVA"/>
    <x v="63"/>
    <n v="1877445"/>
  </r>
  <r>
    <x v="109"/>
    <s v="LVA"/>
    <x v="64"/>
    <n v="1862441"/>
  </r>
  <r>
    <x v="110"/>
    <s v="LBN"/>
    <x v="0"/>
    <n v="1794406"/>
  </r>
  <r>
    <x v="110"/>
    <s v="LBN"/>
    <x v="1"/>
    <n v="1850084"/>
  </r>
  <r>
    <x v="110"/>
    <s v="LBN"/>
    <x v="2"/>
    <n v="1909578"/>
  </r>
  <r>
    <x v="110"/>
    <s v="LBN"/>
    <x v="3"/>
    <n v="1970316"/>
  </r>
  <r>
    <x v="110"/>
    <s v="LBN"/>
    <x v="4"/>
    <n v="2030543"/>
  </r>
  <r>
    <x v="110"/>
    <s v="LBN"/>
    <x v="5"/>
    <n v="2088831"/>
  </r>
  <r>
    <x v="110"/>
    <s v="LBN"/>
    <x v="6"/>
    <n v="2148260"/>
  </r>
  <r>
    <x v="110"/>
    <s v="LBN"/>
    <x v="7"/>
    <n v="2206731"/>
  </r>
  <r>
    <x v="110"/>
    <s v="LBN"/>
    <x v="8"/>
    <n v="2266368"/>
  </r>
  <r>
    <x v="110"/>
    <s v="LBN"/>
    <x v="9"/>
    <n v="2328159"/>
  </r>
  <r>
    <x v="110"/>
    <s v="LBN"/>
    <x v="10"/>
    <n v="2386114"/>
  </r>
  <r>
    <x v="110"/>
    <s v="LBN"/>
    <x v="11"/>
    <n v="2446314"/>
  </r>
  <r>
    <x v="110"/>
    <s v="LBN"/>
    <x v="12"/>
    <n v="2509729"/>
  </r>
  <r>
    <x v="110"/>
    <s v="LBN"/>
    <x v="13"/>
    <n v="2572935"/>
  </r>
  <r>
    <x v="110"/>
    <s v="LBN"/>
    <x v="14"/>
    <n v="2635185"/>
  </r>
  <r>
    <x v="110"/>
    <s v="LBN"/>
    <x v="15"/>
    <n v="2693191"/>
  </r>
  <r>
    <x v="110"/>
    <s v="LBN"/>
    <x v="16"/>
    <n v="2726469"/>
  </r>
  <r>
    <x v="110"/>
    <s v="LBN"/>
    <x v="17"/>
    <n v="2762155"/>
  </r>
  <r>
    <x v="110"/>
    <s v="LBN"/>
    <x v="18"/>
    <n v="2822682"/>
  </r>
  <r>
    <x v="110"/>
    <s v="LBN"/>
    <x v="19"/>
    <n v="2882635"/>
  </r>
  <r>
    <x v="110"/>
    <s v="LBN"/>
    <x v="20"/>
    <n v="2944763"/>
  </r>
  <r>
    <x v="110"/>
    <s v="LBN"/>
    <x v="21"/>
    <n v="3008981"/>
  </r>
  <r>
    <x v="110"/>
    <s v="LBN"/>
    <x v="22"/>
    <n v="3054931"/>
  </r>
  <r>
    <x v="110"/>
    <s v="LBN"/>
    <x v="23"/>
    <n v="3094996"/>
  </r>
  <r>
    <x v="110"/>
    <s v="LBN"/>
    <x v="24"/>
    <n v="3152744"/>
  </r>
  <r>
    <x v="110"/>
    <s v="LBN"/>
    <x v="25"/>
    <n v="3217376"/>
  </r>
  <r>
    <x v="110"/>
    <s v="LBN"/>
    <x v="26"/>
    <n v="3300365"/>
  </r>
  <r>
    <x v="110"/>
    <s v="LBN"/>
    <x v="27"/>
    <n v="3385555"/>
  </r>
  <r>
    <x v="110"/>
    <s v="LBN"/>
    <x v="28"/>
    <n v="3454649"/>
  </r>
  <r>
    <x v="110"/>
    <s v="LBN"/>
    <x v="29"/>
    <n v="3525285"/>
  </r>
  <r>
    <x v="110"/>
    <s v="LBN"/>
    <x v="30"/>
    <n v="3595175"/>
  </r>
  <r>
    <x v="110"/>
    <s v="LBN"/>
    <x v="31"/>
    <n v="3668912"/>
  </r>
  <r>
    <x v="110"/>
    <s v="LBN"/>
    <x v="32"/>
    <n v="3747371"/>
  </r>
  <r>
    <x v="110"/>
    <s v="LBN"/>
    <x v="33"/>
    <n v="3820647"/>
  </r>
  <r>
    <x v="110"/>
    <s v="LBN"/>
    <x v="34"/>
    <n v="3889799"/>
  </r>
  <r>
    <x v="110"/>
    <s v="LBN"/>
    <x v="35"/>
    <n v="3960735"/>
  </r>
  <r>
    <x v="110"/>
    <s v="LBN"/>
    <x v="36"/>
    <n v="4034781"/>
  </r>
  <r>
    <x v="110"/>
    <s v="LBN"/>
    <x v="37"/>
    <n v="4108405"/>
  </r>
  <r>
    <x v="110"/>
    <s v="LBN"/>
    <x v="38"/>
    <n v="4181281"/>
  </r>
  <r>
    <x v="110"/>
    <s v="LBN"/>
    <x v="39"/>
    <n v="4255277"/>
  </r>
  <r>
    <x v="110"/>
    <s v="LBN"/>
    <x v="40"/>
    <n v="4329340"/>
  </r>
  <r>
    <x v="110"/>
    <s v="LBN"/>
    <x v="41"/>
    <n v="4401918"/>
  </r>
  <r>
    <x v="110"/>
    <s v="LBN"/>
    <x v="42"/>
    <n v="4463504"/>
  </r>
  <r>
    <x v="110"/>
    <s v="LBN"/>
    <x v="43"/>
    <n v="4525508"/>
  </r>
  <r>
    <x v="110"/>
    <s v="LBN"/>
    <x v="44"/>
    <n v="4599279"/>
  </r>
  <r>
    <x v="110"/>
    <s v="LBN"/>
    <x v="45"/>
    <n v="4671102"/>
  </r>
  <r>
    <x v="110"/>
    <s v="LBN"/>
    <x v="46"/>
    <n v="4751136"/>
  </r>
  <r>
    <x v="110"/>
    <s v="LBN"/>
    <x v="47"/>
    <n v="4844118"/>
  </r>
  <r>
    <x v="110"/>
    <s v="LBN"/>
    <x v="48"/>
    <n v="4925354"/>
  </r>
  <r>
    <x v="110"/>
    <s v="LBN"/>
    <x v="49"/>
    <n v="4992287"/>
  </r>
  <r>
    <x v="110"/>
    <s v="LBN"/>
    <x v="50"/>
    <n v="5041288"/>
  </r>
  <r>
    <x v="110"/>
    <s v="LBN"/>
    <x v="51"/>
    <n v="5096020"/>
  </r>
  <r>
    <x v="110"/>
    <s v="LBN"/>
    <x v="52"/>
    <n v="5235742"/>
  </r>
  <r>
    <x v="110"/>
    <s v="LBN"/>
    <x v="53"/>
    <n v="5743436"/>
  </r>
  <r>
    <x v="110"/>
    <s v="LBN"/>
    <x v="54"/>
    <n v="6346990"/>
  </r>
  <r>
    <x v="110"/>
    <s v="LBN"/>
    <x v="55"/>
    <n v="6472469"/>
  </r>
  <r>
    <x v="110"/>
    <s v="LBN"/>
    <x v="56"/>
    <n v="6323060"/>
  </r>
  <r>
    <x v="110"/>
    <s v="LBN"/>
    <x v="57"/>
    <n v="6160128"/>
  </r>
  <r>
    <x v="110"/>
    <s v="LBN"/>
    <x v="58"/>
    <n v="5984119"/>
  </r>
  <r>
    <x v="110"/>
    <s v="LBN"/>
    <x v="59"/>
    <n v="5794594"/>
  </r>
  <r>
    <x v="110"/>
    <s v="LBN"/>
    <x v="60"/>
    <n v="5702398"/>
  </r>
  <r>
    <x v="110"/>
    <s v="LBN"/>
    <x v="61"/>
    <n v="5718122"/>
  </r>
  <r>
    <x v="110"/>
    <s v="LBN"/>
    <x v="62"/>
    <n v="5744489"/>
  </r>
  <r>
    <x v="110"/>
    <s v="LBN"/>
    <x v="63"/>
    <n v="5773493"/>
  </r>
  <r>
    <x v="110"/>
    <s v="LBN"/>
    <x v="64"/>
    <n v="5805962"/>
  </r>
  <r>
    <x v="111"/>
    <s v="LSO"/>
    <x v="0"/>
    <n v="736500"/>
  </r>
  <r>
    <x v="111"/>
    <s v="LSO"/>
    <x v="1"/>
    <n v="758824"/>
  </r>
  <r>
    <x v="111"/>
    <s v="LSO"/>
    <x v="2"/>
    <n v="781814"/>
  </r>
  <r>
    <x v="111"/>
    <s v="LSO"/>
    <x v="3"/>
    <n v="805373"/>
  </r>
  <r>
    <x v="111"/>
    <s v="LSO"/>
    <x v="4"/>
    <n v="829437"/>
  </r>
  <r>
    <x v="111"/>
    <s v="LSO"/>
    <x v="5"/>
    <n v="854090"/>
  </r>
  <r>
    <x v="111"/>
    <s v="LSO"/>
    <x v="6"/>
    <n v="881870"/>
  </r>
  <r>
    <x v="111"/>
    <s v="LSO"/>
    <x v="7"/>
    <n v="913982"/>
  </r>
  <r>
    <x v="111"/>
    <s v="LSO"/>
    <x v="8"/>
    <n v="948105"/>
  </r>
  <r>
    <x v="111"/>
    <s v="LSO"/>
    <x v="9"/>
    <n v="983202"/>
  </r>
  <r>
    <x v="111"/>
    <s v="LSO"/>
    <x v="10"/>
    <n v="1019273"/>
  </r>
  <r>
    <x v="111"/>
    <s v="LSO"/>
    <x v="11"/>
    <n v="1056246"/>
  </r>
  <r>
    <x v="111"/>
    <s v="LSO"/>
    <x v="12"/>
    <n v="1094063"/>
  </r>
  <r>
    <x v="111"/>
    <s v="LSO"/>
    <x v="13"/>
    <n v="1132697"/>
  </r>
  <r>
    <x v="111"/>
    <s v="LSO"/>
    <x v="14"/>
    <n v="1172420"/>
  </r>
  <r>
    <x v="111"/>
    <s v="LSO"/>
    <x v="15"/>
    <n v="1213643"/>
  </r>
  <r>
    <x v="111"/>
    <s v="LSO"/>
    <x v="16"/>
    <n v="1253214"/>
  </r>
  <r>
    <x v="111"/>
    <s v="LSO"/>
    <x v="17"/>
    <n v="1289967"/>
  </r>
  <r>
    <x v="111"/>
    <s v="LSO"/>
    <x v="18"/>
    <n v="1327240"/>
  </r>
  <r>
    <x v="111"/>
    <s v="LSO"/>
    <x v="19"/>
    <n v="1366169"/>
  </r>
  <r>
    <x v="111"/>
    <s v="LSO"/>
    <x v="20"/>
    <n v="1406521"/>
  </r>
  <r>
    <x v="111"/>
    <s v="LSO"/>
    <x v="21"/>
    <n v="1448069"/>
  </r>
  <r>
    <x v="111"/>
    <s v="LSO"/>
    <x v="22"/>
    <n v="1490732"/>
  </r>
  <r>
    <x v="111"/>
    <s v="LSO"/>
    <x v="23"/>
    <n v="1534413"/>
  </r>
  <r>
    <x v="111"/>
    <s v="LSO"/>
    <x v="24"/>
    <n v="1578986"/>
  </r>
  <r>
    <x v="111"/>
    <s v="LSO"/>
    <x v="25"/>
    <n v="1624379"/>
  </r>
  <r>
    <x v="111"/>
    <s v="LSO"/>
    <x v="26"/>
    <n v="1666138"/>
  </r>
  <r>
    <x v="111"/>
    <s v="LSO"/>
    <x v="27"/>
    <n v="1703390"/>
  </r>
  <r>
    <x v="111"/>
    <s v="LSO"/>
    <x v="28"/>
    <n v="1739841"/>
  </r>
  <r>
    <x v="111"/>
    <s v="LSO"/>
    <x v="29"/>
    <n v="1775436"/>
  </r>
  <r>
    <x v="111"/>
    <s v="LSO"/>
    <x v="30"/>
    <n v="1809696"/>
  </r>
  <r>
    <x v="111"/>
    <s v="LSO"/>
    <x v="31"/>
    <n v="1842379"/>
  </r>
  <r>
    <x v="111"/>
    <s v="LSO"/>
    <x v="32"/>
    <n v="1873274"/>
  </r>
  <r>
    <x v="111"/>
    <s v="LSO"/>
    <x v="33"/>
    <n v="1901793"/>
  </r>
  <r>
    <x v="111"/>
    <s v="LSO"/>
    <x v="34"/>
    <n v="1927707"/>
  </r>
  <r>
    <x v="111"/>
    <s v="LSO"/>
    <x v="35"/>
    <n v="1951437"/>
  </r>
  <r>
    <x v="111"/>
    <s v="LSO"/>
    <x v="36"/>
    <n v="1972418"/>
  </r>
  <r>
    <x v="111"/>
    <s v="LSO"/>
    <x v="37"/>
    <n v="1988130"/>
  </r>
  <r>
    <x v="111"/>
    <s v="LSO"/>
    <x v="38"/>
    <n v="1998049"/>
  </r>
  <r>
    <x v="111"/>
    <s v="LSO"/>
    <x v="39"/>
    <n v="2003234"/>
  </r>
  <r>
    <x v="111"/>
    <s v="LSO"/>
    <x v="40"/>
    <n v="2003913"/>
  </r>
  <r>
    <x v="111"/>
    <s v="LSO"/>
    <x v="41"/>
    <n v="2000853"/>
  </r>
  <r>
    <x v="111"/>
    <s v="LSO"/>
    <x v="42"/>
    <n v="1994679"/>
  </r>
  <r>
    <x v="111"/>
    <s v="LSO"/>
    <x v="43"/>
    <n v="1985059"/>
  </r>
  <r>
    <x v="111"/>
    <s v="LSO"/>
    <x v="44"/>
    <n v="1971129"/>
  </r>
  <r>
    <x v="111"/>
    <s v="LSO"/>
    <x v="45"/>
    <n v="1953076"/>
  </r>
  <r>
    <x v="111"/>
    <s v="LSO"/>
    <x v="46"/>
    <n v="1945063"/>
  </r>
  <r>
    <x v="111"/>
    <s v="LSO"/>
    <x v="47"/>
    <n v="1953268"/>
  </r>
  <r>
    <x v="111"/>
    <s v="LSO"/>
    <x v="48"/>
    <n v="1966541"/>
  </r>
  <r>
    <x v="111"/>
    <s v="LSO"/>
    <x v="49"/>
    <n v="1980883"/>
  </r>
  <r>
    <x v="111"/>
    <s v="LSO"/>
    <x v="50"/>
    <n v="1996251"/>
  </r>
  <r>
    <x v="111"/>
    <s v="LSO"/>
    <x v="51"/>
    <n v="2014009"/>
  </r>
  <r>
    <x v="111"/>
    <s v="LSO"/>
    <x v="52"/>
    <n v="2034354"/>
  </r>
  <r>
    <x v="111"/>
    <s v="LSO"/>
    <x v="53"/>
    <n v="2056504"/>
  </r>
  <r>
    <x v="111"/>
    <s v="LSO"/>
    <x v="54"/>
    <n v="2080089"/>
  </r>
  <r>
    <x v="111"/>
    <s v="LSO"/>
    <x v="55"/>
    <n v="2104611"/>
  </r>
  <r>
    <x v="111"/>
    <s v="LSO"/>
    <x v="56"/>
    <n v="2130422"/>
  </r>
  <r>
    <x v="111"/>
    <s v="LSO"/>
    <x v="57"/>
    <n v="2157110"/>
  </r>
  <r>
    <x v="111"/>
    <s v="LSO"/>
    <x v="58"/>
    <n v="2183603"/>
  </r>
  <r>
    <x v="111"/>
    <s v="LSO"/>
    <x v="59"/>
    <n v="2209405"/>
  </r>
  <r>
    <x v="111"/>
    <s v="LSO"/>
    <x v="60"/>
    <n v="2235727"/>
  </r>
  <r>
    <x v="111"/>
    <s v="LSO"/>
    <x v="61"/>
    <n v="2261542"/>
  </r>
  <r>
    <x v="111"/>
    <s v="LSO"/>
    <x v="62"/>
    <n v="2286110"/>
  </r>
  <r>
    <x v="111"/>
    <s v="LSO"/>
    <x v="63"/>
    <n v="2311472"/>
  </r>
  <r>
    <x v="111"/>
    <s v="LSO"/>
    <x v="64"/>
    <n v="2337423"/>
  </r>
  <r>
    <x v="112"/>
    <s v="LBR"/>
    <x v="0"/>
    <n v="1139522"/>
  </r>
  <r>
    <x v="112"/>
    <s v="LBR"/>
    <x v="1"/>
    <n v="1167717"/>
  </r>
  <r>
    <x v="112"/>
    <s v="LBR"/>
    <x v="2"/>
    <n v="1197039"/>
  </r>
  <r>
    <x v="112"/>
    <s v="LBR"/>
    <x v="3"/>
    <n v="1227414"/>
  </r>
  <r>
    <x v="112"/>
    <s v="LBR"/>
    <x v="4"/>
    <n v="1258745"/>
  </r>
  <r>
    <x v="112"/>
    <s v="LBR"/>
    <x v="5"/>
    <n v="1291156"/>
  </r>
  <r>
    <x v="112"/>
    <s v="LBR"/>
    <x v="6"/>
    <n v="1324383"/>
  </r>
  <r>
    <x v="112"/>
    <s v="LBR"/>
    <x v="7"/>
    <n v="1358435"/>
  </r>
  <r>
    <x v="112"/>
    <s v="LBR"/>
    <x v="8"/>
    <n v="1393530"/>
  </r>
  <r>
    <x v="112"/>
    <s v="LBR"/>
    <x v="9"/>
    <n v="1429605"/>
  </r>
  <r>
    <x v="112"/>
    <s v="LBR"/>
    <x v="10"/>
    <n v="1466676"/>
  </r>
  <r>
    <x v="112"/>
    <s v="LBR"/>
    <x v="11"/>
    <n v="1504077"/>
  </r>
  <r>
    <x v="112"/>
    <s v="LBR"/>
    <x v="12"/>
    <n v="1542670"/>
  </r>
  <r>
    <x v="112"/>
    <s v="LBR"/>
    <x v="13"/>
    <n v="1583588"/>
  </r>
  <r>
    <x v="112"/>
    <s v="LBR"/>
    <x v="14"/>
    <n v="1626362"/>
  </r>
  <r>
    <x v="112"/>
    <s v="LBR"/>
    <x v="15"/>
    <n v="1670913"/>
  </r>
  <r>
    <x v="112"/>
    <s v="LBR"/>
    <x v="16"/>
    <n v="1717060"/>
  </r>
  <r>
    <x v="112"/>
    <s v="LBR"/>
    <x v="17"/>
    <n v="1766019"/>
  </r>
  <r>
    <x v="112"/>
    <s v="LBR"/>
    <x v="18"/>
    <n v="1818247"/>
  </r>
  <r>
    <x v="112"/>
    <s v="LBR"/>
    <x v="19"/>
    <n v="1872713"/>
  </r>
  <r>
    <x v="112"/>
    <s v="LBR"/>
    <x v="20"/>
    <n v="1929253"/>
  </r>
  <r>
    <x v="112"/>
    <s v="LBR"/>
    <x v="21"/>
    <n v="1986867"/>
  </r>
  <r>
    <x v="112"/>
    <s v="LBR"/>
    <x v="22"/>
    <n v="2045073"/>
  </r>
  <r>
    <x v="112"/>
    <s v="LBR"/>
    <x v="23"/>
    <n v="2107113"/>
  </r>
  <r>
    <x v="112"/>
    <s v="LBR"/>
    <x v="24"/>
    <n v="2173312"/>
  </r>
  <r>
    <x v="112"/>
    <s v="LBR"/>
    <x v="25"/>
    <n v="2240539"/>
  </r>
  <r>
    <x v="112"/>
    <s v="LBR"/>
    <x v="26"/>
    <n v="2308511"/>
  </r>
  <r>
    <x v="112"/>
    <s v="LBR"/>
    <x v="27"/>
    <n v="2377229"/>
  </r>
  <r>
    <x v="112"/>
    <s v="LBR"/>
    <x v="28"/>
    <n v="2446941"/>
  </r>
  <r>
    <x v="112"/>
    <s v="LBR"/>
    <x v="29"/>
    <n v="2517858"/>
  </r>
  <r>
    <x v="112"/>
    <s v="LBR"/>
    <x v="30"/>
    <n v="2223667"/>
  </r>
  <r>
    <x v="112"/>
    <s v="LBR"/>
    <x v="31"/>
    <n v="1956518"/>
  </r>
  <r>
    <x v="112"/>
    <s v="LBR"/>
    <x v="32"/>
    <n v="2072461"/>
  </r>
  <r>
    <x v="112"/>
    <s v="LBR"/>
    <x v="33"/>
    <n v="2155126"/>
  </r>
  <r>
    <x v="112"/>
    <s v="LBR"/>
    <x v="34"/>
    <n v="2149928"/>
  </r>
  <r>
    <x v="112"/>
    <s v="LBR"/>
    <x v="35"/>
    <n v="2169162"/>
  </r>
  <r>
    <x v="112"/>
    <s v="LBR"/>
    <x v="36"/>
    <n v="2232289"/>
  </r>
  <r>
    <x v="112"/>
    <s v="LBR"/>
    <x v="37"/>
    <n v="2412989"/>
  </r>
  <r>
    <x v="112"/>
    <s v="LBR"/>
    <x v="38"/>
    <n v="2670124"/>
  </r>
  <r>
    <x v="112"/>
    <s v="LBR"/>
    <x v="39"/>
    <n v="2821684"/>
  </r>
  <r>
    <x v="112"/>
    <s v="LBR"/>
    <x v="40"/>
    <n v="2928117"/>
  </r>
  <r>
    <x v="112"/>
    <s v="LBR"/>
    <x v="41"/>
    <n v="3015338"/>
  </r>
  <r>
    <x v="112"/>
    <s v="LBR"/>
    <x v="42"/>
    <n v="3094782"/>
  </r>
  <r>
    <x v="112"/>
    <s v="LBR"/>
    <x v="43"/>
    <n v="3119532"/>
  </r>
  <r>
    <x v="112"/>
    <s v="LBR"/>
    <x v="44"/>
    <n v="3156892"/>
  </r>
  <r>
    <x v="112"/>
    <s v="LBR"/>
    <x v="45"/>
    <n v="3301015"/>
  </r>
  <r>
    <x v="112"/>
    <s v="LBR"/>
    <x v="46"/>
    <n v="3490787"/>
  </r>
  <r>
    <x v="112"/>
    <s v="LBR"/>
    <x v="47"/>
    <n v="3669050"/>
  </r>
  <r>
    <x v="112"/>
    <s v="LBR"/>
    <x v="48"/>
    <n v="3821003"/>
  </r>
  <r>
    <x v="112"/>
    <s v="LBR"/>
    <x v="49"/>
    <n v="3943028"/>
  </r>
  <r>
    <x v="112"/>
    <s v="LBR"/>
    <x v="50"/>
    <n v="4058890"/>
  </r>
  <r>
    <x v="112"/>
    <s v="LBR"/>
    <x v="51"/>
    <n v="4221178"/>
  </r>
  <r>
    <x v="112"/>
    <s v="LBR"/>
    <x v="52"/>
    <n v="4373043"/>
  </r>
  <r>
    <x v="112"/>
    <s v="LBR"/>
    <x v="53"/>
    <n v="4470239"/>
  </r>
  <r>
    <x v="112"/>
    <s v="LBR"/>
    <x v="54"/>
    <n v="4564293"/>
  </r>
  <r>
    <x v="112"/>
    <s v="LBR"/>
    <x v="55"/>
    <n v="4659431"/>
  </r>
  <r>
    <x v="112"/>
    <s v="LBR"/>
    <x v="56"/>
    <n v="4755608"/>
  </r>
  <r>
    <x v="112"/>
    <s v="LBR"/>
    <x v="57"/>
    <n v="4848925"/>
  </r>
  <r>
    <x v="112"/>
    <s v="LBR"/>
    <x v="58"/>
    <n v="4944726"/>
  </r>
  <r>
    <x v="112"/>
    <s v="LBR"/>
    <x v="59"/>
    <n v="5043721"/>
  </r>
  <r>
    <x v="112"/>
    <s v="LBR"/>
    <x v="60"/>
    <n v="5149463"/>
  </r>
  <r>
    <x v="112"/>
    <s v="LBR"/>
    <x v="61"/>
    <n v="5259323"/>
  </r>
  <r>
    <x v="112"/>
    <s v="LBR"/>
    <x v="62"/>
    <n v="5373294"/>
  </r>
  <r>
    <x v="112"/>
    <s v="LBR"/>
    <x v="63"/>
    <n v="5493031"/>
  </r>
  <r>
    <x v="112"/>
    <s v="LBR"/>
    <x v="64"/>
    <n v="5612817"/>
  </r>
  <r>
    <x v="113"/>
    <s v="LBY"/>
    <x v="0"/>
    <n v="1492890"/>
  </r>
  <r>
    <x v="113"/>
    <s v="LBY"/>
    <x v="1"/>
    <n v="1555699"/>
  </r>
  <r>
    <x v="113"/>
    <s v="LBY"/>
    <x v="2"/>
    <n v="1621960"/>
  </r>
  <r>
    <x v="113"/>
    <s v="LBY"/>
    <x v="3"/>
    <n v="1690457"/>
  </r>
  <r>
    <x v="113"/>
    <s v="LBY"/>
    <x v="4"/>
    <n v="1753691"/>
  </r>
  <r>
    <x v="113"/>
    <s v="LBY"/>
    <x v="5"/>
    <n v="1804015"/>
  </r>
  <r>
    <x v="113"/>
    <s v="LBY"/>
    <x v="6"/>
    <n v="1849063"/>
  </r>
  <r>
    <x v="113"/>
    <s v="LBY"/>
    <x v="7"/>
    <n v="1898199"/>
  </r>
  <r>
    <x v="113"/>
    <s v="LBY"/>
    <x v="8"/>
    <n v="1952781"/>
  </r>
  <r>
    <x v="113"/>
    <s v="LBY"/>
    <x v="9"/>
    <n v="2014293"/>
  </r>
  <r>
    <x v="113"/>
    <s v="LBY"/>
    <x v="10"/>
    <n v="2082589"/>
  </r>
  <r>
    <x v="113"/>
    <s v="LBY"/>
    <x v="11"/>
    <n v="2153534"/>
  </r>
  <r>
    <x v="113"/>
    <s v="LBY"/>
    <x v="12"/>
    <n v="2226091"/>
  </r>
  <r>
    <x v="113"/>
    <s v="LBY"/>
    <x v="13"/>
    <n v="2314193"/>
  </r>
  <r>
    <x v="113"/>
    <s v="LBY"/>
    <x v="14"/>
    <n v="2432211"/>
  </r>
  <r>
    <x v="113"/>
    <s v="LBY"/>
    <x v="15"/>
    <n v="2571556"/>
  </r>
  <r>
    <x v="113"/>
    <s v="LBY"/>
    <x v="16"/>
    <n v="2721237"/>
  </r>
  <r>
    <x v="113"/>
    <s v="LBY"/>
    <x v="17"/>
    <n v="2881533"/>
  </r>
  <r>
    <x v="113"/>
    <s v="LBY"/>
    <x v="18"/>
    <n v="3052526"/>
  </r>
  <r>
    <x v="113"/>
    <s v="LBY"/>
    <x v="19"/>
    <n v="3233846"/>
  </r>
  <r>
    <x v="113"/>
    <s v="LBY"/>
    <x v="20"/>
    <n v="3424378"/>
  </r>
  <r>
    <x v="113"/>
    <s v="LBY"/>
    <x v="21"/>
    <n v="3621486"/>
  </r>
  <r>
    <x v="113"/>
    <s v="LBY"/>
    <x v="22"/>
    <n v="3724765"/>
  </r>
  <r>
    <x v="113"/>
    <s v="LBY"/>
    <x v="23"/>
    <n v="3718961"/>
  </r>
  <r>
    <x v="113"/>
    <s v="LBY"/>
    <x v="24"/>
    <n v="3773633"/>
  </r>
  <r>
    <x v="113"/>
    <s v="LBY"/>
    <x v="25"/>
    <n v="3898745"/>
  </r>
  <r>
    <x v="113"/>
    <s v="LBY"/>
    <x v="26"/>
    <n v="4017403"/>
  </r>
  <r>
    <x v="113"/>
    <s v="LBY"/>
    <x v="27"/>
    <n v="4129739"/>
  </r>
  <r>
    <x v="113"/>
    <s v="LBY"/>
    <x v="28"/>
    <n v="4237755"/>
  </r>
  <r>
    <x v="113"/>
    <s v="LBY"/>
    <x v="29"/>
    <n v="4342920"/>
  </r>
  <r>
    <x v="113"/>
    <s v="LBY"/>
    <x v="30"/>
    <n v="4445239"/>
  </r>
  <r>
    <x v="113"/>
    <s v="LBY"/>
    <x v="31"/>
    <n v="4544400"/>
  </r>
  <r>
    <x v="113"/>
    <s v="LBY"/>
    <x v="32"/>
    <n v="4640352"/>
  </r>
  <r>
    <x v="113"/>
    <s v="LBY"/>
    <x v="33"/>
    <n v="4733045"/>
  </r>
  <r>
    <x v="113"/>
    <s v="LBY"/>
    <x v="34"/>
    <n v="4822037"/>
  </r>
  <r>
    <x v="113"/>
    <s v="LBY"/>
    <x v="35"/>
    <n v="4906843"/>
  </r>
  <r>
    <x v="113"/>
    <s v="LBY"/>
    <x v="36"/>
    <n v="4987393"/>
  </r>
  <r>
    <x v="113"/>
    <s v="LBY"/>
    <x v="37"/>
    <n v="5064639"/>
  </r>
  <r>
    <x v="113"/>
    <s v="LBY"/>
    <x v="38"/>
    <n v="5140704"/>
  </r>
  <r>
    <x v="113"/>
    <s v="LBY"/>
    <x v="39"/>
    <n v="5218038"/>
  </r>
  <r>
    <x v="113"/>
    <s v="LBY"/>
    <x v="40"/>
    <n v="5305021"/>
  </r>
  <r>
    <x v="113"/>
    <s v="LBY"/>
    <x v="41"/>
    <n v="5403639"/>
  </r>
  <r>
    <x v="113"/>
    <s v="LBY"/>
    <x v="42"/>
    <n v="5508410"/>
  </r>
  <r>
    <x v="113"/>
    <s v="LBY"/>
    <x v="43"/>
    <n v="5619398"/>
  </r>
  <r>
    <x v="113"/>
    <s v="LBY"/>
    <x v="44"/>
    <n v="5736693"/>
  </r>
  <r>
    <x v="113"/>
    <s v="LBY"/>
    <x v="45"/>
    <n v="5858798"/>
  </r>
  <r>
    <x v="113"/>
    <s v="LBY"/>
    <x v="46"/>
    <n v="5980211"/>
  </r>
  <r>
    <x v="113"/>
    <s v="LBY"/>
    <x v="47"/>
    <n v="6104380"/>
  </r>
  <r>
    <x v="113"/>
    <s v="LBY"/>
    <x v="48"/>
    <n v="6235430"/>
  </r>
  <r>
    <x v="113"/>
    <s v="LBY"/>
    <x v="49"/>
    <n v="6366686"/>
  </r>
  <r>
    <x v="113"/>
    <s v="LBY"/>
    <x v="50"/>
    <n v="6497839"/>
  </r>
  <r>
    <x v="113"/>
    <s v="LBY"/>
    <x v="51"/>
    <n v="6343203"/>
  </r>
  <r>
    <x v="113"/>
    <s v="LBY"/>
    <x v="52"/>
    <n v="6179328"/>
  </r>
  <r>
    <x v="113"/>
    <s v="LBY"/>
    <x v="53"/>
    <n v="6304628"/>
  </r>
  <r>
    <x v="113"/>
    <s v="LBY"/>
    <x v="54"/>
    <n v="6427252"/>
  </r>
  <r>
    <x v="113"/>
    <s v="LBY"/>
    <x v="55"/>
    <n v="6531819"/>
  </r>
  <r>
    <x v="113"/>
    <s v="LBY"/>
    <x v="56"/>
    <n v="6632126"/>
  </r>
  <r>
    <x v="113"/>
    <s v="LBY"/>
    <x v="57"/>
    <n v="6738770"/>
  </r>
  <r>
    <x v="113"/>
    <s v="LBY"/>
    <x v="58"/>
    <n v="6849055"/>
  </r>
  <r>
    <x v="113"/>
    <s v="LBY"/>
    <x v="59"/>
    <n v="6951033"/>
  </r>
  <r>
    <x v="113"/>
    <s v="LBY"/>
    <x v="60"/>
    <n v="7045399"/>
  </r>
  <r>
    <x v="113"/>
    <s v="LBY"/>
    <x v="61"/>
    <n v="7135175"/>
  </r>
  <r>
    <x v="113"/>
    <s v="LBY"/>
    <x v="62"/>
    <n v="7223805"/>
  </r>
  <r>
    <x v="113"/>
    <s v="LBY"/>
    <x v="63"/>
    <n v="7305659"/>
  </r>
  <r>
    <x v="113"/>
    <s v="LBY"/>
    <x v="64"/>
    <n v="7381023"/>
  </r>
  <r>
    <x v="114"/>
    <s v="LIE"/>
    <x v="0"/>
    <n v="16451"/>
  </r>
  <r>
    <x v="114"/>
    <s v="LIE"/>
    <x v="1"/>
    <n v="16877"/>
  </r>
  <r>
    <x v="114"/>
    <s v="LIE"/>
    <x v="2"/>
    <n v="17443"/>
  </r>
  <r>
    <x v="114"/>
    <s v="LIE"/>
    <x v="3"/>
    <n v="18093"/>
  </r>
  <r>
    <x v="114"/>
    <s v="LIE"/>
    <x v="4"/>
    <n v="18755"/>
  </r>
  <r>
    <x v="114"/>
    <s v="LIE"/>
    <x v="5"/>
    <n v="19195"/>
  </r>
  <r>
    <x v="114"/>
    <s v="LIE"/>
    <x v="6"/>
    <n v="19610"/>
  </r>
  <r>
    <x v="114"/>
    <s v="LIE"/>
    <x v="7"/>
    <n v="20175"/>
  </r>
  <r>
    <x v="114"/>
    <s v="LIE"/>
    <x v="8"/>
    <n v="20835"/>
  </r>
  <r>
    <x v="114"/>
    <s v="LIE"/>
    <x v="9"/>
    <n v="21084"/>
  </r>
  <r>
    <x v="114"/>
    <s v="LIE"/>
    <x v="10"/>
    <n v="21140"/>
  </r>
  <r>
    <x v="114"/>
    <s v="LIE"/>
    <x v="11"/>
    <n v="21600"/>
  </r>
  <r>
    <x v="114"/>
    <s v="LIE"/>
    <x v="12"/>
    <n v="22132"/>
  </r>
  <r>
    <x v="114"/>
    <s v="LIE"/>
    <x v="13"/>
    <n v="22785"/>
  </r>
  <r>
    <x v="114"/>
    <s v="LIE"/>
    <x v="14"/>
    <n v="23451"/>
  </r>
  <r>
    <x v="114"/>
    <s v="LIE"/>
    <x v="15"/>
    <n v="23846"/>
  </r>
  <r>
    <x v="114"/>
    <s v="LIE"/>
    <x v="16"/>
    <n v="24058"/>
  </r>
  <r>
    <x v="114"/>
    <s v="LIE"/>
    <x v="17"/>
    <n v="24442"/>
  </r>
  <r>
    <x v="114"/>
    <s v="LIE"/>
    <x v="18"/>
    <n v="25028"/>
  </r>
  <r>
    <x v="114"/>
    <s v="LIE"/>
    <x v="19"/>
    <n v="25575"/>
  </r>
  <r>
    <x v="114"/>
    <s v="LIE"/>
    <x v="20"/>
    <n v="25512"/>
  </r>
  <r>
    <x v="114"/>
    <s v="LIE"/>
    <x v="21"/>
    <n v="25673"/>
  </r>
  <r>
    <x v="114"/>
    <s v="LIE"/>
    <x v="22"/>
    <n v="26255"/>
  </r>
  <r>
    <x v="114"/>
    <s v="LIE"/>
    <x v="23"/>
    <n v="26446"/>
  </r>
  <r>
    <x v="114"/>
    <s v="LIE"/>
    <x v="24"/>
    <n v="26596"/>
  </r>
  <r>
    <x v="114"/>
    <s v="LIE"/>
    <x v="25"/>
    <n v="26878"/>
  </r>
  <r>
    <x v="114"/>
    <s v="LIE"/>
    <x v="26"/>
    <n v="27238"/>
  </r>
  <r>
    <x v="114"/>
    <s v="LIE"/>
    <x v="27"/>
    <n v="27557"/>
  </r>
  <r>
    <x v="114"/>
    <s v="LIE"/>
    <x v="28"/>
    <n v="27948"/>
  </r>
  <r>
    <x v="114"/>
    <s v="LIE"/>
    <x v="29"/>
    <n v="28317"/>
  </r>
  <r>
    <x v="114"/>
    <s v="LIE"/>
    <x v="30"/>
    <n v="28742"/>
  </r>
  <r>
    <x v="114"/>
    <s v="LIE"/>
    <x v="31"/>
    <n v="29209"/>
  </r>
  <r>
    <x v="114"/>
    <s v="LIE"/>
    <x v="32"/>
    <n v="29627"/>
  </r>
  <r>
    <x v="114"/>
    <s v="LIE"/>
    <x v="33"/>
    <n v="30089"/>
  </r>
  <r>
    <x v="114"/>
    <s v="LIE"/>
    <x v="34"/>
    <n v="30470"/>
  </r>
  <r>
    <x v="114"/>
    <s v="LIE"/>
    <x v="35"/>
    <n v="30776"/>
  </r>
  <r>
    <x v="114"/>
    <s v="LIE"/>
    <x v="36"/>
    <n v="31033"/>
  </r>
  <r>
    <x v="114"/>
    <s v="LIE"/>
    <x v="37"/>
    <n v="31232"/>
  </r>
  <r>
    <x v="114"/>
    <s v="LIE"/>
    <x v="38"/>
    <n v="31668"/>
  </r>
  <r>
    <x v="114"/>
    <s v="LIE"/>
    <x v="39"/>
    <n v="32221"/>
  </r>
  <r>
    <x v="114"/>
    <s v="LIE"/>
    <x v="40"/>
    <n v="32645"/>
  </r>
  <r>
    <x v="114"/>
    <s v="LIE"/>
    <x v="41"/>
    <n v="33194"/>
  </r>
  <r>
    <x v="114"/>
    <s v="LIE"/>
    <x v="42"/>
    <n v="33694"/>
  </r>
  <r>
    <x v="114"/>
    <s v="LIE"/>
    <x v="43"/>
    <n v="34079"/>
  </r>
  <r>
    <x v="114"/>
    <s v="LIE"/>
    <x v="44"/>
    <n v="34447"/>
  </r>
  <r>
    <x v="114"/>
    <s v="LIE"/>
    <x v="45"/>
    <n v="34753"/>
  </r>
  <r>
    <x v="114"/>
    <s v="LIE"/>
    <x v="46"/>
    <n v="35037"/>
  </r>
  <r>
    <x v="114"/>
    <s v="LIE"/>
    <x v="47"/>
    <n v="35262"/>
  </r>
  <r>
    <x v="114"/>
    <s v="LIE"/>
    <x v="48"/>
    <n v="35473"/>
  </r>
  <r>
    <x v="114"/>
    <s v="LIE"/>
    <x v="49"/>
    <n v="35742"/>
  </r>
  <r>
    <x v="114"/>
    <s v="LIE"/>
    <x v="50"/>
    <n v="36022"/>
  </r>
  <r>
    <x v="114"/>
    <s v="LIE"/>
    <x v="51"/>
    <n v="36312"/>
  </r>
  <r>
    <x v="114"/>
    <s v="LIE"/>
    <x v="52"/>
    <n v="36657"/>
  </r>
  <r>
    <x v="114"/>
    <s v="LIE"/>
    <x v="53"/>
    <n v="36984"/>
  </r>
  <r>
    <x v="114"/>
    <s v="LIE"/>
    <x v="54"/>
    <n v="37248"/>
  </r>
  <r>
    <x v="114"/>
    <s v="LIE"/>
    <x v="55"/>
    <n v="37494"/>
  </r>
  <r>
    <x v="114"/>
    <s v="LIE"/>
    <x v="56"/>
    <n v="37716"/>
  </r>
  <r>
    <x v="114"/>
    <s v="LIE"/>
    <x v="57"/>
    <n v="37962"/>
  </r>
  <r>
    <x v="114"/>
    <s v="LIE"/>
    <x v="58"/>
    <n v="38246"/>
  </r>
  <r>
    <x v="114"/>
    <s v="LIE"/>
    <x v="59"/>
    <n v="38563"/>
  </r>
  <r>
    <x v="114"/>
    <s v="LIE"/>
    <x v="60"/>
    <n v="38901"/>
  </r>
  <r>
    <x v="114"/>
    <s v="LIE"/>
    <x v="61"/>
    <n v="39182"/>
  </r>
  <r>
    <x v="114"/>
    <s v="LIE"/>
    <x v="62"/>
    <n v="39493"/>
  </r>
  <r>
    <x v="114"/>
    <s v="LIE"/>
    <x v="63"/>
    <n v="39850"/>
  </r>
  <r>
    <x v="114"/>
    <s v="LIE"/>
    <x v="64"/>
    <n v="40197"/>
  </r>
  <r>
    <x v="115"/>
    <s v="LTU"/>
    <x v="0"/>
    <n v="2778550"/>
  </r>
  <r>
    <x v="115"/>
    <s v="LTU"/>
    <x v="1"/>
    <n v="2823550"/>
  </r>
  <r>
    <x v="115"/>
    <s v="LTU"/>
    <x v="2"/>
    <n v="2863350"/>
  </r>
  <r>
    <x v="115"/>
    <s v="LTU"/>
    <x v="3"/>
    <n v="2898950"/>
  </r>
  <r>
    <x v="115"/>
    <s v="LTU"/>
    <x v="4"/>
    <n v="2935200"/>
  </r>
  <r>
    <x v="115"/>
    <s v="LTU"/>
    <x v="5"/>
    <n v="2971450"/>
  </r>
  <r>
    <x v="115"/>
    <s v="LTU"/>
    <x v="6"/>
    <n v="3008050"/>
  </r>
  <r>
    <x v="115"/>
    <s v="LTU"/>
    <x v="7"/>
    <n v="3044400"/>
  </r>
  <r>
    <x v="115"/>
    <s v="LTU"/>
    <x v="8"/>
    <n v="3078850"/>
  </r>
  <r>
    <x v="115"/>
    <s v="LTU"/>
    <x v="9"/>
    <n v="3107321"/>
  </r>
  <r>
    <x v="115"/>
    <s v="LTU"/>
    <x v="10"/>
    <n v="3139689"/>
  </r>
  <r>
    <x v="115"/>
    <s v="LTU"/>
    <x v="11"/>
    <n v="3179041"/>
  </r>
  <r>
    <x v="115"/>
    <s v="LTU"/>
    <x v="12"/>
    <n v="3213622"/>
  </r>
  <r>
    <x v="115"/>
    <s v="LTU"/>
    <x v="13"/>
    <n v="3244438"/>
  </r>
  <r>
    <x v="115"/>
    <s v="LTU"/>
    <x v="14"/>
    <n v="3273894"/>
  </r>
  <r>
    <x v="115"/>
    <s v="LTU"/>
    <x v="15"/>
    <n v="3301652"/>
  </r>
  <r>
    <x v="115"/>
    <s v="LTU"/>
    <x v="16"/>
    <n v="3328664"/>
  </r>
  <r>
    <x v="115"/>
    <s v="LTU"/>
    <x v="17"/>
    <n v="3355036"/>
  </r>
  <r>
    <x v="115"/>
    <s v="LTU"/>
    <x v="18"/>
    <n v="3379514"/>
  </r>
  <r>
    <x v="115"/>
    <s v="LTU"/>
    <x v="19"/>
    <n v="3397842"/>
  </r>
  <r>
    <x v="115"/>
    <s v="LTU"/>
    <x v="20"/>
    <n v="3413202"/>
  </r>
  <r>
    <x v="115"/>
    <s v="LTU"/>
    <x v="21"/>
    <n v="3432947"/>
  </r>
  <r>
    <x v="115"/>
    <s v="LTU"/>
    <x v="22"/>
    <n v="3457179"/>
  </r>
  <r>
    <x v="115"/>
    <s v="LTU"/>
    <x v="23"/>
    <n v="3485192"/>
  </r>
  <r>
    <x v="115"/>
    <s v="LTU"/>
    <x v="24"/>
    <n v="3514205"/>
  </r>
  <r>
    <x v="115"/>
    <s v="LTU"/>
    <x v="25"/>
    <n v="3544543"/>
  </r>
  <r>
    <x v="115"/>
    <s v="LTU"/>
    <x v="26"/>
    <n v="3578914"/>
  </r>
  <r>
    <x v="115"/>
    <s v="LTU"/>
    <x v="27"/>
    <n v="3616367"/>
  </r>
  <r>
    <x v="115"/>
    <s v="LTU"/>
    <x v="28"/>
    <n v="3655049"/>
  </r>
  <r>
    <x v="115"/>
    <s v="LTU"/>
    <x v="29"/>
    <n v="3684255"/>
  </r>
  <r>
    <x v="115"/>
    <s v="LTU"/>
    <x v="30"/>
    <n v="3697838"/>
  </r>
  <r>
    <x v="115"/>
    <s v="LTU"/>
    <x v="31"/>
    <n v="3704134"/>
  </r>
  <r>
    <x v="115"/>
    <s v="LTU"/>
    <x v="32"/>
    <n v="3700114"/>
  </r>
  <r>
    <x v="115"/>
    <s v="LTU"/>
    <x v="33"/>
    <n v="3682613"/>
  </r>
  <r>
    <x v="115"/>
    <s v="LTU"/>
    <x v="34"/>
    <n v="3657144"/>
  </r>
  <r>
    <x v="115"/>
    <s v="LTU"/>
    <x v="35"/>
    <n v="3629102"/>
  </r>
  <r>
    <x v="115"/>
    <s v="LTU"/>
    <x v="36"/>
    <n v="3601613"/>
  </r>
  <r>
    <x v="115"/>
    <s v="LTU"/>
    <x v="37"/>
    <n v="3575137"/>
  </r>
  <r>
    <x v="115"/>
    <s v="LTU"/>
    <x v="38"/>
    <n v="3549331"/>
  </r>
  <r>
    <x v="115"/>
    <s v="LTU"/>
    <x v="39"/>
    <n v="3524238"/>
  </r>
  <r>
    <x v="115"/>
    <s v="LTU"/>
    <x v="40"/>
    <n v="3499536"/>
  </r>
  <r>
    <x v="115"/>
    <s v="LTU"/>
    <x v="41"/>
    <n v="3470818"/>
  </r>
  <r>
    <x v="115"/>
    <s v="LTU"/>
    <x v="42"/>
    <n v="3443067"/>
  </r>
  <r>
    <x v="115"/>
    <s v="LTU"/>
    <x v="43"/>
    <n v="3415213"/>
  </r>
  <r>
    <x v="115"/>
    <s v="LTU"/>
    <x v="44"/>
    <n v="3377075"/>
  </r>
  <r>
    <x v="115"/>
    <s v="LTU"/>
    <x v="45"/>
    <n v="3322528"/>
  </r>
  <r>
    <x v="115"/>
    <s v="LTU"/>
    <x v="46"/>
    <n v="3269909"/>
  </r>
  <r>
    <x v="115"/>
    <s v="LTU"/>
    <x v="47"/>
    <n v="3231294"/>
  </r>
  <r>
    <x v="115"/>
    <s v="LTU"/>
    <x v="48"/>
    <n v="3198231"/>
  </r>
  <r>
    <x v="115"/>
    <s v="LTU"/>
    <x v="49"/>
    <n v="3162916"/>
  </r>
  <r>
    <x v="115"/>
    <s v="LTU"/>
    <x v="50"/>
    <n v="3097282"/>
  </r>
  <r>
    <x v="115"/>
    <s v="LTU"/>
    <x v="51"/>
    <n v="3028115"/>
  </r>
  <r>
    <x v="115"/>
    <s v="LTU"/>
    <x v="52"/>
    <n v="2989139"/>
  </r>
  <r>
    <x v="115"/>
    <s v="LTU"/>
    <x v="53"/>
    <n v="2961250"/>
  </r>
  <r>
    <x v="115"/>
    <s v="LTU"/>
    <x v="54"/>
    <n v="2937253"/>
  </r>
  <r>
    <x v="115"/>
    <s v="LTU"/>
    <x v="55"/>
    <n v="2911109"/>
  </r>
  <r>
    <x v="115"/>
    <s v="LTU"/>
    <x v="56"/>
    <n v="2877325"/>
  </r>
  <r>
    <x v="115"/>
    <s v="LTU"/>
    <x v="57"/>
    <n v="2842639"/>
  </r>
  <r>
    <x v="115"/>
    <s v="LTU"/>
    <x v="58"/>
    <n v="2819200"/>
  </r>
  <r>
    <x v="115"/>
    <s v="LTU"/>
    <x v="59"/>
    <n v="2811089"/>
  </r>
  <r>
    <x v="115"/>
    <s v="LTU"/>
    <x v="60"/>
    <n v="2810369"/>
  </r>
  <r>
    <x v="115"/>
    <s v="LTU"/>
    <x v="61"/>
    <n v="2808380"/>
  </r>
  <r>
    <x v="115"/>
    <s v="LTU"/>
    <x v="62"/>
    <n v="2831639"/>
  </r>
  <r>
    <x v="115"/>
    <s v="LTU"/>
    <x v="63"/>
    <n v="2871585"/>
  </r>
  <r>
    <x v="115"/>
    <s v="LTU"/>
    <x v="64"/>
    <n v="2888055"/>
  </r>
  <r>
    <x v="116"/>
    <s v="LUX"/>
    <x v="0"/>
    <n v="313970"/>
  </r>
  <r>
    <x v="116"/>
    <s v="LUX"/>
    <x v="1"/>
    <n v="316845"/>
  </r>
  <r>
    <x v="116"/>
    <s v="LUX"/>
    <x v="2"/>
    <n v="320750"/>
  </r>
  <r>
    <x v="116"/>
    <s v="LUX"/>
    <x v="3"/>
    <n v="324100"/>
  </r>
  <r>
    <x v="116"/>
    <s v="LUX"/>
    <x v="4"/>
    <n v="327750"/>
  </r>
  <r>
    <x v="116"/>
    <s v="LUX"/>
    <x v="5"/>
    <n v="331500"/>
  </r>
  <r>
    <x v="116"/>
    <s v="LUX"/>
    <x v="6"/>
    <n v="333895"/>
  </r>
  <r>
    <x v="116"/>
    <s v="LUX"/>
    <x v="7"/>
    <n v="334995"/>
  </r>
  <r>
    <x v="116"/>
    <s v="LUX"/>
    <x v="8"/>
    <n v="335850"/>
  </r>
  <r>
    <x v="116"/>
    <s v="LUX"/>
    <x v="9"/>
    <n v="337500"/>
  </r>
  <r>
    <x v="116"/>
    <s v="LUX"/>
    <x v="10"/>
    <n v="339171"/>
  </r>
  <r>
    <x v="116"/>
    <s v="LUX"/>
    <x v="11"/>
    <n v="342421"/>
  </r>
  <r>
    <x v="116"/>
    <s v="LUX"/>
    <x v="12"/>
    <n v="346600"/>
  </r>
  <r>
    <x v="116"/>
    <s v="LUX"/>
    <x v="13"/>
    <n v="350450"/>
  </r>
  <r>
    <x v="116"/>
    <s v="LUX"/>
    <x v="14"/>
    <n v="355050"/>
  </r>
  <r>
    <x v="116"/>
    <s v="LUX"/>
    <x v="15"/>
    <n v="358950"/>
  </r>
  <r>
    <x v="116"/>
    <s v="LUX"/>
    <x v="16"/>
    <n v="360731"/>
  </r>
  <r>
    <x v="116"/>
    <s v="LUX"/>
    <x v="17"/>
    <n v="361358"/>
  </r>
  <r>
    <x v="116"/>
    <s v="LUX"/>
    <x v="18"/>
    <n v="362007"/>
  </r>
  <r>
    <x v="116"/>
    <s v="LUX"/>
    <x v="19"/>
    <n v="362856"/>
  </r>
  <r>
    <x v="116"/>
    <s v="LUX"/>
    <x v="20"/>
    <n v="364150"/>
  </r>
  <r>
    <x v="116"/>
    <s v="LUX"/>
    <x v="21"/>
    <n v="365225"/>
  </r>
  <r>
    <x v="116"/>
    <s v="LUX"/>
    <x v="22"/>
    <n v="365525"/>
  </r>
  <r>
    <x v="116"/>
    <s v="LUX"/>
    <x v="23"/>
    <n v="365622"/>
  </r>
  <r>
    <x v="116"/>
    <s v="LUX"/>
    <x v="24"/>
    <n v="365998"/>
  </r>
  <r>
    <x v="116"/>
    <s v="LUX"/>
    <x v="25"/>
    <n v="366706"/>
  </r>
  <r>
    <x v="116"/>
    <s v="LUX"/>
    <x v="26"/>
    <n v="368355"/>
  </r>
  <r>
    <x v="116"/>
    <s v="LUX"/>
    <x v="27"/>
    <n v="370750"/>
  </r>
  <r>
    <x v="116"/>
    <s v="LUX"/>
    <x v="28"/>
    <n v="373450"/>
  </r>
  <r>
    <x v="116"/>
    <s v="LUX"/>
    <x v="29"/>
    <n v="377100"/>
  </r>
  <r>
    <x v="116"/>
    <s v="LUX"/>
    <x v="30"/>
    <n v="381850"/>
  </r>
  <r>
    <x v="116"/>
    <s v="LUX"/>
    <x v="31"/>
    <n v="387000"/>
  </r>
  <r>
    <x v="116"/>
    <s v="LUX"/>
    <x v="32"/>
    <n v="392175"/>
  </r>
  <r>
    <x v="116"/>
    <s v="LUX"/>
    <x v="33"/>
    <n v="397475"/>
  </r>
  <r>
    <x v="116"/>
    <s v="LUX"/>
    <x v="34"/>
    <n v="402925"/>
  </r>
  <r>
    <x v="116"/>
    <s v="LUX"/>
    <x v="35"/>
    <n v="408625"/>
  </r>
  <r>
    <x v="116"/>
    <s v="LUX"/>
    <x v="36"/>
    <n v="414225"/>
  </r>
  <r>
    <x v="116"/>
    <s v="LUX"/>
    <x v="37"/>
    <n v="419450"/>
  </r>
  <r>
    <x v="116"/>
    <s v="LUX"/>
    <x v="38"/>
    <n v="424700"/>
  </r>
  <r>
    <x v="116"/>
    <s v="LUX"/>
    <x v="39"/>
    <n v="430475"/>
  </r>
  <r>
    <x v="116"/>
    <s v="LUX"/>
    <x v="40"/>
    <n v="436300"/>
  </r>
  <r>
    <x v="116"/>
    <s v="LUX"/>
    <x v="41"/>
    <n v="441525"/>
  </r>
  <r>
    <x v="116"/>
    <s v="LUX"/>
    <x v="42"/>
    <n v="446175"/>
  </r>
  <r>
    <x v="116"/>
    <s v="LUX"/>
    <x v="43"/>
    <n v="451630"/>
  </r>
  <r>
    <x v="116"/>
    <s v="LUX"/>
    <x v="44"/>
    <n v="458095"/>
  </r>
  <r>
    <x v="116"/>
    <s v="LUX"/>
    <x v="45"/>
    <n v="465158"/>
  </r>
  <r>
    <x v="116"/>
    <s v="LUX"/>
    <x v="46"/>
    <n v="472637"/>
  </r>
  <r>
    <x v="116"/>
    <s v="LUX"/>
    <x v="47"/>
    <n v="479993"/>
  </r>
  <r>
    <x v="116"/>
    <s v="LUX"/>
    <x v="48"/>
    <n v="488650"/>
  </r>
  <r>
    <x v="116"/>
    <s v="LUX"/>
    <x v="49"/>
    <n v="497783"/>
  </r>
  <r>
    <x v="116"/>
    <s v="LUX"/>
    <x v="50"/>
    <n v="506953"/>
  </r>
  <r>
    <x v="116"/>
    <s v="LUX"/>
    <x v="51"/>
    <n v="518347"/>
  </r>
  <r>
    <x v="116"/>
    <s v="LUX"/>
    <x v="52"/>
    <n v="530946"/>
  </r>
  <r>
    <x v="116"/>
    <s v="LUX"/>
    <x v="53"/>
    <n v="543360"/>
  </r>
  <r>
    <x v="116"/>
    <s v="LUX"/>
    <x v="54"/>
    <n v="556319"/>
  </r>
  <r>
    <x v="116"/>
    <s v="LUX"/>
    <x v="55"/>
    <n v="569604"/>
  </r>
  <r>
    <x v="116"/>
    <s v="LUX"/>
    <x v="56"/>
    <n v="582014"/>
  </r>
  <r>
    <x v="116"/>
    <s v="LUX"/>
    <x v="57"/>
    <n v="596336"/>
  </r>
  <r>
    <x v="116"/>
    <s v="LUX"/>
    <x v="58"/>
    <n v="607950"/>
  </r>
  <r>
    <x v="116"/>
    <s v="LUX"/>
    <x v="59"/>
    <n v="620001"/>
  </r>
  <r>
    <x v="116"/>
    <s v="LUX"/>
    <x v="60"/>
    <n v="630419"/>
  </r>
  <r>
    <x v="116"/>
    <s v="LUX"/>
    <x v="61"/>
    <n v="640064"/>
  </r>
  <r>
    <x v="116"/>
    <s v="LUX"/>
    <x v="62"/>
    <n v="653103"/>
  </r>
  <r>
    <x v="116"/>
    <s v="LUX"/>
    <x v="63"/>
    <n v="666430"/>
  </r>
  <r>
    <x v="116"/>
    <s v="LUX"/>
    <x v="64"/>
    <n v="677717"/>
  </r>
  <r>
    <x v="117"/>
    <s v="MAC"/>
    <x v="0"/>
    <n v="173315"/>
  </r>
  <r>
    <x v="117"/>
    <s v="MAC"/>
    <x v="1"/>
    <n v="173323"/>
  </r>
  <r>
    <x v="117"/>
    <s v="MAC"/>
    <x v="2"/>
    <n v="177810"/>
  </r>
  <r>
    <x v="117"/>
    <s v="MAC"/>
    <x v="3"/>
    <n v="182135"/>
  </r>
  <r>
    <x v="117"/>
    <s v="MAC"/>
    <x v="4"/>
    <n v="225655"/>
  </r>
  <r>
    <x v="117"/>
    <s v="MAC"/>
    <x v="5"/>
    <n v="265631"/>
  </r>
  <r>
    <x v="117"/>
    <s v="MAC"/>
    <x v="6"/>
    <n v="262942"/>
  </r>
  <r>
    <x v="117"/>
    <s v="MAC"/>
    <x v="7"/>
    <n v="260423"/>
  </r>
  <r>
    <x v="117"/>
    <s v="MAC"/>
    <x v="8"/>
    <n v="257933"/>
  </r>
  <r>
    <x v="117"/>
    <s v="MAC"/>
    <x v="9"/>
    <n v="255306"/>
  </r>
  <r>
    <x v="117"/>
    <s v="MAC"/>
    <x v="10"/>
    <n v="257396"/>
  </r>
  <r>
    <x v="117"/>
    <s v="MAC"/>
    <x v="11"/>
    <n v="247400"/>
  </r>
  <r>
    <x v="117"/>
    <s v="MAC"/>
    <x v="12"/>
    <n v="245050"/>
  </r>
  <r>
    <x v="117"/>
    <s v="MAC"/>
    <x v="13"/>
    <n v="242800"/>
  </r>
  <r>
    <x v="117"/>
    <s v="MAC"/>
    <x v="14"/>
    <n v="240550"/>
  </r>
  <r>
    <x v="117"/>
    <s v="MAC"/>
    <x v="15"/>
    <n v="238200"/>
  </r>
  <r>
    <x v="117"/>
    <s v="MAC"/>
    <x v="16"/>
    <n v="235600"/>
  </r>
  <r>
    <x v="117"/>
    <s v="MAC"/>
    <x v="17"/>
    <n v="232950"/>
  </r>
  <r>
    <x v="117"/>
    <s v="MAC"/>
    <x v="18"/>
    <n v="232400"/>
  </r>
  <r>
    <x v="117"/>
    <s v="MAC"/>
    <x v="19"/>
    <n v="235200"/>
  </r>
  <r>
    <x v="117"/>
    <s v="MAC"/>
    <x v="20"/>
    <n v="239650"/>
  </r>
  <r>
    <x v="117"/>
    <s v="MAC"/>
    <x v="21"/>
    <n v="244800"/>
  </r>
  <r>
    <x v="117"/>
    <s v="MAC"/>
    <x v="22"/>
    <n v="254650"/>
  </r>
  <r>
    <x v="117"/>
    <s v="MAC"/>
    <x v="23"/>
    <n v="269300"/>
  </r>
  <r>
    <x v="117"/>
    <s v="MAC"/>
    <x v="24"/>
    <n v="282850"/>
  </r>
  <r>
    <x v="117"/>
    <s v="MAC"/>
    <x v="25"/>
    <n v="289700"/>
  </r>
  <r>
    <x v="117"/>
    <s v="MAC"/>
    <x v="26"/>
    <n v="296050"/>
  </r>
  <r>
    <x v="117"/>
    <s v="MAC"/>
    <x v="27"/>
    <n v="306850"/>
  </r>
  <r>
    <x v="117"/>
    <s v="MAC"/>
    <x v="28"/>
    <n v="316000"/>
  </r>
  <r>
    <x v="117"/>
    <s v="MAC"/>
    <x v="29"/>
    <n v="325100"/>
  </r>
  <r>
    <x v="117"/>
    <s v="MAC"/>
    <x v="30"/>
    <n v="334950"/>
  </r>
  <r>
    <x v="117"/>
    <s v="MAC"/>
    <x v="31"/>
    <n v="351650"/>
  </r>
  <r>
    <x v="117"/>
    <s v="MAC"/>
    <x v="32"/>
    <n v="370900"/>
  </r>
  <r>
    <x v="117"/>
    <s v="MAC"/>
    <x v="33"/>
    <n v="384000"/>
  </r>
  <r>
    <x v="117"/>
    <s v="MAC"/>
    <x v="34"/>
    <n v="396800"/>
  </r>
  <r>
    <x v="117"/>
    <s v="MAC"/>
    <x v="35"/>
    <n v="409300"/>
  </r>
  <r>
    <x v="117"/>
    <s v="MAC"/>
    <x v="36"/>
    <n v="415100"/>
  </r>
  <r>
    <x v="117"/>
    <s v="MAC"/>
    <x v="37"/>
    <n v="417300"/>
  </r>
  <r>
    <x v="117"/>
    <s v="MAC"/>
    <x v="38"/>
    <n v="422300"/>
  </r>
  <r>
    <x v="117"/>
    <s v="MAC"/>
    <x v="39"/>
    <n v="427400"/>
  </r>
  <r>
    <x v="117"/>
    <s v="MAC"/>
    <x v="40"/>
    <n v="430600"/>
  </r>
  <r>
    <x v="117"/>
    <s v="MAC"/>
    <x v="41"/>
    <n v="433900"/>
  </r>
  <r>
    <x v="117"/>
    <s v="MAC"/>
    <x v="42"/>
    <n v="438400"/>
  </r>
  <r>
    <x v="117"/>
    <s v="MAC"/>
    <x v="43"/>
    <n v="443600"/>
  </r>
  <r>
    <x v="117"/>
    <s v="MAC"/>
    <x v="44"/>
    <n v="454700"/>
  </r>
  <r>
    <x v="117"/>
    <s v="MAC"/>
    <x v="45"/>
    <n v="473500"/>
  </r>
  <r>
    <x v="117"/>
    <s v="MAC"/>
    <x v="46"/>
    <n v="498900"/>
  </r>
  <r>
    <x v="117"/>
    <s v="MAC"/>
    <x v="47"/>
    <n v="520900"/>
  </r>
  <r>
    <x v="117"/>
    <s v="MAC"/>
    <x v="48"/>
    <n v="540700"/>
  </r>
  <r>
    <x v="117"/>
    <s v="MAC"/>
    <x v="49"/>
    <n v="535000"/>
  </r>
  <r>
    <x v="117"/>
    <s v="MAC"/>
    <x v="50"/>
    <n v="537000"/>
  </r>
  <r>
    <x v="117"/>
    <s v="MAC"/>
    <x v="51"/>
    <n v="549600"/>
  </r>
  <r>
    <x v="117"/>
    <s v="MAC"/>
    <x v="52"/>
    <n v="567900"/>
  </r>
  <r>
    <x v="117"/>
    <s v="MAC"/>
    <x v="53"/>
    <n v="591900"/>
  </r>
  <r>
    <x v="117"/>
    <s v="MAC"/>
    <x v="54"/>
    <n v="621700"/>
  </r>
  <r>
    <x v="117"/>
    <s v="MAC"/>
    <x v="55"/>
    <n v="642900"/>
  </r>
  <r>
    <x v="117"/>
    <s v="MAC"/>
    <x v="56"/>
    <n v="652500"/>
  </r>
  <r>
    <x v="117"/>
    <s v="MAC"/>
    <x v="57"/>
    <n v="648400"/>
  </r>
  <r>
    <x v="117"/>
    <s v="MAC"/>
    <x v="58"/>
    <n v="658900"/>
  </r>
  <r>
    <x v="117"/>
    <s v="MAC"/>
    <x v="59"/>
    <n v="672000"/>
  </r>
  <r>
    <x v="117"/>
    <s v="MAC"/>
    <x v="60"/>
    <n v="685400"/>
  </r>
  <r>
    <x v="117"/>
    <s v="MAC"/>
    <x v="61"/>
    <n v="682500"/>
  </r>
  <r>
    <x v="117"/>
    <s v="MAC"/>
    <x v="62"/>
    <n v="677300"/>
  </r>
  <r>
    <x v="117"/>
    <s v="MAC"/>
    <x v="63"/>
    <n v="678800"/>
  </r>
  <r>
    <x v="117"/>
    <s v="MAC"/>
    <x v="64"/>
    <n v="687000"/>
  </r>
  <r>
    <x v="118"/>
    <s v="MDG"/>
    <x v="0"/>
    <n v="5111029"/>
  </r>
  <r>
    <x v="118"/>
    <s v="MDG"/>
    <x v="1"/>
    <n v="5246158"/>
  </r>
  <r>
    <x v="118"/>
    <s v="MDG"/>
    <x v="2"/>
    <n v="5384150"/>
  </r>
  <r>
    <x v="118"/>
    <s v="MDG"/>
    <x v="3"/>
    <n v="5525185"/>
  </r>
  <r>
    <x v="118"/>
    <s v="MDG"/>
    <x v="4"/>
    <n v="5669863"/>
  </r>
  <r>
    <x v="118"/>
    <s v="MDG"/>
    <x v="5"/>
    <n v="5819116"/>
  </r>
  <r>
    <x v="118"/>
    <s v="MDG"/>
    <x v="6"/>
    <n v="5974279"/>
  </r>
  <r>
    <x v="118"/>
    <s v="MDG"/>
    <x v="7"/>
    <n v="6136486"/>
  </r>
  <r>
    <x v="118"/>
    <s v="MDG"/>
    <x v="8"/>
    <n v="6306493"/>
  </r>
  <r>
    <x v="118"/>
    <s v="MDG"/>
    <x v="9"/>
    <n v="6484716"/>
  </r>
  <r>
    <x v="118"/>
    <s v="MDG"/>
    <x v="10"/>
    <n v="6672003"/>
  </r>
  <r>
    <x v="118"/>
    <s v="MDG"/>
    <x v="11"/>
    <n v="6868868"/>
  </r>
  <r>
    <x v="118"/>
    <s v="MDG"/>
    <x v="12"/>
    <n v="7074398"/>
  </r>
  <r>
    <x v="118"/>
    <s v="MDG"/>
    <x v="13"/>
    <n v="7288048"/>
  </r>
  <r>
    <x v="118"/>
    <s v="MDG"/>
    <x v="14"/>
    <n v="7509726"/>
  </r>
  <r>
    <x v="118"/>
    <s v="MDG"/>
    <x v="15"/>
    <n v="7739336"/>
  </r>
  <r>
    <x v="118"/>
    <s v="MDG"/>
    <x v="16"/>
    <n v="7976831"/>
  </r>
  <r>
    <x v="118"/>
    <s v="MDG"/>
    <x v="17"/>
    <n v="8222240"/>
  </r>
  <r>
    <x v="118"/>
    <s v="MDG"/>
    <x v="18"/>
    <n v="8475864"/>
  </r>
  <r>
    <x v="118"/>
    <s v="MDG"/>
    <x v="19"/>
    <n v="8737581"/>
  </r>
  <r>
    <x v="118"/>
    <s v="MDG"/>
    <x v="20"/>
    <n v="9006032"/>
  </r>
  <r>
    <x v="118"/>
    <s v="MDG"/>
    <x v="21"/>
    <n v="9279011"/>
  </r>
  <r>
    <x v="118"/>
    <s v="MDG"/>
    <x v="22"/>
    <n v="9557671"/>
  </r>
  <r>
    <x v="118"/>
    <s v="MDG"/>
    <x v="23"/>
    <n v="9843044"/>
  </r>
  <r>
    <x v="118"/>
    <s v="MDG"/>
    <x v="24"/>
    <n v="10134550"/>
  </r>
  <r>
    <x v="118"/>
    <s v="MDG"/>
    <x v="25"/>
    <n v="10433142"/>
  </r>
  <r>
    <x v="118"/>
    <s v="MDG"/>
    <x v="26"/>
    <n v="10736857"/>
  </r>
  <r>
    <x v="118"/>
    <s v="MDG"/>
    <x v="27"/>
    <n v="11047291"/>
  </r>
  <r>
    <x v="118"/>
    <s v="MDG"/>
    <x v="28"/>
    <n v="11369462"/>
  </r>
  <r>
    <x v="118"/>
    <s v="MDG"/>
    <x v="29"/>
    <n v="11704998"/>
  </r>
  <r>
    <x v="118"/>
    <s v="MDG"/>
    <x v="30"/>
    <n v="12055639"/>
  </r>
  <r>
    <x v="118"/>
    <s v="MDG"/>
    <x v="31"/>
    <n v="12421412"/>
  </r>
  <r>
    <x v="118"/>
    <s v="MDG"/>
    <x v="32"/>
    <n v="12800870"/>
  </r>
  <r>
    <x v="118"/>
    <s v="MDG"/>
    <x v="33"/>
    <n v="13197345"/>
  </r>
  <r>
    <x v="118"/>
    <s v="MDG"/>
    <x v="34"/>
    <n v="13613850"/>
  </r>
  <r>
    <x v="118"/>
    <s v="MDG"/>
    <x v="35"/>
    <n v="14051275"/>
  </r>
  <r>
    <x v="118"/>
    <s v="MDG"/>
    <x v="36"/>
    <n v="14510711"/>
  </r>
  <r>
    <x v="118"/>
    <s v="MDG"/>
    <x v="37"/>
    <n v="14990814"/>
  </r>
  <r>
    <x v="118"/>
    <s v="MDG"/>
    <x v="38"/>
    <n v="15489364"/>
  </r>
  <r>
    <x v="118"/>
    <s v="MDG"/>
    <x v="39"/>
    <n v="16000506"/>
  </r>
  <r>
    <x v="118"/>
    <s v="MDG"/>
    <x v="40"/>
    <n v="16516338"/>
  </r>
  <r>
    <x v="118"/>
    <s v="MDG"/>
    <x v="41"/>
    <n v="17032939"/>
  </r>
  <r>
    <x v="118"/>
    <s v="MDG"/>
    <x v="42"/>
    <n v="17549913"/>
  </r>
  <r>
    <x v="118"/>
    <s v="MDG"/>
    <x v="43"/>
    <n v="18071854"/>
  </r>
  <r>
    <x v="118"/>
    <s v="MDG"/>
    <x v="44"/>
    <n v="18606608"/>
  </r>
  <r>
    <x v="118"/>
    <s v="MDG"/>
    <x v="45"/>
    <n v="19159707"/>
  </r>
  <r>
    <x v="118"/>
    <s v="MDG"/>
    <x v="46"/>
    <n v="19730909"/>
  </r>
  <r>
    <x v="118"/>
    <s v="MDG"/>
    <x v="47"/>
    <n v="20318583"/>
  </r>
  <r>
    <x v="118"/>
    <s v="MDG"/>
    <x v="48"/>
    <n v="20923840"/>
  </r>
  <r>
    <x v="118"/>
    <s v="MDG"/>
    <x v="49"/>
    <n v="21547280"/>
  </r>
  <r>
    <x v="118"/>
    <s v="MDG"/>
    <x v="50"/>
    <n v="22183340"/>
  </r>
  <r>
    <x v="118"/>
    <s v="MDG"/>
    <x v="51"/>
    <n v="22822300"/>
  </r>
  <r>
    <x v="118"/>
    <s v="MDG"/>
    <x v="52"/>
    <n v="23462438"/>
  </r>
  <r>
    <x v="118"/>
    <s v="MDG"/>
    <x v="53"/>
    <n v="24109290"/>
  </r>
  <r>
    <x v="118"/>
    <s v="MDG"/>
    <x v="54"/>
    <n v="24764348"/>
  </r>
  <r>
    <x v="118"/>
    <s v="MDG"/>
    <x v="55"/>
    <n v="25426702"/>
  </r>
  <r>
    <x v="118"/>
    <s v="MDG"/>
    <x v="56"/>
    <n v="26099952"/>
  </r>
  <r>
    <x v="118"/>
    <s v="MDG"/>
    <x v="57"/>
    <n v="26788375"/>
  </r>
  <r>
    <x v="118"/>
    <s v="MDG"/>
    <x v="58"/>
    <n v="27494926"/>
  </r>
  <r>
    <x v="118"/>
    <s v="MDG"/>
    <x v="59"/>
    <n v="28219554"/>
  </r>
  <r>
    <x v="118"/>
    <s v="MDG"/>
    <x v="60"/>
    <n v="28953556"/>
  </r>
  <r>
    <x v="118"/>
    <s v="MDG"/>
    <x v="61"/>
    <n v="29691083"/>
  </r>
  <r>
    <x v="118"/>
    <s v="MDG"/>
    <x v="62"/>
    <n v="30437261"/>
  </r>
  <r>
    <x v="118"/>
    <s v="MDG"/>
    <x v="63"/>
    <n v="31195932"/>
  </r>
  <r>
    <x v="118"/>
    <s v="MDG"/>
    <x v="64"/>
    <n v="31964956"/>
  </r>
  <r>
    <x v="119"/>
    <s v="MWI"/>
    <x v="0"/>
    <n v="3628134"/>
  </r>
  <r>
    <x v="119"/>
    <s v="MWI"/>
    <x v="1"/>
    <n v="3715534"/>
  </r>
  <r>
    <x v="119"/>
    <s v="MWI"/>
    <x v="2"/>
    <n v="3806307"/>
  </r>
  <r>
    <x v="119"/>
    <s v="MWI"/>
    <x v="3"/>
    <n v="3900506"/>
  </r>
  <r>
    <x v="119"/>
    <s v="MWI"/>
    <x v="4"/>
    <n v="3997305"/>
  </r>
  <r>
    <x v="119"/>
    <s v="MWI"/>
    <x v="5"/>
    <n v="4096157"/>
  </r>
  <r>
    <x v="119"/>
    <s v="MWI"/>
    <x v="6"/>
    <n v="4197926"/>
  </r>
  <r>
    <x v="119"/>
    <s v="MWI"/>
    <x v="7"/>
    <n v="4303012"/>
  </r>
  <r>
    <x v="119"/>
    <s v="MWI"/>
    <x v="8"/>
    <n v="4411054"/>
  </r>
  <r>
    <x v="119"/>
    <s v="MWI"/>
    <x v="9"/>
    <n v="4521184"/>
  </r>
  <r>
    <x v="119"/>
    <s v="MWI"/>
    <x v="10"/>
    <n v="4633944"/>
  </r>
  <r>
    <x v="119"/>
    <s v="MWI"/>
    <x v="11"/>
    <n v="4751434"/>
  </r>
  <r>
    <x v="119"/>
    <s v="MWI"/>
    <x v="12"/>
    <n v="4874475"/>
  </r>
  <r>
    <x v="119"/>
    <s v="MWI"/>
    <x v="13"/>
    <n v="5003938"/>
  </r>
  <r>
    <x v="119"/>
    <s v="MWI"/>
    <x v="14"/>
    <n v="5141337"/>
  </r>
  <r>
    <x v="119"/>
    <s v="MWI"/>
    <x v="15"/>
    <n v="5287367"/>
  </r>
  <r>
    <x v="119"/>
    <s v="MWI"/>
    <x v="16"/>
    <n v="5443384"/>
  </r>
  <r>
    <x v="119"/>
    <s v="MWI"/>
    <x v="17"/>
    <n v="5614983"/>
  </r>
  <r>
    <x v="119"/>
    <s v="MWI"/>
    <x v="18"/>
    <n v="5810132"/>
  </r>
  <r>
    <x v="119"/>
    <s v="MWI"/>
    <x v="19"/>
    <n v="6028749"/>
  </r>
  <r>
    <x v="119"/>
    <s v="MWI"/>
    <x v="20"/>
    <n v="6265529"/>
  </r>
  <r>
    <x v="119"/>
    <s v="MWI"/>
    <x v="21"/>
    <n v="6516454"/>
  </r>
  <r>
    <x v="119"/>
    <s v="MWI"/>
    <x v="22"/>
    <n v="6778879"/>
  </r>
  <r>
    <x v="119"/>
    <s v="MWI"/>
    <x v="23"/>
    <n v="7051709"/>
  </r>
  <r>
    <x v="119"/>
    <s v="MWI"/>
    <x v="24"/>
    <n v="7332810"/>
  </r>
  <r>
    <x v="119"/>
    <s v="MWI"/>
    <x v="25"/>
    <n v="7620508"/>
  </r>
  <r>
    <x v="119"/>
    <s v="MWI"/>
    <x v="26"/>
    <n v="7906480"/>
  </r>
  <r>
    <x v="119"/>
    <s v="MWI"/>
    <x v="27"/>
    <n v="8293174"/>
  </r>
  <r>
    <x v="119"/>
    <s v="MWI"/>
    <x v="28"/>
    <n v="8753262"/>
  </r>
  <r>
    <x v="119"/>
    <s v="MWI"/>
    <x v="29"/>
    <n v="9176220"/>
  </r>
  <r>
    <x v="119"/>
    <s v="MWI"/>
    <x v="30"/>
    <n v="9545852"/>
  </r>
  <r>
    <x v="119"/>
    <s v="MWI"/>
    <x v="31"/>
    <n v="9844227"/>
  </r>
  <r>
    <x v="119"/>
    <s v="MWI"/>
    <x v="32"/>
    <n v="10135079"/>
  </r>
  <r>
    <x v="119"/>
    <s v="MWI"/>
    <x v="33"/>
    <n v="10284024"/>
  </r>
  <r>
    <x v="119"/>
    <s v="MWI"/>
    <x v="34"/>
    <n v="10164894"/>
  </r>
  <r>
    <x v="119"/>
    <s v="MWI"/>
    <x v="35"/>
    <n v="10150117"/>
  </r>
  <r>
    <x v="119"/>
    <s v="MWI"/>
    <x v="36"/>
    <n v="10352228"/>
  </r>
  <r>
    <x v="119"/>
    <s v="MWI"/>
    <x v="37"/>
    <n v="10562035"/>
  </r>
  <r>
    <x v="119"/>
    <s v="MWI"/>
    <x v="38"/>
    <n v="10792876"/>
  </r>
  <r>
    <x v="119"/>
    <s v="MWI"/>
    <x v="39"/>
    <n v="11047804"/>
  </r>
  <r>
    <x v="119"/>
    <s v="MWI"/>
    <x v="40"/>
    <n v="11315942"/>
  </r>
  <r>
    <x v="119"/>
    <s v="MWI"/>
    <x v="41"/>
    <n v="11593058"/>
  </r>
  <r>
    <x v="119"/>
    <s v="MWI"/>
    <x v="42"/>
    <n v="11880440"/>
  </r>
  <r>
    <x v="119"/>
    <s v="MWI"/>
    <x v="43"/>
    <n v="12181574"/>
  </r>
  <r>
    <x v="119"/>
    <s v="MWI"/>
    <x v="44"/>
    <n v="12500737"/>
  </r>
  <r>
    <x v="119"/>
    <s v="MWI"/>
    <x v="45"/>
    <n v="12840031"/>
  </r>
  <r>
    <x v="119"/>
    <s v="MWI"/>
    <x v="46"/>
    <n v="13198701"/>
  </r>
  <r>
    <x v="119"/>
    <s v="MWI"/>
    <x v="47"/>
    <n v="13576343"/>
  </r>
  <r>
    <x v="119"/>
    <s v="MWI"/>
    <x v="48"/>
    <n v="13976417"/>
  </r>
  <r>
    <x v="119"/>
    <s v="MWI"/>
    <x v="49"/>
    <n v="14395788"/>
  </r>
  <r>
    <x v="119"/>
    <s v="MWI"/>
    <x v="50"/>
    <n v="14826463"/>
  </r>
  <r>
    <x v="119"/>
    <s v="MWI"/>
    <x v="51"/>
    <n v="15265022"/>
  </r>
  <r>
    <x v="119"/>
    <s v="MWI"/>
    <x v="52"/>
    <n v="15709577"/>
  </r>
  <r>
    <x v="119"/>
    <s v="MWI"/>
    <x v="53"/>
    <n v="16161816"/>
  </r>
  <r>
    <x v="119"/>
    <s v="MWI"/>
    <x v="54"/>
    <n v="16621538"/>
  </r>
  <r>
    <x v="119"/>
    <s v="MWI"/>
    <x v="55"/>
    <n v="17085587"/>
  </r>
  <r>
    <x v="119"/>
    <s v="MWI"/>
    <x v="56"/>
    <n v="17557739"/>
  </r>
  <r>
    <x v="119"/>
    <s v="MWI"/>
    <x v="57"/>
    <n v="18039715"/>
  </r>
  <r>
    <x v="119"/>
    <s v="MWI"/>
    <x v="58"/>
    <n v="18528081"/>
  </r>
  <r>
    <x v="119"/>
    <s v="MWI"/>
    <x v="59"/>
    <n v="19025752"/>
  </r>
  <r>
    <x v="119"/>
    <s v="MWI"/>
    <x v="60"/>
    <n v="19533888"/>
  </r>
  <r>
    <x v="119"/>
    <s v="MWI"/>
    <x v="61"/>
    <n v="20047258"/>
  </r>
  <r>
    <x v="119"/>
    <s v="MWI"/>
    <x v="62"/>
    <n v="20568728"/>
  </r>
  <r>
    <x v="119"/>
    <s v="MWI"/>
    <x v="63"/>
    <n v="21104482"/>
  </r>
  <r>
    <x v="119"/>
    <s v="MWI"/>
    <x v="64"/>
    <n v="21655286"/>
  </r>
  <r>
    <x v="120"/>
    <s v="MYS"/>
    <x v="0"/>
    <n v="7956197"/>
  </r>
  <r>
    <x v="120"/>
    <s v="MYS"/>
    <x v="1"/>
    <n v="8164443"/>
  </r>
  <r>
    <x v="120"/>
    <s v="MYS"/>
    <x v="2"/>
    <n v="8380172"/>
  </r>
  <r>
    <x v="120"/>
    <s v="MYS"/>
    <x v="3"/>
    <n v="8602160"/>
  </r>
  <r>
    <x v="120"/>
    <s v="MYS"/>
    <x v="4"/>
    <n v="8828406"/>
  </r>
  <r>
    <x v="120"/>
    <s v="MYS"/>
    <x v="5"/>
    <n v="9056408"/>
  </r>
  <r>
    <x v="120"/>
    <s v="MYS"/>
    <x v="6"/>
    <n v="9284688"/>
  </r>
  <r>
    <x v="120"/>
    <s v="MYS"/>
    <x v="7"/>
    <n v="9507099"/>
  </r>
  <r>
    <x v="120"/>
    <s v="MYS"/>
    <x v="8"/>
    <n v="9725281"/>
  </r>
  <r>
    <x v="120"/>
    <s v="MYS"/>
    <x v="9"/>
    <n v="9947597"/>
  </r>
  <r>
    <x v="120"/>
    <s v="MYS"/>
    <x v="10"/>
    <n v="10178802"/>
  </r>
  <r>
    <x v="120"/>
    <s v="MYS"/>
    <x v="11"/>
    <n v="10423453"/>
  </r>
  <r>
    <x v="120"/>
    <s v="MYS"/>
    <x v="12"/>
    <n v="10676835"/>
  </r>
  <r>
    <x v="120"/>
    <s v="MYS"/>
    <x v="13"/>
    <n v="10935621"/>
  </r>
  <r>
    <x v="120"/>
    <s v="MYS"/>
    <x v="14"/>
    <n v="11200906"/>
  </r>
  <r>
    <x v="120"/>
    <s v="MYS"/>
    <x v="15"/>
    <n v="11471914"/>
  </r>
  <r>
    <x v="120"/>
    <s v="MYS"/>
    <x v="16"/>
    <n v="11750097"/>
  </r>
  <r>
    <x v="120"/>
    <s v="MYS"/>
    <x v="17"/>
    <n v="12035713"/>
  </r>
  <r>
    <x v="120"/>
    <s v="MYS"/>
    <x v="18"/>
    <n v="12328157"/>
  </r>
  <r>
    <x v="120"/>
    <s v="MYS"/>
    <x v="19"/>
    <n v="12627862"/>
  </r>
  <r>
    <x v="120"/>
    <s v="MYS"/>
    <x v="20"/>
    <n v="12983363"/>
  </r>
  <r>
    <x v="120"/>
    <s v="MYS"/>
    <x v="21"/>
    <n v="13399203"/>
  </r>
  <r>
    <x v="120"/>
    <s v="MYS"/>
    <x v="22"/>
    <n v="13832798"/>
  </r>
  <r>
    <x v="120"/>
    <s v="MYS"/>
    <x v="23"/>
    <n v="14285907"/>
  </r>
  <r>
    <x v="120"/>
    <s v="MYS"/>
    <x v="24"/>
    <n v="14759009"/>
  </r>
  <r>
    <x v="120"/>
    <s v="MYS"/>
    <x v="25"/>
    <n v="15252258"/>
  </r>
  <r>
    <x v="120"/>
    <s v="MYS"/>
    <x v="26"/>
    <n v="15760419"/>
  </r>
  <r>
    <x v="120"/>
    <s v="MYS"/>
    <x v="27"/>
    <n v="16276737"/>
  </r>
  <r>
    <x v="120"/>
    <s v="MYS"/>
    <x v="28"/>
    <n v="16796605"/>
  </r>
  <r>
    <x v="120"/>
    <s v="MYS"/>
    <x v="29"/>
    <n v="17314997"/>
  </r>
  <r>
    <x v="120"/>
    <s v="MYS"/>
    <x v="30"/>
    <n v="17833171"/>
  </r>
  <r>
    <x v="120"/>
    <s v="MYS"/>
    <x v="31"/>
    <n v="18342464"/>
  </r>
  <r>
    <x v="120"/>
    <s v="MYS"/>
    <x v="32"/>
    <n v="18834572"/>
  </r>
  <r>
    <x v="120"/>
    <s v="MYS"/>
    <x v="33"/>
    <n v="19322664"/>
  </r>
  <r>
    <x v="120"/>
    <s v="MYS"/>
    <x v="34"/>
    <n v="19820446"/>
  </r>
  <r>
    <x v="120"/>
    <s v="MYS"/>
    <x v="35"/>
    <n v="20330599"/>
  </r>
  <r>
    <x v="120"/>
    <s v="MYS"/>
    <x v="36"/>
    <n v="20850087"/>
  </r>
  <r>
    <x v="120"/>
    <s v="MYS"/>
    <x v="37"/>
    <n v="21375218"/>
  </r>
  <r>
    <x v="120"/>
    <s v="MYS"/>
    <x v="38"/>
    <n v="21906713"/>
  </r>
  <r>
    <x v="120"/>
    <s v="MYS"/>
    <x v="39"/>
    <n v="22435531"/>
  </r>
  <r>
    <x v="120"/>
    <s v="MYS"/>
    <x v="40"/>
    <n v="22967816"/>
  </r>
  <r>
    <x v="120"/>
    <s v="MYS"/>
    <x v="41"/>
    <n v="23526538"/>
  </r>
  <r>
    <x v="120"/>
    <s v="MYS"/>
    <x v="42"/>
    <n v="24102477"/>
  </r>
  <r>
    <x v="120"/>
    <s v="MYS"/>
    <x v="43"/>
    <n v="24679602"/>
  </r>
  <r>
    <x v="120"/>
    <s v="MYS"/>
    <x v="44"/>
    <n v="25256772"/>
  </r>
  <r>
    <x v="120"/>
    <s v="MYS"/>
    <x v="45"/>
    <n v="25836071"/>
  </r>
  <r>
    <x v="120"/>
    <s v="MYS"/>
    <x v="46"/>
    <n v="26417909"/>
  </r>
  <r>
    <x v="120"/>
    <s v="MYS"/>
    <x v="47"/>
    <n v="26998389"/>
  </r>
  <r>
    <x v="120"/>
    <s v="MYS"/>
    <x v="48"/>
    <n v="27570059"/>
  </r>
  <r>
    <x v="120"/>
    <s v="MYS"/>
    <x v="49"/>
    <n v="28124778"/>
  </r>
  <r>
    <x v="120"/>
    <s v="MYS"/>
    <x v="50"/>
    <n v="28655776"/>
  </r>
  <r>
    <x v="120"/>
    <s v="MYS"/>
    <x v="51"/>
    <n v="29162039"/>
  </r>
  <r>
    <x v="120"/>
    <s v="MYS"/>
    <x v="52"/>
    <n v="29662831"/>
  </r>
  <r>
    <x v="120"/>
    <s v="MYS"/>
    <x v="53"/>
    <n v="30174265"/>
  </r>
  <r>
    <x v="120"/>
    <s v="MYS"/>
    <x v="54"/>
    <n v="30696137"/>
  </r>
  <r>
    <x v="120"/>
    <s v="MYS"/>
    <x v="55"/>
    <n v="31232798"/>
  </r>
  <r>
    <x v="120"/>
    <s v="MYS"/>
    <x v="56"/>
    <n v="31789685"/>
  </r>
  <r>
    <x v="120"/>
    <s v="MYS"/>
    <x v="57"/>
    <n v="32355644"/>
  </r>
  <r>
    <x v="120"/>
    <s v="MYS"/>
    <x v="58"/>
    <n v="32910967"/>
  </r>
  <r>
    <x v="120"/>
    <s v="MYS"/>
    <x v="59"/>
    <n v="33440596"/>
  </r>
  <r>
    <x v="120"/>
    <s v="MYS"/>
    <x v="60"/>
    <n v="33889558"/>
  </r>
  <r>
    <x v="120"/>
    <s v="MYS"/>
    <x v="61"/>
    <n v="34282399"/>
  </r>
  <r>
    <x v="120"/>
    <s v="MYS"/>
    <x v="62"/>
    <n v="34695493"/>
  </r>
  <r>
    <x v="120"/>
    <s v="MYS"/>
    <x v="63"/>
    <n v="35126298"/>
  </r>
  <r>
    <x v="120"/>
    <s v="MYS"/>
    <x v="64"/>
    <n v="35557673"/>
  </r>
  <r>
    <x v="121"/>
    <s v="MDV"/>
    <x v="0"/>
    <n v="91189"/>
  </r>
  <r>
    <x v="121"/>
    <s v="MDV"/>
    <x v="1"/>
    <n v="93450"/>
  </r>
  <r>
    <x v="121"/>
    <s v="MDV"/>
    <x v="2"/>
    <n v="95802"/>
  </r>
  <r>
    <x v="121"/>
    <s v="MDV"/>
    <x v="3"/>
    <n v="98222"/>
  </r>
  <r>
    <x v="121"/>
    <s v="MDV"/>
    <x v="4"/>
    <n v="100662"/>
  </r>
  <r>
    <x v="121"/>
    <s v="MDV"/>
    <x v="5"/>
    <n v="104102"/>
  </r>
  <r>
    <x v="121"/>
    <s v="MDV"/>
    <x v="6"/>
    <n v="108507"/>
  </r>
  <r>
    <x v="121"/>
    <s v="MDV"/>
    <x v="7"/>
    <n v="112528"/>
  </r>
  <r>
    <x v="121"/>
    <s v="MDV"/>
    <x v="8"/>
    <n v="116075"/>
  </r>
  <r>
    <x v="121"/>
    <s v="MDV"/>
    <x v="9"/>
    <n v="119564"/>
  </r>
  <r>
    <x v="121"/>
    <s v="MDV"/>
    <x v="10"/>
    <n v="123219"/>
  </r>
  <r>
    <x v="121"/>
    <s v="MDV"/>
    <x v="11"/>
    <n v="127035"/>
  </r>
  <r>
    <x v="121"/>
    <s v="MDV"/>
    <x v="12"/>
    <n v="130968"/>
  </r>
  <r>
    <x v="121"/>
    <s v="MDV"/>
    <x v="13"/>
    <n v="134952"/>
  </r>
  <r>
    <x v="121"/>
    <s v="MDV"/>
    <x v="14"/>
    <n v="138978"/>
  </r>
  <r>
    <x v="121"/>
    <s v="MDV"/>
    <x v="15"/>
    <n v="143158"/>
  </r>
  <r>
    <x v="121"/>
    <s v="MDV"/>
    <x v="16"/>
    <n v="147525"/>
  </r>
  <r>
    <x v="121"/>
    <s v="MDV"/>
    <x v="17"/>
    <n v="151930"/>
  </r>
  <r>
    <x v="121"/>
    <s v="MDV"/>
    <x v="18"/>
    <n v="156159"/>
  </r>
  <r>
    <x v="121"/>
    <s v="MDV"/>
    <x v="19"/>
    <n v="160360"/>
  </r>
  <r>
    <x v="121"/>
    <s v="MDV"/>
    <x v="20"/>
    <n v="164835"/>
  </r>
  <r>
    <x v="121"/>
    <s v="MDV"/>
    <x v="21"/>
    <n v="169532"/>
  </r>
  <r>
    <x v="121"/>
    <s v="MDV"/>
    <x v="22"/>
    <n v="174333"/>
  </r>
  <r>
    <x v="121"/>
    <s v="MDV"/>
    <x v="23"/>
    <n v="179128"/>
  </r>
  <r>
    <x v="121"/>
    <s v="MDV"/>
    <x v="24"/>
    <n v="184198"/>
  </r>
  <r>
    <x v="121"/>
    <s v="MDV"/>
    <x v="25"/>
    <n v="190169"/>
  </r>
  <r>
    <x v="121"/>
    <s v="MDV"/>
    <x v="26"/>
    <n v="196935"/>
  </r>
  <r>
    <x v="121"/>
    <s v="MDV"/>
    <x v="27"/>
    <n v="203944"/>
  </r>
  <r>
    <x v="121"/>
    <s v="MDV"/>
    <x v="28"/>
    <n v="210885"/>
  </r>
  <r>
    <x v="121"/>
    <s v="MDV"/>
    <x v="29"/>
    <n v="217738"/>
  </r>
  <r>
    <x v="121"/>
    <s v="MDV"/>
    <x v="30"/>
    <n v="224762"/>
  </r>
  <r>
    <x v="121"/>
    <s v="MDV"/>
    <x v="31"/>
    <n v="231802"/>
  </r>
  <r>
    <x v="121"/>
    <s v="MDV"/>
    <x v="32"/>
    <n v="238543"/>
  </r>
  <r>
    <x v="121"/>
    <s v="MDV"/>
    <x v="33"/>
    <n v="244884"/>
  </r>
  <r>
    <x v="121"/>
    <s v="MDV"/>
    <x v="34"/>
    <n v="250822"/>
  </r>
  <r>
    <x v="121"/>
    <s v="MDV"/>
    <x v="35"/>
    <n v="256649"/>
  </r>
  <r>
    <x v="121"/>
    <s v="MDV"/>
    <x v="36"/>
    <n v="262347"/>
  </r>
  <r>
    <x v="121"/>
    <s v="MDV"/>
    <x v="37"/>
    <n v="267707"/>
  </r>
  <r>
    <x v="121"/>
    <s v="MDV"/>
    <x v="38"/>
    <n v="272723"/>
  </r>
  <r>
    <x v="121"/>
    <s v="MDV"/>
    <x v="39"/>
    <n v="277412"/>
  </r>
  <r>
    <x v="121"/>
    <s v="MDV"/>
    <x v="40"/>
    <n v="282019"/>
  </r>
  <r>
    <x v="121"/>
    <s v="MDV"/>
    <x v="41"/>
    <n v="286767"/>
  </r>
  <r>
    <x v="121"/>
    <s v="MDV"/>
    <x v="42"/>
    <n v="291616"/>
  </r>
  <r>
    <x v="121"/>
    <s v="MDV"/>
    <x v="43"/>
    <n v="296491"/>
  </r>
  <r>
    <x v="121"/>
    <s v="MDV"/>
    <x v="44"/>
    <n v="301413"/>
  </r>
  <r>
    <x v="121"/>
    <s v="MDV"/>
    <x v="45"/>
    <n v="306429"/>
  </r>
  <r>
    <x v="121"/>
    <s v="MDV"/>
    <x v="46"/>
    <n v="313851"/>
  </r>
  <r>
    <x v="121"/>
    <s v="MDV"/>
    <x v="47"/>
    <n v="324479"/>
  </r>
  <r>
    <x v="121"/>
    <s v="MDV"/>
    <x v="48"/>
    <n v="336170"/>
  </r>
  <r>
    <x v="121"/>
    <s v="MDV"/>
    <x v="49"/>
    <n v="348275"/>
  </r>
  <r>
    <x v="121"/>
    <s v="MDV"/>
    <x v="50"/>
    <n v="360792"/>
  </r>
  <r>
    <x v="121"/>
    <s v="MDV"/>
    <x v="51"/>
    <n v="373674"/>
  </r>
  <r>
    <x v="121"/>
    <s v="MDV"/>
    <x v="52"/>
    <n v="386818"/>
  </r>
  <r>
    <x v="121"/>
    <s v="MDV"/>
    <x v="53"/>
    <n v="400070"/>
  </r>
  <r>
    <x v="121"/>
    <s v="MDV"/>
    <x v="54"/>
    <n v="413617"/>
  </r>
  <r>
    <x v="121"/>
    <s v="MDV"/>
    <x v="55"/>
    <n v="428154"/>
  </r>
  <r>
    <x v="121"/>
    <s v="MDV"/>
    <x v="56"/>
    <n v="443308"/>
  </r>
  <r>
    <x v="121"/>
    <s v="MDV"/>
    <x v="57"/>
    <n v="458287"/>
  </r>
  <r>
    <x v="121"/>
    <s v="MDV"/>
    <x v="58"/>
    <n v="473099"/>
  </r>
  <r>
    <x v="121"/>
    <s v="MDV"/>
    <x v="59"/>
    <n v="487731"/>
  </r>
  <r>
    <x v="121"/>
    <s v="MDV"/>
    <x v="60"/>
    <n v="502118"/>
  </r>
  <r>
    <x v="121"/>
    <s v="MDV"/>
    <x v="61"/>
    <n v="516154"/>
  </r>
  <r>
    <x v="121"/>
    <s v="MDV"/>
    <x v="62"/>
    <n v="524106"/>
  </r>
  <r>
    <x v="121"/>
    <s v="MDV"/>
    <x v="63"/>
    <n v="525994"/>
  </r>
  <r>
    <x v="121"/>
    <s v="MDV"/>
    <x v="64"/>
    <n v="527799"/>
  </r>
  <r>
    <x v="122"/>
    <s v="MLI"/>
    <x v="0"/>
    <n v="5402550"/>
  </r>
  <r>
    <x v="122"/>
    <s v="MLI"/>
    <x v="1"/>
    <n v="5482283"/>
  </r>
  <r>
    <x v="122"/>
    <s v="MLI"/>
    <x v="2"/>
    <n v="5563917"/>
  </r>
  <r>
    <x v="122"/>
    <s v="MLI"/>
    <x v="3"/>
    <n v="5646605"/>
  </r>
  <r>
    <x v="122"/>
    <s v="MLI"/>
    <x v="4"/>
    <n v="5730125"/>
  </r>
  <r>
    <x v="122"/>
    <s v="MLI"/>
    <x v="5"/>
    <n v="5815487"/>
  </r>
  <r>
    <x v="122"/>
    <s v="MLI"/>
    <x v="6"/>
    <n v="5902204"/>
  </r>
  <r>
    <x v="122"/>
    <s v="MLI"/>
    <x v="7"/>
    <n v="5990906"/>
  </r>
  <r>
    <x v="122"/>
    <s v="MLI"/>
    <x v="8"/>
    <n v="6082979"/>
  </r>
  <r>
    <x v="122"/>
    <s v="MLI"/>
    <x v="9"/>
    <n v="6177704"/>
  </r>
  <r>
    <x v="122"/>
    <s v="MLI"/>
    <x v="10"/>
    <n v="6276472"/>
  </r>
  <r>
    <x v="122"/>
    <s v="MLI"/>
    <x v="11"/>
    <n v="6377944"/>
  </r>
  <r>
    <x v="122"/>
    <s v="MLI"/>
    <x v="12"/>
    <n v="6483726"/>
  </r>
  <r>
    <x v="122"/>
    <s v="MLI"/>
    <x v="13"/>
    <n v="6597106"/>
  </r>
  <r>
    <x v="122"/>
    <s v="MLI"/>
    <x v="14"/>
    <n v="6715436"/>
  </r>
  <r>
    <x v="122"/>
    <s v="MLI"/>
    <x v="15"/>
    <n v="6837261"/>
  </r>
  <r>
    <x v="122"/>
    <s v="MLI"/>
    <x v="16"/>
    <n v="6960979"/>
  </r>
  <r>
    <x v="122"/>
    <s v="MLI"/>
    <x v="17"/>
    <n v="7090979"/>
  </r>
  <r>
    <x v="122"/>
    <s v="MLI"/>
    <x v="18"/>
    <n v="7229651"/>
  </r>
  <r>
    <x v="122"/>
    <s v="MLI"/>
    <x v="19"/>
    <n v="7375266"/>
  </r>
  <r>
    <x v="122"/>
    <s v="MLI"/>
    <x v="20"/>
    <n v="7530515"/>
  </r>
  <r>
    <x v="122"/>
    <s v="MLI"/>
    <x v="21"/>
    <n v="7692766"/>
  </r>
  <r>
    <x v="122"/>
    <s v="MLI"/>
    <x v="22"/>
    <n v="7860194"/>
  </r>
  <r>
    <x v="122"/>
    <s v="MLI"/>
    <x v="23"/>
    <n v="8034400"/>
  </r>
  <r>
    <x v="122"/>
    <s v="MLI"/>
    <x v="24"/>
    <n v="8208599"/>
  </r>
  <r>
    <x v="122"/>
    <s v="MLI"/>
    <x v="25"/>
    <n v="8374663"/>
  </r>
  <r>
    <x v="122"/>
    <s v="MLI"/>
    <x v="26"/>
    <n v="8531277"/>
  </r>
  <r>
    <x v="122"/>
    <s v="MLI"/>
    <x v="27"/>
    <n v="8681164"/>
  </r>
  <r>
    <x v="122"/>
    <s v="MLI"/>
    <x v="28"/>
    <n v="8833996"/>
  </r>
  <r>
    <x v="122"/>
    <s v="MLI"/>
    <x v="29"/>
    <n v="8999938"/>
  </r>
  <r>
    <x v="122"/>
    <s v="MLI"/>
    <x v="30"/>
    <n v="9178830"/>
  </r>
  <r>
    <x v="122"/>
    <s v="MLI"/>
    <x v="31"/>
    <n v="9362888"/>
  </r>
  <r>
    <x v="122"/>
    <s v="MLI"/>
    <x v="32"/>
    <n v="9553540"/>
  </r>
  <r>
    <x v="122"/>
    <s v="MLI"/>
    <x v="33"/>
    <n v="9754786"/>
  </r>
  <r>
    <x v="122"/>
    <s v="MLI"/>
    <x v="34"/>
    <n v="9967031"/>
  </r>
  <r>
    <x v="122"/>
    <s v="MLI"/>
    <x v="35"/>
    <n v="10185365"/>
  </r>
  <r>
    <x v="122"/>
    <s v="MLI"/>
    <x v="36"/>
    <n v="10407278"/>
  </r>
  <r>
    <x v="122"/>
    <s v="MLI"/>
    <x v="37"/>
    <n v="10646495"/>
  </r>
  <r>
    <x v="122"/>
    <s v="MLI"/>
    <x v="38"/>
    <n v="10919573"/>
  </r>
  <r>
    <x v="122"/>
    <s v="MLI"/>
    <x v="39"/>
    <n v="11227415"/>
  </r>
  <r>
    <x v="122"/>
    <s v="MLI"/>
    <x v="40"/>
    <n v="11559290"/>
  </r>
  <r>
    <x v="122"/>
    <s v="MLI"/>
    <x v="41"/>
    <n v="11912158"/>
  </r>
  <r>
    <x v="122"/>
    <s v="MLI"/>
    <x v="42"/>
    <n v="12288050"/>
  </r>
  <r>
    <x v="122"/>
    <s v="MLI"/>
    <x v="43"/>
    <n v="12684955"/>
  </r>
  <r>
    <x v="122"/>
    <s v="MLI"/>
    <x v="44"/>
    <n v="13102409"/>
  </r>
  <r>
    <x v="122"/>
    <s v="MLI"/>
    <x v="45"/>
    <n v="13538647"/>
  </r>
  <r>
    <x v="122"/>
    <s v="MLI"/>
    <x v="46"/>
    <n v="13990139"/>
  </r>
  <r>
    <x v="122"/>
    <s v="MLI"/>
    <x v="47"/>
    <n v="14457775"/>
  </r>
  <r>
    <x v="122"/>
    <s v="MLI"/>
    <x v="48"/>
    <n v="14940782"/>
  </r>
  <r>
    <x v="122"/>
    <s v="MLI"/>
    <x v="49"/>
    <n v="15435539"/>
  </r>
  <r>
    <x v="122"/>
    <s v="MLI"/>
    <x v="50"/>
    <n v="15945198"/>
  </r>
  <r>
    <x v="122"/>
    <s v="MLI"/>
    <x v="51"/>
    <n v="16469049"/>
  </r>
  <r>
    <x v="122"/>
    <s v="MLI"/>
    <x v="52"/>
    <n v="16957033"/>
  </r>
  <r>
    <x v="122"/>
    <s v="MLI"/>
    <x v="53"/>
    <n v="17459615"/>
  </r>
  <r>
    <x v="122"/>
    <s v="MLI"/>
    <x v="54"/>
    <n v="18020267"/>
  </r>
  <r>
    <x v="122"/>
    <s v="MLI"/>
    <x v="55"/>
    <n v="18593022"/>
  </r>
  <r>
    <x v="122"/>
    <s v="MLI"/>
    <x v="56"/>
    <n v="19191289"/>
  </r>
  <r>
    <x v="122"/>
    <s v="MLI"/>
    <x v="57"/>
    <n v="19813011"/>
  </r>
  <r>
    <x v="122"/>
    <s v="MLI"/>
    <x v="58"/>
    <n v="20442030"/>
  </r>
  <r>
    <x v="122"/>
    <s v="MLI"/>
    <x v="59"/>
    <n v="21068405"/>
  </r>
  <r>
    <x v="122"/>
    <s v="MLI"/>
    <x v="60"/>
    <n v="21713836"/>
  </r>
  <r>
    <x v="122"/>
    <s v="MLI"/>
    <x v="61"/>
    <n v="22388630"/>
  </r>
  <r>
    <x v="122"/>
    <s v="MLI"/>
    <x v="62"/>
    <n v="23072640"/>
  </r>
  <r>
    <x v="122"/>
    <s v="MLI"/>
    <x v="63"/>
    <n v="23769127"/>
  </r>
  <r>
    <x v="122"/>
    <s v="MLI"/>
    <x v="64"/>
    <n v="24478595"/>
  </r>
  <r>
    <x v="123"/>
    <s v="MLT"/>
    <x v="0"/>
    <n v="326550"/>
  </r>
  <r>
    <x v="123"/>
    <s v="MLT"/>
    <x v="1"/>
    <n v="325250"/>
  </r>
  <r>
    <x v="123"/>
    <s v="MLT"/>
    <x v="2"/>
    <n v="323900"/>
  </r>
  <r>
    <x v="123"/>
    <s v="MLT"/>
    <x v="3"/>
    <n v="322550"/>
  </r>
  <r>
    <x v="123"/>
    <s v="MLT"/>
    <x v="4"/>
    <n v="321250"/>
  </r>
  <r>
    <x v="123"/>
    <s v="MLT"/>
    <x v="5"/>
    <n v="318800"/>
  </r>
  <r>
    <x v="123"/>
    <s v="MLT"/>
    <x v="6"/>
    <n v="315200"/>
  </r>
  <r>
    <x v="123"/>
    <s v="MLT"/>
    <x v="7"/>
    <n v="311550"/>
  </r>
  <r>
    <x v="123"/>
    <s v="MLT"/>
    <x v="8"/>
    <n v="307900"/>
  </r>
  <r>
    <x v="123"/>
    <s v="MLT"/>
    <x v="9"/>
    <n v="304300"/>
  </r>
  <r>
    <x v="123"/>
    <s v="MLT"/>
    <x v="10"/>
    <n v="302650"/>
  </r>
  <r>
    <x v="123"/>
    <s v="MLT"/>
    <x v="11"/>
    <n v="302700"/>
  </r>
  <r>
    <x v="123"/>
    <s v="MLT"/>
    <x v="12"/>
    <n v="302450"/>
  </r>
  <r>
    <x v="123"/>
    <s v="MLT"/>
    <x v="13"/>
    <n v="302200"/>
  </r>
  <r>
    <x v="123"/>
    <s v="MLT"/>
    <x v="14"/>
    <n v="301996"/>
  </r>
  <r>
    <x v="123"/>
    <s v="MLT"/>
    <x v="15"/>
    <n v="304222"/>
  </r>
  <r>
    <x v="123"/>
    <s v="MLT"/>
    <x v="16"/>
    <n v="305774"/>
  </r>
  <r>
    <x v="123"/>
    <s v="MLT"/>
    <x v="17"/>
    <n v="306970"/>
  </r>
  <r>
    <x v="123"/>
    <s v="MLT"/>
    <x v="18"/>
    <n v="310182"/>
  </r>
  <r>
    <x v="123"/>
    <s v="MLT"/>
    <x v="19"/>
    <n v="313342"/>
  </r>
  <r>
    <x v="123"/>
    <s v="MLT"/>
    <x v="20"/>
    <n v="316645"/>
  </r>
  <r>
    <x v="123"/>
    <s v="MLT"/>
    <x v="21"/>
    <n v="318982"/>
  </r>
  <r>
    <x v="123"/>
    <s v="MLT"/>
    <x v="22"/>
    <n v="325898"/>
  </r>
  <r>
    <x v="123"/>
    <s v="MLT"/>
    <x v="23"/>
    <n v="330524"/>
  </r>
  <r>
    <x v="123"/>
    <s v="MLT"/>
    <x v="24"/>
    <n v="330593"/>
  </r>
  <r>
    <x v="123"/>
    <s v="MLT"/>
    <x v="25"/>
    <n v="336452"/>
  </r>
  <r>
    <x v="123"/>
    <s v="MLT"/>
    <x v="26"/>
    <n v="342121"/>
  </r>
  <r>
    <x v="123"/>
    <s v="MLT"/>
    <x v="27"/>
    <n v="344485"/>
  </r>
  <r>
    <x v="123"/>
    <s v="MLT"/>
    <x v="28"/>
    <n v="347325"/>
  </r>
  <r>
    <x v="123"/>
    <s v="MLT"/>
    <x v="29"/>
    <n v="350722"/>
  </r>
  <r>
    <x v="123"/>
    <s v="MLT"/>
    <x v="30"/>
    <n v="354170"/>
  </r>
  <r>
    <x v="123"/>
    <s v="MLT"/>
    <x v="31"/>
    <n v="363845"/>
  </r>
  <r>
    <x v="123"/>
    <s v="MLT"/>
    <x v="32"/>
    <n v="367618"/>
  </r>
  <r>
    <x v="123"/>
    <s v="MLT"/>
    <x v="33"/>
    <n v="371308"/>
  </r>
  <r>
    <x v="123"/>
    <s v="MLT"/>
    <x v="34"/>
    <n v="374797"/>
  </r>
  <r>
    <x v="123"/>
    <s v="MLT"/>
    <x v="35"/>
    <n v="377419"/>
  </r>
  <r>
    <x v="123"/>
    <s v="MLT"/>
    <x v="36"/>
    <n v="379905"/>
  </r>
  <r>
    <x v="123"/>
    <s v="MLT"/>
    <x v="37"/>
    <n v="382791"/>
  </r>
  <r>
    <x v="123"/>
    <s v="MLT"/>
    <x v="38"/>
    <n v="385287"/>
  </r>
  <r>
    <x v="123"/>
    <s v="MLT"/>
    <x v="39"/>
    <n v="387578"/>
  </r>
  <r>
    <x v="123"/>
    <s v="MLT"/>
    <x v="40"/>
    <n v="390087"/>
  </r>
  <r>
    <x v="123"/>
    <s v="MLT"/>
    <x v="41"/>
    <n v="393028"/>
  </r>
  <r>
    <x v="123"/>
    <s v="MLT"/>
    <x v="42"/>
    <n v="395969"/>
  </r>
  <r>
    <x v="123"/>
    <s v="MLT"/>
    <x v="43"/>
    <n v="398582"/>
  </r>
  <r>
    <x v="123"/>
    <s v="MLT"/>
    <x v="44"/>
    <n v="401268"/>
  </r>
  <r>
    <x v="123"/>
    <s v="MLT"/>
    <x v="45"/>
    <n v="403834"/>
  </r>
  <r>
    <x v="123"/>
    <s v="MLT"/>
    <x v="46"/>
    <n v="405308"/>
  </r>
  <r>
    <x v="123"/>
    <s v="MLT"/>
    <x v="47"/>
    <n v="406724"/>
  </r>
  <r>
    <x v="123"/>
    <s v="MLT"/>
    <x v="48"/>
    <n v="409379"/>
  </r>
  <r>
    <x v="123"/>
    <s v="MLT"/>
    <x v="49"/>
    <n v="412477"/>
  </r>
  <r>
    <x v="123"/>
    <s v="MLT"/>
    <x v="50"/>
    <n v="414508"/>
  </r>
  <r>
    <x v="123"/>
    <s v="MLT"/>
    <x v="51"/>
    <n v="416268"/>
  </r>
  <r>
    <x v="123"/>
    <s v="MLT"/>
    <x v="52"/>
    <n v="420028"/>
  </r>
  <r>
    <x v="123"/>
    <s v="MLT"/>
    <x v="53"/>
    <n v="424810"/>
  </r>
  <r>
    <x v="123"/>
    <s v="MLT"/>
    <x v="54"/>
    <n v="433481"/>
  </r>
  <r>
    <x v="123"/>
    <s v="MLT"/>
    <x v="55"/>
    <n v="444220"/>
  </r>
  <r>
    <x v="123"/>
    <s v="MLT"/>
    <x v="56"/>
    <n v="454505"/>
  </r>
  <r>
    <x v="123"/>
    <s v="MLT"/>
    <x v="57"/>
    <n v="467106"/>
  </r>
  <r>
    <x v="123"/>
    <s v="MLT"/>
    <x v="58"/>
    <n v="483903"/>
  </r>
  <r>
    <x v="123"/>
    <s v="MLT"/>
    <x v="59"/>
    <n v="503912"/>
  </r>
  <r>
    <x v="123"/>
    <s v="MLT"/>
    <x v="60"/>
    <n v="515490"/>
  </r>
  <r>
    <x v="123"/>
    <s v="MLT"/>
    <x v="61"/>
    <n v="518150"/>
  </r>
  <r>
    <x v="123"/>
    <s v="MLT"/>
    <x v="62"/>
    <n v="531113"/>
  </r>
  <r>
    <x v="123"/>
    <s v="MLT"/>
    <x v="63"/>
    <n v="552747"/>
  </r>
  <r>
    <x v="123"/>
    <s v="MLT"/>
    <x v="64"/>
    <n v="574346"/>
  </r>
  <r>
    <x v="124"/>
    <s v="MHL"/>
    <x v="0"/>
    <n v="14703"/>
  </r>
  <r>
    <x v="124"/>
    <s v="MHL"/>
    <x v="1"/>
    <n v="15219"/>
  </r>
  <r>
    <x v="124"/>
    <s v="MHL"/>
    <x v="2"/>
    <n v="15755"/>
  </r>
  <r>
    <x v="124"/>
    <s v="MHL"/>
    <x v="3"/>
    <n v="16302"/>
  </r>
  <r>
    <x v="124"/>
    <s v="MHL"/>
    <x v="4"/>
    <n v="16852"/>
  </r>
  <r>
    <x v="124"/>
    <s v="MHL"/>
    <x v="5"/>
    <n v="17402"/>
  </r>
  <r>
    <x v="124"/>
    <s v="MHL"/>
    <x v="6"/>
    <n v="17927"/>
  </r>
  <r>
    <x v="124"/>
    <s v="MHL"/>
    <x v="7"/>
    <n v="18655"/>
  </r>
  <r>
    <x v="124"/>
    <s v="MHL"/>
    <x v="8"/>
    <n v="19862"/>
  </r>
  <r>
    <x v="124"/>
    <s v="MHL"/>
    <x v="9"/>
    <n v="21305"/>
  </r>
  <r>
    <x v="124"/>
    <s v="MHL"/>
    <x v="10"/>
    <n v="22530"/>
  </r>
  <r>
    <x v="124"/>
    <s v="MHL"/>
    <x v="11"/>
    <n v="23366"/>
  </r>
  <r>
    <x v="124"/>
    <s v="MHL"/>
    <x v="12"/>
    <n v="23992"/>
  </r>
  <r>
    <x v="124"/>
    <s v="MHL"/>
    <x v="13"/>
    <n v="24581"/>
  </r>
  <r>
    <x v="124"/>
    <s v="MHL"/>
    <x v="14"/>
    <n v="25296"/>
  </r>
  <r>
    <x v="124"/>
    <s v="MHL"/>
    <x v="15"/>
    <n v="26154"/>
  </r>
  <r>
    <x v="124"/>
    <s v="MHL"/>
    <x v="16"/>
    <n v="27021"/>
  </r>
  <r>
    <x v="124"/>
    <s v="MHL"/>
    <x v="17"/>
    <n v="27906"/>
  </r>
  <r>
    <x v="124"/>
    <s v="MHL"/>
    <x v="18"/>
    <n v="28809"/>
  </r>
  <r>
    <x v="124"/>
    <s v="MHL"/>
    <x v="19"/>
    <n v="29738"/>
  </r>
  <r>
    <x v="124"/>
    <s v="MHL"/>
    <x v="20"/>
    <n v="30774"/>
  </r>
  <r>
    <x v="124"/>
    <s v="MHL"/>
    <x v="21"/>
    <n v="32017"/>
  </r>
  <r>
    <x v="124"/>
    <s v="MHL"/>
    <x v="22"/>
    <n v="33397"/>
  </r>
  <r>
    <x v="124"/>
    <s v="MHL"/>
    <x v="23"/>
    <n v="34811"/>
  </r>
  <r>
    <x v="124"/>
    <s v="MHL"/>
    <x v="24"/>
    <n v="36264"/>
  </r>
  <r>
    <x v="124"/>
    <s v="MHL"/>
    <x v="25"/>
    <n v="37761"/>
  </r>
  <r>
    <x v="124"/>
    <s v="MHL"/>
    <x v="26"/>
    <n v="39286"/>
  </r>
  <r>
    <x v="124"/>
    <s v="MHL"/>
    <x v="27"/>
    <n v="40828"/>
  </r>
  <r>
    <x v="124"/>
    <s v="MHL"/>
    <x v="28"/>
    <n v="42321"/>
  </r>
  <r>
    <x v="124"/>
    <s v="MHL"/>
    <x v="29"/>
    <n v="43586"/>
  </r>
  <r>
    <x v="124"/>
    <s v="MHL"/>
    <x v="30"/>
    <n v="44629"/>
  </r>
  <r>
    <x v="124"/>
    <s v="MHL"/>
    <x v="31"/>
    <n v="45568"/>
  </r>
  <r>
    <x v="124"/>
    <s v="MHL"/>
    <x v="32"/>
    <n v="46388"/>
  </r>
  <r>
    <x v="124"/>
    <s v="MHL"/>
    <x v="33"/>
    <n v="47093"/>
  </r>
  <r>
    <x v="124"/>
    <s v="MHL"/>
    <x v="34"/>
    <n v="47712"/>
  </r>
  <r>
    <x v="124"/>
    <s v="MHL"/>
    <x v="35"/>
    <n v="48266"/>
  </r>
  <r>
    <x v="124"/>
    <s v="MHL"/>
    <x v="36"/>
    <n v="48775"/>
  </r>
  <r>
    <x v="124"/>
    <s v="MHL"/>
    <x v="37"/>
    <n v="49259"/>
  </r>
  <r>
    <x v="124"/>
    <s v="MHL"/>
    <x v="38"/>
    <n v="49717"/>
  </r>
  <r>
    <x v="124"/>
    <s v="MHL"/>
    <x v="39"/>
    <n v="50202"/>
  </r>
  <r>
    <x v="124"/>
    <s v="MHL"/>
    <x v="40"/>
    <n v="50706"/>
  </r>
  <r>
    <x v="124"/>
    <s v="MHL"/>
    <x v="41"/>
    <n v="51123"/>
  </r>
  <r>
    <x v="124"/>
    <s v="MHL"/>
    <x v="42"/>
    <n v="51425"/>
  </r>
  <r>
    <x v="124"/>
    <s v="MHL"/>
    <x v="43"/>
    <n v="51639"/>
  </r>
  <r>
    <x v="124"/>
    <s v="MHL"/>
    <x v="44"/>
    <n v="51791"/>
  </r>
  <r>
    <x v="124"/>
    <s v="MHL"/>
    <x v="45"/>
    <n v="51906"/>
  </r>
  <r>
    <x v="124"/>
    <s v="MHL"/>
    <x v="46"/>
    <n v="51992"/>
  </r>
  <r>
    <x v="124"/>
    <s v="MHL"/>
    <x v="47"/>
    <n v="52035"/>
  </r>
  <r>
    <x v="124"/>
    <s v="MHL"/>
    <x v="48"/>
    <n v="52030"/>
  </r>
  <r>
    <x v="124"/>
    <s v="MHL"/>
    <x v="49"/>
    <n v="52019"/>
  </r>
  <r>
    <x v="124"/>
    <s v="MHL"/>
    <x v="50"/>
    <n v="52044"/>
  </r>
  <r>
    <x v="124"/>
    <s v="MHL"/>
    <x v="51"/>
    <n v="51907"/>
  </r>
  <r>
    <x v="124"/>
    <s v="MHL"/>
    <x v="52"/>
    <n v="51419"/>
  </r>
  <r>
    <x v="124"/>
    <s v="MHL"/>
    <x v="53"/>
    <n v="50681"/>
  </r>
  <r>
    <x v="124"/>
    <s v="MHL"/>
    <x v="54"/>
    <n v="49796"/>
  </r>
  <r>
    <x v="124"/>
    <s v="MHL"/>
    <x v="55"/>
    <n v="48800"/>
  </r>
  <r>
    <x v="124"/>
    <s v="MHL"/>
    <x v="56"/>
    <n v="47709"/>
  </r>
  <r>
    <x v="124"/>
    <s v="MHL"/>
    <x v="57"/>
    <n v="46529"/>
  </r>
  <r>
    <x v="124"/>
    <s v="MHL"/>
    <x v="58"/>
    <n v="45285"/>
  </r>
  <r>
    <x v="124"/>
    <s v="MHL"/>
    <x v="59"/>
    <n v="44007"/>
  </r>
  <r>
    <x v="124"/>
    <s v="MHL"/>
    <x v="60"/>
    <n v="42706"/>
  </r>
  <r>
    <x v="124"/>
    <s v="MHL"/>
    <x v="61"/>
    <n v="41367"/>
  </r>
  <r>
    <x v="124"/>
    <s v="MHL"/>
    <x v="62"/>
    <n v="40077"/>
  </r>
  <r>
    <x v="124"/>
    <s v="MHL"/>
    <x v="63"/>
    <n v="38827"/>
  </r>
  <r>
    <x v="124"/>
    <s v="MHL"/>
    <x v="64"/>
    <n v="37548"/>
  </r>
  <r>
    <x v="125"/>
    <s v="MRT"/>
    <x v="0"/>
    <n v="824298"/>
  </r>
  <r>
    <x v="125"/>
    <s v="MRT"/>
    <x v="1"/>
    <n v="846167"/>
  </r>
  <r>
    <x v="125"/>
    <s v="MRT"/>
    <x v="2"/>
    <n v="869184"/>
  </r>
  <r>
    <x v="125"/>
    <s v="MRT"/>
    <x v="3"/>
    <n v="893423"/>
  </r>
  <r>
    <x v="125"/>
    <s v="MRT"/>
    <x v="4"/>
    <n v="918955"/>
  </r>
  <r>
    <x v="125"/>
    <s v="MRT"/>
    <x v="5"/>
    <n v="945838"/>
  </r>
  <r>
    <x v="125"/>
    <s v="MRT"/>
    <x v="6"/>
    <n v="974157"/>
  </r>
  <r>
    <x v="125"/>
    <s v="MRT"/>
    <x v="7"/>
    <n v="1003843"/>
  </r>
  <r>
    <x v="125"/>
    <s v="MRT"/>
    <x v="8"/>
    <n v="1034739"/>
  </r>
  <r>
    <x v="125"/>
    <s v="MRT"/>
    <x v="9"/>
    <n v="1066754"/>
  </r>
  <r>
    <x v="125"/>
    <s v="MRT"/>
    <x v="10"/>
    <n v="1099806"/>
  </r>
  <r>
    <x v="125"/>
    <s v="MRT"/>
    <x v="11"/>
    <n v="1133702"/>
  </r>
  <r>
    <x v="125"/>
    <s v="MRT"/>
    <x v="12"/>
    <n v="1168355"/>
  </r>
  <r>
    <x v="125"/>
    <s v="MRT"/>
    <x v="13"/>
    <n v="1203838"/>
  </r>
  <r>
    <x v="125"/>
    <s v="MRT"/>
    <x v="14"/>
    <n v="1240188"/>
  </r>
  <r>
    <x v="125"/>
    <s v="MRT"/>
    <x v="15"/>
    <n v="1277330"/>
  </r>
  <r>
    <x v="125"/>
    <s v="MRT"/>
    <x v="16"/>
    <n v="1315336"/>
  </r>
  <r>
    <x v="125"/>
    <s v="MRT"/>
    <x v="17"/>
    <n v="1353768"/>
  </r>
  <r>
    <x v="125"/>
    <s v="MRT"/>
    <x v="18"/>
    <n v="1392713"/>
  </r>
  <r>
    <x v="125"/>
    <s v="MRT"/>
    <x v="19"/>
    <n v="1432758"/>
  </r>
  <r>
    <x v="125"/>
    <s v="MRT"/>
    <x v="20"/>
    <n v="1474043"/>
  </r>
  <r>
    <x v="125"/>
    <s v="MRT"/>
    <x v="21"/>
    <n v="1516877"/>
  </r>
  <r>
    <x v="125"/>
    <s v="MRT"/>
    <x v="22"/>
    <n v="1561176"/>
  </r>
  <r>
    <x v="125"/>
    <s v="MRT"/>
    <x v="23"/>
    <n v="1606746"/>
  </r>
  <r>
    <x v="125"/>
    <s v="MRT"/>
    <x v="24"/>
    <n v="1653693"/>
  </r>
  <r>
    <x v="125"/>
    <s v="MRT"/>
    <x v="25"/>
    <n v="1702107"/>
  </r>
  <r>
    <x v="125"/>
    <s v="MRT"/>
    <x v="26"/>
    <n v="1751835"/>
  </r>
  <r>
    <x v="125"/>
    <s v="MRT"/>
    <x v="27"/>
    <n v="1803014"/>
  </r>
  <r>
    <x v="125"/>
    <s v="MRT"/>
    <x v="28"/>
    <n v="1855859"/>
  </r>
  <r>
    <x v="125"/>
    <s v="MRT"/>
    <x v="29"/>
    <n v="1903048"/>
  </r>
  <r>
    <x v="125"/>
    <s v="MRT"/>
    <x v="30"/>
    <n v="1951878"/>
  </r>
  <r>
    <x v="125"/>
    <s v="MRT"/>
    <x v="31"/>
    <n v="2009738"/>
  </r>
  <r>
    <x v="125"/>
    <s v="MRT"/>
    <x v="32"/>
    <n v="2088135"/>
  </r>
  <r>
    <x v="125"/>
    <s v="MRT"/>
    <x v="33"/>
    <n v="2174328"/>
  </r>
  <r>
    <x v="125"/>
    <s v="MRT"/>
    <x v="34"/>
    <n v="2249454"/>
  </r>
  <r>
    <x v="125"/>
    <s v="MRT"/>
    <x v="35"/>
    <n v="2312017"/>
  </r>
  <r>
    <x v="125"/>
    <s v="MRT"/>
    <x v="36"/>
    <n v="2358188"/>
  </r>
  <r>
    <x v="125"/>
    <s v="MRT"/>
    <x v="37"/>
    <n v="2411306"/>
  </r>
  <r>
    <x v="125"/>
    <s v="MRT"/>
    <x v="38"/>
    <n v="2474651"/>
  </r>
  <r>
    <x v="125"/>
    <s v="MRT"/>
    <x v="39"/>
    <n v="2541698"/>
  </r>
  <r>
    <x v="125"/>
    <s v="MRT"/>
    <x v="40"/>
    <n v="2613441"/>
  </r>
  <r>
    <x v="125"/>
    <s v="MRT"/>
    <x v="41"/>
    <n v="2678760"/>
  </r>
  <r>
    <x v="125"/>
    <s v="MRT"/>
    <x v="42"/>
    <n v="2738655"/>
  </r>
  <r>
    <x v="125"/>
    <s v="MRT"/>
    <x v="43"/>
    <n v="2802046"/>
  </r>
  <r>
    <x v="125"/>
    <s v="MRT"/>
    <x v="44"/>
    <n v="2868664"/>
  </r>
  <r>
    <x v="125"/>
    <s v="MRT"/>
    <x v="45"/>
    <n v="2939059"/>
  </r>
  <r>
    <x v="125"/>
    <s v="MRT"/>
    <x v="46"/>
    <n v="3013660"/>
  </r>
  <r>
    <x v="125"/>
    <s v="MRT"/>
    <x v="47"/>
    <n v="3093059"/>
  </r>
  <r>
    <x v="125"/>
    <s v="MRT"/>
    <x v="48"/>
    <n v="3183269"/>
  </r>
  <r>
    <x v="125"/>
    <s v="MRT"/>
    <x v="49"/>
    <n v="3284448"/>
  </r>
  <r>
    <x v="125"/>
    <s v="MRT"/>
    <x v="50"/>
    <n v="3390965"/>
  </r>
  <r>
    <x v="125"/>
    <s v="MRT"/>
    <x v="51"/>
    <n v="3502811"/>
  </r>
  <r>
    <x v="125"/>
    <s v="MRT"/>
    <x v="52"/>
    <n v="3619034"/>
  </r>
  <r>
    <x v="125"/>
    <s v="MRT"/>
    <x v="53"/>
    <n v="3734318"/>
  </r>
  <r>
    <x v="125"/>
    <s v="MRT"/>
    <x v="54"/>
    <n v="3848514"/>
  </r>
  <r>
    <x v="125"/>
    <s v="MRT"/>
    <x v="55"/>
    <n v="3965959"/>
  </r>
  <r>
    <x v="125"/>
    <s v="MRT"/>
    <x v="56"/>
    <n v="4086657"/>
  </r>
  <r>
    <x v="125"/>
    <s v="MRT"/>
    <x v="57"/>
    <n v="4210600"/>
  </r>
  <r>
    <x v="125"/>
    <s v="MRT"/>
    <x v="58"/>
    <n v="4337685"/>
  </r>
  <r>
    <x v="125"/>
    <s v="MRT"/>
    <x v="59"/>
    <n v="4467708"/>
  </r>
  <r>
    <x v="125"/>
    <s v="MRT"/>
    <x v="60"/>
    <n v="4600131"/>
  </r>
  <r>
    <x v="125"/>
    <s v="MRT"/>
    <x v="61"/>
    <n v="4734874"/>
  </r>
  <r>
    <x v="125"/>
    <s v="MRT"/>
    <x v="62"/>
    <n v="4875637"/>
  </r>
  <r>
    <x v="125"/>
    <s v="MRT"/>
    <x v="63"/>
    <n v="5022441"/>
  </r>
  <r>
    <x v="125"/>
    <s v="MRT"/>
    <x v="64"/>
    <n v="5169395"/>
  </r>
  <r>
    <x v="126"/>
    <s v="MUS"/>
    <x v="0"/>
    <n v="680331"/>
  </r>
  <r>
    <x v="126"/>
    <s v="MUS"/>
    <x v="1"/>
    <n v="680757"/>
  </r>
  <r>
    <x v="126"/>
    <s v="MUS"/>
    <x v="2"/>
    <n v="700349"/>
  </r>
  <r>
    <x v="126"/>
    <s v="MUS"/>
    <x v="3"/>
    <n v="718861"/>
  </r>
  <r>
    <x v="126"/>
    <s v="MUS"/>
    <x v="4"/>
    <n v="736381"/>
  </r>
  <r>
    <x v="126"/>
    <s v="MUS"/>
    <x v="5"/>
    <n v="753000"/>
  </r>
  <r>
    <x v="126"/>
    <s v="MUS"/>
    <x v="6"/>
    <n v="768813"/>
  </r>
  <r>
    <x v="126"/>
    <s v="MUS"/>
    <x v="7"/>
    <n v="783917"/>
  </r>
  <r>
    <x v="126"/>
    <s v="MUS"/>
    <x v="8"/>
    <n v="798413"/>
  </r>
  <r>
    <x v="126"/>
    <s v="MUS"/>
    <x v="9"/>
    <n v="812405"/>
  </r>
  <r>
    <x v="126"/>
    <s v="MUS"/>
    <x v="10"/>
    <n v="826000"/>
  </r>
  <r>
    <x v="126"/>
    <s v="MUS"/>
    <x v="11"/>
    <n v="839230"/>
  </r>
  <r>
    <x v="126"/>
    <s v="MUS"/>
    <x v="12"/>
    <n v="852053"/>
  </r>
  <r>
    <x v="126"/>
    <s v="MUS"/>
    <x v="13"/>
    <n v="864819"/>
  </r>
  <r>
    <x v="126"/>
    <s v="MUS"/>
    <x v="14"/>
    <n v="878042"/>
  </r>
  <r>
    <x v="126"/>
    <s v="MUS"/>
    <x v="15"/>
    <n v="892000"/>
  </r>
  <r>
    <x v="126"/>
    <s v="MUS"/>
    <x v="16"/>
    <n v="906507"/>
  </r>
  <r>
    <x v="126"/>
    <s v="MUS"/>
    <x v="17"/>
    <n v="921379"/>
  </r>
  <r>
    <x v="126"/>
    <s v="MUS"/>
    <x v="18"/>
    <n v="933499"/>
  </r>
  <r>
    <x v="126"/>
    <s v="MUS"/>
    <x v="19"/>
    <n v="949888"/>
  </r>
  <r>
    <x v="126"/>
    <s v="MUS"/>
    <x v="20"/>
    <n v="966039"/>
  </r>
  <r>
    <x v="126"/>
    <s v="MUS"/>
    <x v="21"/>
    <n v="980462"/>
  </r>
  <r>
    <x v="126"/>
    <s v="MUS"/>
    <x v="22"/>
    <n v="992521"/>
  </r>
  <r>
    <x v="126"/>
    <s v="MUS"/>
    <x v="23"/>
    <n v="1001691"/>
  </r>
  <r>
    <x v="126"/>
    <s v="MUS"/>
    <x v="24"/>
    <n v="1012221"/>
  </r>
  <r>
    <x v="126"/>
    <s v="MUS"/>
    <x v="25"/>
    <n v="1020528"/>
  </r>
  <r>
    <x v="126"/>
    <s v="MUS"/>
    <x v="26"/>
    <n v="1028360"/>
  </r>
  <r>
    <x v="126"/>
    <s v="MUS"/>
    <x v="27"/>
    <n v="1036082"/>
  </r>
  <r>
    <x v="126"/>
    <s v="MUS"/>
    <x v="28"/>
    <n v="1043239"/>
  </r>
  <r>
    <x v="126"/>
    <s v="MUS"/>
    <x v="29"/>
    <n v="1051260"/>
  </r>
  <r>
    <x v="126"/>
    <s v="MUS"/>
    <x v="30"/>
    <n v="1058775"/>
  </r>
  <r>
    <x v="126"/>
    <s v="MUS"/>
    <x v="31"/>
    <n v="1070266"/>
  </r>
  <r>
    <x v="126"/>
    <s v="MUS"/>
    <x v="32"/>
    <n v="1084441"/>
  </r>
  <r>
    <x v="126"/>
    <s v="MUS"/>
    <x v="33"/>
    <n v="1097374"/>
  </r>
  <r>
    <x v="126"/>
    <s v="MUS"/>
    <x v="34"/>
    <n v="1112846"/>
  </r>
  <r>
    <x v="126"/>
    <s v="MUS"/>
    <x v="35"/>
    <n v="1122457"/>
  </r>
  <r>
    <x v="126"/>
    <s v="MUS"/>
    <x v="36"/>
    <n v="1133996"/>
  </r>
  <r>
    <x v="126"/>
    <s v="MUS"/>
    <x v="37"/>
    <n v="1148284"/>
  </r>
  <r>
    <x v="126"/>
    <s v="MUS"/>
    <x v="38"/>
    <n v="1160421"/>
  </r>
  <r>
    <x v="126"/>
    <s v="MUS"/>
    <x v="39"/>
    <n v="1175267"/>
  </r>
  <r>
    <x v="126"/>
    <s v="MUS"/>
    <x v="40"/>
    <n v="1186873"/>
  </r>
  <r>
    <x v="126"/>
    <s v="MUS"/>
    <x v="41"/>
    <n v="1196287"/>
  </r>
  <r>
    <x v="126"/>
    <s v="MUS"/>
    <x v="42"/>
    <n v="1204621"/>
  </r>
  <r>
    <x v="126"/>
    <s v="MUS"/>
    <x v="43"/>
    <n v="1213370"/>
  </r>
  <r>
    <x v="126"/>
    <s v="MUS"/>
    <x v="44"/>
    <n v="1221003"/>
  </r>
  <r>
    <x v="126"/>
    <s v="MUS"/>
    <x v="45"/>
    <n v="1228254"/>
  </r>
  <r>
    <x v="126"/>
    <s v="MUS"/>
    <x v="46"/>
    <n v="1233996"/>
  </r>
  <r>
    <x v="126"/>
    <s v="MUS"/>
    <x v="47"/>
    <n v="1239630"/>
  </r>
  <r>
    <x v="126"/>
    <s v="MUS"/>
    <x v="48"/>
    <n v="1244121"/>
  </r>
  <r>
    <x v="126"/>
    <s v="MUS"/>
    <x v="49"/>
    <n v="1247429"/>
  </r>
  <r>
    <x v="126"/>
    <s v="MUS"/>
    <x v="50"/>
    <n v="1250400"/>
  </r>
  <r>
    <x v="126"/>
    <s v="MUS"/>
    <x v="51"/>
    <n v="1252404"/>
  </r>
  <r>
    <x v="126"/>
    <s v="MUS"/>
    <x v="52"/>
    <n v="1255882"/>
  </r>
  <r>
    <x v="126"/>
    <s v="MUS"/>
    <x v="53"/>
    <n v="1258927"/>
  </r>
  <r>
    <x v="126"/>
    <s v="MUS"/>
    <x v="54"/>
    <n v="1261208"/>
  </r>
  <r>
    <x v="126"/>
    <s v="MUS"/>
    <x v="55"/>
    <n v="1262879"/>
  </r>
  <r>
    <x v="126"/>
    <s v="MUS"/>
    <x v="56"/>
    <n v="1263747"/>
  </r>
  <r>
    <x v="126"/>
    <s v="MUS"/>
    <x v="57"/>
    <n v="1264887"/>
  </r>
  <r>
    <x v="126"/>
    <s v="MUS"/>
    <x v="58"/>
    <n v="1265577"/>
  </r>
  <r>
    <x v="126"/>
    <s v="MUS"/>
    <x v="59"/>
    <n v="1265985"/>
  </r>
  <r>
    <x v="126"/>
    <s v="MUS"/>
    <x v="60"/>
    <n v="1266014"/>
  </r>
  <r>
    <x v="126"/>
    <s v="MUS"/>
    <x v="61"/>
    <n v="1266334"/>
  </r>
  <r>
    <x v="126"/>
    <s v="MUS"/>
    <x v="62"/>
    <n v="1262523"/>
  </r>
  <r>
    <x v="126"/>
    <s v="MUS"/>
    <x v="63"/>
    <n v="1261041"/>
  </r>
  <r>
    <x v="126"/>
    <s v="MUS"/>
    <x v="64"/>
    <n v="1259509"/>
  </r>
  <r>
    <x v="127"/>
    <s v="MEX"/>
    <x v="0"/>
    <n v="36724615"/>
  </r>
  <r>
    <x v="127"/>
    <s v="MEX"/>
    <x v="1"/>
    <n v="37890118"/>
  </r>
  <r>
    <x v="127"/>
    <s v="MEX"/>
    <x v="2"/>
    <n v="39129200"/>
  </r>
  <r>
    <x v="127"/>
    <s v="MEX"/>
    <x v="3"/>
    <n v="40424065"/>
  </r>
  <r>
    <x v="127"/>
    <s v="MEX"/>
    <x v="4"/>
    <n v="41772049"/>
  </r>
  <r>
    <x v="127"/>
    <s v="MEX"/>
    <x v="5"/>
    <n v="43174477"/>
  </r>
  <r>
    <x v="127"/>
    <s v="MEX"/>
    <x v="6"/>
    <n v="44629106"/>
  </r>
  <r>
    <x v="127"/>
    <s v="MEX"/>
    <x v="7"/>
    <n v="46129608"/>
  </r>
  <r>
    <x v="127"/>
    <s v="MEX"/>
    <x v="8"/>
    <n v="47668303"/>
  </r>
  <r>
    <x v="127"/>
    <s v="MEX"/>
    <x v="9"/>
    <n v="49233194"/>
  </r>
  <r>
    <x v="127"/>
    <s v="MEX"/>
    <x v="10"/>
    <n v="50814953"/>
  </r>
  <r>
    <x v="127"/>
    <s v="MEX"/>
    <x v="11"/>
    <n v="52412558"/>
  </r>
  <r>
    <x v="127"/>
    <s v="MEX"/>
    <x v="12"/>
    <n v="54030168"/>
  </r>
  <r>
    <x v="127"/>
    <s v="MEX"/>
    <x v="13"/>
    <n v="55667284"/>
  </r>
  <r>
    <x v="127"/>
    <s v="MEX"/>
    <x v="14"/>
    <n v="57320149"/>
  </r>
  <r>
    <x v="127"/>
    <s v="MEX"/>
    <x v="15"/>
    <n v="58982400"/>
  </r>
  <r>
    <x v="127"/>
    <s v="MEX"/>
    <x v="16"/>
    <n v="60645512"/>
  </r>
  <r>
    <x v="127"/>
    <s v="MEX"/>
    <x v="17"/>
    <n v="62308493"/>
  </r>
  <r>
    <x v="127"/>
    <s v="MEX"/>
    <x v="18"/>
    <n v="63979046"/>
  </r>
  <r>
    <x v="127"/>
    <s v="MEX"/>
    <x v="19"/>
    <n v="65648865"/>
  </r>
  <r>
    <x v="127"/>
    <s v="MEX"/>
    <x v="20"/>
    <n v="67300334"/>
  </r>
  <r>
    <x v="127"/>
    <s v="MEX"/>
    <x v="21"/>
    <n v="68892108"/>
  </r>
  <r>
    <x v="127"/>
    <s v="MEX"/>
    <x v="22"/>
    <n v="70433260"/>
  </r>
  <r>
    <x v="127"/>
    <s v="MEX"/>
    <x v="23"/>
    <n v="71971240"/>
  </r>
  <r>
    <x v="127"/>
    <s v="MEX"/>
    <x v="24"/>
    <n v="73506846"/>
  </r>
  <r>
    <x v="127"/>
    <s v="MEX"/>
    <x v="25"/>
    <n v="75043414"/>
  </r>
  <r>
    <x v="127"/>
    <s v="MEX"/>
    <x v="26"/>
    <n v="76585637"/>
  </r>
  <r>
    <x v="127"/>
    <s v="MEX"/>
    <x v="27"/>
    <n v="78136651"/>
  </r>
  <r>
    <x v="127"/>
    <s v="MEX"/>
    <x v="28"/>
    <n v="79695531"/>
  </r>
  <r>
    <x v="127"/>
    <s v="MEX"/>
    <x v="29"/>
    <n v="81247182"/>
  </r>
  <r>
    <x v="127"/>
    <s v="MEX"/>
    <x v="30"/>
    <n v="82820170"/>
  </r>
  <r>
    <x v="127"/>
    <s v="MEX"/>
    <x v="31"/>
    <n v="84430572"/>
  </r>
  <r>
    <x v="127"/>
    <s v="MEX"/>
    <x v="32"/>
    <n v="86044809"/>
  </r>
  <r>
    <x v="127"/>
    <s v="MEX"/>
    <x v="33"/>
    <n v="87653807"/>
  </r>
  <r>
    <x v="127"/>
    <s v="MEX"/>
    <x v="34"/>
    <n v="89259205"/>
  </r>
  <r>
    <x v="127"/>
    <s v="MEX"/>
    <x v="35"/>
    <n v="90862455"/>
  </r>
  <r>
    <x v="127"/>
    <s v="MEX"/>
    <x v="36"/>
    <n v="92452702"/>
  </r>
  <r>
    <x v="127"/>
    <s v="MEX"/>
    <x v="37"/>
    <n v="94021207"/>
  </r>
  <r>
    <x v="127"/>
    <s v="MEX"/>
    <x v="38"/>
    <n v="95575245"/>
  </r>
  <r>
    <x v="127"/>
    <s v="MEX"/>
    <x v="39"/>
    <n v="97115707"/>
  </r>
  <r>
    <x v="127"/>
    <s v="MEX"/>
    <x v="40"/>
    <n v="98625552"/>
  </r>
  <r>
    <x v="127"/>
    <s v="MEX"/>
    <x v="41"/>
    <n v="100099099"/>
  </r>
  <r>
    <x v="127"/>
    <s v="MEX"/>
    <x v="42"/>
    <n v="101548624"/>
  </r>
  <r>
    <x v="127"/>
    <s v="MEX"/>
    <x v="43"/>
    <n v="102978515"/>
  </r>
  <r>
    <x v="127"/>
    <s v="MEX"/>
    <x v="44"/>
    <n v="104394131"/>
  </r>
  <r>
    <x v="127"/>
    <s v="MEX"/>
    <x v="45"/>
    <n v="105811504"/>
  </r>
  <r>
    <x v="127"/>
    <s v="MEX"/>
    <x v="46"/>
    <n v="107253666"/>
  </r>
  <r>
    <x v="127"/>
    <s v="MEX"/>
    <x v="47"/>
    <n v="108774360"/>
  </r>
  <r>
    <x v="127"/>
    <s v="MEX"/>
    <x v="48"/>
    <n v="110374288"/>
  </r>
  <r>
    <x v="127"/>
    <s v="MEX"/>
    <x v="49"/>
    <n v="111999721"/>
  </r>
  <r>
    <x v="127"/>
    <s v="MEX"/>
    <x v="50"/>
    <n v="113623895"/>
  </r>
  <r>
    <x v="127"/>
    <s v="MEX"/>
    <x v="51"/>
    <n v="115243504"/>
  </r>
  <r>
    <x v="127"/>
    <s v="MEX"/>
    <x v="52"/>
    <n v="116818208"/>
  </r>
  <r>
    <x v="127"/>
    <s v="MEX"/>
    <x v="53"/>
    <n v="118343573"/>
  </r>
  <r>
    <x v="127"/>
    <s v="MEX"/>
    <x v="54"/>
    <n v="119784261"/>
  </r>
  <r>
    <x v="127"/>
    <s v="MEX"/>
    <x v="55"/>
    <n v="121072306"/>
  </r>
  <r>
    <x v="127"/>
    <s v="MEX"/>
    <x v="56"/>
    <n v="122251351"/>
  </r>
  <r>
    <x v="127"/>
    <s v="MEX"/>
    <x v="57"/>
    <n v="123400057"/>
  </r>
  <r>
    <x v="127"/>
    <s v="MEX"/>
    <x v="58"/>
    <n v="124573711"/>
  </r>
  <r>
    <x v="127"/>
    <s v="MEX"/>
    <x v="59"/>
    <n v="125762982"/>
  </r>
  <r>
    <x v="127"/>
    <s v="MEX"/>
    <x v="60"/>
    <n v="126799054"/>
  </r>
  <r>
    <x v="127"/>
    <s v="MEX"/>
    <x v="61"/>
    <n v="127648148"/>
  </r>
  <r>
    <x v="127"/>
    <s v="MEX"/>
    <x v="62"/>
    <n v="128613117"/>
  </r>
  <r>
    <x v="127"/>
    <s v="MEX"/>
    <x v="63"/>
    <n v="129739759"/>
  </r>
  <r>
    <x v="127"/>
    <s v="MEX"/>
    <x v="64"/>
    <n v="130861007"/>
  </r>
  <r>
    <x v="128"/>
    <s v="FSM"/>
    <x v="0"/>
    <n v="43061"/>
  </r>
  <r>
    <x v="128"/>
    <s v="FSM"/>
    <x v="1"/>
    <n v="44610"/>
  </r>
  <r>
    <x v="128"/>
    <s v="FSM"/>
    <x v="2"/>
    <n v="46218"/>
  </r>
  <r>
    <x v="128"/>
    <s v="FSM"/>
    <x v="3"/>
    <n v="47744"/>
  </r>
  <r>
    <x v="128"/>
    <s v="FSM"/>
    <x v="4"/>
    <n v="49181"/>
  </r>
  <r>
    <x v="128"/>
    <s v="FSM"/>
    <x v="5"/>
    <n v="50684"/>
  </r>
  <r>
    <x v="128"/>
    <s v="FSM"/>
    <x v="6"/>
    <n v="52258"/>
  </r>
  <r>
    <x v="128"/>
    <s v="FSM"/>
    <x v="7"/>
    <n v="53846"/>
  </r>
  <r>
    <x v="128"/>
    <s v="FSM"/>
    <x v="8"/>
    <n v="55457"/>
  </r>
  <r>
    <x v="128"/>
    <s v="FSM"/>
    <x v="9"/>
    <n v="57145"/>
  </r>
  <r>
    <x v="128"/>
    <s v="FSM"/>
    <x v="10"/>
    <n v="58922"/>
  </r>
  <r>
    <x v="128"/>
    <s v="FSM"/>
    <x v="11"/>
    <n v="60636"/>
  </r>
  <r>
    <x v="128"/>
    <s v="FSM"/>
    <x v="12"/>
    <n v="62278"/>
  </r>
  <r>
    <x v="128"/>
    <s v="FSM"/>
    <x v="13"/>
    <n v="63986"/>
  </r>
  <r>
    <x v="128"/>
    <s v="FSM"/>
    <x v="14"/>
    <n v="65749"/>
  </r>
  <r>
    <x v="128"/>
    <s v="FSM"/>
    <x v="15"/>
    <n v="67428"/>
  </r>
  <r>
    <x v="128"/>
    <s v="FSM"/>
    <x v="16"/>
    <n v="69049"/>
  </r>
  <r>
    <x v="128"/>
    <s v="FSM"/>
    <x v="17"/>
    <n v="70753"/>
  </r>
  <r>
    <x v="128"/>
    <s v="FSM"/>
    <x v="18"/>
    <n v="72754"/>
  </r>
  <r>
    <x v="128"/>
    <s v="FSM"/>
    <x v="19"/>
    <n v="75054"/>
  </r>
  <r>
    <x v="128"/>
    <s v="FSM"/>
    <x v="20"/>
    <n v="77407"/>
  </r>
  <r>
    <x v="128"/>
    <s v="FSM"/>
    <x v="21"/>
    <n v="79794"/>
  </r>
  <r>
    <x v="128"/>
    <s v="FSM"/>
    <x v="22"/>
    <n v="82219"/>
  </r>
  <r>
    <x v="128"/>
    <s v="FSM"/>
    <x v="23"/>
    <n v="84680"/>
  </r>
  <r>
    <x v="128"/>
    <s v="FSM"/>
    <x v="24"/>
    <n v="87176"/>
  </r>
  <r>
    <x v="128"/>
    <s v="FSM"/>
    <x v="25"/>
    <n v="89707"/>
  </r>
  <r>
    <x v="128"/>
    <s v="FSM"/>
    <x v="26"/>
    <n v="92266"/>
  </r>
  <r>
    <x v="128"/>
    <s v="FSM"/>
    <x v="27"/>
    <n v="94844"/>
  </r>
  <r>
    <x v="128"/>
    <s v="FSM"/>
    <x v="28"/>
    <n v="97097"/>
  </r>
  <r>
    <x v="128"/>
    <s v="FSM"/>
    <x v="29"/>
    <n v="99003"/>
  </r>
  <r>
    <x v="128"/>
    <s v="FSM"/>
    <x v="30"/>
    <n v="100888"/>
  </r>
  <r>
    <x v="128"/>
    <s v="FSM"/>
    <x v="31"/>
    <n v="102754"/>
  </r>
  <r>
    <x v="128"/>
    <s v="FSM"/>
    <x v="32"/>
    <n v="104806"/>
  </r>
  <r>
    <x v="128"/>
    <s v="FSM"/>
    <x v="33"/>
    <n v="107066"/>
  </r>
  <r>
    <x v="128"/>
    <s v="FSM"/>
    <x v="34"/>
    <n v="109075"/>
  </r>
  <r>
    <x v="128"/>
    <s v="FSM"/>
    <x v="35"/>
    <n v="110230"/>
  </r>
  <r>
    <x v="128"/>
    <s v="FSM"/>
    <x v="36"/>
    <n v="110710"/>
  </r>
  <r>
    <x v="128"/>
    <s v="FSM"/>
    <x v="37"/>
    <n v="111071"/>
  </r>
  <r>
    <x v="128"/>
    <s v="FSM"/>
    <x v="38"/>
    <n v="111377"/>
  </r>
  <r>
    <x v="128"/>
    <s v="FSM"/>
    <x v="39"/>
    <n v="111680"/>
  </r>
  <r>
    <x v="128"/>
    <s v="FSM"/>
    <x v="40"/>
    <n v="112044"/>
  </r>
  <r>
    <x v="128"/>
    <s v="FSM"/>
    <x v="41"/>
    <n v="112365"/>
  </r>
  <r>
    <x v="128"/>
    <s v="FSM"/>
    <x v="42"/>
    <n v="112448"/>
  </r>
  <r>
    <x v="128"/>
    <s v="FSM"/>
    <x v="43"/>
    <n v="112285"/>
  </r>
  <r>
    <x v="128"/>
    <s v="FSM"/>
    <x v="44"/>
    <n v="111925"/>
  </r>
  <r>
    <x v="128"/>
    <s v="FSM"/>
    <x v="45"/>
    <n v="111412"/>
  </r>
  <r>
    <x v="128"/>
    <s v="FSM"/>
    <x v="46"/>
    <n v="110729"/>
  </r>
  <r>
    <x v="128"/>
    <s v="FSM"/>
    <x v="47"/>
    <n v="109880"/>
  </r>
  <r>
    <x v="128"/>
    <s v="FSM"/>
    <x v="48"/>
    <n v="108936"/>
  </r>
  <r>
    <x v="128"/>
    <s v="FSM"/>
    <x v="49"/>
    <n v="107957"/>
  </r>
  <r>
    <x v="128"/>
    <s v="FSM"/>
    <x v="50"/>
    <n v="107540"/>
  </r>
  <r>
    <x v="128"/>
    <s v="FSM"/>
    <x v="51"/>
    <n v="107698"/>
  </r>
  <r>
    <x v="128"/>
    <s v="FSM"/>
    <x v="52"/>
    <n v="107890"/>
  </r>
  <r>
    <x v="128"/>
    <s v="FSM"/>
    <x v="53"/>
    <n v="108121"/>
  </r>
  <r>
    <x v="128"/>
    <s v="FSM"/>
    <x v="54"/>
    <n v="108396"/>
  </r>
  <r>
    <x v="128"/>
    <s v="FSM"/>
    <x v="55"/>
    <n v="108716"/>
  </r>
  <r>
    <x v="128"/>
    <s v="FSM"/>
    <x v="56"/>
    <n v="109075"/>
  </r>
  <r>
    <x v="128"/>
    <s v="FSM"/>
    <x v="57"/>
    <n v="109481"/>
  </r>
  <r>
    <x v="128"/>
    <s v="FSM"/>
    <x v="58"/>
    <n v="109909"/>
  </r>
  <r>
    <x v="128"/>
    <s v="FSM"/>
    <x v="59"/>
    <n v="110282"/>
  </r>
  <r>
    <x v="128"/>
    <s v="FSM"/>
    <x v="60"/>
    <n v="110916"/>
  </r>
  <r>
    <x v="128"/>
    <s v="FSM"/>
    <x v="61"/>
    <n v="111624"/>
  </r>
  <r>
    <x v="128"/>
    <s v="FSM"/>
    <x v="62"/>
    <n v="112114"/>
  </r>
  <r>
    <x v="128"/>
    <s v="FSM"/>
    <x v="63"/>
    <n v="112630"/>
  </r>
  <r>
    <x v="128"/>
    <s v="FSM"/>
    <x v="64"/>
    <n v="113160"/>
  </r>
  <r>
    <x v="129"/>
    <s v="MDA"/>
    <x v="0"/>
    <n v="2058020"/>
  </r>
  <r>
    <x v="129"/>
    <s v="MDA"/>
    <x v="1"/>
    <n v="2103327"/>
  </r>
  <r>
    <x v="129"/>
    <s v="MDA"/>
    <x v="2"/>
    <n v="2147227"/>
  </r>
  <r>
    <x v="129"/>
    <s v="MDA"/>
    <x v="3"/>
    <n v="2188895"/>
  </r>
  <r>
    <x v="129"/>
    <s v="MDA"/>
    <x v="4"/>
    <n v="2228000"/>
  </r>
  <r>
    <x v="129"/>
    <s v="MDA"/>
    <x v="5"/>
    <n v="2265287"/>
  </r>
  <r>
    <x v="129"/>
    <s v="MDA"/>
    <x v="6"/>
    <n v="2301871"/>
  </r>
  <r>
    <x v="129"/>
    <s v="MDA"/>
    <x v="7"/>
    <n v="2337695"/>
  </r>
  <r>
    <x v="129"/>
    <s v="MDA"/>
    <x v="8"/>
    <n v="2373073"/>
  </r>
  <r>
    <x v="129"/>
    <s v="MDA"/>
    <x v="9"/>
    <n v="2408469"/>
  </r>
  <r>
    <x v="129"/>
    <s v="MDA"/>
    <x v="10"/>
    <n v="2437590"/>
  </r>
  <r>
    <x v="129"/>
    <s v="MDA"/>
    <x v="11"/>
    <n v="2460611"/>
  </r>
  <r>
    <x v="129"/>
    <s v="MDA"/>
    <x v="12"/>
    <n v="2484742"/>
  </r>
  <r>
    <x v="129"/>
    <s v="MDA"/>
    <x v="13"/>
    <n v="2510584"/>
  </r>
  <r>
    <x v="129"/>
    <s v="MDA"/>
    <x v="14"/>
    <n v="2538164"/>
  </r>
  <r>
    <x v="129"/>
    <s v="MDA"/>
    <x v="15"/>
    <n v="2566998"/>
  </r>
  <r>
    <x v="129"/>
    <s v="MDA"/>
    <x v="16"/>
    <n v="2596491"/>
  </r>
  <r>
    <x v="129"/>
    <s v="MDA"/>
    <x v="17"/>
    <n v="2626298"/>
  </r>
  <r>
    <x v="129"/>
    <s v="MDA"/>
    <x v="18"/>
    <n v="2656211"/>
  </r>
  <r>
    <x v="129"/>
    <s v="MDA"/>
    <x v="19"/>
    <n v="2683035"/>
  </r>
  <r>
    <x v="129"/>
    <s v="MDA"/>
    <x v="20"/>
    <n v="2708675"/>
  </r>
  <r>
    <x v="129"/>
    <s v="MDA"/>
    <x v="21"/>
    <n v="2735987"/>
  </r>
  <r>
    <x v="129"/>
    <s v="MDA"/>
    <x v="22"/>
    <n v="2763101"/>
  </r>
  <r>
    <x v="129"/>
    <s v="MDA"/>
    <x v="23"/>
    <n v="2791207"/>
  </r>
  <r>
    <x v="129"/>
    <s v="MDA"/>
    <x v="24"/>
    <n v="2820518"/>
  </r>
  <r>
    <x v="129"/>
    <s v="MDA"/>
    <x v="25"/>
    <n v="2850787"/>
  </r>
  <r>
    <x v="129"/>
    <s v="MDA"/>
    <x v="26"/>
    <n v="2883057"/>
  </r>
  <r>
    <x v="129"/>
    <s v="MDA"/>
    <x v="27"/>
    <n v="2916306"/>
  </r>
  <r>
    <x v="129"/>
    <s v="MDA"/>
    <x v="28"/>
    <n v="2948891"/>
  </r>
  <r>
    <x v="129"/>
    <s v="MDA"/>
    <x v="29"/>
    <n v="2970039"/>
  </r>
  <r>
    <x v="129"/>
    <s v="MDA"/>
    <x v="30"/>
    <n v="2977912"/>
  </r>
  <r>
    <x v="129"/>
    <s v="MDA"/>
    <x v="31"/>
    <n v="2981566"/>
  </r>
  <r>
    <x v="129"/>
    <s v="MDA"/>
    <x v="32"/>
    <n v="2980965"/>
  </r>
  <r>
    <x v="129"/>
    <s v="MDA"/>
    <x v="33"/>
    <n v="2975966"/>
  </r>
  <r>
    <x v="129"/>
    <s v="MDA"/>
    <x v="34"/>
    <n v="2966745"/>
  </r>
  <r>
    <x v="129"/>
    <s v="MDA"/>
    <x v="35"/>
    <n v="2953200"/>
  </r>
  <r>
    <x v="129"/>
    <s v="MDA"/>
    <x v="36"/>
    <n v="2947293"/>
  </r>
  <r>
    <x v="129"/>
    <s v="MDA"/>
    <x v="37"/>
    <n v="2936413"/>
  </r>
  <r>
    <x v="129"/>
    <s v="MDA"/>
    <x v="38"/>
    <n v="2935227"/>
  </r>
  <r>
    <x v="129"/>
    <s v="MDA"/>
    <x v="39"/>
    <n v="2930622"/>
  </r>
  <r>
    <x v="129"/>
    <s v="MDA"/>
    <x v="40"/>
    <n v="2924668"/>
  </r>
  <r>
    <x v="129"/>
    <s v="MDA"/>
    <x v="41"/>
    <n v="2918135"/>
  </r>
  <r>
    <x v="129"/>
    <s v="MDA"/>
    <x v="42"/>
    <n v="2911385"/>
  </r>
  <r>
    <x v="129"/>
    <s v="MDA"/>
    <x v="43"/>
    <n v="2903198"/>
  </r>
  <r>
    <x v="129"/>
    <s v="MDA"/>
    <x v="44"/>
    <n v="2896023"/>
  </r>
  <r>
    <x v="129"/>
    <s v="MDA"/>
    <x v="45"/>
    <n v="2888985"/>
  </r>
  <r>
    <x v="129"/>
    <s v="MDA"/>
    <x v="46"/>
    <n v="2880967"/>
  </r>
  <r>
    <x v="129"/>
    <s v="MDA"/>
    <x v="47"/>
    <n v="2874299"/>
  </r>
  <r>
    <x v="129"/>
    <s v="MDA"/>
    <x v="48"/>
    <n v="2868833"/>
  </r>
  <r>
    <x v="129"/>
    <s v="MDA"/>
    <x v="49"/>
    <n v="2865213"/>
  </r>
  <r>
    <x v="129"/>
    <s v="MDA"/>
    <x v="50"/>
    <n v="2862354"/>
  </r>
  <r>
    <x v="129"/>
    <s v="MDA"/>
    <x v="51"/>
    <n v="2860699"/>
  </r>
  <r>
    <x v="129"/>
    <s v="MDA"/>
    <x v="52"/>
    <n v="2860324"/>
  </r>
  <r>
    <x v="129"/>
    <s v="MDA"/>
    <x v="53"/>
    <n v="2859558"/>
  </r>
  <r>
    <x v="129"/>
    <s v="MDA"/>
    <x v="54"/>
    <n v="2857815"/>
  </r>
  <r>
    <x v="129"/>
    <s v="MDA"/>
    <x v="55"/>
    <n v="2835978"/>
  </r>
  <r>
    <x v="129"/>
    <s v="MDA"/>
    <x v="56"/>
    <n v="2803186"/>
  </r>
  <r>
    <x v="129"/>
    <s v="MDA"/>
    <x v="57"/>
    <n v="2755189"/>
  </r>
  <r>
    <x v="129"/>
    <s v="MDA"/>
    <x v="58"/>
    <n v="2707203"/>
  </r>
  <r>
    <x v="129"/>
    <s v="MDA"/>
    <x v="59"/>
    <n v="2664224"/>
  </r>
  <r>
    <x v="129"/>
    <s v="MDA"/>
    <x v="60"/>
    <n v="2635130"/>
  </r>
  <r>
    <x v="129"/>
    <s v="MDA"/>
    <x v="61"/>
    <n v="2595809"/>
  </r>
  <r>
    <x v="129"/>
    <s v="MDA"/>
    <x v="62"/>
    <n v="2528654"/>
  </r>
  <r>
    <x v="129"/>
    <s v="MDA"/>
    <x v="63"/>
    <n v="2457783"/>
  </r>
  <r>
    <x v="129"/>
    <s v="MDA"/>
    <x v="64"/>
    <n v="2389275"/>
  </r>
  <r>
    <x v="130"/>
    <s v="MCO"/>
    <x v="0"/>
    <n v="21808"/>
  </r>
  <r>
    <x v="130"/>
    <s v="MCO"/>
    <x v="1"/>
    <n v="21901"/>
  </r>
  <r>
    <x v="130"/>
    <s v="MCO"/>
    <x v="2"/>
    <n v="22078"/>
  </r>
  <r>
    <x v="130"/>
    <s v="MCO"/>
    <x v="3"/>
    <n v="22385"/>
  </r>
  <r>
    <x v="130"/>
    <s v="MCO"/>
    <x v="4"/>
    <n v="22686"/>
  </r>
  <r>
    <x v="130"/>
    <s v="MCO"/>
    <x v="5"/>
    <n v="22941"/>
  </r>
  <r>
    <x v="130"/>
    <s v="MCO"/>
    <x v="6"/>
    <n v="23131"/>
  </r>
  <r>
    <x v="130"/>
    <s v="MCO"/>
    <x v="7"/>
    <n v="23230"/>
  </r>
  <r>
    <x v="130"/>
    <s v="MCO"/>
    <x v="8"/>
    <n v="23437"/>
  </r>
  <r>
    <x v="130"/>
    <s v="MCO"/>
    <x v="9"/>
    <n v="23831"/>
  </r>
  <r>
    <x v="130"/>
    <s v="MCO"/>
    <x v="10"/>
    <n v="24229"/>
  </r>
  <r>
    <x v="130"/>
    <s v="MCO"/>
    <x v="11"/>
    <n v="24576"/>
  </r>
  <r>
    <x v="130"/>
    <s v="MCO"/>
    <x v="12"/>
    <n v="24862"/>
  </r>
  <r>
    <x v="130"/>
    <s v="MCO"/>
    <x v="13"/>
    <n v="25072"/>
  </r>
  <r>
    <x v="130"/>
    <s v="MCO"/>
    <x v="14"/>
    <n v="25235"/>
  </r>
  <r>
    <x v="130"/>
    <s v="MCO"/>
    <x v="15"/>
    <n v="25500"/>
  </r>
  <r>
    <x v="130"/>
    <s v="MCO"/>
    <x v="16"/>
    <n v="25895"/>
  </r>
  <r>
    <x v="130"/>
    <s v="MCO"/>
    <x v="17"/>
    <n v="26273"/>
  </r>
  <r>
    <x v="130"/>
    <s v="MCO"/>
    <x v="18"/>
    <n v="26605"/>
  </r>
  <r>
    <x v="130"/>
    <s v="MCO"/>
    <x v="19"/>
    <n v="26892"/>
  </r>
  <r>
    <x v="130"/>
    <s v="MCO"/>
    <x v="20"/>
    <n v="27122"/>
  </r>
  <r>
    <x v="130"/>
    <s v="MCO"/>
    <x v="21"/>
    <n v="27293"/>
  </r>
  <r>
    <x v="130"/>
    <s v="MCO"/>
    <x v="22"/>
    <n v="27561"/>
  </r>
  <r>
    <x v="130"/>
    <s v="MCO"/>
    <x v="23"/>
    <n v="27960"/>
  </r>
  <r>
    <x v="130"/>
    <s v="MCO"/>
    <x v="24"/>
    <n v="28356"/>
  </r>
  <r>
    <x v="130"/>
    <s v="MCO"/>
    <x v="25"/>
    <n v="28731"/>
  </r>
  <r>
    <x v="130"/>
    <s v="MCO"/>
    <x v="26"/>
    <n v="29093"/>
  </r>
  <r>
    <x v="130"/>
    <s v="MCO"/>
    <x v="27"/>
    <n v="29446"/>
  </r>
  <r>
    <x v="130"/>
    <s v="MCO"/>
    <x v="28"/>
    <n v="29781"/>
  </r>
  <r>
    <x v="130"/>
    <s v="MCO"/>
    <x v="29"/>
    <n v="30084"/>
  </r>
  <r>
    <x v="130"/>
    <s v="MCO"/>
    <x v="30"/>
    <n v="30358"/>
  </r>
  <r>
    <x v="130"/>
    <s v="MCO"/>
    <x v="31"/>
    <n v="30625"/>
  </r>
  <r>
    <x v="130"/>
    <s v="MCO"/>
    <x v="32"/>
    <n v="30887"/>
  </r>
  <r>
    <x v="130"/>
    <s v="MCO"/>
    <x v="33"/>
    <n v="31136"/>
  </r>
  <r>
    <x v="130"/>
    <s v="MCO"/>
    <x v="34"/>
    <n v="31375"/>
  </r>
  <r>
    <x v="130"/>
    <s v="MCO"/>
    <x v="35"/>
    <n v="31609"/>
  </r>
  <r>
    <x v="130"/>
    <s v="MCO"/>
    <x v="36"/>
    <n v="31837"/>
  </r>
  <r>
    <x v="130"/>
    <s v="MCO"/>
    <x v="37"/>
    <n v="32063"/>
  </r>
  <r>
    <x v="130"/>
    <s v="MCO"/>
    <x v="38"/>
    <n v="32267"/>
  </r>
  <r>
    <x v="130"/>
    <s v="MCO"/>
    <x v="39"/>
    <n v="32410"/>
  </r>
  <r>
    <x v="130"/>
    <s v="MCO"/>
    <x v="40"/>
    <n v="32455"/>
  </r>
  <r>
    <x v="130"/>
    <s v="MCO"/>
    <x v="41"/>
    <n v="32447"/>
  </r>
  <r>
    <x v="130"/>
    <s v="MCO"/>
    <x v="42"/>
    <n v="32422"/>
  </r>
  <r>
    <x v="130"/>
    <s v="MCO"/>
    <x v="43"/>
    <n v="32374"/>
  </r>
  <r>
    <x v="130"/>
    <s v="MCO"/>
    <x v="44"/>
    <n v="32307"/>
  </r>
  <r>
    <x v="130"/>
    <s v="MCO"/>
    <x v="45"/>
    <n v="32210"/>
  </r>
  <r>
    <x v="130"/>
    <s v="MCO"/>
    <x v="46"/>
    <n v="32057"/>
  </r>
  <r>
    <x v="130"/>
    <s v="MCO"/>
    <x v="47"/>
    <n v="31837"/>
  </r>
  <r>
    <x v="130"/>
    <s v="MCO"/>
    <x v="48"/>
    <n v="31836"/>
  </r>
  <r>
    <x v="130"/>
    <s v="MCO"/>
    <x v="49"/>
    <n v="32364"/>
  </r>
  <r>
    <x v="130"/>
    <s v="MCO"/>
    <x v="50"/>
    <n v="33163"/>
  </r>
  <r>
    <x v="130"/>
    <s v="MCO"/>
    <x v="51"/>
    <n v="33946"/>
  </r>
  <r>
    <x v="130"/>
    <s v="MCO"/>
    <x v="52"/>
    <n v="34711"/>
  </r>
  <r>
    <x v="130"/>
    <s v="MCO"/>
    <x v="53"/>
    <n v="35447"/>
  </r>
  <r>
    <x v="130"/>
    <s v="MCO"/>
    <x v="54"/>
    <n v="36128"/>
  </r>
  <r>
    <x v="130"/>
    <s v="MCO"/>
    <x v="55"/>
    <n v="36757"/>
  </r>
  <r>
    <x v="130"/>
    <s v="MCO"/>
    <x v="56"/>
    <n v="37276"/>
  </r>
  <r>
    <x v="130"/>
    <s v="MCO"/>
    <x v="57"/>
    <n v="37678"/>
  </r>
  <r>
    <x v="130"/>
    <s v="MCO"/>
    <x v="58"/>
    <n v="38154"/>
  </r>
  <r>
    <x v="130"/>
    <s v="MCO"/>
    <x v="59"/>
    <n v="38109"/>
  </r>
  <r>
    <x v="130"/>
    <s v="MCO"/>
    <x v="60"/>
    <n v="38050"/>
  </r>
  <r>
    <x v="130"/>
    <s v="MCO"/>
    <x v="61"/>
    <n v="38527"/>
  </r>
  <r>
    <x v="130"/>
    <s v="MCO"/>
    <x v="62"/>
    <n v="38931"/>
  </r>
  <r>
    <x v="130"/>
    <s v="MCO"/>
    <x v="63"/>
    <n v="38956"/>
  </r>
  <r>
    <x v="130"/>
    <s v="MCO"/>
    <x v="64"/>
    <n v="38631"/>
  </r>
  <r>
    <x v="131"/>
    <s v="MNG"/>
    <x v="0"/>
    <n v="977595"/>
  </r>
  <r>
    <x v="131"/>
    <s v="MNG"/>
    <x v="1"/>
    <n v="1009284"/>
  </r>
  <r>
    <x v="131"/>
    <s v="MNG"/>
    <x v="2"/>
    <n v="1041444"/>
  </r>
  <r>
    <x v="131"/>
    <s v="MNG"/>
    <x v="3"/>
    <n v="1071362"/>
  </r>
  <r>
    <x v="131"/>
    <s v="MNG"/>
    <x v="4"/>
    <n v="1100234"/>
  </r>
  <r>
    <x v="131"/>
    <s v="MNG"/>
    <x v="5"/>
    <n v="1131177"/>
  </r>
  <r>
    <x v="131"/>
    <s v="MNG"/>
    <x v="6"/>
    <n v="1163754"/>
  </r>
  <r>
    <x v="131"/>
    <s v="MNG"/>
    <x v="7"/>
    <n v="1196996"/>
  </r>
  <r>
    <x v="131"/>
    <s v="MNG"/>
    <x v="8"/>
    <n v="1229930"/>
  </r>
  <r>
    <x v="131"/>
    <s v="MNG"/>
    <x v="9"/>
    <n v="1262284"/>
  </r>
  <r>
    <x v="131"/>
    <s v="MNG"/>
    <x v="10"/>
    <n v="1295272"/>
  </r>
  <r>
    <x v="131"/>
    <s v="MNG"/>
    <x v="11"/>
    <n v="1330071"/>
  </r>
  <r>
    <x v="131"/>
    <s v="MNG"/>
    <x v="12"/>
    <n v="1366821"/>
  </r>
  <r>
    <x v="131"/>
    <s v="MNG"/>
    <x v="13"/>
    <n v="1405502"/>
  </r>
  <r>
    <x v="131"/>
    <s v="MNG"/>
    <x v="14"/>
    <n v="1446050"/>
  </r>
  <r>
    <x v="131"/>
    <s v="MNG"/>
    <x v="15"/>
    <n v="1488296"/>
  </r>
  <r>
    <x v="131"/>
    <s v="MNG"/>
    <x v="16"/>
    <n v="1531945"/>
  </r>
  <r>
    <x v="131"/>
    <s v="MNG"/>
    <x v="17"/>
    <n v="1576245"/>
  </r>
  <r>
    <x v="131"/>
    <s v="MNG"/>
    <x v="18"/>
    <n v="1619468"/>
  </r>
  <r>
    <x v="131"/>
    <s v="MNG"/>
    <x v="19"/>
    <n v="1660659"/>
  </r>
  <r>
    <x v="131"/>
    <s v="MNG"/>
    <x v="20"/>
    <n v="1701335"/>
  </r>
  <r>
    <x v="131"/>
    <s v="MNG"/>
    <x v="21"/>
    <n v="1742857"/>
  </r>
  <r>
    <x v="131"/>
    <s v="MNG"/>
    <x v="22"/>
    <n v="1785364"/>
  </r>
  <r>
    <x v="131"/>
    <s v="MNG"/>
    <x v="23"/>
    <n v="1829092"/>
  </r>
  <r>
    <x v="131"/>
    <s v="MNG"/>
    <x v="24"/>
    <n v="1874349"/>
  </r>
  <r>
    <x v="131"/>
    <s v="MNG"/>
    <x v="25"/>
    <n v="1921514"/>
  </r>
  <r>
    <x v="131"/>
    <s v="MNG"/>
    <x v="26"/>
    <n v="1970965"/>
  </r>
  <r>
    <x v="131"/>
    <s v="MNG"/>
    <x v="27"/>
    <n v="2022800"/>
  </r>
  <r>
    <x v="131"/>
    <s v="MNG"/>
    <x v="28"/>
    <n v="2076322"/>
  </r>
  <r>
    <x v="131"/>
    <s v="MNG"/>
    <x v="29"/>
    <n v="2124185"/>
  </r>
  <r>
    <x v="131"/>
    <s v="MNG"/>
    <x v="30"/>
    <n v="2098710"/>
  </r>
  <r>
    <x v="131"/>
    <s v="MNG"/>
    <x v="31"/>
    <n v="2165342"/>
  </r>
  <r>
    <x v="131"/>
    <s v="MNG"/>
    <x v="32"/>
    <n v="2167790"/>
  </r>
  <r>
    <x v="131"/>
    <s v="MNG"/>
    <x v="33"/>
    <n v="2165130"/>
  </r>
  <r>
    <x v="131"/>
    <s v="MNG"/>
    <x v="34"/>
    <n v="2189395"/>
  </r>
  <r>
    <x v="131"/>
    <s v="MNG"/>
    <x v="35"/>
    <n v="2224945"/>
  </r>
  <r>
    <x v="131"/>
    <s v="MNG"/>
    <x v="36"/>
    <n v="2259507"/>
  </r>
  <r>
    <x v="131"/>
    <s v="MNG"/>
    <x v="37"/>
    <n v="2291750"/>
  </r>
  <r>
    <x v="131"/>
    <s v="MNG"/>
    <x v="38"/>
    <n v="2323809"/>
  </r>
  <r>
    <x v="131"/>
    <s v="MNG"/>
    <x v="39"/>
    <n v="2356813"/>
  </r>
  <r>
    <x v="131"/>
    <s v="MNG"/>
    <x v="40"/>
    <n v="2388299"/>
  </r>
  <r>
    <x v="131"/>
    <s v="MNG"/>
    <x v="41"/>
    <n v="2417751"/>
  </r>
  <r>
    <x v="131"/>
    <s v="MNG"/>
    <x v="42"/>
    <n v="2449027"/>
  </r>
  <r>
    <x v="131"/>
    <s v="MNG"/>
    <x v="43"/>
    <n v="2480374"/>
  </r>
  <r>
    <x v="131"/>
    <s v="MNG"/>
    <x v="44"/>
    <n v="2508412"/>
  </r>
  <r>
    <x v="131"/>
    <s v="MNG"/>
    <x v="45"/>
    <n v="2536407"/>
  </r>
  <r>
    <x v="131"/>
    <s v="MNG"/>
    <x v="46"/>
    <n v="2567168"/>
  </r>
  <r>
    <x v="131"/>
    <s v="MNG"/>
    <x v="47"/>
    <n v="2601850"/>
  </r>
  <r>
    <x v="131"/>
    <s v="MNG"/>
    <x v="48"/>
    <n v="2643201"/>
  </r>
  <r>
    <x v="131"/>
    <s v="MNG"/>
    <x v="49"/>
    <n v="2691115"/>
  </r>
  <r>
    <x v="131"/>
    <s v="MNG"/>
    <x v="50"/>
    <n v="2738622"/>
  </r>
  <r>
    <x v="131"/>
    <s v="MNG"/>
    <x v="51"/>
    <n v="2786317"/>
  </r>
  <r>
    <x v="131"/>
    <s v="MNG"/>
    <x v="52"/>
    <n v="2839705"/>
  </r>
  <r>
    <x v="131"/>
    <s v="MNG"/>
    <x v="53"/>
    <n v="2899011"/>
  </r>
  <r>
    <x v="131"/>
    <s v="MNG"/>
    <x v="54"/>
    <n v="2963113"/>
  </r>
  <r>
    <x v="131"/>
    <s v="MNG"/>
    <x v="55"/>
    <n v="3026864"/>
  </r>
  <r>
    <x v="131"/>
    <s v="MNG"/>
    <x v="56"/>
    <n v="3088856"/>
  </r>
  <r>
    <x v="131"/>
    <s v="MNG"/>
    <x v="57"/>
    <n v="3148917"/>
  </r>
  <r>
    <x v="131"/>
    <s v="MNG"/>
    <x v="58"/>
    <n v="3208189"/>
  </r>
  <r>
    <x v="131"/>
    <s v="MNG"/>
    <x v="59"/>
    <n v="3267673"/>
  </r>
  <r>
    <x v="131"/>
    <s v="MNG"/>
    <x v="60"/>
    <n v="3327204"/>
  </r>
  <r>
    <x v="131"/>
    <s v="MNG"/>
    <x v="61"/>
    <n v="3383741"/>
  </r>
  <r>
    <x v="131"/>
    <s v="MNG"/>
    <x v="62"/>
    <n v="3433748"/>
  </r>
  <r>
    <x v="131"/>
    <s v="MNG"/>
    <x v="63"/>
    <n v="3481145"/>
  </r>
  <r>
    <x v="131"/>
    <s v="MNG"/>
    <x v="64"/>
    <n v="3524788"/>
  </r>
  <r>
    <x v="132"/>
    <s v="MNE"/>
    <x v="0"/>
    <n v="480579"/>
  </r>
  <r>
    <x v="132"/>
    <s v="MNE"/>
    <x v="1"/>
    <n v="491140"/>
  </r>
  <r>
    <x v="132"/>
    <s v="MNE"/>
    <x v="2"/>
    <n v="502558"/>
  </r>
  <r>
    <x v="132"/>
    <s v="MNE"/>
    <x v="3"/>
    <n v="513409"/>
  </r>
  <r>
    <x v="132"/>
    <s v="MNE"/>
    <x v="4"/>
    <n v="521753"/>
  </r>
  <r>
    <x v="132"/>
    <s v="MNE"/>
    <x v="5"/>
    <n v="526327"/>
  </r>
  <r>
    <x v="132"/>
    <s v="MNE"/>
    <x v="6"/>
    <n v="526419"/>
  </r>
  <r>
    <x v="132"/>
    <s v="MNE"/>
    <x v="7"/>
    <n v="522796"/>
  </r>
  <r>
    <x v="132"/>
    <s v="MNE"/>
    <x v="8"/>
    <n v="517481"/>
  </r>
  <r>
    <x v="132"/>
    <s v="MNE"/>
    <x v="9"/>
    <n v="513340"/>
  </r>
  <r>
    <x v="132"/>
    <s v="MNE"/>
    <x v="10"/>
    <n v="512407"/>
  </r>
  <r>
    <x v="132"/>
    <s v="MNE"/>
    <x v="11"/>
    <n v="515449"/>
  </r>
  <r>
    <x v="132"/>
    <s v="MNE"/>
    <x v="12"/>
    <n v="521785"/>
  </r>
  <r>
    <x v="132"/>
    <s v="MNE"/>
    <x v="13"/>
    <n v="530220"/>
  </r>
  <r>
    <x v="132"/>
    <s v="MNE"/>
    <x v="14"/>
    <n v="538902"/>
  </r>
  <r>
    <x v="132"/>
    <s v="MNE"/>
    <x v="15"/>
    <n v="546487"/>
  </r>
  <r>
    <x v="132"/>
    <s v="MNE"/>
    <x v="16"/>
    <n v="552562"/>
  </r>
  <r>
    <x v="132"/>
    <s v="MNE"/>
    <x v="17"/>
    <n v="557576"/>
  </r>
  <r>
    <x v="132"/>
    <s v="MNE"/>
    <x v="18"/>
    <n v="562065"/>
  </r>
  <r>
    <x v="132"/>
    <s v="MNE"/>
    <x v="19"/>
    <n v="566888"/>
  </r>
  <r>
    <x v="132"/>
    <s v="MNE"/>
    <x v="20"/>
    <n v="572608"/>
  </r>
  <r>
    <x v="132"/>
    <s v="MNE"/>
    <x v="21"/>
    <n v="579445"/>
  </r>
  <r>
    <x v="132"/>
    <s v="MNE"/>
    <x v="22"/>
    <n v="587001"/>
  </r>
  <r>
    <x v="132"/>
    <s v="MNE"/>
    <x v="23"/>
    <n v="594506"/>
  </r>
  <r>
    <x v="132"/>
    <s v="MNE"/>
    <x v="24"/>
    <n v="600884"/>
  </r>
  <r>
    <x v="132"/>
    <s v="MNE"/>
    <x v="25"/>
    <n v="605398"/>
  </r>
  <r>
    <x v="132"/>
    <s v="MNE"/>
    <x v="26"/>
    <n v="607711"/>
  </r>
  <r>
    <x v="132"/>
    <s v="MNE"/>
    <x v="27"/>
    <n v="608144"/>
  </r>
  <r>
    <x v="132"/>
    <s v="MNE"/>
    <x v="28"/>
    <n v="607413"/>
  </r>
  <r>
    <x v="132"/>
    <s v="MNE"/>
    <x v="29"/>
    <n v="606571"/>
  </r>
  <r>
    <x v="132"/>
    <s v="MNE"/>
    <x v="30"/>
    <n v="606372"/>
  </r>
  <r>
    <x v="132"/>
    <s v="MNE"/>
    <x v="31"/>
    <n v="607105"/>
  </r>
  <r>
    <x v="132"/>
    <s v="MNE"/>
    <x v="32"/>
    <n v="608516"/>
  </r>
  <r>
    <x v="132"/>
    <s v="MNE"/>
    <x v="33"/>
    <n v="610170"/>
  </r>
  <r>
    <x v="132"/>
    <s v="MNE"/>
    <x v="34"/>
    <n v="611389"/>
  </r>
  <r>
    <x v="132"/>
    <s v="MNE"/>
    <x v="35"/>
    <n v="611712"/>
  </r>
  <r>
    <x v="132"/>
    <s v="MNE"/>
    <x v="36"/>
    <n v="611003"/>
  </r>
  <r>
    <x v="132"/>
    <s v="MNE"/>
    <x v="37"/>
    <n v="609520"/>
  </r>
  <r>
    <x v="132"/>
    <s v="MNE"/>
    <x v="38"/>
    <n v="607662"/>
  </r>
  <r>
    <x v="132"/>
    <s v="MNE"/>
    <x v="39"/>
    <n v="606001"/>
  </r>
  <r>
    <x v="132"/>
    <s v="MNE"/>
    <x v="40"/>
    <n v="604950"/>
  </r>
  <r>
    <x v="132"/>
    <s v="MNE"/>
    <x v="41"/>
    <n v="607389"/>
  </r>
  <r>
    <x v="132"/>
    <s v="MNE"/>
    <x v="42"/>
    <n v="609828"/>
  </r>
  <r>
    <x v="132"/>
    <s v="MNE"/>
    <x v="43"/>
    <n v="612267"/>
  </r>
  <r>
    <x v="132"/>
    <s v="MNE"/>
    <x v="44"/>
    <n v="613353"/>
  </r>
  <r>
    <x v="132"/>
    <s v="MNE"/>
    <x v="45"/>
    <n v="614261"/>
  </r>
  <r>
    <x v="132"/>
    <s v="MNE"/>
    <x v="46"/>
    <n v="615025"/>
  </r>
  <r>
    <x v="132"/>
    <s v="MNE"/>
    <x v="47"/>
    <n v="615875"/>
  </r>
  <r>
    <x v="132"/>
    <s v="MNE"/>
    <x v="48"/>
    <n v="616969"/>
  </r>
  <r>
    <x v="132"/>
    <s v="MNE"/>
    <x v="49"/>
    <n v="618294"/>
  </r>
  <r>
    <x v="132"/>
    <s v="MNE"/>
    <x v="50"/>
    <n v="619428"/>
  </r>
  <r>
    <x v="132"/>
    <s v="MNE"/>
    <x v="51"/>
    <n v="620345"/>
  </r>
  <r>
    <x v="132"/>
    <s v="MNE"/>
    <x v="52"/>
    <n v="621418"/>
  </r>
  <r>
    <x v="132"/>
    <s v="MNE"/>
    <x v="53"/>
    <n v="622587"/>
  </r>
  <r>
    <x v="132"/>
    <s v="MNE"/>
    <x v="54"/>
    <n v="623744"/>
  </r>
  <r>
    <x v="132"/>
    <s v="MNE"/>
    <x v="55"/>
    <n v="624651"/>
  </r>
  <r>
    <x v="132"/>
    <s v="MNE"/>
    <x v="56"/>
    <n v="625353"/>
  </r>
  <r>
    <x v="132"/>
    <s v="MNE"/>
    <x v="57"/>
    <n v="625982"/>
  </r>
  <r>
    <x v="132"/>
    <s v="MNE"/>
    <x v="58"/>
    <n v="626438"/>
  </r>
  <r>
    <x v="132"/>
    <s v="MNE"/>
    <x v="59"/>
    <n v="626753"/>
  </r>
  <r>
    <x v="132"/>
    <s v="MNE"/>
    <x v="60"/>
    <n v="626590"/>
  </r>
  <r>
    <x v="132"/>
    <s v="MNE"/>
    <x v="61"/>
    <n v="625053"/>
  </r>
  <r>
    <x v="132"/>
    <s v="MNE"/>
    <x v="62"/>
    <n v="623591"/>
  </r>
  <r>
    <x v="132"/>
    <s v="MNE"/>
    <x v="63"/>
    <n v="623529"/>
  </r>
  <r>
    <x v="132"/>
    <s v="MNE"/>
    <x v="64"/>
    <n v="623831"/>
  </r>
  <r>
    <x v="133"/>
    <s v="MAR"/>
    <x v="0"/>
    <n v="11624933"/>
  </r>
  <r>
    <x v="133"/>
    <s v="MAR"/>
    <x v="1"/>
    <n v="11931085"/>
  </r>
  <r>
    <x v="133"/>
    <s v="MAR"/>
    <x v="2"/>
    <n v="12253092"/>
  </r>
  <r>
    <x v="133"/>
    <s v="MAR"/>
    <x v="3"/>
    <n v="12577502"/>
  </r>
  <r>
    <x v="133"/>
    <s v="MAR"/>
    <x v="4"/>
    <n v="12898886"/>
  </r>
  <r>
    <x v="133"/>
    <s v="MAR"/>
    <x v="5"/>
    <n v="13239171"/>
  </r>
  <r>
    <x v="133"/>
    <s v="MAR"/>
    <x v="6"/>
    <n v="13597065"/>
  </r>
  <r>
    <x v="133"/>
    <s v="MAR"/>
    <x v="7"/>
    <n v="13968175"/>
  </r>
  <r>
    <x v="133"/>
    <s v="MAR"/>
    <x v="8"/>
    <n v="14347899"/>
  </r>
  <r>
    <x v="133"/>
    <s v="MAR"/>
    <x v="9"/>
    <n v="14734255"/>
  </r>
  <r>
    <x v="133"/>
    <s v="MAR"/>
    <x v="10"/>
    <n v="15129449"/>
  </r>
  <r>
    <x v="133"/>
    <s v="MAR"/>
    <x v="11"/>
    <n v="15527225"/>
  </r>
  <r>
    <x v="133"/>
    <s v="MAR"/>
    <x v="12"/>
    <n v="15924692"/>
  </r>
  <r>
    <x v="133"/>
    <s v="MAR"/>
    <x v="13"/>
    <n v="16326269"/>
  </r>
  <r>
    <x v="133"/>
    <s v="MAR"/>
    <x v="14"/>
    <n v="16733842"/>
  </r>
  <r>
    <x v="133"/>
    <s v="MAR"/>
    <x v="15"/>
    <n v="17150786"/>
  </r>
  <r>
    <x v="133"/>
    <s v="MAR"/>
    <x v="16"/>
    <n v="17574182"/>
  </r>
  <r>
    <x v="133"/>
    <s v="MAR"/>
    <x v="17"/>
    <n v="18014756"/>
  </r>
  <r>
    <x v="133"/>
    <s v="MAR"/>
    <x v="18"/>
    <n v="18477385"/>
  </r>
  <r>
    <x v="133"/>
    <s v="MAR"/>
    <x v="19"/>
    <n v="18955589"/>
  </r>
  <r>
    <x v="133"/>
    <s v="MAR"/>
    <x v="20"/>
    <n v="19459943"/>
  </r>
  <r>
    <x v="133"/>
    <s v="MAR"/>
    <x v="21"/>
    <n v="19985401"/>
  </r>
  <r>
    <x v="133"/>
    <s v="MAR"/>
    <x v="22"/>
    <n v="20520318"/>
  </r>
  <r>
    <x v="133"/>
    <s v="MAR"/>
    <x v="23"/>
    <n v="21060696"/>
  </r>
  <r>
    <x v="133"/>
    <s v="MAR"/>
    <x v="24"/>
    <n v="21593778"/>
  </r>
  <r>
    <x v="133"/>
    <s v="MAR"/>
    <x v="25"/>
    <n v="22113953"/>
  </r>
  <r>
    <x v="133"/>
    <s v="MAR"/>
    <x v="26"/>
    <n v="22600803"/>
  </r>
  <r>
    <x v="133"/>
    <s v="MAR"/>
    <x v="27"/>
    <n v="23054392"/>
  </r>
  <r>
    <x v="133"/>
    <s v="MAR"/>
    <x v="28"/>
    <n v="23500524"/>
  </r>
  <r>
    <x v="133"/>
    <s v="MAR"/>
    <x v="29"/>
    <n v="23939414"/>
  </r>
  <r>
    <x v="133"/>
    <s v="MAR"/>
    <x v="30"/>
    <n v="24375551"/>
  </r>
  <r>
    <x v="133"/>
    <s v="MAR"/>
    <x v="31"/>
    <n v="24799014"/>
  </r>
  <r>
    <x v="133"/>
    <s v="MAR"/>
    <x v="32"/>
    <n v="25212468"/>
  </r>
  <r>
    <x v="133"/>
    <s v="MAR"/>
    <x v="33"/>
    <n v="25614586"/>
  </r>
  <r>
    <x v="133"/>
    <s v="MAR"/>
    <x v="34"/>
    <n v="26000822"/>
  </r>
  <r>
    <x v="133"/>
    <s v="MAR"/>
    <x v="35"/>
    <n v="26399429"/>
  </r>
  <r>
    <x v="133"/>
    <s v="MAR"/>
    <x v="36"/>
    <n v="26808107"/>
  </r>
  <r>
    <x v="133"/>
    <s v="MAR"/>
    <x v="37"/>
    <n v="27213337"/>
  </r>
  <r>
    <x v="133"/>
    <s v="MAR"/>
    <x v="38"/>
    <n v="27621648"/>
  </r>
  <r>
    <x v="133"/>
    <s v="MAR"/>
    <x v="39"/>
    <n v="28027179"/>
  </r>
  <r>
    <x v="133"/>
    <s v="MAR"/>
    <x v="40"/>
    <n v="28423435"/>
  </r>
  <r>
    <x v="133"/>
    <s v="MAR"/>
    <x v="41"/>
    <n v="28814643"/>
  </r>
  <r>
    <x v="133"/>
    <s v="MAR"/>
    <x v="42"/>
    <n v="29198142"/>
  </r>
  <r>
    <x v="133"/>
    <s v="MAR"/>
    <x v="43"/>
    <n v="29571415"/>
  </r>
  <r>
    <x v="133"/>
    <s v="MAR"/>
    <x v="44"/>
    <n v="29953018"/>
  </r>
  <r>
    <x v="133"/>
    <s v="MAR"/>
    <x v="45"/>
    <n v="30358144"/>
  </r>
  <r>
    <x v="133"/>
    <s v="MAR"/>
    <x v="46"/>
    <n v="30771178"/>
  </r>
  <r>
    <x v="133"/>
    <s v="MAR"/>
    <x v="47"/>
    <n v="31186468"/>
  </r>
  <r>
    <x v="133"/>
    <s v="MAR"/>
    <x v="48"/>
    <n v="31606767"/>
  </r>
  <r>
    <x v="133"/>
    <s v="MAR"/>
    <x v="49"/>
    <n v="32030778"/>
  </r>
  <r>
    <x v="133"/>
    <s v="MAR"/>
    <x v="50"/>
    <n v="32467016"/>
  </r>
  <r>
    <x v="133"/>
    <s v="MAR"/>
    <x v="51"/>
    <n v="32912588"/>
  </r>
  <r>
    <x v="133"/>
    <s v="MAR"/>
    <x v="52"/>
    <n v="33355241"/>
  </r>
  <r>
    <x v="133"/>
    <s v="MAR"/>
    <x v="53"/>
    <n v="33787571"/>
  </r>
  <r>
    <x v="133"/>
    <s v="MAR"/>
    <x v="54"/>
    <n v="34204780"/>
  </r>
  <r>
    <x v="133"/>
    <s v="MAR"/>
    <x v="55"/>
    <n v="34607588"/>
  </r>
  <r>
    <x v="133"/>
    <s v="MAR"/>
    <x v="56"/>
    <n v="35023457"/>
  </r>
  <r>
    <x v="133"/>
    <s v="MAR"/>
    <x v="57"/>
    <n v="35446392"/>
  </r>
  <r>
    <x v="133"/>
    <s v="MAR"/>
    <x v="58"/>
    <n v="35839760"/>
  </r>
  <r>
    <x v="133"/>
    <s v="MAR"/>
    <x v="59"/>
    <n v="36210898"/>
  </r>
  <r>
    <x v="133"/>
    <s v="MAR"/>
    <x v="60"/>
    <n v="36584208"/>
  </r>
  <r>
    <x v="133"/>
    <s v="MAR"/>
    <x v="61"/>
    <n v="36954442"/>
  </r>
  <r>
    <x v="133"/>
    <s v="MAR"/>
    <x v="62"/>
    <n v="37329064"/>
  </r>
  <r>
    <x v="133"/>
    <s v="MAR"/>
    <x v="63"/>
    <n v="37712505"/>
  </r>
  <r>
    <x v="133"/>
    <s v="MAR"/>
    <x v="64"/>
    <n v="38081173"/>
  </r>
  <r>
    <x v="134"/>
    <s v="MOZ"/>
    <x v="0"/>
    <n v="6713695"/>
  </r>
  <r>
    <x v="134"/>
    <s v="MOZ"/>
    <x v="1"/>
    <n v="6834936"/>
  </r>
  <r>
    <x v="134"/>
    <s v="MOZ"/>
    <x v="2"/>
    <n v="6969364"/>
  </r>
  <r>
    <x v="134"/>
    <s v="MOZ"/>
    <x v="3"/>
    <n v="7109828"/>
  </r>
  <r>
    <x v="134"/>
    <s v="MOZ"/>
    <x v="4"/>
    <n v="7255061"/>
  </r>
  <r>
    <x v="134"/>
    <s v="MOZ"/>
    <x v="5"/>
    <n v="7406421"/>
  </r>
  <r>
    <x v="134"/>
    <s v="MOZ"/>
    <x v="6"/>
    <n v="7562990"/>
  </r>
  <r>
    <x v="134"/>
    <s v="MOZ"/>
    <x v="7"/>
    <n v="7724550"/>
  </r>
  <r>
    <x v="134"/>
    <s v="MOZ"/>
    <x v="8"/>
    <n v="7892613"/>
  </r>
  <r>
    <x v="134"/>
    <s v="MOZ"/>
    <x v="9"/>
    <n v="8066951"/>
  </r>
  <r>
    <x v="134"/>
    <s v="MOZ"/>
    <x v="10"/>
    <n v="8250506"/>
  </r>
  <r>
    <x v="134"/>
    <s v="MOZ"/>
    <x v="11"/>
    <n v="8456317"/>
  </r>
  <r>
    <x v="134"/>
    <s v="MOZ"/>
    <x v="12"/>
    <n v="8692935"/>
  </r>
  <r>
    <x v="134"/>
    <s v="MOZ"/>
    <x v="13"/>
    <n v="8954242"/>
  </r>
  <r>
    <x v="134"/>
    <s v="MOZ"/>
    <x v="14"/>
    <n v="9236093"/>
  </r>
  <r>
    <x v="134"/>
    <s v="MOZ"/>
    <x v="15"/>
    <n v="9540817"/>
  </r>
  <r>
    <x v="134"/>
    <s v="MOZ"/>
    <x v="16"/>
    <n v="9867209"/>
  </r>
  <r>
    <x v="134"/>
    <s v="MOZ"/>
    <x v="17"/>
    <n v="10224975"/>
  </r>
  <r>
    <x v="134"/>
    <s v="MOZ"/>
    <x v="18"/>
    <n v="10618250"/>
  </r>
  <r>
    <x v="134"/>
    <s v="MOZ"/>
    <x v="19"/>
    <n v="11028809"/>
  </r>
  <r>
    <x v="134"/>
    <s v="MOZ"/>
    <x v="20"/>
    <n v="11336221"/>
  </r>
  <r>
    <x v="134"/>
    <s v="MOZ"/>
    <x v="21"/>
    <n v="11568127"/>
  </r>
  <r>
    <x v="134"/>
    <s v="MOZ"/>
    <x v="22"/>
    <n v="11824370"/>
  </r>
  <r>
    <x v="134"/>
    <s v="MOZ"/>
    <x v="23"/>
    <n v="12073822"/>
  </r>
  <r>
    <x v="134"/>
    <s v="MOZ"/>
    <x v="24"/>
    <n v="12315954"/>
  </r>
  <r>
    <x v="134"/>
    <s v="MOZ"/>
    <x v="25"/>
    <n v="12548949"/>
  </r>
  <r>
    <x v="134"/>
    <s v="MOZ"/>
    <x v="26"/>
    <n v="12770578"/>
  </r>
  <r>
    <x v="134"/>
    <s v="MOZ"/>
    <x v="27"/>
    <n v="12822574"/>
  </r>
  <r>
    <x v="134"/>
    <s v="MOZ"/>
    <x v="28"/>
    <n v="12800558"/>
  </r>
  <r>
    <x v="134"/>
    <s v="MOZ"/>
    <x v="29"/>
    <n v="12906842"/>
  </r>
  <r>
    <x v="134"/>
    <s v="MOZ"/>
    <x v="30"/>
    <n v="13094537"/>
  </r>
  <r>
    <x v="134"/>
    <s v="MOZ"/>
    <x v="31"/>
    <n v="13352090"/>
  </r>
  <r>
    <x v="134"/>
    <s v="MOZ"/>
    <x v="32"/>
    <n v="13613316"/>
  </r>
  <r>
    <x v="134"/>
    <s v="MOZ"/>
    <x v="33"/>
    <n v="14051192"/>
  </r>
  <r>
    <x v="134"/>
    <s v="MOZ"/>
    <x v="34"/>
    <n v="15033853"/>
  </r>
  <r>
    <x v="134"/>
    <s v="MOZ"/>
    <x v="35"/>
    <n v="15960530"/>
  </r>
  <r>
    <x v="134"/>
    <s v="MOZ"/>
    <x v="36"/>
    <n v="16492480"/>
  </r>
  <r>
    <x v="134"/>
    <s v="MOZ"/>
    <x v="37"/>
    <n v="16949982"/>
  </r>
  <r>
    <x v="134"/>
    <s v="MOZ"/>
    <x v="38"/>
    <n v="17340464"/>
  </r>
  <r>
    <x v="134"/>
    <s v="MOZ"/>
    <x v="39"/>
    <n v="17734506"/>
  </r>
  <r>
    <x v="134"/>
    <s v="MOZ"/>
    <x v="40"/>
    <n v="18129653"/>
  </r>
  <r>
    <x v="134"/>
    <s v="MOZ"/>
    <x v="41"/>
    <n v="18537729"/>
  </r>
  <r>
    <x v="134"/>
    <s v="MOZ"/>
    <x v="42"/>
    <n v="18958338"/>
  </r>
  <r>
    <x v="134"/>
    <s v="MOZ"/>
    <x v="43"/>
    <n v="19392475"/>
  </r>
  <r>
    <x v="134"/>
    <s v="MOZ"/>
    <x v="44"/>
    <n v="19840313"/>
  </r>
  <r>
    <x v="134"/>
    <s v="MOZ"/>
    <x v="45"/>
    <n v="20304569"/>
  </r>
  <r>
    <x v="134"/>
    <s v="MOZ"/>
    <x v="46"/>
    <n v="20787087"/>
  </r>
  <r>
    <x v="134"/>
    <s v="MOZ"/>
    <x v="47"/>
    <n v="21287635"/>
  </r>
  <r>
    <x v="134"/>
    <s v="MOZ"/>
    <x v="48"/>
    <n v="21819036"/>
  </r>
  <r>
    <x v="134"/>
    <s v="MOZ"/>
    <x v="49"/>
    <n v="22391745"/>
  </r>
  <r>
    <x v="134"/>
    <s v="MOZ"/>
    <x v="50"/>
    <n v="22999235"/>
  </r>
  <r>
    <x v="134"/>
    <s v="MOZ"/>
    <x v="51"/>
    <n v="23649039"/>
  </r>
  <r>
    <x v="134"/>
    <s v="MOZ"/>
    <x v="52"/>
    <n v="24337846"/>
  </r>
  <r>
    <x v="134"/>
    <s v="MOZ"/>
    <x v="53"/>
    <n v="25051611"/>
  </r>
  <r>
    <x v="134"/>
    <s v="MOZ"/>
    <x v="54"/>
    <n v="25788475"/>
  </r>
  <r>
    <x v="134"/>
    <s v="MOZ"/>
    <x v="55"/>
    <n v="26547572"/>
  </r>
  <r>
    <x v="134"/>
    <s v="MOZ"/>
    <x v="56"/>
    <n v="27337105"/>
  </r>
  <r>
    <x v="134"/>
    <s v="MOZ"/>
    <x v="57"/>
    <n v="28166393"/>
  </r>
  <r>
    <x v="134"/>
    <s v="MOZ"/>
    <x v="58"/>
    <n v="29018644"/>
  </r>
  <r>
    <x v="134"/>
    <s v="MOZ"/>
    <x v="59"/>
    <n v="29884380"/>
  </r>
  <r>
    <x v="134"/>
    <s v="MOZ"/>
    <x v="60"/>
    <n v="30783688"/>
  </r>
  <r>
    <x v="134"/>
    <s v="MOZ"/>
    <x v="61"/>
    <n v="31707800"/>
  </r>
  <r>
    <x v="134"/>
    <s v="MOZ"/>
    <x v="62"/>
    <n v="32656246"/>
  </r>
  <r>
    <x v="134"/>
    <s v="MOZ"/>
    <x v="63"/>
    <n v="33635160"/>
  </r>
  <r>
    <x v="134"/>
    <s v="MOZ"/>
    <x v="64"/>
    <n v="34631766"/>
  </r>
  <r>
    <x v="135"/>
    <s v="MMR"/>
    <x v="0"/>
    <n v="21730250"/>
  </r>
  <r>
    <x v="135"/>
    <s v="MMR"/>
    <x v="1"/>
    <n v="22210581"/>
  </r>
  <r>
    <x v="135"/>
    <s v="MMR"/>
    <x v="2"/>
    <n v="22704719"/>
  </r>
  <r>
    <x v="135"/>
    <s v="MMR"/>
    <x v="3"/>
    <n v="23213408"/>
  </r>
  <r>
    <x v="135"/>
    <s v="MMR"/>
    <x v="4"/>
    <n v="23737315"/>
  </r>
  <r>
    <x v="135"/>
    <s v="MMR"/>
    <x v="5"/>
    <n v="24279431"/>
  </r>
  <r>
    <x v="135"/>
    <s v="MMR"/>
    <x v="6"/>
    <n v="24836496"/>
  </r>
  <r>
    <x v="135"/>
    <s v="MMR"/>
    <x v="7"/>
    <n v="25406429"/>
  </r>
  <r>
    <x v="135"/>
    <s v="MMR"/>
    <x v="8"/>
    <n v="25989662"/>
  </r>
  <r>
    <x v="135"/>
    <s v="MMR"/>
    <x v="9"/>
    <n v="26585112"/>
  </r>
  <r>
    <x v="135"/>
    <s v="MMR"/>
    <x v="10"/>
    <n v="27193016"/>
  </r>
  <r>
    <x v="135"/>
    <s v="MMR"/>
    <x v="11"/>
    <n v="27807219"/>
  </r>
  <r>
    <x v="135"/>
    <s v="MMR"/>
    <x v="12"/>
    <n v="28428324"/>
  </r>
  <r>
    <x v="135"/>
    <s v="MMR"/>
    <x v="13"/>
    <n v="29026388"/>
  </r>
  <r>
    <x v="135"/>
    <s v="MMR"/>
    <x v="14"/>
    <n v="29598167"/>
  </r>
  <r>
    <x v="135"/>
    <s v="MMR"/>
    <x v="15"/>
    <n v="30176565"/>
  </r>
  <r>
    <x v="135"/>
    <s v="MMR"/>
    <x v="16"/>
    <n v="30758811"/>
  </r>
  <r>
    <x v="135"/>
    <s v="MMR"/>
    <x v="17"/>
    <n v="31355966"/>
  </r>
  <r>
    <x v="135"/>
    <s v="MMR"/>
    <x v="18"/>
    <n v="31972976"/>
  </r>
  <r>
    <x v="135"/>
    <s v="MMR"/>
    <x v="19"/>
    <n v="32596550"/>
  </r>
  <r>
    <x v="135"/>
    <s v="MMR"/>
    <x v="20"/>
    <n v="33227204"/>
  </r>
  <r>
    <x v="135"/>
    <s v="MMR"/>
    <x v="21"/>
    <n v="33858783"/>
  </r>
  <r>
    <x v="135"/>
    <s v="MMR"/>
    <x v="22"/>
    <n v="34482965"/>
  </r>
  <r>
    <x v="135"/>
    <s v="MMR"/>
    <x v="23"/>
    <n v="35162715"/>
  </r>
  <r>
    <x v="135"/>
    <s v="MMR"/>
    <x v="24"/>
    <n v="35899313"/>
  </r>
  <r>
    <x v="135"/>
    <s v="MMR"/>
    <x v="25"/>
    <n v="36622827"/>
  </r>
  <r>
    <x v="135"/>
    <s v="MMR"/>
    <x v="26"/>
    <n v="37314878"/>
  </r>
  <r>
    <x v="135"/>
    <s v="MMR"/>
    <x v="27"/>
    <n v="37971594"/>
  </r>
  <r>
    <x v="135"/>
    <s v="MMR"/>
    <x v="28"/>
    <n v="38600927"/>
  </r>
  <r>
    <x v="135"/>
    <s v="MMR"/>
    <x v="29"/>
    <n v="39214618"/>
  </r>
  <r>
    <x v="135"/>
    <s v="MMR"/>
    <x v="30"/>
    <n v="39817251"/>
  </r>
  <r>
    <x v="135"/>
    <s v="MMR"/>
    <x v="31"/>
    <n v="40394154"/>
  </r>
  <r>
    <x v="135"/>
    <s v="MMR"/>
    <x v="32"/>
    <n v="40950342"/>
  </r>
  <r>
    <x v="135"/>
    <s v="MMR"/>
    <x v="33"/>
    <n v="41502429"/>
  </r>
  <r>
    <x v="135"/>
    <s v="MMR"/>
    <x v="34"/>
    <n v="42055143"/>
  </r>
  <r>
    <x v="135"/>
    <s v="MMR"/>
    <x v="35"/>
    <n v="42605338"/>
  </r>
  <r>
    <x v="135"/>
    <s v="MMR"/>
    <x v="36"/>
    <n v="43154860"/>
  </r>
  <r>
    <x v="135"/>
    <s v="MMR"/>
    <x v="37"/>
    <n v="43708798"/>
  </r>
  <r>
    <x v="135"/>
    <s v="MMR"/>
    <x v="38"/>
    <n v="44257793"/>
  </r>
  <r>
    <x v="135"/>
    <s v="MMR"/>
    <x v="39"/>
    <n v="44787724"/>
  </r>
  <r>
    <x v="135"/>
    <s v="MMR"/>
    <x v="40"/>
    <n v="45290841"/>
  </r>
  <r>
    <x v="135"/>
    <s v="MMR"/>
    <x v="41"/>
    <n v="45771139"/>
  </r>
  <r>
    <x v="135"/>
    <s v="MMR"/>
    <x v="42"/>
    <n v="46232653"/>
  </r>
  <r>
    <x v="135"/>
    <s v="MMR"/>
    <x v="43"/>
    <n v="46667192"/>
  </r>
  <r>
    <x v="135"/>
    <s v="MMR"/>
    <x v="44"/>
    <n v="47068772"/>
  </r>
  <r>
    <x v="135"/>
    <s v="MMR"/>
    <x v="45"/>
    <n v="47438365"/>
  </r>
  <r>
    <x v="135"/>
    <s v="MMR"/>
    <x v="46"/>
    <n v="47785135"/>
  </r>
  <r>
    <x v="135"/>
    <s v="MMR"/>
    <x v="47"/>
    <n v="48125043"/>
  </r>
  <r>
    <x v="135"/>
    <s v="MMR"/>
    <x v="48"/>
    <n v="48390793"/>
  </r>
  <r>
    <x v="135"/>
    <s v="MMR"/>
    <x v="49"/>
    <n v="48660459"/>
  </r>
  <r>
    <x v="135"/>
    <s v="MMR"/>
    <x v="50"/>
    <n v="49024382"/>
  </r>
  <r>
    <x v="135"/>
    <s v="MMR"/>
    <x v="51"/>
    <n v="49419820"/>
  </r>
  <r>
    <x v="135"/>
    <s v="MMR"/>
    <x v="52"/>
    <n v="49837446"/>
  </r>
  <r>
    <x v="135"/>
    <s v="MMR"/>
    <x v="53"/>
    <n v="50262658"/>
  </r>
  <r>
    <x v="135"/>
    <s v="MMR"/>
    <x v="54"/>
    <n v="50681634"/>
  </r>
  <r>
    <x v="135"/>
    <s v="MMR"/>
    <x v="55"/>
    <n v="51089056"/>
  </r>
  <r>
    <x v="135"/>
    <s v="MMR"/>
    <x v="56"/>
    <n v="51495696"/>
  </r>
  <r>
    <x v="135"/>
    <s v="MMR"/>
    <x v="57"/>
    <n v="51894938"/>
  </r>
  <r>
    <x v="135"/>
    <s v="MMR"/>
    <x v="58"/>
    <n v="52272247"/>
  </r>
  <r>
    <x v="135"/>
    <s v="MMR"/>
    <x v="59"/>
    <n v="52640713"/>
  </r>
  <r>
    <x v="135"/>
    <s v="MMR"/>
    <x v="60"/>
    <n v="53016522"/>
  </r>
  <r>
    <x v="135"/>
    <s v="MMR"/>
    <x v="61"/>
    <n v="53387102"/>
  </r>
  <r>
    <x v="135"/>
    <s v="MMR"/>
    <x v="62"/>
    <n v="53756787"/>
  </r>
  <r>
    <x v="135"/>
    <s v="MMR"/>
    <x v="63"/>
    <n v="54133798"/>
  </r>
  <r>
    <x v="135"/>
    <s v="MMR"/>
    <x v="64"/>
    <n v="54500091"/>
  </r>
  <r>
    <x v="136"/>
    <s v="NAM"/>
    <x v="0"/>
    <n v="591465"/>
  </r>
  <r>
    <x v="136"/>
    <s v="NAM"/>
    <x v="1"/>
    <n v="603067"/>
  </r>
  <r>
    <x v="136"/>
    <s v="NAM"/>
    <x v="2"/>
    <n v="615759"/>
  </r>
  <r>
    <x v="136"/>
    <s v="NAM"/>
    <x v="3"/>
    <n v="629589"/>
  </r>
  <r>
    <x v="136"/>
    <s v="NAM"/>
    <x v="4"/>
    <n v="644530"/>
  </r>
  <r>
    <x v="136"/>
    <s v="NAM"/>
    <x v="5"/>
    <n v="660558"/>
  </r>
  <r>
    <x v="136"/>
    <s v="NAM"/>
    <x v="6"/>
    <n v="677655"/>
  </r>
  <r>
    <x v="136"/>
    <s v="NAM"/>
    <x v="7"/>
    <n v="696045"/>
  </r>
  <r>
    <x v="136"/>
    <s v="NAM"/>
    <x v="8"/>
    <n v="715542"/>
  </r>
  <r>
    <x v="136"/>
    <s v="NAM"/>
    <x v="9"/>
    <n v="736120"/>
  </r>
  <r>
    <x v="136"/>
    <s v="NAM"/>
    <x v="10"/>
    <n v="757868"/>
  </r>
  <r>
    <x v="136"/>
    <s v="NAM"/>
    <x v="11"/>
    <n v="780584"/>
  </r>
  <r>
    <x v="136"/>
    <s v="NAM"/>
    <x v="12"/>
    <n v="804399"/>
  </r>
  <r>
    <x v="136"/>
    <s v="NAM"/>
    <x v="13"/>
    <n v="828928"/>
  </r>
  <r>
    <x v="136"/>
    <s v="NAM"/>
    <x v="14"/>
    <n v="854320"/>
  </r>
  <r>
    <x v="136"/>
    <s v="NAM"/>
    <x v="15"/>
    <n v="881032"/>
  </r>
  <r>
    <x v="136"/>
    <s v="NAM"/>
    <x v="16"/>
    <n v="906566"/>
  </r>
  <r>
    <x v="136"/>
    <s v="NAM"/>
    <x v="17"/>
    <n v="931104"/>
  </r>
  <r>
    <x v="136"/>
    <s v="NAM"/>
    <x v="18"/>
    <n v="947269"/>
  </r>
  <r>
    <x v="136"/>
    <s v="NAM"/>
    <x v="19"/>
    <n v="962825"/>
  </r>
  <r>
    <x v="136"/>
    <s v="NAM"/>
    <x v="20"/>
    <n v="981434"/>
  </r>
  <r>
    <x v="136"/>
    <s v="NAM"/>
    <x v="21"/>
    <n v="992500"/>
  </r>
  <r>
    <x v="136"/>
    <s v="NAM"/>
    <x v="22"/>
    <n v="1010308"/>
  </r>
  <r>
    <x v="136"/>
    <s v="NAM"/>
    <x v="23"/>
    <n v="1037511"/>
  </r>
  <r>
    <x v="136"/>
    <s v="NAM"/>
    <x v="24"/>
    <n v="1065989"/>
  </r>
  <r>
    <x v="136"/>
    <s v="NAM"/>
    <x v="25"/>
    <n v="1096890"/>
  </r>
  <r>
    <x v="136"/>
    <s v="NAM"/>
    <x v="26"/>
    <n v="1131081"/>
  </r>
  <r>
    <x v="136"/>
    <s v="NAM"/>
    <x v="27"/>
    <n v="1167889"/>
  </r>
  <r>
    <x v="136"/>
    <s v="NAM"/>
    <x v="28"/>
    <n v="1209696"/>
  </r>
  <r>
    <x v="136"/>
    <s v="NAM"/>
    <x v="29"/>
    <n v="1288947"/>
  </r>
  <r>
    <x v="136"/>
    <s v="NAM"/>
    <x v="30"/>
    <n v="1369303"/>
  </r>
  <r>
    <x v="136"/>
    <s v="NAM"/>
    <x v="31"/>
    <n v="1415684"/>
  </r>
  <r>
    <x v="136"/>
    <s v="NAM"/>
    <x v="32"/>
    <n v="1461322"/>
  </r>
  <r>
    <x v="136"/>
    <s v="NAM"/>
    <x v="33"/>
    <n v="1508697"/>
  </r>
  <r>
    <x v="136"/>
    <s v="NAM"/>
    <x v="34"/>
    <n v="1556304"/>
  </r>
  <r>
    <x v="136"/>
    <s v="NAM"/>
    <x v="35"/>
    <n v="1602170"/>
  </r>
  <r>
    <x v="136"/>
    <s v="NAM"/>
    <x v="36"/>
    <n v="1646103"/>
  </r>
  <r>
    <x v="136"/>
    <s v="NAM"/>
    <x v="37"/>
    <n v="1689264"/>
  </r>
  <r>
    <x v="136"/>
    <s v="NAM"/>
    <x v="38"/>
    <n v="1732745"/>
  </r>
  <r>
    <x v="136"/>
    <s v="NAM"/>
    <x v="39"/>
    <n v="1776368"/>
  </r>
  <r>
    <x v="136"/>
    <s v="NAM"/>
    <x v="40"/>
    <n v="1818647"/>
  </r>
  <r>
    <x v="136"/>
    <s v="NAM"/>
    <x v="41"/>
    <n v="1857048"/>
  </r>
  <r>
    <x v="136"/>
    <s v="NAM"/>
    <x v="42"/>
    <n v="1889970"/>
  </r>
  <r>
    <x v="136"/>
    <s v="NAM"/>
    <x v="43"/>
    <n v="1917464"/>
  </r>
  <r>
    <x v="136"/>
    <s v="NAM"/>
    <x v="44"/>
    <n v="1942082"/>
  </r>
  <r>
    <x v="136"/>
    <s v="NAM"/>
    <x v="45"/>
    <n v="1966582"/>
  </r>
  <r>
    <x v="136"/>
    <s v="NAM"/>
    <x v="46"/>
    <n v="1991888"/>
  </r>
  <r>
    <x v="136"/>
    <s v="NAM"/>
    <x v="47"/>
    <n v="2018600"/>
  </r>
  <r>
    <x v="136"/>
    <s v="NAM"/>
    <x v="48"/>
    <n v="2047056"/>
  </r>
  <r>
    <x v="136"/>
    <s v="NAM"/>
    <x v="49"/>
    <n v="2077394"/>
  </r>
  <r>
    <x v="136"/>
    <s v="NAM"/>
    <x v="50"/>
    <n v="2109811"/>
  </r>
  <r>
    <x v="136"/>
    <s v="NAM"/>
    <x v="51"/>
    <n v="2146325"/>
  </r>
  <r>
    <x v="136"/>
    <s v="NAM"/>
    <x v="52"/>
    <n v="2194654"/>
  </r>
  <r>
    <x v="136"/>
    <s v="NAM"/>
    <x v="53"/>
    <n v="2252508"/>
  </r>
  <r>
    <x v="136"/>
    <s v="NAM"/>
    <x v="54"/>
    <n v="2312139"/>
  </r>
  <r>
    <x v="136"/>
    <s v="NAM"/>
    <x v="55"/>
    <n v="2374300"/>
  </r>
  <r>
    <x v="136"/>
    <s v="NAM"/>
    <x v="56"/>
    <n v="2439213"/>
  </r>
  <r>
    <x v="136"/>
    <s v="NAM"/>
    <x v="57"/>
    <n v="2506853"/>
  </r>
  <r>
    <x v="136"/>
    <s v="NAM"/>
    <x v="58"/>
    <n v="2577327"/>
  </r>
  <r>
    <x v="136"/>
    <s v="NAM"/>
    <x v="59"/>
    <n v="2650494"/>
  </r>
  <r>
    <x v="136"/>
    <s v="NAM"/>
    <x v="60"/>
    <n v="2728762"/>
  </r>
  <r>
    <x v="136"/>
    <s v="NAM"/>
    <x v="61"/>
    <n v="2810548"/>
  </r>
  <r>
    <x v="136"/>
    <s v="NAM"/>
    <x v="62"/>
    <n v="2889662"/>
  </r>
  <r>
    <x v="136"/>
    <s v="NAM"/>
    <x v="63"/>
    <n v="2963095"/>
  </r>
  <r>
    <x v="136"/>
    <s v="NAM"/>
    <x v="64"/>
    <n v="3030131"/>
  </r>
  <r>
    <x v="137"/>
    <s v="NRU"/>
    <x v="0"/>
    <n v="4607"/>
  </r>
  <r>
    <x v="137"/>
    <s v="NRU"/>
    <x v="1"/>
    <n v="4774"/>
  </r>
  <r>
    <x v="137"/>
    <s v="NRU"/>
    <x v="2"/>
    <n v="4979"/>
  </r>
  <r>
    <x v="137"/>
    <s v="NRU"/>
    <x v="3"/>
    <n v="5226"/>
  </r>
  <r>
    <x v="137"/>
    <s v="NRU"/>
    <x v="4"/>
    <n v="5515"/>
  </r>
  <r>
    <x v="137"/>
    <s v="NRU"/>
    <x v="5"/>
    <n v="5832"/>
  </r>
  <r>
    <x v="137"/>
    <s v="NRU"/>
    <x v="6"/>
    <n v="6043"/>
  </r>
  <r>
    <x v="137"/>
    <s v="NRU"/>
    <x v="7"/>
    <n v="6135"/>
  </r>
  <r>
    <x v="137"/>
    <s v="NRU"/>
    <x v="8"/>
    <n v="6328"/>
  </r>
  <r>
    <x v="137"/>
    <s v="NRU"/>
    <x v="9"/>
    <n v="6581"/>
  </r>
  <r>
    <x v="137"/>
    <s v="NRU"/>
    <x v="10"/>
    <n v="6710"/>
  </r>
  <r>
    <x v="137"/>
    <s v="NRU"/>
    <x v="11"/>
    <n v="6762"/>
  </r>
  <r>
    <x v="137"/>
    <s v="NRU"/>
    <x v="12"/>
    <n v="6812"/>
  </r>
  <r>
    <x v="137"/>
    <s v="NRU"/>
    <x v="13"/>
    <n v="6866"/>
  </r>
  <r>
    <x v="137"/>
    <s v="NRU"/>
    <x v="14"/>
    <n v="6923"/>
  </r>
  <r>
    <x v="137"/>
    <s v="NRU"/>
    <x v="15"/>
    <n v="6987"/>
  </r>
  <r>
    <x v="137"/>
    <s v="NRU"/>
    <x v="16"/>
    <n v="7064"/>
  </r>
  <r>
    <x v="137"/>
    <s v="NRU"/>
    <x v="17"/>
    <n v="7163"/>
  </r>
  <r>
    <x v="137"/>
    <s v="NRU"/>
    <x v="18"/>
    <n v="7298"/>
  </r>
  <r>
    <x v="137"/>
    <s v="NRU"/>
    <x v="19"/>
    <n v="7468"/>
  </r>
  <r>
    <x v="137"/>
    <s v="NRU"/>
    <x v="20"/>
    <n v="7649"/>
  </r>
  <r>
    <x v="137"/>
    <s v="NRU"/>
    <x v="21"/>
    <n v="7839"/>
  </r>
  <r>
    <x v="137"/>
    <s v="NRU"/>
    <x v="22"/>
    <n v="8040"/>
  </r>
  <r>
    <x v="137"/>
    <s v="NRU"/>
    <x v="23"/>
    <n v="8216"/>
  </r>
  <r>
    <x v="137"/>
    <s v="NRU"/>
    <x v="24"/>
    <n v="8377"/>
  </r>
  <r>
    <x v="137"/>
    <s v="NRU"/>
    <x v="25"/>
    <n v="8551"/>
  </r>
  <r>
    <x v="137"/>
    <s v="NRU"/>
    <x v="26"/>
    <n v="8742"/>
  </r>
  <r>
    <x v="137"/>
    <s v="NRU"/>
    <x v="27"/>
    <n v="8946"/>
  </r>
  <r>
    <x v="137"/>
    <s v="NRU"/>
    <x v="28"/>
    <n v="9165"/>
  </r>
  <r>
    <x v="137"/>
    <s v="NRU"/>
    <x v="29"/>
    <n v="9390"/>
  </r>
  <r>
    <x v="137"/>
    <s v="NRU"/>
    <x v="30"/>
    <n v="9622"/>
  </r>
  <r>
    <x v="137"/>
    <s v="NRU"/>
    <x v="31"/>
    <n v="9850"/>
  </r>
  <r>
    <x v="137"/>
    <s v="NRU"/>
    <x v="32"/>
    <n v="10021"/>
  </r>
  <r>
    <x v="137"/>
    <s v="NRU"/>
    <x v="33"/>
    <n v="10102"/>
  </r>
  <r>
    <x v="137"/>
    <s v="NRU"/>
    <x v="34"/>
    <n v="10137"/>
  </r>
  <r>
    <x v="137"/>
    <s v="NRU"/>
    <x v="35"/>
    <n v="10165"/>
  </r>
  <r>
    <x v="137"/>
    <s v="NRU"/>
    <x v="36"/>
    <n v="10183"/>
  </r>
  <r>
    <x v="137"/>
    <s v="NRU"/>
    <x v="37"/>
    <n v="10197"/>
  </r>
  <r>
    <x v="137"/>
    <s v="NRU"/>
    <x v="38"/>
    <n v="10198"/>
  </r>
  <r>
    <x v="137"/>
    <s v="NRU"/>
    <x v="39"/>
    <n v="10187"/>
  </r>
  <r>
    <x v="137"/>
    <s v="NRU"/>
    <x v="40"/>
    <n v="10168"/>
  </r>
  <r>
    <x v="137"/>
    <s v="NRU"/>
    <x v="41"/>
    <n v="10130"/>
  </r>
  <r>
    <x v="137"/>
    <s v="NRU"/>
    <x v="42"/>
    <n v="10082"/>
  </r>
  <r>
    <x v="137"/>
    <s v="NRU"/>
    <x v="43"/>
    <n v="10059"/>
  </r>
  <r>
    <x v="137"/>
    <s v="NRU"/>
    <x v="44"/>
    <n v="10060"/>
  </r>
  <r>
    <x v="137"/>
    <s v="NRU"/>
    <x v="45"/>
    <n v="10049"/>
  </r>
  <r>
    <x v="137"/>
    <s v="NRU"/>
    <x v="46"/>
    <n v="10034"/>
  </r>
  <r>
    <x v="137"/>
    <s v="NRU"/>
    <x v="47"/>
    <n v="10020"/>
  </r>
  <r>
    <x v="137"/>
    <s v="NRU"/>
    <x v="48"/>
    <n v="10009"/>
  </r>
  <r>
    <x v="137"/>
    <s v="NRU"/>
    <x v="49"/>
    <n v="10016"/>
  </r>
  <r>
    <x v="137"/>
    <s v="NRU"/>
    <x v="50"/>
    <n v="10043"/>
  </r>
  <r>
    <x v="137"/>
    <s v="NRU"/>
    <x v="51"/>
    <n v="10098"/>
  </r>
  <r>
    <x v="137"/>
    <s v="NRU"/>
    <x v="52"/>
    <n v="10267"/>
  </r>
  <r>
    <x v="137"/>
    <s v="NRU"/>
    <x v="53"/>
    <n v="10517"/>
  </r>
  <r>
    <x v="137"/>
    <s v="NRU"/>
    <x v="54"/>
    <n v="10742"/>
  </r>
  <r>
    <x v="137"/>
    <s v="NRU"/>
    <x v="55"/>
    <n v="10954"/>
  </r>
  <r>
    <x v="137"/>
    <s v="NRU"/>
    <x v="56"/>
    <n v="11150"/>
  </r>
  <r>
    <x v="137"/>
    <s v="NRU"/>
    <x v="57"/>
    <n v="11324"/>
  </r>
  <r>
    <x v="137"/>
    <s v="NRU"/>
    <x v="58"/>
    <n v="11477"/>
  </r>
  <r>
    <x v="137"/>
    <s v="NRU"/>
    <x v="59"/>
    <n v="11587"/>
  </r>
  <r>
    <x v="137"/>
    <s v="NRU"/>
    <x v="60"/>
    <n v="11643"/>
  </r>
  <r>
    <x v="137"/>
    <s v="NRU"/>
    <x v="61"/>
    <n v="11709"/>
  </r>
  <r>
    <x v="137"/>
    <s v="NRU"/>
    <x v="62"/>
    <n v="11801"/>
  </r>
  <r>
    <x v="137"/>
    <s v="NRU"/>
    <x v="63"/>
    <n v="11875"/>
  </r>
  <r>
    <x v="137"/>
    <s v="NRU"/>
    <x v="64"/>
    <n v="11947"/>
  </r>
  <r>
    <x v="138"/>
    <s v="NPL"/>
    <x v="0"/>
    <n v="10123658"/>
  </r>
  <r>
    <x v="138"/>
    <s v="NPL"/>
    <x v="1"/>
    <n v="10318396"/>
  </r>
  <r>
    <x v="138"/>
    <s v="NPL"/>
    <x v="2"/>
    <n v="10521116"/>
  </r>
  <r>
    <x v="138"/>
    <s v="NPL"/>
    <x v="3"/>
    <n v="10729818"/>
  </r>
  <r>
    <x v="138"/>
    <s v="NPL"/>
    <x v="4"/>
    <n v="10946392"/>
  </r>
  <r>
    <x v="138"/>
    <s v="NPL"/>
    <x v="5"/>
    <n v="11173411"/>
  </r>
  <r>
    <x v="138"/>
    <s v="NPL"/>
    <x v="6"/>
    <n v="11408710"/>
  </r>
  <r>
    <x v="138"/>
    <s v="NPL"/>
    <x v="7"/>
    <n v="11652716"/>
  </r>
  <r>
    <x v="138"/>
    <s v="NPL"/>
    <x v="8"/>
    <n v="11906266"/>
  </r>
  <r>
    <x v="138"/>
    <s v="NPL"/>
    <x v="9"/>
    <n v="12167036"/>
  </r>
  <r>
    <x v="138"/>
    <s v="NPL"/>
    <x v="10"/>
    <n v="12436190"/>
  </r>
  <r>
    <x v="138"/>
    <s v="NPL"/>
    <x v="11"/>
    <n v="12710061"/>
  </r>
  <r>
    <x v="138"/>
    <s v="NPL"/>
    <x v="12"/>
    <n v="12989099"/>
  </r>
  <r>
    <x v="138"/>
    <s v="NPL"/>
    <x v="13"/>
    <n v="13275239"/>
  </r>
  <r>
    <x v="138"/>
    <s v="NPL"/>
    <x v="14"/>
    <n v="13568435"/>
  </r>
  <r>
    <x v="138"/>
    <s v="NPL"/>
    <x v="15"/>
    <n v="13870695"/>
  </r>
  <r>
    <x v="138"/>
    <s v="NPL"/>
    <x v="16"/>
    <n v="14177649"/>
  </r>
  <r>
    <x v="138"/>
    <s v="NPL"/>
    <x v="17"/>
    <n v="14499175"/>
  </r>
  <r>
    <x v="138"/>
    <s v="NPL"/>
    <x v="18"/>
    <n v="14839695"/>
  </r>
  <r>
    <x v="138"/>
    <s v="NPL"/>
    <x v="19"/>
    <n v="15190590"/>
  </r>
  <r>
    <x v="138"/>
    <s v="NPL"/>
    <x v="20"/>
    <n v="15553105"/>
  </r>
  <r>
    <x v="138"/>
    <s v="NPL"/>
    <x v="21"/>
    <n v="15922423"/>
  </r>
  <r>
    <x v="138"/>
    <s v="NPL"/>
    <x v="22"/>
    <n v="16297987"/>
  </r>
  <r>
    <x v="138"/>
    <s v="NPL"/>
    <x v="23"/>
    <n v="16689119"/>
  </r>
  <r>
    <x v="138"/>
    <s v="NPL"/>
    <x v="24"/>
    <n v="17085242"/>
  </r>
  <r>
    <x v="138"/>
    <s v="NPL"/>
    <x v="25"/>
    <n v="17477692"/>
  </r>
  <r>
    <x v="138"/>
    <s v="NPL"/>
    <x v="26"/>
    <n v="17868124"/>
  </r>
  <r>
    <x v="138"/>
    <s v="NPL"/>
    <x v="27"/>
    <n v="18250505"/>
  </r>
  <r>
    <x v="138"/>
    <s v="NPL"/>
    <x v="28"/>
    <n v="18638661"/>
  </r>
  <r>
    <x v="138"/>
    <s v="NPL"/>
    <x v="29"/>
    <n v="19057807"/>
  </r>
  <r>
    <x v="138"/>
    <s v="NPL"/>
    <x v="30"/>
    <n v="19524573"/>
  </r>
  <r>
    <x v="138"/>
    <s v="NPL"/>
    <x v="31"/>
    <n v="20036500"/>
  </r>
  <r>
    <x v="138"/>
    <s v="NPL"/>
    <x v="32"/>
    <n v="20609707"/>
  </r>
  <r>
    <x v="138"/>
    <s v="NPL"/>
    <x v="33"/>
    <n v="21180159"/>
  </r>
  <r>
    <x v="138"/>
    <s v="NPL"/>
    <x v="34"/>
    <n v="21717479"/>
  </r>
  <r>
    <x v="138"/>
    <s v="NPL"/>
    <x v="35"/>
    <n v="22245439"/>
  </r>
  <r>
    <x v="138"/>
    <s v="NPL"/>
    <x v="36"/>
    <n v="22741862"/>
  </r>
  <r>
    <x v="138"/>
    <s v="NPL"/>
    <x v="37"/>
    <n v="23219463"/>
  </r>
  <r>
    <x v="138"/>
    <s v="NPL"/>
    <x v="38"/>
    <n v="23680357"/>
  </r>
  <r>
    <x v="138"/>
    <s v="NPL"/>
    <x v="39"/>
    <n v="24125199"/>
  </r>
  <r>
    <x v="138"/>
    <s v="NPL"/>
    <x v="40"/>
    <n v="24546509"/>
  </r>
  <r>
    <x v="138"/>
    <s v="NPL"/>
    <x v="41"/>
    <n v="24946748"/>
  </r>
  <r>
    <x v="138"/>
    <s v="NPL"/>
    <x v="42"/>
    <n v="25328981"/>
  </r>
  <r>
    <x v="138"/>
    <s v="NPL"/>
    <x v="43"/>
    <n v="25688758"/>
  </r>
  <r>
    <x v="138"/>
    <s v="NPL"/>
    <x v="44"/>
    <n v="26016656"/>
  </r>
  <r>
    <x v="138"/>
    <s v="NPL"/>
    <x v="45"/>
    <n v="26309458"/>
  </r>
  <r>
    <x v="138"/>
    <s v="NPL"/>
    <x v="46"/>
    <n v="26565425"/>
  </r>
  <r>
    <x v="138"/>
    <s v="NPL"/>
    <x v="47"/>
    <n v="26788492"/>
  </r>
  <r>
    <x v="138"/>
    <s v="NPL"/>
    <x v="48"/>
    <n v="26990037"/>
  </r>
  <r>
    <x v="138"/>
    <s v="NPL"/>
    <x v="49"/>
    <n v="27173035"/>
  </r>
  <r>
    <x v="138"/>
    <s v="NPL"/>
    <x v="50"/>
    <n v="27341952"/>
  </r>
  <r>
    <x v="138"/>
    <s v="NPL"/>
    <x v="51"/>
    <n v="27464494"/>
  </r>
  <r>
    <x v="138"/>
    <s v="NPL"/>
    <x v="52"/>
    <n v="27534915"/>
  </r>
  <r>
    <x v="138"/>
    <s v="NPL"/>
    <x v="53"/>
    <n v="27589996"/>
  </r>
  <r>
    <x v="138"/>
    <s v="NPL"/>
    <x v="54"/>
    <n v="27672370"/>
  </r>
  <r>
    <x v="138"/>
    <s v="NPL"/>
    <x v="55"/>
    <n v="27823629"/>
  </r>
  <r>
    <x v="138"/>
    <s v="NPL"/>
    <x v="56"/>
    <n v="27955462"/>
  </r>
  <r>
    <x v="138"/>
    <s v="NPL"/>
    <x v="57"/>
    <n v="28011258"/>
  </r>
  <r>
    <x v="138"/>
    <s v="NPL"/>
    <x v="58"/>
    <n v="28079689"/>
  </r>
  <r>
    <x v="138"/>
    <s v="NPL"/>
    <x v="59"/>
    <n v="28414064"/>
  </r>
  <r>
    <x v="138"/>
    <s v="NPL"/>
    <x v="60"/>
    <n v="28966574"/>
  </r>
  <r>
    <x v="138"/>
    <s v="NPL"/>
    <x v="61"/>
    <n v="29475010"/>
  </r>
  <r>
    <x v="138"/>
    <s v="NPL"/>
    <x v="62"/>
    <n v="29715436"/>
  </r>
  <r>
    <x v="138"/>
    <s v="NPL"/>
    <x v="63"/>
    <n v="29694614"/>
  </r>
  <r>
    <x v="138"/>
    <s v="NPL"/>
    <x v="64"/>
    <n v="29651054"/>
  </r>
  <r>
    <x v="139"/>
    <s v="NLD"/>
    <x v="0"/>
    <n v="11486631"/>
  </r>
  <r>
    <x v="139"/>
    <s v="NLD"/>
    <x v="1"/>
    <n v="11638712"/>
  </r>
  <r>
    <x v="139"/>
    <s v="NLD"/>
    <x v="2"/>
    <n v="11805689"/>
  </r>
  <r>
    <x v="139"/>
    <s v="NLD"/>
    <x v="3"/>
    <n v="11965966"/>
  </r>
  <r>
    <x v="139"/>
    <s v="NLD"/>
    <x v="4"/>
    <n v="12127120"/>
  </r>
  <r>
    <x v="139"/>
    <s v="NLD"/>
    <x v="5"/>
    <n v="12294732"/>
  </r>
  <r>
    <x v="139"/>
    <s v="NLD"/>
    <x v="6"/>
    <n v="12456251"/>
  </r>
  <r>
    <x v="139"/>
    <s v="NLD"/>
    <x v="7"/>
    <n v="12598201"/>
  </r>
  <r>
    <x v="139"/>
    <s v="NLD"/>
    <x v="8"/>
    <n v="12729721"/>
  </r>
  <r>
    <x v="139"/>
    <s v="NLD"/>
    <x v="9"/>
    <n v="12877984"/>
  </r>
  <r>
    <x v="139"/>
    <s v="NLD"/>
    <x v="10"/>
    <n v="13038526"/>
  </r>
  <r>
    <x v="139"/>
    <s v="NLD"/>
    <x v="11"/>
    <n v="13194497"/>
  </r>
  <r>
    <x v="139"/>
    <s v="NLD"/>
    <x v="12"/>
    <n v="13328593"/>
  </r>
  <r>
    <x v="139"/>
    <s v="NLD"/>
    <x v="13"/>
    <n v="13439322"/>
  </r>
  <r>
    <x v="139"/>
    <s v="NLD"/>
    <x v="14"/>
    <n v="13545056"/>
  </r>
  <r>
    <x v="139"/>
    <s v="NLD"/>
    <x v="15"/>
    <n v="13666335"/>
  </r>
  <r>
    <x v="139"/>
    <s v="NLD"/>
    <x v="16"/>
    <n v="13774037"/>
  </r>
  <r>
    <x v="139"/>
    <s v="NLD"/>
    <x v="17"/>
    <n v="13856185"/>
  </r>
  <r>
    <x v="139"/>
    <s v="NLD"/>
    <x v="18"/>
    <n v="13941700"/>
  </r>
  <r>
    <x v="139"/>
    <s v="NLD"/>
    <x v="19"/>
    <n v="14038270"/>
  </r>
  <r>
    <x v="139"/>
    <s v="NLD"/>
    <x v="20"/>
    <n v="14149800"/>
  </r>
  <r>
    <x v="139"/>
    <s v="NLD"/>
    <x v="21"/>
    <n v="14247208"/>
  </r>
  <r>
    <x v="139"/>
    <s v="NLD"/>
    <x v="22"/>
    <n v="14312690"/>
  </r>
  <r>
    <x v="139"/>
    <s v="NLD"/>
    <x v="23"/>
    <n v="14367070"/>
  </r>
  <r>
    <x v="139"/>
    <s v="NLD"/>
    <x v="24"/>
    <n v="14424211"/>
  </r>
  <r>
    <x v="139"/>
    <s v="NLD"/>
    <x v="25"/>
    <n v="14491632"/>
  </r>
  <r>
    <x v="139"/>
    <s v="NLD"/>
    <x v="26"/>
    <n v="14572278"/>
  </r>
  <r>
    <x v="139"/>
    <s v="NLD"/>
    <x v="27"/>
    <n v="14665037"/>
  </r>
  <r>
    <x v="139"/>
    <s v="NLD"/>
    <x v="28"/>
    <n v="14760094"/>
  </r>
  <r>
    <x v="139"/>
    <s v="NLD"/>
    <x v="29"/>
    <n v="14848907"/>
  </r>
  <r>
    <x v="139"/>
    <s v="NLD"/>
    <x v="30"/>
    <n v="14951510"/>
  </r>
  <r>
    <x v="139"/>
    <s v="NLD"/>
    <x v="31"/>
    <n v="15069798"/>
  </r>
  <r>
    <x v="139"/>
    <s v="NLD"/>
    <x v="32"/>
    <n v="15184166"/>
  </r>
  <r>
    <x v="139"/>
    <s v="NLD"/>
    <x v="33"/>
    <n v="15290368"/>
  </r>
  <r>
    <x v="139"/>
    <s v="NLD"/>
    <x v="34"/>
    <n v="15382838"/>
  </r>
  <r>
    <x v="139"/>
    <s v="NLD"/>
    <x v="35"/>
    <n v="15459006"/>
  </r>
  <r>
    <x v="139"/>
    <s v="NLD"/>
    <x v="36"/>
    <n v="15530498"/>
  </r>
  <r>
    <x v="139"/>
    <s v="NLD"/>
    <x v="37"/>
    <n v="15610650"/>
  </r>
  <r>
    <x v="139"/>
    <s v="NLD"/>
    <x v="38"/>
    <n v="15707209"/>
  </r>
  <r>
    <x v="139"/>
    <s v="NLD"/>
    <x v="39"/>
    <n v="15812088"/>
  </r>
  <r>
    <x v="139"/>
    <s v="NLD"/>
    <x v="40"/>
    <n v="15925513"/>
  </r>
  <r>
    <x v="139"/>
    <s v="NLD"/>
    <x v="41"/>
    <n v="16046180"/>
  </r>
  <r>
    <x v="139"/>
    <s v="NLD"/>
    <x v="42"/>
    <n v="16148929"/>
  </r>
  <r>
    <x v="139"/>
    <s v="NLD"/>
    <x v="43"/>
    <n v="16225302"/>
  </r>
  <r>
    <x v="139"/>
    <s v="NLD"/>
    <x v="44"/>
    <n v="16281779"/>
  </r>
  <r>
    <x v="139"/>
    <s v="NLD"/>
    <x v="45"/>
    <n v="16319868"/>
  </r>
  <r>
    <x v="139"/>
    <s v="NLD"/>
    <x v="46"/>
    <n v="16346101"/>
  </r>
  <r>
    <x v="139"/>
    <s v="NLD"/>
    <x v="47"/>
    <n v="16381696"/>
  </r>
  <r>
    <x v="139"/>
    <s v="NLD"/>
    <x v="48"/>
    <n v="16445593"/>
  </r>
  <r>
    <x v="139"/>
    <s v="NLD"/>
    <x v="49"/>
    <n v="16530388"/>
  </r>
  <r>
    <x v="139"/>
    <s v="NLD"/>
    <x v="50"/>
    <n v="16615394"/>
  </r>
  <r>
    <x v="139"/>
    <s v="NLD"/>
    <x v="51"/>
    <n v="16693074"/>
  </r>
  <r>
    <x v="139"/>
    <s v="NLD"/>
    <x v="52"/>
    <n v="16754962"/>
  </r>
  <r>
    <x v="139"/>
    <s v="NLD"/>
    <x v="53"/>
    <n v="16804432"/>
  </r>
  <r>
    <x v="139"/>
    <s v="NLD"/>
    <x v="54"/>
    <n v="16865008"/>
  </r>
  <r>
    <x v="139"/>
    <s v="NLD"/>
    <x v="55"/>
    <n v="16939923"/>
  </r>
  <r>
    <x v="139"/>
    <s v="NLD"/>
    <x v="56"/>
    <n v="17030314"/>
  </r>
  <r>
    <x v="139"/>
    <s v="NLD"/>
    <x v="57"/>
    <n v="17131296"/>
  </r>
  <r>
    <x v="139"/>
    <s v="NLD"/>
    <x v="58"/>
    <n v="17231624"/>
  </r>
  <r>
    <x v="139"/>
    <s v="NLD"/>
    <x v="59"/>
    <n v="17344874"/>
  </r>
  <r>
    <x v="139"/>
    <s v="NLD"/>
    <x v="60"/>
    <n v="17441500"/>
  </r>
  <r>
    <x v="139"/>
    <s v="NLD"/>
    <x v="61"/>
    <n v="17533044"/>
  </r>
  <r>
    <x v="139"/>
    <s v="NLD"/>
    <x v="62"/>
    <n v="17700982"/>
  </r>
  <r>
    <x v="139"/>
    <s v="NLD"/>
    <x v="63"/>
    <n v="17877117"/>
  </r>
  <r>
    <x v="139"/>
    <s v="NLD"/>
    <x v="64"/>
    <n v="17994237"/>
  </r>
  <r>
    <x v="140"/>
    <s v="NCL"/>
    <x v="0"/>
    <n v="79819"/>
  </r>
  <r>
    <x v="140"/>
    <s v="NCL"/>
    <x v="1"/>
    <n v="82521"/>
  </r>
  <r>
    <x v="140"/>
    <s v="NCL"/>
    <x v="2"/>
    <n v="85334"/>
  </r>
  <r>
    <x v="140"/>
    <s v="NCL"/>
    <x v="3"/>
    <n v="88050"/>
  </r>
  <r>
    <x v="140"/>
    <s v="NCL"/>
    <x v="4"/>
    <n v="90602"/>
  </r>
  <r>
    <x v="140"/>
    <s v="NCL"/>
    <x v="5"/>
    <n v="93159"/>
  </r>
  <r>
    <x v="140"/>
    <s v="NCL"/>
    <x v="6"/>
    <n v="95820"/>
  </r>
  <r>
    <x v="140"/>
    <s v="NCL"/>
    <x v="7"/>
    <n v="98587"/>
  </r>
  <r>
    <x v="140"/>
    <s v="NCL"/>
    <x v="8"/>
    <n v="101441"/>
  </r>
  <r>
    <x v="140"/>
    <s v="NCL"/>
    <x v="9"/>
    <n v="104849"/>
  </r>
  <r>
    <x v="140"/>
    <s v="NCL"/>
    <x v="10"/>
    <n v="109338"/>
  </r>
  <r>
    <x v="140"/>
    <s v="NCL"/>
    <x v="11"/>
    <n v="114514"/>
  </r>
  <r>
    <x v="140"/>
    <s v="NCL"/>
    <x v="12"/>
    <n v="119931"/>
  </r>
  <r>
    <x v="140"/>
    <s v="NCL"/>
    <x v="13"/>
    <n v="125585"/>
  </r>
  <r>
    <x v="140"/>
    <s v="NCL"/>
    <x v="14"/>
    <n v="131452"/>
  </r>
  <r>
    <x v="140"/>
    <s v="NCL"/>
    <x v="15"/>
    <n v="137462"/>
  </r>
  <r>
    <x v="140"/>
    <s v="NCL"/>
    <x v="16"/>
    <n v="142091"/>
  </r>
  <r>
    <x v="140"/>
    <s v="NCL"/>
    <x v="17"/>
    <n v="144599"/>
  </r>
  <r>
    <x v="140"/>
    <s v="NCL"/>
    <x v="18"/>
    <n v="146392"/>
  </r>
  <r>
    <x v="140"/>
    <s v="NCL"/>
    <x v="19"/>
    <n v="148132"/>
  </r>
  <r>
    <x v="140"/>
    <s v="NCL"/>
    <x v="20"/>
    <n v="149817"/>
  </r>
  <r>
    <x v="140"/>
    <s v="NCL"/>
    <x v="21"/>
    <n v="151441"/>
  </r>
  <r>
    <x v="140"/>
    <s v="NCL"/>
    <x v="22"/>
    <n v="153001"/>
  </r>
  <r>
    <x v="140"/>
    <s v="NCL"/>
    <x v="23"/>
    <n v="155003"/>
  </r>
  <r>
    <x v="140"/>
    <s v="NCL"/>
    <x v="24"/>
    <n v="157583"/>
  </r>
  <r>
    <x v="140"/>
    <s v="NCL"/>
    <x v="25"/>
    <n v="160234"/>
  </r>
  <r>
    <x v="140"/>
    <s v="NCL"/>
    <x v="26"/>
    <n v="162898"/>
  </r>
  <r>
    <x v="140"/>
    <s v="NCL"/>
    <x v="27"/>
    <n v="165650"/>
  </r>
  <r>
    <x v="140"/>
    <s v="NCL"/>
    <x v="28"/>
    <n v="168502"/>
  </r>
  <r>
    <x v="140"/>
    <s v="NCL"/>
    <x v="29"/>
    <n v="172029"/>
  </r>
  <r>
    <x v="140"/>
    <s v="NCL"/>
    <x v="30"/>
    <n v="176456"/>
  </r>
  <r>
    <x v="140"/>
    <s v="NCL"/>
    <x v="31"/>
    <n v="181238"/>
  </r>
  <r>
    <x v="140"/>
    <s v="NCL"/>
    <x v="32"/>
    <n v="186072"/>
  </r>
  <r>
    <x v="140"/>
    <s v="NCL"/>
    <x v="33"/>
    <n v="190857"/>
  </r>
  <r>
    <x v="140"/>
    <s v="NCL"/>
    <x v="34"/>
    <n v="195614"/>
  </r>
  <r>
    <x v="140"/>
    <s v="NCL"/>
    <x v="35"/>
    <n v="200379"/>
  </r>
  <r>
    <x v="140"/>
    <s v="NCL"/>
    <x v="36"/>
    <n v="205034"/>
  </r>
  <r>
    <x v="140"/>
    <s v="NCL"/>
    <x v="37"/>
    <n v="209560"/>
  </r>
  <r>
    <x v="140"/>
    <s v="NCL"/>
    <x v="38"/>
    <n v="214047"/>
  </r>
  <r>
    <x v="140"/>
    <s v="NCL"/>
    <x v="39"/>
    <n v="218527"/>
  </r>
  <r>
    <x v="140"/>
    <s v="NCL"/>
    <x v="40"/>
    <n v="223098"/>
  </r>
  <r>
    <x v="140"/>
    <s v="NCL"/>
    <x v="41"/>
    <n v="227707"/>
  </r>
  <r>
    <x v="140"/>
    <s v="NCL"/>
    <x v="42"/>
    <n v="232236"/>
  </r>
  <r>
    <x v="140"/>
    <s v="NCL"/>
    <x v="43"/>
    <n v="236678"/>
  </r>
  <r>
    <x v="140"/>
    <s v="NCL"/>
    <x v="44"/>
    <n v="240852"/>
  </r>
  <r>
    <x v="140"/>
    <s v="NCL"/>
    <x v="45"/>
    <n v="244381"/>
  </r>
  <r>
    <x v="140"/>
    <s v="NCL"/>
    <x v="46"/>
    <n v="247547"/>
  </r>
  <r>
    <x v="140"/>
    <s v="NCL"/>
    <x v="47"/>
    <n v="250725"/>
  </r>
  <r>
    <x v="140"/>
    <s v="NCL"/>
    <x v="48"/>
    <n v="253825"/>
  </r>
  <r>
    <x v="140"/>
    <s v="NCL"/>
    <x v="49"/>
    <n v="257250"/>
  </r>
  <r>
    <x v="140"/>
    <s v="NCL"/>
    <x v="50"/>
    <n v="261582"/>
  </r>
  <r>
    <x v="140"/>
    <s v="NCL"/>
    <x v="51"/>
    <n v="266543"/>
  </r>
  <r>
    <x v="140"/>
    <s v="NCL"/>
    <x v="52"/>
    <n v="271633"/>
  </r>
  <r>
    <x v="140"/>
    <s v="NCL"/>
    <x v="53"/>
    <n v="276822"/>
  </r>
  <r>
    <x v="140"/>
    <s v="NCL"/>
    <x v="54"/>
    <n v="281224"/>
  </r>
  <r>
    <x v="140"/>
    <s v="NCL"/>
    <x v="55"/>
    <n v="283168"/>
  </r>
  <r>
    <x v="140"/>
    <s v="NCL"/>
    <x v="56"/>
    <n v="283423"/>
  </r>
  <r>
    <x v="140"/>
    <s v="NCL"/>
    <x v="57"/>
    <n v="283546"/>
  </r>
  <r>
    <x v="140"/>
    <s v="NCL"/>
    <x v="58"/>
    <n v="283541"/>
  </r>
  <r>
    <x v="140"/>
    <s v="NCL"/>
    <x v="59"/>
    <n v="283606"/>
  </r>
  <r>
    <x v="140"/>
    <s v="NCL"/>
    <x v="60"/>
    <n v="284176"/>
  </r>
  <r>
    <x v="140"/>
    <s v="NCL"/>
    <x v="61"/>
    <n v="285214"/>
  </r>
  <r>
    <x v="140"/>
    <s v="NCL"/>
    <x v="62"/>
    <n v="287123"/>
  </r>
  <r>
    <x v="140"/>
    <s v="NCL"/>
    <x v="63"/>
    <n v="289870"/>
  </r>
  <r>
    <x v="140"/>
    <s v="NCL"/>
    <x v="64"/>
    <n v="292639"/>
  </r>
  <r>
    <x v="141"/>
    <s v="NZL"/>
    <x v="0"/>
    <n v="2371800"/>
  </r>
  <r>
    <x v="141"/>
    <s v="NZL"/>
    <x v="1"/>
    <n v="2419700"/>
  </r>
  <r>
    <x v="141"/>
    <s v="NZL"/>
    <x v="2"/>
    <n v="2482000"/>
  </r>
  <r>
    <x v="141"/>
    <s v="NZL"/>
    <x v="3"/>
    <n v="2531800"/>
  </r>
  <r>
    <x v="141"/>
    <s v="NZL"/>
    <x v="4"/>
    <n v="2585400"/>
  </r>
  <r>
    <x v="141"/>
    <s v="NZL"/>
    <x v="5"/>
    <n v="2628400"/>
  </r>
  <r>
    <x v="141"/>
    <s v="NZL"/>
    <x v="6"/>
    <n v="2675900"/>
  </r>
  <r>
    <x v="141"/>
    <s v="NZL"/>
    <x v="7"/>
    <n v="2724100"/>
  </r>
  <r>
    <x v="141"/>
    <s v="NZL"/>
    <x v="8"/>
    <n v="2748100"/>
  </r>
  <r>
    <x v="141"/>
    <s v="NZL"/>
    <x v="9"/>
    <n v="2772800"/>
  </r>
  <r>
    <x v="141"/>
    <s v="NZL"/>
    <x v="10"/>
    <n v="2810700"/>
  </r>
  <r>
    <x v="141"/>
    <s v="NZL"/>
    <x v="11"/>
    <n v="2853000"/>
  </r>
  <r>
    <x v="141"/>
    <s v="NZL"/>
    <x v="12"/>
    <n v="2903900"/>
  </r>
  <r>
    <x v="141"/>
    <s v="NZL"/>
    <x v="13"/>
    <n v="2961300"/>
  </r>
  <r>
    <x v="141"/>
    <s v="NZL"/>
    <x v="14"/>
    <n v="3023700"/>
  </r>
  <r>
    <x v="141"/>
    <s v="NZL"/>
    <x v="15"/>
    <n v="3083100"/>
  </r>
  <r>
    <x v="141"/>
    <s v="NZL"/>
    <x v="16"/>
    <n v="3110500"/>
  </r>
  <r>
    <x v="141"/>
    <s v="NZL"/>
    <x v="17"/>
    <n v="3120200"/>
  </r>
  <r>
    <x v="141"/>
    <s v="NZL"/>
    <x v="18"/>
    <n v="3121200"/>
  </r>
  <r>
    <x v="141"/>
    <s v="NZL"/>
    <x v="19"/>
    <n v="3109000"/>
  </r>
  <r>
    <x v="141"/>
    <s v="NZL"/>
    <x v="20"/>
    <n v="3112900"/>
  </r>
  <r>
    <x v="141"/>
    <s v="NZL"/>
    <x v="21"/>
    <n v="3124900"/>
  </r>
  <r>
    <x v="141"/>
    <s v="NZL"/>
    <x v="22"/>
    <n v="3156100"/>
  </r>
  <r>
    <x v="141"/>
    <s v="NZL"/>
    <x v="23"/>
    <n v="3199300"/>
  </r>
  <r>
    <x v="141"/>
    <s v="NZL"/>
    <x v="24"/>
    <n v="3227100"/>
  </r>
  <r>
    <x v="141"/>
    <s v="NZL"/>
    <x v="25"/>
    <n v="3247100"/>
  </r>
  <r>
    <x v="141"/>
    <s v="NZL"/>
    <x v="26"/>
    <n v="3246300"/>
  </r>
  <r>
    <x v="141"/>
    <s v="NZL"/>
    <x v="27"/>
    <n v="3274400"/>
  </r>
  <r>
    <x v="141"/>
    <s v="NZL"/>
    <x v="28"/>
    <n v="3283400"/>
  </r>
  <r>
    <x v="141"/>
    <s v="NZL"/>
    <x v="29"/>
    <n v="3299200"/>
  </r>
  <r>
    <x v="141"/>
    <s v="NZL"/>
    <x v="30"/>
    <n v="3329800"/>
  </r>
  <r>
    <x v="141"/>
    <s v="NZL"/>
    <x v="31"/>
    <n v="3495100"/>
  </r>
  <r>
    <x v="141"/>
    <s v="NZL"/>
    <x v="32"/>
    <n v="3531700"/>
  </r>
  <r>
    <x v="141"/>
    <s v="NZL"/>
    <x v="33"/>
    <n v="3572200"/>
  </r>
  <r>
    <x v="141"/>
    <s v="NZL"/>
    <x v="34"/>
    <n v="3620000"/>
  </r>
  <r>
    <x v="141"/>
    <s v="NZL"/>
    <x v="35"/>
    <n v="3673400"/>
  </r>
  <r>
    <x v="141"/>
    <s v="NZL"/>
    <x v="36"/>
    <n v="3732000"/>
  </r>
  <r>
    <x v="141"/>
    <s v="NZL"/>
    <x v="37"/>
    <n v="3781300"/>
  </r>
  <r>
    <x v="141"/>
    <s v="NZL"/>
    <x v="38"/>
    <n v="3815000"/>
  </r>
  <r>
    <x v="141"/>
    <s v="NZL"/>
    <x v="39"/>
    <n v="3835100"/>
  </r>
  <r>
    <x v="141"/>
    <s v="NZL"/>
    <x v="40"/>
    <n v="3857700"/>
  </r>
  <r>
    <x v="141"/>
    <s v="NZL"/>
    <x v="41"/>
    <n v="3880500"/>
  </r>
  <r>
    <x v="141"/>
    <s v="NZL"/>
    <x v="42"/>
    <n v="3948500"/>
  </r>
  <r>
    <x v="141"/>
    <s v="NZL"/>
    <x v="43"/>
    <n v="4027200"/>
  </r>
  <r>
    <x v="141"/>
    <s v="NZL"/>
    <x v="44"/>
    <n v="4087500"/>
  </r>
  <r>
    <x v="141"/>
    <s v="NZL"/>
    <x v="45"/>
    <n v="4133900"/>
  </r>
  <r>
    <x v="141"/>
    <s v="NZL"/>
    <x v="46"/>
    <n v="4184600"/>
  </r>
  <r>
    <x v="141"/>
    <s v="NZL"/>
    <x v="47"/>
    <n v="4223800"/>
  </r>
  <r>
    <x v="141"/>
    <s v="NZL"/>
    <x v="48"/>
    <n v="4259800"/>
  </r>
  <r>
    <x v="141"/>
    <s v="NZL"/>
    <x v="49"/>
    <n v="4302600"/>
  </r>
  <r>
    <x v="141"/>
    <s v="NZL"/>
    <x v="50"/>
    <n v="4350700"/>
  </r>
  <r>
    <x v="141"/>
    <s v="NZL"/>
    <x v="51"/>
    <n v="4384000"/>
  </r>
  <r>
    <x v="141"/>
    <s v="NZL"/>
    <x v="52"/>
    <n v="4408100"/>
  </r>
  <r>
    <x v="141"/>
    <s v="NZL"/>
    <x v="53"/>
    <n v="4442100"/>
  </r>
  <r>
    <x v="141"/>
    <s v="NZL"/>
    <x v="54"/>
    <n v="4516500"/>
  </r>
  <r>
    <x v="141"/>
    <s v="NZL"/>
    <x v="55"/>
    <n v="4609400"/>
  </r>
  <r>
    <x v="141"/>
    <s v="NZL"/>
    <x v="56"/>
    <n v="4714100"/>
  </r>
  <r>
    <x v="141"/>
    <s v="NZL"/>
    <x v="57"/>
    <n v="4813600"/>
  </r>
  <r>
    <x v="141"/>
    <s v="NZL"/>
    <x v="58"/>
    <n v="4900600"/>
  </r>
  <r>
    <x v="141"/>
    <s v="NZL"/>
    <x v="59"/>
    <n v="4979200"/>
  </r>
  <r>
    <x v="141"/>
    <s v="NZL"/>
    <x v="60"/>
    <n v="5090200"/>
  </r>
  <r>
    <x v="141"/>
    <s v="NZL"/>
    <x v="61"/>
    <n v="5111300"/>
  </r>
  <r>
    <x v="141"/>
    <s v="NZL"/>
    <x v="62"/>
    <n v="5117100"/>
  </r>
  <r>
    <x v="141"/>
    <s v="NZL"/>
    <x v="63"/>
    <n v="5245000"/>
  </r>
  <r>
    <x v="141"/>
    <s v="NZL"/>
    <x v="64"/>
    <n v="5338500"/>
  </r>
  <r>
    <x v="142"/>
    <s v="NIC"/>
    <x v="0"/>
    <n v="1782370"/>
  </r>
  <r>
    <x v="142"/>
    <s v="NIC"/>
    <x v="1"/>
    <n v="1836451"/>
  </r>
  <r>
    <x v="142"/>
    <s v="NIC"/>
    <x v="2"/>
    <n v="1892320"/>
  </r>
  <r>
    <x v="142"/>
    <s v="NIC"/>
    <x v="3"/>
    <n v="1950159"/>
  </r>
  <r>
    <x v="142"/>
    <s v="NIC"/>
    <x v="4"/>
    <n v="2010176"/>
  </r>
  <r>
    <x v="142"/>
    <s v="NIC"/>
    <x v="5"/>
    <n v="2072681"/>
  </r>
  <r>
    <x v="142"/>
    <s v="NIC"/>
    <x v="6"/>
    <n v="2137820"/>
  </r>
  <r>
    <x v="142"/>
    <s v="NIC"/>
    <x v="7"/>
    <n v="2205567"/>
  </r>
  <r>
    <x v="142"/>
    <s v="NIC"/>
    <x v="8"/>
    <n v="2275836"/>
  </r>
  <r>
    <x v="142"/>
    <s v="NIC"/>
    <x v="9"/>
    <n v="2348398"/>
  </r>
  <r>
    <x v="142"/>
    <s v="NIC"/>
    <x v="10"/>
    <n v="2423065"/>
  </r>
  <r>
    <x v="142"/>
    <s v="NIC"/>
    <x v="11"/>
    <n v="2499825"/>
  </r>
  <r>
    <x v="142"/>
    <s v="NIC"/>
    <x v="12"/>
    <n v="2573578"/>
  </r>
  <r>
    <x v="142"/>
    <s v="NIC"/>
    <x v="13"/>
    <n v="2649278"/>
  </r>
  <r>
    <x v="142"/>
    <s v="NIC"/>
    <x v="14"/>
    <n v="2732075"/>
  </r>
  <r>
    <x v="142"/>
    <s v="NIC"/>
    <x v="15"/>
    <n v="2816943"/>
  </r>
  <r>
    <x v="142"/>
    <s v="NIC"/>
    <x v="16"/>
    <n v="2903851"/>
  </r>
  <r>
    <x v="142"/>
    <s v="NIC"/>
    <x v="17"/>
    <n v="2992534"/>
  </r>
  <r>
    <x v="142"/>
    <s v="NIC"/>
    <x v="18"/>
    <n v="3080314"/>
  </r>
  <r>
    <x v="142"/>
    <s v="NIC"/>
    <x v="19"/>
    <n v="3164525"/>
  </r>
  <r>
    <x v="142"/>
    <s v="NIC"/>
    <x v="20"/>
    <n v="3252403"/>
  </r>
  <r>
    <x v="142"/>
    <s v="NIC"/>
    <x v="21"/>
    <n v="3345674"/>
  </r>
  <r>
    <x v="142"/>
    <s v="NIC"/>
    <x v="22"/>
    <n v="3438745"/>
  </r>
  <r>
    <x v="142"/>
    <s v="NIC"/>
    <x v="23"/>
    <n v="3530282"/>
  </r>
  <r>
    <x v="142"/>
    <s v="NIC"/>
    <x v="24"/>
    <n v="3619104"/>
  </r>
  <r>
    <x v="142"/>
    <s v="NIC"/>
    <x v="25"/>
    <n v="3706479"/>
  </r>
  <r>
    <x v="142"/>
    <s v="NIC"/>
    <x v="26"/>
    <n v="3794157"/>
  </r>
  <r>
    <x v="142"/>
    <s v="NIC"/>
    <x v="27"/>
    <n v="3882164"/>
  </r>
  <r>
    <x v="142"/>
    <s v="NIC"/>
    <x v="28"/>
    <n v="3972320"/>
  </r>
  <r>
    <x v="142"/>
    <s v="NIC"/>
    <x v="29"/>
    <n v="4066476"/>
  </r>
  <r>
    <x v="142"/>
    <s v="NIC"/>
    <x v="30"/>
    <n v="4162559"/>
  </r>
  <r>
    <x v="142"/>
    <s v="NIC"/>
    <x v="31"/>
    <n v="4259637"/>
  </r>
  <r>
    <x v="142"/>
    <s v="NIC"/>
    <x v="32"/>
    <n v="4357026"/>
  </r>
  <r>
    <x v="142"/>
    <s v="NIC"/>
    <x v="33"/>
    <n v="4453732"/>
  </r>
  <r>
    <x v="142"/>
    <s v="NIC"/>
    <x v="34"/>
    <n v="4549316"/>
  </r>
  <r>
    <x v="142"/>
    <s v="NIC"/>
    <x v="35"/>
    <n v="4642931"/>
  </r>
  <r>
    <x v="142"/>
    <s v="NIC"/>
    <x v="36"/>
    <n v="4729974"/>
  </r>
  <r>
    <x v="142"/>
    <s v="NIC"/>
    <x v="37"/>
    <n v="4809573"/>
  </r>
  <r>
    <x v="142"/>
    <s v="NIC"/>
    <x v="38"/>
    <n v="4883655"/>
  </r>
  <r>
    <x v="142"/>
    <s v="NIC"/>
    <x v="39"/>
    <n v="4954018"/>
  </r>
  <r>
    <x v="142"/>
    <s v="NIC"/>
    <x v="40"/>
    <n v="5022633"/>
  </r>
  <r>
    <x v="142"/>
    <s v="NIC"/>
    <x v="41"/>
    <n v="5087825"/>
  </r>
  <r>
    <x v="142"/>
    <s v="NIC"/>
    <x v="42"/>
    <n v="5149909"/>
  </r>
  <r>
    <x v="142"/>
    <s v="NIC"/>
    <x v="43"/>
    <n v="5210963"/>
  </r>
  <r>
    <x v="142"/>
    <s v="NIC"/>
    <x v="44"/>
    <n v="5272912"/>
  </r>
  <r>
    <x v="142"/>
    <s v="NIC"/>
    <x v="45"/>
    <n v="5342105"/>
  </r>
  <r>
    <x v="142"/>
    <s v="NIC"/>
    <x v="46"/>
    <n v="5418855"/>
  </r>
  <r>
    <x v="142"/>
    <s v="NIC"/>
    <x v="47"/>
    <n v="5497243"/>
  </r>
  <r>
    <x v="142"/>
    <s v="NIC"/>
    <x v="48"/>
    <n v="5576593"/>
  </r>
  <r>
    <x v="142"/>
    <s v="NIC"/>
    <x v="49"/>
    <n v="5656601"/>
  </r>
  <r>
    <x v="142"/>
    <s v="NIC"/>
    <x v="50"/>
    <n v="5737450"/>
  </r>
  <r>
    <x v="142"/>
    <s v="NIC"/>
    <x v="51"/>
    <n v="5819051"/>
  </r>
  <r>
    <x v="142"/>
    <s v="NIC"/>
    <x v="52"/>
    <n v="5901287"/>
  </r>
  <r>
    <x v="142"/>
    <s v="NIC"/>
    <x v="53"/>
    <n v="5983845"/>
  </r>
  <r>
    <x v="142"/>
    <s v="NIC"/>
    <x v="54"/>
    <n v="6066492"/>
  </r>
  <r>
    <x v="142"/>
    <s v="NIC"/>
    <x v="55"/>
    <n v="6149417"/>
  </r>
  <r>
    <x v="142"/>
    <s v="NIC"/>
    <x v="56"/>
    <n v="6232666"/>
  </r>
  <r>
    <x v="142"/>
    <s v="NIC"/>
    <x v="57"/>
    <n v="6316231"/>
  </r>
  <r>
    <x v="142"/>
    <s v="NIC"/>
    <x v="58"/>
    <n v="6400080"/>
  </r>
  <r>
    <x v="142"/>
    <s v="NIC"/>
    <x v="59"/>
    <n v="6483657"/>
  </r>
  <r>
    <x v="142"/>
    <s v="NIC"/>
    <x v="60"/>
    <n v="6565267"/>
  </r>
  <r>
    <x v="142"/>
    <s v="NIC"/>
    <x v="61"/>
    <n v="6644741"/>
  </r>
  <r>
    <x v="142"/>
    <s v="NIC"/>
    <x v="62"/>
    <n v="6730654"/>
  </r>
  <r>
    <x v="142"/>
    <s v="NIC"/>
    <x v="63"/>
    <n v="6823613"/>
  </r>
  <r>
    <x v="142"/>
    <s v="NIC"/>
    <x v="64"/>
    <n v="6916140"/>
  </r>
  <r>
    <x v="143"/>
    <s v="NER"/>
    <x v="0"/>
    <n v="3505050"/>
  </r>
  <r>
    <x v="143"/>
    <s v="NER"/>
    <x v="1"/>
    <n v="3608162"/>
  </r>
  <r>
    <x v="143"/>
    <s v="NER"/>
    <x v="2"/>
    <n v="3714520"/>
  </r>
  <r>
    <x v="143"/>
    <s v="NER"/>
    <x v="3"/>
    <n v="3823873"/>
  </r>
  <r>
    <x v="143"/>
    <s v="NER"/>
    <x v="4"/>
    <n v="3935814"/>
  </r>
  <r>
    <x v="143"/>
    <s v="NER"/>
    <x v="5"/>
    <n v="4049695"/>
  </r>
  <r>
    <x v="143"/>
    <s v="NER"/>
    <x v="6"/>
    <n v="4165544"/>
  </r>
  <r>
    <x v="143"/>
    <s v="NER"/>
    <x v="7"/>
    <n v="4283590"/>
  </r>
  <r>
    <x v="143"/>
    <s v="NER"/>
    <x v="8"/>
    <n v="4403637"/>
  </r>
  <r>
    <x v="143"/>
    <s v="NER"/>
    <x v="9"/>
    <n v="4525725"/>
  </r>
  <r>
    <x v="143"/>
    <s v="NER"/>
    <x v="10"/>
    <n v="4650275"/>
  </r>
  <r>
    <x v="143"/>
    <s v="NER"/>
    <x v="11"/>
    <n v="4776225"/>
  </r>
  <r>
    <x v="143"/>
    <s v="NER"/>
    <x v="12"/>
    <n v="4904845"/>
  </r>
  <r>
    <x v="143"/>
    <s v="NER"/>
    <x v="13"/>
    <n v="5037865"/>
  </r>
  <r>
    <x v="143"/>
    <s v="NER"/>
    <x v="14"/>
    <n v="5174953"/>
  </r>
  <r>
    <x v="143"/>
    <s v="NER"/>
    <x v="15"/>
    <n v="5317019"/>
  </r>
  <r>
    <x v="143"/>
    <s v="NER"/>
    <x v="16"/>
    <n v="5464962"/>
  </r>
  <r>
    <x v="143"/>
    <s v="NER"/>
    <x v="17"/>
    <n v="5619716"/>
  </r>
  <r>
    <x v="143"/>
    <s v="NER"/>
    <x v="18"/>
    <n v="5782932"/>
  </r>
  <r>
    <x v="143"/>
    <s v="NER"/>
    <x v="19"/>
    <n v="5955556"/>
  </r>
  <r>
    <x v="143"/>
    <s v="NER"/>
    <x v="20"/>
    <n v="6135971"/>
  </r>
  <r>
    <x v="143"/>
    <s v="NER"/>
    <x v="21"/>
    <n v="6322006"/>
  </r>
  <r>
    <x v="143"/>
    <s v="NER"/>
    <x v="22"/>
    <n v="6512732"/>
  </r>
  <r>
    <x v="143"/>
    <s v="NER"/>
    <x v="23"/>
    <n v="6708644"/>
  </r>
  <r>
    <x v="143"/>
    <s v="NER"/>
    <x v="24"/>
    <n v="6909971"/>
  </r>
  <r>
    <x v="143"/>
    <s v="NER"/>
    <x v="25"/>
    <n v="7118457"/>
  </r>
  <r>
    <x v="143"/>
    <s v="NER"/>
    <x v="26"/>
    <n v="7335811"/>
  </r>
  <r>
    <x v="143"/>
    <s v="NER"/>
    <x v="27"/>
    <n v="7561150"/>
  </r>
  <r>
    <x v="143"/>
    <s v="NER"/>
    <x v="28"/>
    <n v="7793748"/>
  </r>
  <r>
    <x v="143"/>
    <s v="NER"/>
    <x v="29"/>
    <n v="8034780"/>
  </r>
  <r>
    <x v="143"/>
    <s v="NER"/>
    <x v="30"/>
    <n v="8286059"/>
  </r>
  <r>
    <x v="143"/>
    <s v="NER"/>
    <x v="31"/>
    <n v="8546900"/>
  </r>
  <r>
    <x v="143"/>
    <s v="NER"/>
    <x v="32"/>
    <n v="8817633"/>
  </r>
  <r>
    <x v="143"/>
    <s v="NER"/>
    <x v="33"/>
    <n v="9100789"/>
  </r>
  <r>
    <x v="143"/>
    <s v="NER"/>
    <x v="34"/>
    <n v="9398258"/>
  </r>
  <r>
    <x v="143"/>
    <s v="NER"/>
    <x v="35"/>
    <n v="9714529"/>
  </r>
  <r>
    <x v="143"/>
    <s v="NER"/>
    <x v="36"/>
    <n v="10044852"/>
  </r>
  <r>
    <x v="143"/>
    <s v="NER"/>
    <x v="37"/>
    <n v="10383969"/>
  </r>
  <r>
    <x v="143"/>
    <s v="NER"/>
    <x v="38"/>
    <n v="10741413"/>
  </r>
  <r>
    <x v="143"/>
    <s v="NER"/>
    <x v="39"/>
    <n v="11117411"/>
  </r>
  <r>
    <x v="143"/>
    <s v="NER"/>
    <x v="40"/>
    <n v="11509630"/>
  </r>
  <r>
    <x v="143"/>
    <s v="NER"/>
    <x v="41"/>
    <n v="11920647"/>
  </r>
  <r>
    <x v="143"/>
    <s v="NER"/>
    <x v="42"/>
    <n v="12349144"/>
  </r>
  <r>
    <x v="143"/>
    <s v="NER"/>
    <x v="43"/>
    <n v="12796984"/>
  </r>
  <r>
    <x v="143"/>
    <s v="NER"/>
    <x v="44"/>
    <n v="13265836"/>
  </r>
  <r>
    <x v="143"/>
    <s v="NER"/>
    <x v="45"/>
    <n v="13756192"/>
  </r>
  <r>
    <x v="143"/>
    <s v="NER"/>
    <x v="46"/>
    <n v="14268581"/>
  </r>
  <r>
    <x v="143"/>
    <s v="NER"/>
    <x v="47"/>
    <n v="14803610"/>
  </r>
  <r>
    <x v="143"/>
    <s v="NER"/>
    <x v="48"/>
    <n v="15361915"/>
  </r>
  <r>
    <x v="143"/>
    <s v="NER"/>
    <x v="49"/>
    <n v="15943675"/>
  </r>
  <r>
    <x v="143"/>
    <s v="NER"/>
    <x v="50"/>
    <n v="16548835"/>
  </r>
  <r>
    <x v="143"/>
    <s v="NER"/>
    <x v="51"/>
    <n v="17176283"/>
  </r>
  <r>
    <x v="143"/>
    <s v="NER"/>
    <x v="52"/>
    <n v="17836769"/>
  </r>
  <r>
    <x v="143"/>
    <s v="NER"/>
    <x v="53"/>
    <n v="18519898"/>
  </r>
  <r>
    <x v="143"/>
    <s v="NER"/>
    <x v="54"/>
    <n v="19215909"/>
  </r>
  <r>
    <x v="143"/>
    <s v="NER"/>
    <x v="55"/>
    <n v="19939498"/>
  </r>
  <r>
    <x v="143"/>
    <s v="NER"/>
    <x v="56"/>
    <n v="20685753"/>
  </r>
  <r>
    <x v="143"/>
    <s v="NER"/>
    <x v="57"/>
    <n v="21435446"/>
  </r>
  <r>
    <x v="143"/>
    <s v="NER"/>
    <x v="58"/>
    <n v="22188069"/>
  </r>
  <r>
    <x v="143"/>
    <s v="NER"/>
    <x v="59"/>
    <n v="22947757"/>
  </r>
  <r>
    <x v="143"/>
    <s v="NER"/>
    <x v="60"/>
    <n v="23717613"/>
  </r>
  <r>
    <x v="143"/>
    <s v="NER"/>
    <x v="61"/>
    <n v="24502140"/>
  </r>
  <r>
    <x v="143"/>
    <s v="NER"/>
    <x v="62"/>
    <n v="25311973"/>
  </r>
  <r>
    <x v="143"/>
    <s v="NER"/>
    <x v="63"/>
    <n v="26159867"/>
  </r>
  <r>
    <x v="143"/>
    <s v="NER"/>
    <x v="64"/>
    <n v="27032412"/>
  </r>
  <r>
    <x v="144"/>
    <s v="NGA"/>
    <x v="0"/>
    <n v="45053782"/>
  </r>
  <r>
    <x v="144"/>
    <s v="NGA"/>
    <x v="1"/>
    <n v="45989310"/>
  </r>
  <r>
    <x v="144"/>
    <s v="NGA"/>
    <x v="2"/>
    <n v="46965292"/>
  </r>
  <r>
    <x v="144"/>
    <s v="NGA"/>
    <x v="3"/>
    <n v="47973575"/>
  </r>
  <r>
    <x v="144"/>
    <s v="NGA"/>
    <x v="4"/>
    <n v="49012016"/>
  </r>
  <r>
    <x v="144"/>
    <s v="NGA"/>
    <x v="5"/>
    <n v="50086764"/>
  </r>
  <r>
    <x v="144"/>
    <s v="NGA"/>
    <x v="6"/>
    <n v="51188234"/>
  </r>
  <r>
    <x v="144"/>
    <s v="NGA"/>
    <x v="7"/>
    <n v="52293065"/>
  </r>
  <r>
    <x v="144"/>
    <s v="NGA"/>
    <x v="8"/>
    <n v="53432783"/>
  </r>
  <r>
    <x v="144"/>
    <s v="NGA"/>
    <x v="9"/>
    <n v="54631914"/>
  </r>
  <r>
    <x v="144"/>
    <s v="NGA"/>
    <x v="10"/>
    <n v="55893838"/>
  </r>
  <r>
    <x v="144"/>
    <s v="NGA"/>
    <x v="11"/>
    <n v="57214684"/>
  </r>
  <r>
    <x v="144"/>
    <s v="NGA"/>
    <x v="12"/>
    <n v="58601748"/>
  </r>
  <r>
    <x v="144"/>
    <s v="NGA"/>
    <x v="13"/>
    <n v="60082139"/>
  </r>
  <r>
    <x v="144"/>
    <s v="NGA"/>
    <x v="14"/>
    <n v="61679144"/>
  </r>
  <r>
    <x v="144"/>
    <s v="NGA"/>
    <x v="15"/>
    <n v="63410815"/>
  </r>
  <r>
    <x v="144"/>
    <s v="NGA"/>
    <x v="16"/>
    <n v="65258009"/>
  </r>
  <r>
    <x v="144"/>
    <s v="NGA"/>
    <x v="17"/>
    <n v="67234590"/>
  </r>
  <r>
    <x v="144"/>
    <s v="NGA"/>
    <x v="18"/>
    <n v="69326532"/>
  </r>
  <r>
    <x v="144"/>
    <s v="NGA"/>
    <x v="19"/>
    <n v="71498242"/>
  </r>
  <r>
    <x v="144"/>
    <s v="NGA"/>
    <x v="20"/>
    <n v="73764641"/>
  </r>
  <r>
    <x v="144"/>
    <s v="NGA"/>
    <x v="21"/>
    <n v="76068103"/>
  </r>
  <r>
    <x v="144"/>
    <s v="NGA"/>
    <x v="22"/>
    <n v="78378701"/>
  </r>
  <r>
    <x v="144"/>
    <s v="NGA"/>
    <x v="23"/>
    <n v="80438260"/>
  </r>
  <r>
    <x v="144"/>
    <s v="NGA"/>
    <x v="24"/>
    <n v="82526443"/>
  </r>
  <r>
    <x v="144"/>
    <s v="NGA"/>
    <x v="25"/>
    <n v="84897973"/>
  </r>
  <r>
    <x v="144"/>
    <s v="NGA"/>
    <x v="26"/>
    <n v="87235953"/>
  </r>
  <r>
    <x v="144"/>
    <s v="NGA"/>
    <x v="27"/>
    <n v="89591716"/>
  </r>
  <r>
    <x v="144"/>
    <s v="NGA"/>
    <x v="28"/>
    <n v="92020090"/>
  </r>
  <r>
    <x v="144"/>
    <s v="NGA"/>
    <x v="29"/>
    <n v="94531014"/>
  </r>
  <r>
    <x v="144"/>
    <s v="NGA"/>
    <x v="30"/>
    <n v="97120925"/>
  </r>
  <r>
    <x v="144"/>
    <s v="NGA"/>
    <x v="31"/>
    <n v="99720162"/>
  </r>
  <r>
    <x v="144"/>
    <s v="NGA"/>
    <x v="32"/>
    <n v="102372770"/>
  </r>
  <r>
    <x v="144"/>
    <s v="NGA"/>
    <x v="33"/>
    <n v="105122069"/>
  </r>
  <r>
    <x v="144"/>
    <s v="NGA"/>
    <x v="34"/>
    <n v="107935714"/>
  </r>
  <r>
    <x v="144"/>
    <s v="NGA"/>
    <x v="35"/>
    <n v="110819428"/>
  </r>
  <r>
    <x v="144"/>
    <s v="NGA"/>
    <x v="36"/>
    <n v="113754779"/>
  </r>
  <r>
    <x v="144"/>
    <s v="NGA"/>
    <x v="37"/>
    <n v="116754792"/>
  </r>
  <r>
    <x v="144"/>
    <s v="NGA"/>
    <x v="38"/>
    <n v="119846254"/>
  </r>
  <r>
    <x v="144"/>
    <s v="NGA"/>
    <x v="39"/>
    <n v="123047320"/>
  </r>
  <r>
    <x v="144"/>
    <s v="NGA"/>
    <x v="40"/>
    <n v="126382494"/>
  </r>
  <r>
    <x v="144"/>
    <s v="NGA"/>
    <x v="41"/>
    <n v="129862595"/>
  </r>
  <r>
    <x v="144"/>
    <s v="NGA"/>
    <x v="42"/>
    <n v="133471989"/>
  </r>
  <r>
    <x v="144"/>
    <s v="NGA"/>
    <x v="43"/>
    <n v="137202644"/>
  </r>
  <r>
    <x v="144"/>
    <s v="NGA"/>
    <x v="44"/>
    <n v="141057045"/>
  </r>
  <r>
    <x v="144"/>
    <s v="NGA"/>
    <x v="45"/>
    <n v="145017253"/>
  </r>
  <r>
    <x v="144"/>
    <s v="NGA"/>
    <x v="46"/>
    <n v="149077334"/>
  </r>
  <r>
    <x v="144"/>
    <s v="NGA"/>
    <x v="47"/>
    <n v="153267261"/>
  </r>
  <r>
    <x v="144"/>
    <s v="NGA"/>
    <x v="48"/>
    <n v="157595014"/>
  </r>
  <r>
    <x v="144"/>
    <s v="NGA"/>
    <x v="49"/>
    <n v="162049464"/>
  </r>
  <r>
    <x v="144"/>
    <s v="NGA"/>
    <x v="50"/>
    <n v="166642886"/>
  </r>
  <r>
    <x v="144"/>
    <s v="NGA"/>
    <x v="51"/>
    <n v="171379598"/>
  </r>
  <r>
    <x v="144"/>
    <s v="NGA"/>
    <x v="52"/>
    <n v="176200625"/>
  </r>
  <r>
    <x v="144"/>
    <s v="NGA"/>
    <x v="53"/>
    <n v="181049443"/>
  </r>
  <r>
    <x v="144"/>
    <s v="NGA"/>
    <x v="54"/>
    <n v="185896915"/>
  </r>
  <r>
    <x v="144"/>
    <s v="NGA"/>
    <x v="55"/>
    <n v="190671878"/>
  </r>
  <r>
    <x v="144"/>
    <s v="NGA"/>
    <x v="56"/>
    <n v="195443700"/>
  </r>
  <r>
    <x v="144"/>
    <s v="NGA"/>
    <x v="57"/>
    <n v="200254579"/>
  </r>
  <r>
    <x v="144"/>
    <s v="NGA"/>
    <x v="58"/>
    <n v="204938755"/>
  </r>
  <r>
    <x v="144"/>
    <s v="NGA"/>
    <x v="59"/>
    <n v="209485641"/>
  </r>
  <r>
    <x v="144"/>
    <s v="NGA"/>
    <x v="60"/>
    <n v="213996181"/>
  </r>
  <r>
    <x v="144"/>
    <s v="NGA"/>
    <x v="61"/>
    <n v="218529286"/>
  </r>
  <r>
    <x v="144"/>
    <s v="NGA"/>
    <x v="62"/>
    <n v="223150896"/>
  </r>
  <r>
    <x v="144"/>
    <s v="NGA"/>
    <x v="63"/>
    <n v="227882945"/>
  </r>
  <r>
    <x v="144"/>
    <s v="NGA"/>
    <x v="64"/>
    <n v="232679478"/>
  </r>
  <r>
    <x v="145"/>
    <s v="MKD"/>
    <x v="0"/>
    <n v="1435059"/>
  </r>
  <r>
    <x v="145"/>
    <s v="MKD"/>
    <x v="1"/>
    <n v="1455171"/>
  </r>
  <r>
    <x v="145"/>
    <s v="MKD"/>
    <x v="2"/>
    <n v="1471745"/>
  </r>
  <r>
    <x v="145"/>
    <s v="MKD"/>
    <x v="3"/>
    <n v="1488737"/>
  </r>
  <r>
    <x v="145"/>
    <s v="MKD"/>
    <x v="4"/>
    <n v="1510900"/>
  </r>
  <r>
    <x v="145"/>
    <s v="MKD"/>
    <x v="5"/>
    <n v="1533466"/>
  </r>
  <r>
    <x v="145"/>
    <s v="MKD"/>
    <x v="6"/>
    <n v="1557349"/>
  </r>
  <r>
    <x v="145"/>
    <s v="MKD"/>
    <x v="7"/>
    <n v="1582492"/>
  </r>
  <r>
    <x v="145"/>
    <s v="MKD"/>
    <x v="8"/>
    <n v="1608930"/>
  </r>
  <r>
    <x v="145"/>
    <s v="MKD"/>
    <x v="9"/>
    <n v="1636345"/>
  </r>
  <r>
    <x v="145"/>
    <s v="MKD"/>
    <x v="10"/>
    <n v="1664208"/>
  </r>
  <r>
    <x v="145"/>
    <s v="MKD"/>
    <x v="11"/>
    <n v="1691216"/>
  </r>
  <r>
    <x v="145"/>
    <s v="MKD"/>
    <x v="12"/>
    <n v="1717395"/>
  </r>
  <r>
    <x v="145"/>
    <s v="MKD"/>
    <x v="13"/>
    <n v="1743816"/>
  </r>
  <r>
    <x v="145"/>
    <s v="MKD"/>
    <x v="14"/>
    <n v="1770545"/>
  </r>
  <r>
    <x v="145"/>
    <s v="MKD"/>
    <x v="15"/>
    <n v="1797972"/>
  </r>
  <r>
    <x v="145"/>
    <s v="MKD"/>
    <x v="16"/>
    <n v="1825830"/>
  </r>
  <r>
    <x v="145"/>
    <s v="MKD"/>
    <x v="17"/>
    <n v="1853138"/>
  </r>
  <r>
    <x v="145"/>
    <s v="MKD"/>
    <x v="18"/>
    <n v="1879847"/>
  </r>
  <r>
    <x v="145"/>
    <s v="MKD"/>
    <x v="19"/>
    <n v="1906523"/>
  </r>
  <r>
    <x v="145"/>
    <s v="MKD"/>
    <x v="20"/>
    <n v="1933038"/>
  </r>
  <r>
    <x v="145"/>
    <s v="MKD"/>
    <x v="21"/>
    <n v="1959065"/>
  </r>
  <r>
    <x v="145"/>
    <s v="MKD"/>
    <x v="22"/>
    <n v="1978956"/>
  </r>
  <r>
    <x v="145"/>
    <s v="MKD"/>
    <x v="23"/>
    <n v="1991901"/>
  </r>
  <r>
    <x v="145"/>
    <s v="MKD"/>
    <x v="24"/>
    <n v="2003399"/>
  </r>
  <r>
    <x v="145"/>
    <s v="MKD"/>
    <x v="25"/>
    <n v="2014331"/>
  </r>
  <r>
    <x v="145"/>
    <s v="MKD"/>
    <x v="26"/>
    <n v="2024732"/>
  </r>
  <r>
    <x v="145"/>
    <s v="MKD"/>
    <x v="27"/>
    <n v="2035157"/>
  </r>
  <r>
    <x v="145"/>
    <s v="MKD"/>
    <x v="28"/>
    <n v="2045737"/>
  </r>
  <r>
    <x v="145"/>
    <s v="MKD"/>
    <x v="29"/>
    <n v="2055649"/>
  </r>
  <r>
    <x v="145"/>
    <s v="MKD"/>
    <x v="30"/>
    <n v="2063689"/>
  </r>
  <r>
    <x v="145"/>
    <s v="MKD"/>
    <x v="31"/>
    <n v="2055994"/>
  </r>
  <r>
    <x v="145"/>
    <s v="MKD"/>
    <x v="32"/>
    <n v="2032523"/>
  </r>
  <r>
    <x v="145"/>
    <s v="MKD"/>
    <x v="33"/>
    <n v="2006854"/>
  </r>
  <r>
    <x v="145"/>
    <s v="MKD"/>
    <x v="34"/>
    <n v="1992666"/>
  </r>
  <r>
    <x v="145"/>
    <s v="MKD"/>
    <x v="35"/>
    <n v="1998534"/>
  </r>
  <r>
    <x v="145"/>
    <s v="MKD"/>
    <x v="36"/>
    <n v="2012553"/>
  </r>
  <r>
    <x v="145"/>
    <s v="MKD"/>
    <x v="37"/>
    <n v="1996869"/>
  </r>
  <r>
    <x v="145"/>
    <s v="MKD"/>
    <x v="38"/>
    <n v="2007523"/>
  </r>
  <r>
    <x v="145"/>
    <s v="MKD"/>
    <x v="39"/>
    <n v="2017142"/>
  </r>
  <r>
    <x v="145"/>
    <s v="MKD"/>
    <x v="40"/>
    <n v="2026350"/>
  </r>
  <r>
    <x v="145"/>
    <s v="MKD"/>
    <x v="41"/>
    <n v="2034882"/>
  </r>
  <r>
    <x v="145"/>
    <s v="MKD"/>
    <x v="42"/>
    <n v="2020157"/>
  </r>
  <r>
    <x v="145"/>
    <s v="MKD"/>
    <x v="43"/>
    <n v="2022725"/>
  </r>
  <r>
    <x v="145"/>
    <s v="MKD"/>
    <x v="44"/>
    <n v="2016186"/>
  </r>
  <r>
    <x v="145"/>
    <s v="MKD"/>
    <x v="45"/>
    <n v="2005330"/>
  </r>
  <r>
    <x v="145"/>
    <s v="MKD"/>
    <x v="46"/>
    <n v="1994287"/>
  </r>
  <r>
    <x v="145"/>
    <s v="MKD"/>
    <x v="47"/>
    <n v="1982933"/>
  </r>
  <r>
    <x v="145"/>
    <s v="MKD"/>
    <x v="48"/>
    <n v="1971493"/>
  </r>
  <r>
    <x v="145"/>
    <s v="MKD"/>
    <x v="49"/>
    <n v="1958782"/>
  </r>
  <r>
    <x v="145"/>
    <s v="MKD"/>
    <x v="50"/>
    <n v="1946298"/>
  </r>
  <r>
    <x v="145"/>
    <s v="MKD"/>
    <x v="51"/>
    <n v="1937398"/>
  </r>
  <r>
    <x v="145"/>
    <s v="MKD"/>
    <x v="52"/>
    <n v="1929821"/>
  </r>
  <r>
    <x v="145"/>
    <s v="MKD"/>
    <x v="53"/>
    <n v="1922716"/>
  </r>
  <r>
    <x v="145"/>
    <s v="MKD"/>
    <x v="54"/>
    <n v="1917557"/>
  </r>
  <r>
    <x v="145"/>
    <s v="MKD"/>
    <x v="55"/>
    <n v="1912430"/>
  </r>
  <r>
    <x v="145"/>
    <s v="MKD"/>
    <x v="56"/>
    <n v="1906313"/>
  </r>
  <r>
    <x v="145"/>
    <s v="MKD"/>
    <x v="57"/>
    <n v="1898657"/>
  </r>
  <r>
    <x v="145"/>
    <s v="MKD"/>
    <x v="58"/>
    <n v="1889051"/>
  </r>
  <r>
    <x v="145"/>
    <s v="MKD"/>
    <x v="59"/>
    <n v="1876262"/>
  </r>
  <r>
    <x v="145"/>
    <s v="MKD"/>
    <x v="60"/>
    <n v="1856124"/>
  </r>
  <r>
    <x v="145"/>
    <s v="MKD"/>
    <x v="61"/>
    <n v="1837114"/>
  </r>
  <r>
    <x v="145"/>
    <s v="MKD"/>
    <x v="62"/>
    <n v="1831712"/>
  </r>
  <r>
    <x v="145"/>
    <s v="MKD"/>
    <x v="63"/>
    <n v="1827816"/>
  </r>
  <r>
    <x v="145"/>
    <s v="MKD"/>
    <x v="64"/>
    <n v="1792179"/>
  </r>
  <r>
    <x v="146"/>
    <s v="MNP"/>
    <x v="0"/>
    <n v="8736"/>
  </r>
  <r>
    <x v="146"/>
    <s v="MNP"/>
    <x v="1"/>
    <n v="8995"/>
  </r>
  <r>
    <x v="146"/>
    <s v="MNP"/>
    <x v="2"/>
    <n v="9280"/>
  </r>
  <r>
    <x v="146"/>
    <s v="MNP"/>
    <x v="3"/>
    <n v="9595"/>
  </r>
  <r>
    <x v="146"/>
    <s v="MNP"/>
    <x v="4"/>
    <n v="9925"/>
  </r>
  <r>
    <x v="146"/>
    <s v="MNP"/>
    <x v="5"/>
    <n v="10264"/>
  </r>
  <r>
    <x v="146"/>
    <s v="MNP"/>
    <x v="6"/>
    <n v="10612"/>
  </r>
  <r>
    <x v="146"/>
    <s v="MNP"/>
    <x v="7"/>
    <n v="10749"/>
  </r>
  <r>
    <x v="146"/>
    <s v="MNP"/>
    <x v="8"/>
    <n v="10468"/>
  </r>
  <r>
    <x v="146"/>
    <s v="MNP"/>
    <x v="9"/>
    <n v="9989"/>
  </r>
  <r>
    <x v="146"/>
    <s v="MNP"/>
    <x v="10"/>
    <n v="10170"/>
  </r>
  <r>
    <x v="146"/>
    <s v="MNP"/>
    <x v="11"/>
    <n v="11271"/>
  </r>
  <r>
    <x v="146"/>
    <s v="MNP"/>
    <x v="12"/>
    <n v="12636"/>
  </r>
  <r>
    <x v="146"/>
    <s v="MNP"/>
    <x v="13"/>
    <n v="13880"/>
  </r>
  <r>
    <x v="146"/>
    <s v="MNP"/>
    <x v="14"/>
    <n v="14655"/>
  </r>
  <r>
    <x v="146"/>
    <s v="MNP"/>
    <x v="15"/>
    <n v="15065"/>
  </r>
  <r>
    <x v="146"/>
    <s v="MNP"/>
    <x v="16"/>
    <n v="15438"/>
  </r>
  <r>
    <x v="146"/>
    <s v="MNP"/>
    <x v="17"/>
    <n v="15787"/>
  </r>
  <r>
    <x v="146"/>
    <s v="MNP"/>
    <x v="18"/>
    <n v="16130"/>
  </r>
  <r>
    <x v="146"/>
    <s v="MNP"/>
    <x v="19"/>
    <n v="16488"/>
  </r>
  <r>
    <x v="146"/>
    <s v="MNP"/>
    <x v="20"/>
    <n v="17625"/>
  </r>
  <r>
    <x v="146"/>
    <s v="MNP"/>
    <x v="21"/>
    <n v="19826"/>
  </r>
  <r>
    <x v="146"/>
    <s v="MNP"/>
    <x v="22"/>
    <n v="22350"/>
  </r>
  <r>
    <x v="146"/>
    <s v="MNP"/>
    <x v="23"/>
    <n v="24936"/>
  </r>
  <r>
    <x v="146"/>
    <s v="MNP"/>
    <x v="24"/>
    <n v="27575"/>
  </r>
  <r>
    <x v="146"/>
    <s v="MNP"/>
    <x v="25"/>
    <n v="30258"/>
  </r>
  <r>
    <x v="146"/>
    <s v="MNP"/>
    <x v="26"/>
    <n v="32980"/>
  </r>
  <r>
    <x v="146"/>
    <s v="MNP"/>
    <x v="27"/>
    <n v="35736"/>
  </r>
  <r>
    <x v="146"/>
    <s v="MNP"/>
    <x v="28"/>
    <n v="38519"/>
  </r>
  <r>
    <x v="146"/>
    <s v="MNP"/>
    <x v="29"/>
    <n v="41303"/>
  </r>
  <r>
    <x v="146"/>
    <s v="MNP"/>
    <x v="30"/>
    <n v="43342"/>
  </r>
  <r>
    <x v="146"/>
    <s v="MNP"/>
    <x v="31"/>
    <n v="44393"/>
  </r>
  <r>
    <x v="146"/>
    <s v="MNP"/>
    <x v="32"/>
    <n v="45181"/>
  </r>
  <r>
    <x v="146"/>
    <s v="MNP"/>
    <x v="33"/>
    <n v="45952"/>
  </r>
  <r>
    <x v="146"/>
    <s v="MNP"/>
    <x v="34"/>
    <n v="46730"/>
  </r>
  <r>
    <x v="146"/>
    <s v="MNP"/>
    <x v="35"/>
    <n v="48176"/>
  </r>
  <r>
    <x v="146"/>
    <s v="MNP"/>
    <x v="36"/>
    <n v="51706"/>
  </r>
  <r>
    <x v="146"/>
    <s v="MNP"/>
    <x v="37"/>
    <n v="56596"/>
  </r>
  <r>
    <x v="146"/>
    <s v="MNP"/>
    <x v="38"/>
    <n v="61337"/>
  </r>
  <r>
    <x v="146"/>
    <s v="MNP"/>
    <x v="39"/>
    <n v="65916"/>
  </r>
  <r>
    <x v="146"/>
    <s v="MNP"/>
    <x v="40"/>
    <n v="68356"/>
  </r>
  <r>
    <x v="146"/>
    <s v="MNP"/>
    <x v="41"/>
    <n v="67984"/>
  </r>
  <r>
    <x v="146"/>
    <s v="MNP"/>
    <x v="42"/>
    <n v="66778"/>
  </r>
  <r>
    <x v="146"/>
    <s v="MNP"/>
    <x v="43"/>
    <n v="65421"/>
  </r>
  <r>
    <x v="146"/>
    <s v="MNP"/>
    <x v="44"/>
    <n v="63938"/>
  </r>
  <r>
    <x v="146"/>
    <s v="MNP"/>
    <x v="45"/>
    <n v="62354"/>
  </r>
  <r>
    <x v="146"/>
    <s v="MNP"/>
    <x v="46"/>
    <n v="60682"/>
  </r>
  <r>
    <x v="146"/>
    <s v="MNP"/>
    <x v="47"/>
    <n v="58941"/>
  </r>
  <r>
    <x v="146"/>
    <s v="MNP"/>
    <x v="48"/>
    <n v="57150"/>
  </r>
  <r>
    <x v="146"/>
    <s v="MNP"/>
    <x v="49"/>
    <n v="55325"/>
  </r>
  <r>
    <x v="146"/>
    <s v="MNP"/>
    <x v="50"/>
    <n v="54091"/>
  </r>
  <r>
    <x v="146"/>
    <s v="MNP"/>
    <x v="51"/>
    <n v="53608"/>
  </r>
  <r>
    <x v="146"/>
    <s v="MNP"/>
    <x v="52"/>
    <n v="53234"/>
  </r>
  <r>
    <x v="146"/>
    <s v="MNP"/>
    <x v="53"/>
    <n v="52758"/>
  </r>
  <r>
    <x v="146"/>
    <s v="MNP"/>
    <x v="54"/>
    <n v="52178"/>
  </r>
  <r>
    <x v="146"/>
    <s v="MNP"/>
    <x v="55"/>
    <n v="51514"/>
  </r>
  <r>
    <x v="146"/>
    <s v="MNP"/>
    <x v="56"/>
    <n v="50773"/>
  </r>
  <r>
    <x v="146"/>
    <s v="MNP"/>
    <x v="57"/>
    <n v="49959"/>
  </r>
  <r>
    <x v="146"/>
    <s v="MNP"/>
    <x v="58"/>
    <n v="49077"/>
  </r>
  <r>
    <x v="146"/>
    <s v="MNP"/>
    <x v="59"/>
    <n v="48129"/>
  </r>
  <r>
    <x v="146"/>
    <s v="MNP"/>
    <x v="60"/>
    <n v="47528"/>
  </r>
  <r>
    <x v="146"/>
    <s v="MNP"/>
    <x v="61"/>
    <n v="46979"/>
  </r>
  <r>
    <x v="146"/>
    <s v="MNP"/>
    <x v="62"/>
    <n v="46078"/>
  </r>
  <r>
    <x v="146"/>
    <s v="MNP"/>
    <x v="63"/>
    <n v="45143"/>
  </r>
  <r>
    <x v="146"/>
    <s v="MNP"/>
    <x v="64"/>
    <n v="44278"/>
  </r>
  <r>
    <x v="147"/>
    <s v="NOR"/>
    <x v="0"/>
    <n v="3581239"/>
  </r>
  <r>
    <x v="147"/>
    <s v="NOR"/>
    <x v="1"/>
    <n v="3609800"/>
  </r>
  <r>
    <x v="147"/>
    <s v="NOR"/>
    <x v="2"/>
    <n v="3638918"/>
  </r>
  <r>
    <x v="147"/>
    <s v="NOR"/>
    <x v="3"/>
    <n v="3666537"/>
  </r>
  <r>
    <x v="147"/>
    <s v="NOR"/>
    <x v="4"/>
    <n v="3694339"/>
  </r>
  <r>
    <x v="147"/>
    <s v="NOR"/>
    <x v="5"/>
    <n v="3723168"/>
  </r>
  <r>
    <x v="147"/>
    <s v="NOR"/>
    <x v="6"/>
    <n v="3753012"/>
  </r>
  <r>
    <x v="147"/>
    <s v="NOR"/>
    <x v="7"/>
    <n v="3784539"/>
  </r>
  <r>
    <x v="147"/>
    <s v="NOR"/>
    <x v="8"/>
    <n v="3816486"/>
  </r>
  <r>
    <x v="147"/>
    <s v="NOR"/>
    <x v="9"/>
    <n v="3847707"/>
  </r>
  <r>
    <x v="147"/>
    <s v="NOR"/>
    <x v="10"/>
    <n v="3875763"/>
  </r>
  <r>
    <x v="147"/>
    <s v="NOR"/>
    <x v="11"/>
    <n v="3903039"/>
  </r>
  <r>
    <x v="147"/>
    <s v="NOR"/>
    <x v="12"/>
    <n v="3933004"/>
  </r>
  <r>
    <x v="147"/>
    <s v="NOR"/>
    <x v="13"/>
    <n v="3960612"/>
  </r>
  <r>
    <x v="147"/>
    <s v="NOR"/>
    <x v="14"/>
    <n v="3985258"/>
  </r>
  <r>
    <x v="147"/>
    <s v="NOR"/>
    <x v="15"/>
    <n v="4007313"/>
  </r>
  <r>
    <x v="147"/>
    <s v="NOR"/>
    <x v="16"/>
    <n v="4026152"/>
  </r>
  <r>
    <x v="147"/>
    <s v="NOR"/>
    <x v="17"/>
    <n v="4043205"/>
  </r>
  <r>
    <x v="147"/>
    <s v="NOR"/>
    <x v="18"/>
    <n v="4058671"/>
  </r>
  <r>
    <x v="147"/>
    <s v="NOR"/>
    <x v="19"/>
    <n v="4072517"/>
  </r>
  <r>
    <x v="147"/>
    <s v="NOR"/>
    <x v="20"/>
    <n v="4085620"/>
  </r>
  <r>
    <x v="147"/>
    <s v="NOR"/>
    <x v="21"/>
    <n v="4099702"/>
  </r>
  <r>
    <x v="147"/>
    <s v="NOR"/>
    <x v="22"/>
    <n v="4114787"/>
  </r>
  <r>
    <x v="147"/>
    <s v="NOR"/>
    <x v="23"/>
    <n v="4128432"/>
  </r>
  <r>
    <x v="147"/>
    <s v="NOR"/>
    <x v="24"/>
    <n v="4140099"/>
  </r>
  <r>
    <x v="147"/>
    <s v="NOR"/>
    <x v="25"/>
    <n v="4152516"/>
  </r>
  <r>
    <x v="147"/>
    <s v="NOR"/>
    <x v="26"/>
    <n v="4167354"/>
  </r>
  <r>
    <x v="147"/>
    <s v="NOR"/>
    <x v="27"/>
    <n v="4186905"/>
  </r>
  <r>
    <x v="147"/>
    <s v="NOR"/>
    <x v="28"/>
    <n v="4209488"/>
  </r>
  <r>
    <x v="147"/>
    <s v="NOR"/>
    <x v="29"/>
    <n v="4226901"/>
  </r>
  <r>
    <x v="147"/>
    <s v="NOR"/>
    <x v="30"/>
    <n v="4241473"/>
  </r>
  <r>
    <x v="147"/>
    <s v="NOR"/>
    <x v="31"/>
    <n v="4261732"/>
  </r>
  <r>
    <x v="147"/>
    <s v="NOR"/>
    <x v="32"/>
    <n v="4286401"/>
  </r>
  <r>
    <x v="147"/>
    <s v="NOR"/>
    <x v="33"/>
    <n v="4311991"/>
  </r>
  <r>
    <x v="147"/>
    <s v="NOR"/>
    <x v="34"/>
    <n v="4336613"/>
  </r>
  <r>
    <x v="147"/>
    <s v="NOR"/>
    <x v="35"/>
    <n v="4359184"/>
  </r>
  <r>
    <x v="147"/>
    <s v="NOR"/>
    <x v="36"/>
    <n v="4381336"/>
  </r>
  <r>
    <x v="147"/>
    <s v="NOR"/>
    <x v="37"/>
    <n v="4405157"/>
  </r>
  <r>
    <x v="147"/>
    <s v="NOR"/>
    <x v="38"/>
    <n v="4431464"/>
  </r>
  <r>
    <x v="147"/>
    <s v="NOR"/>
    <x v="39"/>
    <n v="4461913"/>
  </r>
  <r>
    <x v="147"/>
    <s v="NOR"/>
    <x v="40"/>
    <n v="4490967"/>
  </r>
  <r>
    <x v="147"/>
    <s v="NOR"/>
    <x v="41"/>
    <n v="4513751"/>
  </r>
  <r>
    <x v="147"/>
    <s v="NOR"/>
    <x v="42"/>
    <n v="4538159"/>
  </r>
  <r>
    <x v="147"/>
    <s v="NOR"/>
    <x v="43"/>
    <n v="4564855"/>
  </r>
  <r>
    <x v="147"/>
    <s v="NOR"/>
    <x v="44"/>
    <n v="4591910"/>
  </r>
  <r>
    <x v="147"/>
    <s v="NOR"/>
    <x v="45"/>
    <n v="4623291"/>
  </r>
  <r>
    <x v="147"/>
    <s v="NOR"/>
    <x v="46"/>
    <n v="4660677"/>
  </r>
  <r>
    <x v="147"/>
    <s v="NOR"/>
    <x v="47"/>
    <n v="4709153"/>
  </r>
  <r>
    <x v="147"/>
    <s v="NOR"/>
    <x v="48"/>
    <n v="4768212"/>
  </r>
  <r>
    <x v="147"/>
    <s v="NOR"/>
    <x v="49"/>
    <n v="4828726"/>
  </r>
  <r>
    <x v="147"/>
    <s v="NOR"/>
    <x v="50"/>
    <n v="4889252"/>
  </r>
  <r>
    <x v="147"/>
    <s v="NOR"/>
    <x v="51"/>
    <n v="4953088"/>
  </r>
  <r>
    <x v="147"/>
    <s v="NOR"/>
    <x v="52"/>
    <n v="5018573"/>
  </r>
  <r>
    <x v="147"/>
    <s v="NOR"/>
    <x v="53"/>
    <n v="5079623"/>
  </r>
  <r>
    <x v="147"/>
    <s v="NOR"/>
    <x v="54"/>
    <n v="5137232"/>
  </r>
  <r>
    <x v="147"/>
    <s v="NOR"/>
    <x v="55"/>
    <n v="5188607"/>
  </r>
  <r>
    <x v="147"/>
    <s v="NOR"/>
    <x v="56"/>
    <n v="5234519"/>
  </r>
  <r>
    <x v="147"/>
    <s v="NOR"/>
    <x v="57"/>
    <n v="5276968"/>
  </r>
  <r>
    <x v="147"/>
    <s v="NOR"/>
    <x v="58"/>
    <n v="5311916"/>
  </r>
  <r>
    <x v="147"/>
    <s v="NOR"/>
    <x v="59"/>
    <n v="5347896"/>
  </r>
  <r>
    <x v="147"/>
    <s v="NOR"/>
    <x v="60"/>
    <n v="5379475"/>
  </r>
  <r>
    <x v="147"/>
    <s v="NOR"/>
    <x v="61"/>
    <n v="5408320"/>
  </r>
  <r>
    <x v="147"/>
    <s v="NOR"/>
    <x v="62"/>
    <n v="5457127"/>
  </r>
  <r>
    <x v="147"/>
    <s v="NOR"/>
    <x v="63"/>
    <n v="5519594"/>
  </r>
  <r>
    <x v="147"/>
    <s v="NOR"/>
    <x v="64"/>
    <n v="5572272"/>
  </r>
  <r>
    <x v="148"/>
    <s v="OMN"/>
    <x v="0"/>
    <n v="530485"/>
  </r>
  <r>
    <x v="148"/>
    <s v="OMN"/>
    <x v="1"/>
    <n v="539854"/>
  </r>
  <r>
    <x v="148"/>
    <s v="OMN"/>
    <x v="2"/>
    <n v="549941"/>
  </r>
  <r>
    <x v="148"/>
    <s v="OMN"/>
    <x v="3"/>
    <n v="560827"/>
  </r>
  <r>
    <x v="148"/>
    <s v="OMN"/>
    <x v="4"/>
    <n v="572577"/>
  </r>
  <r>
    <x v="148"/>
    <s v="OMN"/>
    <x v="5"/>
    <n v="585236"/>
  </r>
  <r>
    <x v="148"/>
    <s v="OMN"/>
    <x v="6"/>
    <n v="598804"/>
  </r>
  <r>
    <x v="148"/>
    <s v="OMN"/>
    <x v="7"/>
    <n v="613318"/>
  </r>
  <r>
    <x v="148"/>
    <s v="OMN"/>
    <x v="8"/>
    <n v="628798"/>
  </r>
  <r>
    <x v="148"/>
    <s v="OMN"/>
    <x v="9"/>
    <n v="645255"/>
  </r>
  <r>
    <x v="148"/>
    <s v="OMN"/>
    <x v="10"/>
    <n v="662680"/>
  </r>
  <r>
    <x v="148"/>
    <s v="OMN"/>
    <x v="11"/>
    <n v="681119"/>
  </r>
  <r>
    <x v="148"/>
    <s v="OMN"/>
    <x v="12"/>
    <n v="700593"/>
  </r>
  <r>
    <x v="148"/>
    <s v="OMN"/>
    <x v="13"/>
    <n v="721179"/>
  </r>
  <r>
    <x v="148"/>
    <s v="OMN"/>
    <x v="14"/>
    <n v="746988"/>
  </r>
  <r>
    <x v="148"/>
    <s v="OMN"/>
    <x v="15"/>
    <n v="778864"/>
  </r>
  <r>
    <x v="148"/>
    <s v="OMN"/>
    <x v="16"/>
    <n v="814701"/>
  </r>
  <r>
    <x v="148"/>
    <s v="OMN"/>
    <x v="17"/>
    <n v="855314"/>
  </r>
  <r>
    <x v="148"/>
    <s v="OMN"/>
    <x v="18"/>
    <n v="900304"/>
  </r>
  <r>
    <x v="148"/>
    <s v="OMN"/>
    <x v="19"/>
    <n v="949116"/>
  </r>
  <r>
    <x v="148"/>
    <s v="OMN"/>
    <x v="20"/>
    <n v="1001248"/>
  </r>
  <r>
    <x v="148"/>
    <s v="OMN"/>
    <x v="21"/>
    <n v="1057320"/>
  </r>
  <r>
    <x v="148"/>
    <s v="OMN"/>
    <x v="22"/>
    <n v="1117678"/>
  </r>
  <r>
    <x v="148"/>
    <s v="OMN"/>
    <x v="23"/>
    <n v="1181459"/>
  </r>
  <r>
    <x v="148"/>
    <s v="OMN"/>
    <x v="24"/>
    <n v="1247716"/>
  </r>
  <r>
    <x v="148"/>
    <s v="OMN"/>
    <x v="25"/>
    <n v="1325480"/>
  </r>
  <r>
    <x v="148"/>
    <s v="OMN"/>
    <x v="26"/>
    <n v="1413419"/>
  </r>
  <r>
    <x v="148"/>
    <s v="OMN"/>
    <x v="27"/>
    <n v="1500996"/>
  </r>
  <r>
    <x v="148"/>
    <s v="OMN"/>
    <x v="28"/>
    <n v="1588568"/>
  </r>
  <r>
    <x v="148"/>
    <s v="OMN"/>
    <x v="29"/>
    <n v="1676228"/>
  </r>
  <r>
    <x v="148"/>
    <s v="OMN"/>
    <x v="30"/>
    <n v="1763954"/>
  </r>
  <r>
    <x v="148"/>
    <s v="OMN"/>
    <x v="31"/>
    <n v="1851473"/>
  </r>
  <r>
    <x v="148"/>
    <s v="OMN"/>
    <x v="32"/>
    <n v="1938238"/>
  </r>
  <r>
    <x v="148"/>
    <s v="OMN"/>
    <x v="33"/>
    <n v="2021675"/>
  </r>
  <r>
    <x v="148"/>
    <s v="OMN"/>
    <x v="34"/>
    <n v="2081834"/>
  </r>
  <r>
    <x v="148"/>
    <s v="OMN"/>
    <x v="35"/>
    <n v="2120528"/>
  </r>
  <r>
    <x v="148"/>
    <s v="OMN"/>
    <x v="36"/>
    <n v="2156926"/>
  </r>
  <r>
    <x v="148"/>
    <s v="OMN"/>
    <x v="37"/>
    <n v="2190720"/>
  </r>
  <r>
    <x v="148"/>
    <s v="OMN"/>
    <x v="38"/>
    <n v="2222489"/>
  </r>
  <r>
    <x v="148"/>
    <s v="OMN"/>
    <x v="39"/>
    <n v="2252909"/>
  </r>
  <r>
    <x v="148"/>
    <s v="OMN"/>
    <x v="40"/>
    <n v="2282131"/>
  </r>
  <r>
    <x v="148"/>
    <s v="OMN"/>
    <x v="41"/>
    <n v="2310217"/>
  </r>
  <r>
    <x v="148"/>
    <s v="OMN"/>
    <x v="42"/>
    <n v="2337140"/>
  </r>
  <r>
    <x v="148"/>
    <s v="OMN"/>
    <x v="43"/>
    <n v="2363796"/>
  </r>
  <r>
    <x v="148"/>
    <s v="OMN"/>
    <x v="44"/>
    <n v="2404821"/>
  </r>
  <r>
    <x v="148"/>
    <s v="OMN"/>
    <x v="45"/>
    <n v="2459802"/>
  </r>
  <r>
    <x v="148"/>
    <s v="OMN"/>
    <x v="46"/>
    <n v="2514795"/>
  </r>
  <r>
    <x v="148"/>
    <s v="OMN"/>
    <x v="47"/>
    <n v="2570174"/>
  </r>
  <r>
    <x v="148"/>
    <s v="OMN"/>
    <x v="48"/>
    <n v="2626529"/>
  </r>
  <r>
    <x v="148"/>
    <s v="OMN"/>
    <x v="49"/>
    <n v="2684659"/>
  </r>
  <r>
    <x v="148"/>
    <s v="OMN"/>
    <x v="50"/>
    <n v="2757446"/>
  </r>
  <r>
    <x v="148"/>
    <s v="OMN"/>
    <x v="51"/>
    <n v="3076763"/>
  </r>
  <r>
    <x v="148"/>
    <s v="OMN"/>
    <x v="52"/>
    <n v="3547106"/>
  </r>
  <r>
    <x v="148"/>
    <s v="OMN"/>
    <x v="53"/>
    <n v="3833913"/>
  </r>
  <r>
    <x v="148"/>
    <s v="OMN"/>
    <x v="54"/>
    <n v="4002439"/>
  </r>
  <r>
    <x v="148"/>
    <s v="OMN"/>
    <x v="55"/>
    <n v="4184895"/>
  </r>
  <r>
    <x v="148"/>
    <s v="OMN"/>
    <x v="56"/>
    <n v="4390877"/>
  </r>
  <r>
    <x v="148"/>
    <s v="OMN"/>
    <x v="57"/>
    <n v="4537396"/>
  </r>
  <r>
    <x v="148"/>
    <s v="OMN"/>
    <x v="58"/>
    <n v="4597877"/>
  </r>
  <r>
    <x v="148"/>
    <s v="OMN"/>
    <x v="59"/>
    <n v="4591241"/>
  </r>
  <r>
    <x v="148"/>
    <s v="OMN"/>
    <x v="60"/>
    <n v="4522497"/>
  </r>
  <r>
    <x v="148"/>
    <s v="OMN"/>
    <x v="61"/>
    <n v="4500424"/>
  </r>
  <r>
    <x v="148"/>
    <s v="OMN"/>
    <x v="62"/>
    <n v="4730226"/>
  </r>
  <r>
    <x v="148"/>
    <s v="OMN"/>
    <x v="63"/>
    <n v="5049269"/>
  </r>
  <r>
    <x v="148"/>
    <s v="OMN"/>
    <x v="64"/>
    <n v="5281538"/>
  </r>
  <r>
    <x v="149"/>
    <s v="PAK"/>
    <x v="0"/>
    <n v="45709310"/>
  </r>
  <r>
    <x v="149"/>
    <s v="PAK"/>
    <x v="1"/>
    <n v="46921277"/>
  </r>
  <r>
    <x v="149"/>
    <s v="PAK"/>
    <x v="2"/>
    <n v="48156128"/>
  </r>
  <r>
    <x v="149"/>
    <s v="PAK"/>
    <x v="3"/>
    <n v="49447776"/>
  </r>
  <r>
    <x v="149"/>
    <s v="PAK"/>
    <x v="4"/>
    <n v="50799999"/>
  </r>
  <r>
    <x v="149"/>
    <s v="PAK"/>
    <x v="5"/>
    <n v="52209010"/>
  </r>
  <r>
    <x v="149"/>
    <s v="PAK"/>
    <x v="6"/>
    <n v="53678667"/>
  </r>
  <r>
    <x v="149"/>
    <s v="PAK"/>
    <x v="7"/>
    <n v="55214768"/>
  </r>
  <r>
    <x v="149"/>
    <s v="PAK"/>
    <x v="8"/>
    <n v="56810507"/>
  </r>
  <r>
    <x v="149"/>
    <s v="PAK"/>
    <x v="9"/>
    <n v="58460939"/>
  </r>
  <r>
    <x v="149"/>
    <s v="PAK"/>
    <x v="10"/>
    <n v="60166719"/>
  </r>
  <r>
    <x v="149"/>
    <s v="PAK"/>
    <x v="11"/>
    <n v="61847899"/>
  </r>
  <r>
    <x v="149"/>
    <s v="PAK"/>
    <x v="12"/>
    <n v="63583194"/>
  </r>
  <r>
    <x v="149"/>
    <s v="PAK"/>
    <x v="13"/>
    <n v="65461912"/>
  </r>
  <r>
    <x v="149"/>
    <s v="PAK"/>
    <x v="14"/>
    <n v="67415487"/>
  </r>
  <r>
    <x v="149"/>
    <s v="PAK"/>
    <x v="15"/>
    <n v="69461175"/>
  </r>
  <r>
    <x v="149"/>
    <s v="PAK"/>
    <x v="16"/>
    <n v="71620254"/>
  </r>
  <r>
    <x v="149"/>
    <s v="PAK"/>
    <x v="17"/>
    <n v="73901827"/>
  </r>
  <r>
    <x v="149"/>
    <s v="PAK"/>
    <x v="18"/>
    <n v="76307379"/>
  </r>
  <r>
    <x v="149"/>
    <s v="PAK"/>
    <x v="19"/>
    <n v="78997039"/>
  </r>
  <r>
    <x v="149"/>
    <s v="PAK"/>
    <x v="20"/>
    <n v="82291010"/>
  </r>
  <r>
    <x v="149"/>
    <s v="PAK"/>
    <x v="21"/>
    <n v="85802049"/>
  </r>
  <r>
    <x v="149"/>
    <s v="PAK"/>
    <x v="22"/>
    <n v="89089246"/>
  </r>
  <r>
    <x v="149"/>
    <s v="PAK"/>
    <x v="23"/>
    <n v="92227711"/>
  </r>
  <r>
    <x v="149"/>
    <s v="PAK"/>
    <x v="24"/>
    <n v="95164936"/>
  </r>
  <r>
    <x v="149"/>
    <s v="PAK"/>
    <x v="25"/>
    <n v="98229285"/>
  </r>
  <r>
    <x v="149"/>
    <s v="PAK"/>
    <x v="26"/>
    <n v="101606764"/>
  </r>
  <r>
    <x v="149"/>
    <s v="PAK"/>
    <x v="27"/>
    <n v="105130717"/>
  </r>
  <r>
    <x v="149"/>
    <s v="PAK"/>
    <x v="28"/>
    <n v="108724739"/>
  </r>
  <r>
    <x v="149"/>
    <s v="PAK"/>
    <x v="29"/>
    <n v="112336629"/>
  </r>
  <r>
    <x v="149"/>
    <s v="PAK"/>
    <x v="30"/>
    <n v="116155576"/>
  </r>
  <r>
    <x v="149"/>
    <s v="PAK"/>
    <x v="31"/>
    <n v="120060406"/>
  </r>
  <r>
    <x v="149"/>
    <s v="PAK"/>
    <x v="32"/>
    <n v="123546848"/>
  </r>
  <r>
    <x v="149"/>
    <s v="PAK"/>
    <x v="33"/>
    <n v="127020117"/>
  </r>
  <r>
    <x v="149"/>
    <s v="PAK"/>
    <x v="34"/>
    <n v="130748083"/>
  </r>
  <r>
    <x v="149"/>
    <s v="PAK"/>
    <x v="35"/>
    <n v="134582253"/>
  </r>
  <r>
    <x v="149"/>
    <s v="PAK"/>
    <x v="36"/>
    <n v="138557092"/>
  </r>
  <r>
    <x v="149"/>
    <s v="PAK"/>
    <x v="37"/>
    <n v="142531804"/>
  </r>
  <r>
    <x v="149"/>
    <s v="PAK"/>
    <x v="38"/>
    <n v="146522356"/>
  </r>
  <r>
    <x v="149"/>
    <s v="PAK"/>
    <x v="39"/>
    <n v="150565377"/>
  </r>
  <r>
    <x v="149"/>
    <s v="PAK"/>
    <x v="40"/>
    <n v="154879127"/>
  </r>
  <r>
    <x v="149"/>
    <s v="PAK"/>
    <x v="41"/>
    <n v="159270907"/>
  </r>
  <r>
    <x v="149"/>
    <s v="PAK"/>
    <x v="42"/>
    <n v="163222549"/>
  </r>
  <r>
    <x v="149"/>
    <s v="PAK"/>
    <x v="43"/>
    <n v="167110248"/>
  </r>
  <r>
    <x v="149"/>
    <s v="PAK"/>
    <x v="44"/>
    <n v="171286000"/>
  </r>
  <r>
    <x v="149"/>
    <s v="PAK"/>
    <x v="45"/>
    <n v="175453212"/>
  </r>
  <r>
    <x v="149"/>
    <s v="PAK"/>
    <x v="46"/>
    <n v="179682690"/>
  </r>
  <r>
    <x v="149"/>
    <s v="PAK"/>
    <x v="47"/>
    <n v="184493231"/>
  </r>
  <r>
    <x v="149"/>
    <s v="PAK"/>
    <x v="48"/>
    <n v="189499113"/>
  </r>
  <r>
    <x v="149"/>
    <s v="PAK"/>
    <x v="49"/>
    <n v="194376534"/>
  </r>
  <r>
    <x v="149"/>
    <s v="PAK"/>
    <x v="50"/>
    <n v="199239047"/>
  </r>
  <r>
    <x v="149"/>
    <s v="PAK"/>
    <x v="51"/>
    <n v="203746065"/>
  </r>
  <r>
    <x v="149"/>
    <s v="PAK"/>
    <x v="52"/>
    <n v="207667125"/>
  </r>
  <r>
    <x v="149"/>
    <s v="PAK"/>
    <x v="53"/>
    <n v="211073978"/>
  </r>
  <r>
    <x v="149"/>
    <s v="PAK"/>
    <x v="54"/>
    <n v="214264647"/>
  </r>
  <r>
    <x v="149"/>
    <s v="PAK"/>
    <x v="55"/>
    <n v="217290883"/>
  </r>
  <r>
    <x v="149"/>
    <s v="PAK"/>
    <x v="56"/>
    <n v="220138869"/>
  </r>
  <r>
    <x v="149"/>
    <s v="PAK"/>
    <x v="57"/>
    <n v="223273967"/>
  </r>
  <r>
    <x v="149"/>
    <s v="PAK"/>
    <x v="58"/>
    <n v="226928892"/>
  </r>
  <r>
    <x v="149"/>
    <s v="PAK"/>
    <x v="59"/>
    <n v="230800899"/>
  </r>
  <r>
    <x v="149"/>
    <s v="PAK"/>
    <x v="60"/>
    <n v="235001746"/>
  </r>
  <r>
    <x v="149"/>
    <s v="PAK"/>
    <x v="61"/>
    <n v="239477801"/>
  </r>
  <r>
    <x v="149"/>
    <s v="PAK"/>
    <x v="62"/>
    <n v="243700667"/>
  </r>
  <r>
    <x v="149"/>
    <s v="PAK"/>
    <x v="63"/>
    <n v="247504495"/>
  </r>
  <r>
    <x v="149"/>
    <s v="PAK"/>
    <x v="64"/>
    <n v="251269164"/>
  </r>
  <r>
    <x v="150"/>
    <s v="PLW"/>
    <x v="0"/>
    <n v="9328"/>
  </r>
  <r>
    <x v="150"/>
    <s v="PLW"/>
    <x v="1"/>
    <n v="9555"/>
  </r>
  <r>
    <x v="150"/>
    <s v="PLW"/>
    <x v="2"/>
    <n v="9793"/>
  </r>
  <r>
    <x v="150"/>
    <s v="PLW"/>
    <x v="3"/>
    <n v="10037"/>
  </r>
  <r>
    <x v="150"/>
    <s v="PLW"/>
    <x v="4"/>
    <n v="10292"/>
  </r>
  <r>
    <x v="150"/>
    <s v="PLW"/>
    <x v="5"/>
    <n v="10547"/>
  </r>
  <r>
    <x v="150"/>
    <s v="PLW"/>
    <x v="6"/>
    <n v="10805"/>
  </r>
  <r>
    <x v="150"/>
    <s v="PLW"/>
    <x v="7"/>
    <n v="10988"/>
  </r>
  <r>
    <x v="150"/>
    <s v="PLW"/>
    <x v="8"/>
    <n v="11080"/>
  </r>
  <r>
    <x v="150"/>
    <s v="PLW"/>
    <x v="9"/>
    <n v="11159"/>
  </r>
  <r>
    <x v="150"/>
    <s v="PLW"/>
    <x v="10"/>
    <n v="11368"/>
  </r>
  <r>
    <x v="150"/>
    <s v="PLW"/>
    <x v="11"/>
    <n v="11759"/>
  </r>
  <r>
    <x v="150"/>
    <s v="PLW"/>
    <x v="12"/>
    <n v="12194"/>
  </r>
  <r>
    <x v="150"/>
    <s v="PLW"/>
    <x v="13"/>
    <n v="12552"/>
  </r>
  <r>
    <x v="150"/>
    <s v="PLW"/>
    <x v="14"/>
    <n v="12687"/>
  </r>
  <r>
    <x v="150"/>
    <s v="PLW"/>
    <x v="15"/>
    <n v="12655"/>
  </r>
  <r>
    <x v="150"/>
    <s v="PLW"/>
    <x v="16"/>
    <n v="12598"/>
  </r>
  <r>
    <x v="150"/>
    <s v="PLW"/>
    <x v="17"/>
    <n v="12525"/>
  </r>
  <r>
    <x v="150"/>
    <s v="PLW"/>
    <x v="18"/>
    <n v="12440"/>
  </r>
  <r>
    <x v="150"/>
    <s v="PLW"/>
    <x v="19"/>
    <n v="12337"/>
  </r>
  <r>
    <x v="150"/>
    <s v="PLW"/>
    <x v="20"/>
    <n v="12271"/>
  </r>
  <r>
    <x v="150"/>
    <s v="PLW"/>
    <x v="21"/>
    <n v="12402"/>
  </r>
  <r>
    <x v="150"/>
    <s v="PLW"/>
    <x v="22"/>
    <n v="12694"/>
  </r>
  <r>
    <x v="150"/>
    <s v="PLW"/>
    <x v="23"/>
    <n v="13006"/>
  </r>
  <r>
    <x v="150"/>
    <s v="PLW"/>
    <x v="24"/>
    <n v="13337"/>
  </r>
  <r>
    <x v="150"/>
    <s v="PLW"/>
    <x v="25"/>
    <n v="13688"/>
  </r>
  <r>
    <x v="150"/>
    <s v="PLW"/>
    <x v="26"/>
    <n v="14024"/>
  </r>
  <r>
    <x v="150"/>
    <s v="PLW"/>
    <x v="27"/>
    <n v="14334"/>
  </r>
  <r>
    <x v="150"/>
    <s v="PLW"/>
    <x v="28"/>
    <n v="14645"/>
  </r>
  <r>
    <x v="150"/>
    <s v="PLW"/>
    <x v="29"/>
    <n v="14945"/>
  </r>
  <r>
    <x v="150"/>
    <s v="PLW"/>
    <x v="30"/>
    <n v="15259"/>
  </r>
  <r>
    <x v="150"/>
    <s v="PLW"/>
    <x v="31"/>
    <n v="15614"/>
  </r>
  <r>
    <x v="150"/>
    <s v="PLW"/>
    <x v="32"/>
    <n v="15989"/>
  </r>
  <r>
    <x v="150"/>
    <s v="PLW"/>
    <x v="33"/>
    <n v="16372"/>
  </r>
  <r>
    <x v="150"/>
    <s v="PLW"/>
    <x v="34"/>
    <n v="16770"/>
  </r>
  <r>
    <x v="150"/>
    <s v="PLW"/>
    <x v="35"/>
    <n v="17195"/>
  </r>
  <r>
    <x v="150"/>
    <s v="PLW"/>
    <x v="36"/>
    <n v="17654"/>
  </r>
  <r>
    <x v="150"/>
    <s v="PLW"/>
    <x v="37"/>
    <n v="18108"/>
  </r>
  <r>
    <x v="150"/>
    <s v="PLW"/>
    <x v="38"/>
    <n v="18524"/>
  </r>
  <r>
    <x v="150"/>
    <s v="PLW"/>
    <x v="39"/>
    <n v="18901"/>
  </r>
  <r>
    <x v="150"/>
    <s v="PLW"/>
    <x v="40"/>
    <n v="19178"/>
  </r>
  <r>
    <x v="150"/>
    <s v="PLW"/>
    <x v="41"/>
    <n v="19352"/>
  </r>
  <r>
    <x v="150"/>
    <s v="PLW"/>
    <x v="42"/>
    <n v="19503"/>
  </r>
  <r>
    <x v="150"/>
    <s v="PLW"/>
    <x v="43"/>
    <n v="19659"/>
  </r>
  <r>
    <x v="150"/>
    <s v="PLW"/>
    <x v="44"/>
    <n v="19820"/>
  </r>
  <r>
    <x v="150"/>
    <s v="PLW"/>
    <x v="45"/>
    <n v="19819"/>
  </r>
  <r>
    <x v="150"/>
    <s v="PLW"/>
    <x v="46"/>
    <n v="19593"/>
  </r>
  <r>
    <x v="150"/>
    <s v="PLW"/>
    <x v="47"/>
    <n v="19302"/>
  </r>
  <r>
    <x v="150"/>
    <s v="PLW"/>
    <x v="48"/>
    <n v="19009"/>
  </r>
  <r>
    <x v="150"/>
    <s v="PLW"/>
    <x v="49"/>
    <n v="18709"/>
  </r>
  <r>
    <x v="150"/>
    <s v="PLW"/>
    <x v="50"/>
    <n v="18396"/>
  </r>
  <r>
    <x v="150"/>
    <s v="PLW"/>
    <x v="51"/>
    <n v="18078"/>
  </r>
  <r>
    <x v="150"/>
    <s v="PLW"/>
    <x v="52"/>
    <n v="17765"/>
  </r>
  <r>
    <x v="150"/>
    <s v="PLW"/>
    <x v="53"/>
    <n v="17648"/>
  </r>
  <r>
    <x v="150"/>
    <s v="PLW"/>
    <x v="54"/>
    <n v="17715"/>
  </r>
  <r>
    <x v="150"/>
    <s v="PLW"/>
    <x v="55"/>
    <n v="17770"/>
  </r>
  <r>
    <x v="150"/>
    <s v="PLW"/>
    <x v="56"/>
    <n v="17797"/>
  </r>
  <r>
    <x v="150"/>
    <s v="PLW"/>
    <x v="57"/>
    <n v="17812"/>
  </r>
  <r>
    <x v="150"/>
    <s v="PLW"/>
    <x v="58"/>
    <n v="17814"/>
  </r>
  <r>
    <x v="150"/>
    <s v="PLW"/>
    <x v="59"/>
    <n v="17798"/>
  </r>
  <r>
    <x v="150"/>
    <s v="PLW"/>
    <x v="60"/>
    <n v="17792"/>
  </r>
  <r>
    <x v="150"/>
    <s v="PLW"/>
    <x v="61"/>
    <n v="17783"/>
  </r>
  <r>
    <x v="150"/>
    <s v="PLW"/>
    <x v="62"/>
    <n v="17759"/>
  </r>
  <r>
    <x v="150"/>
    <s v="PLW"/>
    <x v="63"/>
    <n v="17727"/>
  </r>
  <r>
    <x v="150"/>
    <s v="PLW"/>
    <x v="64"/>
    <n v="17695"/>
  </r>
  <r>
    <x v="151"/>
    <s v="PAN"/>
    <x v="0"/>
    <n v="1126005"/>
  </r>
  <r>
    <x v="151"/>
    <s v="PAN"/>
    <x v="1"/>
    <n v="1159870"/>
  </r>
  <r>
    <x v="151"/>
    <s v="PAN"/>
    <x v="2"/>
    <n v="1195301"/>
  </r>
  <r>
    <x v="151"/>
    <s v="PAN"/>
    <x v="3"/>
    <n v="1232124"/>
  </r>
  <r>
    <x v="151"/>
    <s v="PAN"/>
    <x v="4"/>
    <n v="1270065"/>
  </r>
  <r>
    <x v="151"/>
    <s v="PAN"/>
    <x v="5"/>
    <n v="1308835"/>
  </r>
  <r>
    <x v="151"/>
    <s v="PAN"/>
    <x v="6"/>
    <n v="1348388"/>
  </r>
  <r>
    <x v="151"/>
    <s v="PAN"/>
    <x v="7"/>
    <n v="1388628"/>
  </r>
  <r>
    <x v="151"/>
    <s v="PAN"/>
    <x v="8"/>
    <n v="1429447"/>
  </r>
  <r>
    <x v="151"/>
    <s v="PAN"/>
    <x v="9"/>
    <n v="1470886"/>
  </r>
  <r>
    <x v="151"/>
    <s v="PAN"/>
    <x v="10"/>
    <n v="1513070"/>
  </r>
  <r>
    <x v="151"/>
    <s v="PAN"/>
    <x v="11"/>
    <n v="1556081"/>
  </r>
  <r>
    <x v="151"/>
    <s v="PAN"/>
    <x v="12"/>
    <n v="1599723"/>
  </r>
  <r>
    <x v="151"/>
    <s v="PAN"/>
    <x v="13"/>
    <n v="1643690"/>
  </r>
  <r>
    <x v="151"/>
    <s v="PAN"/>
    <x v="14"/>
    <n v="1687926"/>
  </r>
  <r>
    <x v="151"/>
    <s v="PAN"/>
    <x v="15"/>
    <n v="1732389"/>
  </r>
  <r>
    <x v="151"/>
    <s v="PAN"/>
    <x v="16"/>
    <n v="1776935"/>
  </r>
  <r>
    <x v="151"/>
    <s v="PAN"/>
    <x v="17"/>
    <n v="1821543"/>
  </r>
  <r>
    <x v="151"/>
    <s v="PAN"/>
    <x v="18"/>
    <n v="1866311"/>
  </r>
  <r>
    <x v="151"/>
    <s v="PAN"/>
    <x v="19"/>
    <n v="1911552"/>
  </r>
  <r>
    <x v="151"/>
    <s v="PAN"/>
    <x v="20"/>
    <n v="1957534"/>
  </r>
  <r>
    <x v="151"/>
    <s v="PAN"/>
    <x v="21"/>
    <n v="2004418"/>
  </r>
  <r>
    <x v="151"/>
    <s v="PAN"/>
    <x v="22"/>
    <n v="2052271"/>
  </r>
  <r>
    <x v="151"/>
    <s v="PAN"/>
    <x v="23"/>
    <n v="2101106"/>
  </r>
  <r>
    <x v="151"/>
    <s v="PAN"/>
    <x v="24"/>
    <n v="2150782"/>
  </r>
  <r>
    <x v="151"/>
    <s v="PAN"/>
    <x v="25"/>
    <n v="2200915"/>
  </r>
  <r>
    <x v="151"/>
    <s v="PAN"/>
    <x v="26"/>
    <n v="2251325"/>
  </r>
  <r>
    <x v="151"/>
    <s v="PAN"/>
    <x v="27"/>
    <n v="2301970"/>
  </r>
  <r>
    <x v="151"/>
    <s v="PAN"/>
    <x v="28"/>
    <n v="2352848"/>
  </r>
  <r>
    <x v="151"/>
    <s v="PAN"/>
    <x v="29"/>
    <n v="2403820"/>
  </r>
  <r>
    <x v="151"/>
    <s v="PAN"/>
    <x v="30"/>
    <n v="2455583"/>
  </r>
  <r>
    <x v="151"/>
    <s v="PAN"/>
    <x v="31"/>
    <n v="2508265"/>
  </r>
  <r>
    <x v="151"/>
    <s v="PAN"/>
    <x v="32"/>
    <n v="2561336"/>
  </r>
  <r>
    <x v="151"/>
    <s v="PAN"/>
    <x v="33"/>
    <n v="2615099"/>
  </r>
  <r>
    <x v="151"/>
    <s v="PAN"/>
    <x v="34"/>
    <n v="2669546"/>
  </r>
  <r>
    <x v="151"/>
    <s v="PAN"/>
    <x v="35"/>
    <n v="2724557"/>
  </r>
  <r>
    <x v="151"/>
    <s v="PAN"/>
    <x v="36"/>
    <n v="2780227"/>
  </r>
  <r>
    <x v="151"/>
    <s v="PAN"/>
    <x v="37"/>
    <n v="2836695"/>
  </r>
  <r>
    <x v="151"/>
    <s v="PAN"/>
    <x v="38"/>
    <n v="2893914"/>
  </r>
  <r>
    <x v="151"/>
    <s v="PAN"/>
    <x v="39"/>
    <n v="2951822"/>
  </r>
  <r>
    <x v="151"/>
    <s v="PAN"/>
    <x v="40"/>
    <n v="3010369"/>
  </r>
  <r>
    <x v="151"/>
    <s v="PAN"/>
    <x v="41"/>
    <n v="3069537"/>
  </r>
  <r>
    <x v="151"/>
    <s v="PAN"/>
    <x v="42"/>
    <n v="3129344"/>
  </r>
  <r>
    <x v="151"/>
    <s v="PAN"/>
    <x v="43"/>
    <n v="3189807"/>
  </r>
  <r>
    <x v="151"/>
    <s v="PAN"/>
    <x v="44"/>
    <n v="3251155"/>
  </r>
  <r>
    <x v="151"/>
    <s v="PAN"/>
    <x v="45"/>
    <n v="3313026"/>
  </r>
  <r>
    <x v="151"/>
    <s v="PAN"/>
    <x v="46"/>
    <n v="3375024"/>
  </r>
  <r>
    <x v="151"/>
    <s v="PAN"/>
    <x v="47"/>
    <n v="3437490"/>
  </r>
  <r>
    <x v="151"/>
    <s v="PAN"/>
    <x v="48"/>
    <n v="3500648"/>
  </r>
  <r>
    <x v="151"/>
    <s v="PAN"/>
    <x v="49"/>
    <n v="3564381"/>
  </r>
  <r>
    <x v="151"/>
    <s v="PAN"/>
    <x v="50"/>
    <n v="3628535"/>
  </r>
  <r>
    <x v="151"/>
    <s v="PAN"/>
    <x v="51"/>
    <n v="3693505"/>
  </r>
  <r>
    <x v="151"/>
    <s v="PAN"/>
    <x v="52"/>
    <n v="3759256"/>
  </r>
  <r>
    <x v="151"/>
    <s v="PAN"/>
    <x v="53"/>
    <n v="3825329"/>
  </r>
  <r>
    <x v="151"/>
    <s v="PAN"/>
    <x v="54"/>
    <n v="3892101"/>
  </r>
  <r>
    <x v="151"/>
    <s v="PAN"/>
    <x v="55"/>
    <n v="3960035"/>
  </r>
  <r>
    <x v="151"/>
    <s v="PAN"/>
    <x v="56"/>
    <n v="4029086"/>
  </r>
  <r>
    <x v="151"/>
    <s v="PAN"/>
    <x v="57"/>
    <n v="4098707"/>
  </r>
  <r>
    <x v="151"/>
    <s v="PAN"/>
    <x v="58"/>
    <n v="4167860"/>
  </r>
  <r>
    <x v="151"/>
    <s v="PAN"/>
    <x v="59"/>
    <n v="4234700"/>
  </r>
  <r>
    <x v="151"/>
    <s v="PAN"/>
    <x v="60"/>
    <n v="4293261"/>
  </r>
  <r>
    <x v="151"/>
    <s v="PAN"/>
    <x v="61"/>
    <n v="4345405"/>
  </r>
  <r>
    <x v="151"/>
    <s v="PAN"/>
    <x v="62"/>
    <n v="4400773"/>
  </r>
  <r>
    <x v="151"/>
    <s v="PAN"/>
    <x v="63"/>
    <n v="4458759"/>
  </r>
  <r>
    <x v="151"/>
    <s v="PAN"/>
    <x v="64"/>
    <n v="4515577"/>
  </r>
  <r>
    <x v="152"/>
    <s v="PNG"/>
    <x v="0"/>
    <n v="1995110"/>
  </r>
  <r>
    <x v="152"/>
    <s v="PNG"/>
    <x v="1"/>
    <n v="2046127"/>
  </r>
  <r>
    <x v="152"/>
    <s v="PNG"/>
    <x v="2"/>
    <n v="2093919"/>
  </r>
  <r>
    <x v="152"/>
    <s v="PNG"/>
    <x v="3"/>
    <n v="2141376"/>
  </r>
  <r>
    <x v="152"/>
    <s v="PNG"/>
    <x v="4"/>
    <n v="2188325"/>
  </r>
  <r>
    <x v="152"/>
    <s v="PNG"/>
    <x v="5"/>
    <n v="2235820"/>
  </r>
  <r>
    <x v="152"/>
    <s v="PNG"/>
    <x v="6"/>
    <n v="2285774"/>
  </r>
  <r>
    <x v="152"/>
    <s v="PNG"/>
    <x v="7"/>
    <n v="2337532"/>
  </r>
  <r>
    <x v="152"/>
    <s v="PNG"/>
    <x v="8"/>
    <n v="2390803"/>
  </r>
  <r>
    <x v="152"/>
    <s v="PNG"/>
    <x v="9"/>
    <n v="2446927"/>
  </r>
  <r>
    <x v="152"/>
    <s v="PNG"/>
    <x v="10"/>
    <n v="2505628"/>
  </r>
  <r>
    <x v="152"/>
    <s v="PNG"/>
    <x v="11"/>
    <n v="2566421"/>
  </r>
  <r>
    <x v="152"/>
    <s v="PNG"/>
    <x v="12"/>
    <n v="2628432"/>
  </r>
  <r>
    <x v="152"/>
    <s v="PNG"/>
    <x v="13"/>
    <n v="2690629"/>
  </r>
  <r>
    <x v="152"/>
    <s v="PNG"/>
    <x v="14"/>
    <n v="2752671"/>
  </r>
  <r>
    <x v="152"/>
    <s v="PNG"/>
    <x v="15"/>
    <n v="2814820"/>
  </r>
  <r>
    <x v="152"/>
    <s v="PNG"/>
    <x v="16"/>
    <n v="2877327"/>
  </r>
  <r>
    <x v="152"/>
    <s v="PNG"/>
    <x v="17"/>
    <n v="2940327"/>
  </r>
  <r>
    <x v="152"/>
    <s v="PNG"/>
    <x v="18"/>
    <n v="3003714"/>
  </r>
  <r>
    <x v="152"/>
    <s v="PNG"/>
    <x v="19"/>
    <n v="3067341"/>
  </r>
  <r>
    <x v="152"/>
    <s v="PNG"/>
    <x v="20"/>
    <n v="3131512"/>
  </r>
  <r>
    <x v="152"/>
    <s v="PNG"/>
    <x v="21"/>
    <n v="3197019"/>
  </r>
  <r>
    <x v="152"/>
    <s v="PNG"/>
    <x v="22"/>
    <n v="3264291"/>
  </r>
  <r>
    <x v="152"/>
    <s v="PNG"/>
    <x v="23"/>
    <n v="3333633"/>
  </r>
  <r>
    <x v="152"/>
    <s v="PNG"/>
    <x v="24"/>
    <n v="3405198"/>
  </r>
  <r>
    <x v="152"/>
    <s v="PNG"/>
    <x v="25"/>
    <n v="3478936"/>
  </r>
  <r>
    <x v="152"/>
    <s v="PNG"/>
    <x v="26"/>
    <n v="3554793"/>
  </r>
  <r>
    <x v="152"/>
    <s v="PNG"/>
    <x v="27"/>
    <n v="3632543"/>
  </r>
  <r>
    <x v="152"/>
    <s v="PNG"/>
    <x v="28"/>
    <n v="3711880"/>
  </r>
  <r>
    <x v="152"/>
    <s v="PNG"/>
    <x v="29"/>
    <n v="3796078"/>
  </r>
  <r>
    <x v="152"/>
    <s v="PNG"/>
    <x v="30"/>
    <n v="3896481"/>
  </r>
  <r>
    <x v="152"/>
    <s v="PNG"/>
    <x v="31"/>
    <n v="4021837"/>
  </r>
  <r>
    <x v="152"/>
    <s v="PNG"/>
    <x v="32"/>
    <n v="4166699"/>
  </r>
  <r>
    <x v="152"/>
    <s v="PNG"/>
    <x v="33"/>
    <n v="4320872"/>
  </r>
  <r>
    <x v="152"/>
    <s v="PNG"/>
    <x v="34"/>
    <n v="4480208"/>
  </r>
  <r>
    <x v="152"/>
    <s v="PNG"/>
    <x v="35"/>
    <n v="4644278"/>
  </r>
  <r>
    <x v="152"/>
    <s v="PNG"/>
    <x v="36"/>
    <n v="4813361"/>
  </r>
  <r>
    <x v="152"/>
    <s v="PNG"/>
    <x v="37"/>
    <n v="4987883"/>
  </r>
  <r>
    <x v="152"/>
    <s v="PNG"/>
    <x v="38"/>
    <n v="5166390"/>
  </r>
  <r>
    <x v="152"/>
    <s v="PNG"/>
    <x v="39"/>
    <n v="5349333"/>
  </r>
  <r>
    <x v="152"/>
    <s v="PNG"/>
    <x v="40"/>
    <n v="5537064"/>
  </r>
  <r>
    <x v="152"/>
    <s v="PNG"/>
    <x v="41"/>
    <n v="5728435"/>
  </r>
  <r>
    <x v="152"/>
    <s v="PNG"/>
    <x v="42"/>
    <n v="5924003"/>
  </r>
  <r>
    <x v="152"/>
    <s v="PNG"/>
    <x v="43"/>
    <n v="6123997"/>
  </r>
  <r>
    <x v="152"/>
    <s v="PNG"/>
    <x v="44"/>
    <n v="6328041"/>
  </r>
  <r>
    <x v="152"/>
    <s v="PNG"/>
    <x v="45"/>
    <n v="6535905"/>
  </r>
  <r>
    <x v="152"/>
    <s v="PNG"/>
    <x v="46"/>
    <n v="6747720"/>
  </r>
  <r>
    <x v="152"/>
    <s v="PNG"/>
    <x v="47"/>
    <n v="6963345"/>
  </r>
  <r>
    <x v="152"/>
    <s v="PNG"/>
    <x v="48"/>
    <n v="7183002"/>
  </r>
  <r>
    <x v="152"/>
    <s v="PNG"/>
    <x v="49"/>
    <n v="7406438"/>
  </r>
  <r>
    <x v="152"/>
    <s v="PNG"/>
    <x v="50"/>
    <n v="7633523"/>
  </r>
  <r>
    <x v="152"/>
    <s v="PNG"/>
    <x v="51"/>
    <n v="7859346"/>
  </r>
  <r>
    <x v="152"/>
    <s v="PNG"/>
    <x v="52"/>
    <n v="8081390"/>
  </r>
  <r>
    <x v="152"/>
    <s v="PNG"/>
    <x v="53"/>
    <n v="8302698"/>
  </r>
  <r>
    <x v="152"/>
    <s v="PNG"/>
    <x v="54"/>
    <n v="8523441"/>
  </r>
  <r>
    <x v="152"/>
    <s v="PNG"/>
    <x v="55"/>
    <n v="8743246"/>
  </r>
  <r>
    <x v="152"/>
    <s v="PNG"/>
    <x v="56"/>
    <n v="8961718"/>
  </r>
  <r>
    <x v="152"/>
    <s v="PNG"/>
    <x v="57"/>
    <n v="9178714"/>
  </r>
  <r>
    <x v="152"/>
    <s v="PNG"/>
    <x v="58"/>
    <n v="9394513"/>
  </r>
  <r>
    <x v="152"/>
    <s v="PNG"/>
    <x v="59"/>
    <n v="9609010"/>
  </r>
  <r>
    <x v="152"/>
    <s v="PNG"/>
    <x v="60"/>
    <n v="9815746"/>
  </r>
  <r>
    <x v="152"/>
    <s v="PNG"/>
    <x v="61"/>
    <n v="10012896"/>
  </r>
  <r>
    <x v="152"/>
    <s v="PNG"/>
    <x v="62"/>
    <n v="10203169"/>
  </r>
  <r>
    <x v="152"/>
    <s v="PNG"/>
    <x v="63"/>
    <n v="10389635"/>
  </r>
  <r>
    <x v="152"/>
    <s v="PNG"/>
    <x v="64"/>
    <n v="10576502"/>
  </r>
  <r>
    <x v="153"/>
    <s v="PRY"/>
    <x v="0"/>
    <n v="1883514"/>
  </r>
  <r>
    <x v="153"/>
    <s v="PRY"/>
    <x v="1"/>
    <n v="1927394"/>
  </r>
  <r>
    <x v="153"/>
    <s v="PRY"/>
    <x v="2"/>
    <n v="1973130"/>
  </r>
  <r>
    <x v="153"/>
    <s v="PRY"/>
    <x v="3"/>
    <n v="2021909"/>
  </r>
  <r>
    <x v="153"/>
    <s v="PRY"/>
    <x v="4"/>
    <n v="2073119"/>
  </r>
  <r>
    <x v="153"/>
    <s v="PRY"/>
    <x v="5"/>
    <n v="2125177"/>
  </r>
  <r>
    <x v="153"/>
    <s v="PRY"/>
    <x v="6"/>
    <n v="2177584"/>
  </r>
  <r>
    <x v="153"/>
    <s v="PRY"/>
    <x v="7"/>
    <n v="2229994"/>
  </r>
  <r>
    <x v="153"/>
    <s v="PRY"/>
    <x v="8"/>
    <n v="2282391"/>
  </r>
  <r>
    <x v="153"/>
    <s v="PRY"/>
    <x v="9"/>
    <n v="2334992"/>
  </r>
  <r>
    <x v="153"/>
    <s v="PRY"/>
    <x v="10"/>
    <n v="2388028"/>
  </r>
  <r>
    <x v="153"/>
    <s v="PRY"/>
    <x v="11"/>
    <n v="2442537"/>
  </r>
  <r>
    <x v="153"/>
    <s v="PRY"/>
    <x v="12"/>
    <n v="2499881"/>
  </r>
  <r>
    <x v="153"/>
    <s v="PRY"/>
    <x v="13"/>
    <n v="2561102"/>
  </r>
  <r>
    <x v="153"/>
    <s v="PRY"/>
    <x v="14"/>
    <n v="2625621"/>
  </r>
  <r>
    <x v="153"/>
    <s v="PRY"/>
    <x v="15"/>
    <n v="2691648"/>
  </r>
  <r>
    <x v="153"/>
    <s v="PRY"/>
    <x v="16"/>
    <n v="2758836"/>
  </r>
  <r>
    <x v="153"/>
    <s v="PRY"/>
    <x v="17"/>
    <n v="2827874"/>
  </r>
  <r>
    <x v="153"/>
    <s v="PRY"/>
    <x v="18"/>
    <n v="2899269"/>
  </r>
  <r>
    <x v="153"/>
    <s v="PRY"/>
    <x v="19"/>
    <n v="2973968"/>
  </r>
  <r>
    <x v="153"/>
    <s v="PRY"/>
    <x v="20"/>
    <n v="3053235"/>
  </r>
  <r>
    <x v="153"/>
    <s v="PRY"/>
    <x v="21"/>
    <n v="3137604"/>
  </r>
  <r>
    <x v="153"/>
    <s v="PRY"/>
    <x v="22"/>
    <n v="3226189"/>
  </r>
  <r>
    <x v="153"/>
    <s v="PRY"/>
    <x v="23"/>
    <n v="3318068"/>
  </r>
  <r>
    <x v="153"/>
    <s v="PRY"/>
    <x v="24"/>
    <n v="3412936"/>
  </r>
  <r>
    <x v="153"/>
    <s v="PRY"/>
    <x v="25"/>
    <n v="3510671"/>
  </r>
  <r>
    <x v="153"/>
    <s v="PRY"/>
    <x v="26"/>
    <n v="3611474"/>
  </r>
  <r>
    <x v="153"/>
    <s v="PRY"/>
    <x v="27"/>
    <n v="3714889"/>
  </r>
  <r>
    <x v="153"/>
    <s v="PRY"/>
    <x v="28"/>
    <n v="3820546"/>
  </r>
  <r>
    <x v="153"/>
    <s v="PRY"/>
    <x v="29"/>
    <n v="3927802"/>
  </r>
  <r>
    <x v="153"/>
    <s v="PRY"/>
    <x v="30"/>
    <n v="4035747"/>
  </r>
  <r>
    <x v="153"/>
    <s v="PRY"/>
    <x v="31"/>
    <n v="4144364"/>
  </r>
  <r>
    <x v="153"/>
    <s v="PRY"/>
    <x v="32"/>
    <n v="4253600"/>
  </r>
  <r>
    <x v="153"/>
    <s v="PRY"/>
    <x v="33"/>
    <n v="4362696"/>
  </r>
  <r>
    <x v="153"/>
    <s v="PRY"/>
    <x v="34"/>
    <n v="4471417"/>
  </r>
  <r>
    <x v="153"/>
    <s v="PRY"/>
    <x v="35"/>
    <n v="4579806"/>
  </r>
  <r>
    <x v="153"/>
    <s v="PRY"/>
    <x v="36"/>
    <n v="4687543"/>
  </r>
  <r>
    <x v="153"/>
    <s v="PRY"/>
    <x v="37"/>
    <n v="4794412"/>
  </r>
  <r>
    <x v="153"/>
    <s v="PRY"/>
    <x v="38"/>
    <n v="4900025"/>
  </r>
  <r>
    <x v="153"/>
    <s v="PRY"/>
    <x v="39"/>
    <n v="5003135"/>
  </r>
  <r>
    <x v="153"/>
    <s v="PRY"/>
    <x v="40"/>
    <n v="5100868"/>
  </r>
  <r>
    <x v="153"/>
    <s v="PRY"/>
    <x v="41"/>
    <n v="5187689"/>
  </r>
  <r>
    <x v="153"/>
    <s v="PRY"/>
    <x v="42"/>
    <n v="5261328"/>
  </r>
  <r>
    <x v="153"/>
    <s v="PRY"/>
    <x v="43"/>
    <n v="5326436"/>
  </r>
  <r>
    <x v="153"/>
    <s v="PRY"/>
    <x v="44"/>
    <n v="5388175"/>
  </r>
  <r>
    <x v="153"/>
    <s v="PRY"/>
    <x v="45"/>
    <n v="5448097"/>
  </r>
  <r>
    <x v="153"/>
    <s v="PRY"/>
    <x v="46"/>
    <n v="5505148"/>
  </r>
  <r>
    <x v="153"/>
    <s v="PRY"/>
    <x v="47"/>
    <n v="5559386"/>
  </r>
  <r>
    <x v="153"/>
    <s v="PRY"/>
    <x v="48"/>
    <n v="5613574"/>
  </r>
  <r>
    <x v="153"/>
    <s v="PRY"/>
    <x v="49"/>
    <n v="5671236"/>
  </r>
  <r>
    <x v="153"/>
    <s v="PRY"/>
    <x v="50"/>
    <n v="5737971"/>
  </r>
  <r>
    <x v="153"/>
    <s v="PRY"/>
    <x v="51"/>
    <n v="5814626"/>
  </r>
  <r>
    <x v="153"/>
    <s v="PRY"/>
    <x v="52"/>
    <n v="5897008"/>
  </r>
  <r>
    <x v="153"/>
    <s v="PRY"/>
    <x v="53"/>
    <n v="5982445"/>
  </r>
  <r>
    <x v="153"/>
    <s v="PRY"/>
    <x v="54"/>
    <n v="6069811"/>
  </r>
  <r>
    <x v="153"/>
    <s v="PRY"/>
    <x v="55"/>
    <n v="6159103"/>
  </r>
  <r>
    <x v="153"/>
    <s v="PRY"/>
    <x v="56"/>
    <n v="6249126"/>
  </r>
  <r>
    <x v="153"/>
    <s v="PRY"/>
    <x v="57"/>
    <n v="6338660"/>
  </r>
  <r>
    <x v="153"/>
    <s v="PRY"/>
    <x v="58"/>
    <n v="6427382"/>
  </r>
  <r>
    <x v="153"/>
    <s v="PRY"/>
    <x v="59"/>
    <n v="6515058"/>
  </r>
  <r>
    <x v="153"/>
    <s v="PRY"/>
    <x v="60"/>
    <n v="6603739"/>
  </r>
  <r>
    <x v="153"/>
    <s v="PRY"/>
    <x v="61"/>
    <n v="6684182"/>
  </r>
  <r>
    <x v="153"/>
    <s v="PRY"/>
    <x v="62"/>
    <n v="6760464"/>
  </r>
  <r>
    <x v="153"/>
    <s v="PRY"/>
    <x v="63"/>
    <n v="6844146"/>
  </r>
  <r>
    <x v="153"/>
    <s v="PRY"/>
    <x v="64"/>
    <n v="6929153"/>
  </r>
  <r>
    <x v="154"/>
    <s v="PER"/>
    <x v="0"/>
    <n v="10174127"/>
  </r>
  <r>
    <x v="154"/>
    <s v="PER"/>
    <x v="1"/>
    <n v="10475123"/>
  </r>
  <r>
    <x v="154"/>
    <s v="PER"/>
    <x v="2"/>
    <n v="10784612"/>
  </r>
  <r>
    <x v="154"/>
    <s v="PER"/>
    <x v="3"/>
    <n v="11102099"/>
  </r>
  <r>
    <x v="154"/>
    <s v="PER"/>
    <x v="4"/>
    <n v="11427978"/>
  </r>
  <r>
    <x v="154"/>
    <s v="PER"/>
    <x v="5"/>
    <n v="11761085"/>
  </r>
  <r>
    <x v="154"/>
    <s v="PER"/>
    <x v="6"/>
    <n v="12101297"/>
  </r>
  <r>
    <x v="154"/>
    <s v="PER"/>
    <x v="7"/>
    <n v="12448814"/>
  </r>
  <r>
    <x v="154"/>
    <s v="PER"/>
    <x v="8"/>
    <n v="12803993"/>
  </r>
  <r>
    <x v="154"/>
    <s v="PER"/>
    <x v="9"/>
    <n v="13166767"/>
  </r>
  <r>
    <x v="154"/>
    <s v="PER"/>
    <x v="10"/>
    <n v="13501237"/>
  </r>
  <r>
    <x v="154"/>
    <s v="PER"/>
    <x v="11"/>
    <n v="13838067"/>
  </r>
  <r>
    <x v="154"/>
    <s v="PER"/>
    <x v="12"/>
    <n v="14210147"/>
  </r>
  <r>
    <x v="154"/>
    <s v="PER"/>
    <x v="13"/>
    <n v="14582867"/>
  </r>
  <r>
    <x v="154"/>
    <s v="PER"/>
    <x v="14"/>
    <n v="14956552"/>
  </r>
  <r>
    <x v="154"/>
    <s v="PER"/>
    <x v="15"/>
    <n v="15333957"/>
  </r>
  <r>
    <x v="154"/>
    <s v="PER"/>
    <x v="16"/>
    <n v="15716809"/>
  </r>
  <r>
    <x v="154"/>
    <s v="PER"/>
    <x v="17"/>
    <n v="16109806"/>
  </r>
  <r>
    <x v="154"/>
    <s v="PER"/>
    <x v="18"/>
    <n v="16516059"/>
  </r>
  <r>
    <x v="154"/>
    <s v="PER"/>
    <x v="19"/>
    <n v="16933139"/>
  </r>
  <r>
    <x v="154"/>
    <s v="PER"/>
    <x v="20"/>
    <n v="17360949"/>
  </r>
  <r>
    <x v="154"/>
    <s v="PER"/>
    <x v="21"/>
    <n v="17798805"/>
  </r>
  <r>
    <x v="154"/>
    <s v="PER"/>
    <x v="22"/>
    <n v="18246503"/>
  </r>
  <r>
    <x v="154"/>
    <s v="PER"/>
    <x v="23"/>
    <n v="18705957"/>
  </r>
  <r>
    <x v="154"/>
    <s v="PER"/>
    <x v="24"/>
    <n v="19174716"/>
  </r>
  <r>
    <x v="154"/>
    <s v="PER"/>
    <x v="25"/>
    <n v="19648204"/>
  </r>
  <r>
    <x v="154"/>
    <s v="PER"/>
    <x v="26"/>
    <n v="20117122"/>
  </r>
  <r>
    <x v="154"/>
    <s v="PER"/>
    <x v="27"/>
    <n v="20582320"/>
  </r>
  <r>
    <x v="154"/>
    <s v="PER"/>
    <x v="28"/>
    <n v="21054702"/>
  </r>
  <r>
    <x v="154"/>
    <s v="PER"/>
    <x v="29"/>
    <n v="21532589"/>
  </r>
  <r>
    <x v="154"/>
    <s v="PER"/>
    <x v="30"/>
    <n v="22014771"/>
  </r>
  <r>
    <x v="154"/>
    <s v="PER"/>
    <x v="31"/>
    <n v="22483775"/>
  </r>
  <r>
    <x v="154"/>
    <s v="PER"/>
    <x v="32"/>
    <n v="22946340"/>
  </r>
  <r>
    <x v="154"/>
    <s v="PER"/>
    <x v="33"/>
    <n v="23413783"/>
  </r>
  <r>
    <x v="154"/>
    <s v="PER"/>
    <x v="34"/>
    <n v="23881493"/>
  </r>
  <r>
    <x v="154"/>
    <s v="PER"/>
    <x v="35"/>
    <n v="24348919"/>
  </r>
  <r>
    <x v="154"/>
    <s v="PER"/>
    <x v="36"/>
    <n v="24811171"/>
  </r>
  <r>
    <x v="154"/>
    <s v="PER"/>
    <x v="37"/>
    <n v="25274147"/>
  </r>
  <r>
    <x v="154"/>
    <s v="PER"/>
    <x v="38"/>
    <n v="25738095"/>
  </r>
  <r>
    <x v="154"/>
    <s v="PER"/>
    <x v="39"/>
    <n v="26186504"/>
  </r>
  <r>
    <x v="154"/>
    <s v="PER"/>
    <x v="40"/>
    <n v="26598331"/>
  </r>
  <r>
    <x v="154"/>
    <s v="PER"/>
    <x v="41"/>
    <n v="26964601"/>
  </r>
  <r>
    <x v="154"/>
    <s v="PER"/>
    <x v="42"/>
    <n v="27288217"/>
  </r>
  <r>
    <x v="154"/>
    <s v="PER"/>
    <x v="43"/>
    <n v="27580490"/>
  </r>
  <r>
    <x v="154"/>
    <s v="PER"/>
    <x v="44"/>
    <n v="27852190"/>
  </r>
  <r>
    <x v="154"/>
    <s v="PER"/>
    <x v="45"/>
    <n v="28101180"/>
  </r>
  <r>
    <x v="154"/>
    <s v="PER"/>
    <x v="46"/>
    <n v="28324491"/>
  </r>
  <r>
    <x v="154"/>
    <s v="PER"/>
    <x v="47"/>
    <n v="28530699"/>
  </r>
  <r>
    <x v="154"/>
    <s v="PER"/>
    <x v="48"/>
    <n v="28719041"/>
  </r>
  <r>
    <x v="154"/>
    <s v="PER"/>
    <x v="49"/>
    <n v="28896811"/>
  </r>
  <r>
    <x v="154"/>
    <s v="PER"/>
    <x v="50"/>
    <n v="29086019"/>
  </r>
  <r>
    <x v="154"/>
    <s v="PER"/>
    <x v="51"/>
    <n v="29304086"/>
  </r>
  <r>
    <x v="154"/>
    <s v="PER"/>
    <x v="52"/>
    <n v="29550366"/>
  </r>
  <r>
    <x v="154"/>
    <s v="PER"/>
    <x v="53"/>
    <n v="29817919"/>
  </r>
  <r>
    <x v="154"/>
    <s v="PER"/>
    <x v="54"/>
    <n v="30115826"/>
  </r>
  <r>
    <x v="154"/>
    <s v="PER"/>
    <x v="55"/>
    <n v="30457600"/>
  </r>
  <r>
    <x v="154"/>
    <s v="PER"/>
    <x v="56"/>
    <n v="30866494"/>
  </r>
  <r>
    <x v="154"/>
    <s v="PER"/>
    <x v="57"/>
    <n v="31324637"/>
  </r>
  <r>
    <x v="154"/>
    <s v="PER"/>
    <x v="58"/>
    <n v="31897584"/>
  </r>
  <r>
    <x v="154"/>
    <s v="PER"/>
    <x v="59"/>
    <n v="32449303"/>
  </r>
  <r>
    <x v="154"/>
    <s v="PER"/>
    <x v="60"/>
    <n v="32838579"/>
  </r>
  <r>
    <x v="154"/>
    <s v="PER"/>
    <x v="61"/>
    <n v="33155882"/>
  </r>
  <r>
    <x v="154"/>
    <s v="PER"/>
    <x v="62"/>
    <n v="33475438"/>
  </r>
  <r>
    <x v="154"/>
    <s v="PER"/>
    <x v="63"/>
    <n v="33845617"/>
  </r>
  <r>
    <x v="154"/>
    <s v="PER"/>
    <x v="64"/>
    <n v="34217848"/>
  </r>
  <r>
    <x v="155"/>
    <s v="PHL"/>
    <x v="0"/>
    <n v="27891897"/>
  </r>
  <r>
    <x v="155"/>
    <s v="PHL"/>
    <x v="1"/>
    <n v="28792621"/>
  </r>
  <r>
    <x v="155"/>
    <s v="PHL"/>
    <x v="2"/>
    <n v="29723536"/>
  </r>
  <r>
    <x v="155"/>
    <s v="PHL"/>
    <x v="3"/>
    <n v="30674731"/>
  </r>
  <r>
    <x v="155"/>
    <s v="PHL"/>
    <x v="4"/>
    <n v="31643032"/>
  </r>
  <r>
    <x v="155"/>
    <s v="PHL"/>
    <x v="5"/>
    <n v="32625316"/>
  </r>
  <r>
    <x v="155"/>
    <s v="PHL"/>
    <x v="6"/>
    <n v="33617170"/>
  </r>
  <r>
    <x v="155"/>
    <s v="PHL"/>
    <x v="7"/>
    <n v="34621320"/>
  </r>
  <r>
    <x v="155"/>
    <s v="PHL"/>
    <x v="8"/>
    <n v="35638342"/>
  </r>
  <r>
    <x v="155"/>
    <s v="PHL"/>
    <x v="9"/>
    <n v="36660799"/>
  </r>
  <r>
    <x v="155"/>
    <s v="PHL"/>
    <x v="10"/>
    <n v="37622204"/>
  </r>
  <r>
    <x v="155"/>
    <s v="PHL"/>
    <x v="11"/>
    <n v="38518659"/>
  </r>
  <r>
    <x v="155"/>
    <s v="PHL"/>
    <x v="12"/>
    <n v="39408560"/>
  </r>
  <r>
    <x v="155"/>
    <s v="PHL"/>
    <x v="13"/>
    <n v="40294130"/>
  </r>
  <r>
    <x v="155"/>
    <s v="PHL"/>
    <x v="14"/>
    <n v="41174341"/>
  </r>
  <r>
    <x v="155"/>
    <s v="PHL"/>
    <x v="15"/>
    <n v="42120826"/>
  </r>
  <r>
    <x v="155"/>
    <s v="PHL"/>
    <x v="16"/>
    <n v="43201488"/>
  </r>
  <r>
    <x v="155"/>
    <s v="PHL"/>
    <x v="17"/>
    <n v="44367962"/>
  </r>
  <r>
    <x v="155"/>
    <s v="PHL"/>
    <x v="18"/>
    <n v="45575281"/>
  </r>
  <r>
    <x v="155"/>
    <s v="PHL"/>
    <x v="19"/>
    <n v="46807103"/>
  </r>
  <r>
    <x v="155"/>
    <s v="PHL"/>
    <x v="20"/>
    <n v="48043740"/>
  </r>
  <r>
    <x v="155"/>
    <s v="PHL"/>
    <x v="21"/>
    <n v="49311727"/>
  </r>
  <r>
    <x v="155"/>
    <s v="PHL"/>
    <x v="22"/>
    <n v="50695707"/>
  </r>
  <r>
    <x v="155"/>
    <s v="PHL"/>
    <x v="23"/>
    <n v="52194620"/>
  </r>
  <r>
    <x v="155"/>
    <s v="PHL"/>
    <x v="24"/>
    <n v="53726181"/>
  </r>
  <r>
    <x v="155"/>
    <s v="PHL"/>
    <x v="25"/>
    <n v="55213006"/>
  </r>
  <r>
    <x v="155"/>
    <s v="PHL"/>
    <x v="26"/>
    <n v="56645077"/>
  </r>
  <r>
    <x v="155"/>
    <s v="PHL"/>
    <x v="27"/>
    <n v="58157496"/>
  </r>
  <r>
    <x v="155"/>
    <s v="PHL"/>
    <x v="28"/>
    <n v="59739052"/>
  </r>
  <r>
    <x v="155"/>
    <s v="PHL"/>
    <x v="29"/>
    <n v="61265260"/>
  </r>
  <r>
    <x v="155"/>
    <s v="PHL"/>
    <x v="30"/>
    <n v="62854666"/>
  </r>
  <r>
    <x v="155"/>
    <s v="PHL"/>
    <x v="31"/>
    <n v="64382249"/>
  </r>
  <r>
    <x v="155"/>
    <s v="PHL"/>
    <x v="32"/>
    <n v="65926125"/>
  </r>
  <r>
    <x v="155"/>
    <s v="PHL"/>
    <x v="33"/>
    <n v="67530621"/>
  </r>
  <r>
    <x v="155"/>
    <s v="PHL"/>
    <x v="34"/>
    <n v="69019291"/>
  </r>
  <r>
    <x v="155"/>
    <s v="PHL"/>
    <x v="35"/>
    <n v="70546246"/>
  </r>
  <r>
    <x v="155"/>
    <s v="PHL"/>
    <x v="36"/>
    <n v="72190242"/>
  </r>
  <r>
    <x v="155"/>
    <s v="PHL"/>
    <x v="37"/>
    <n v="73908810"/>
  </r>
  <r>
    <x v="155"/>
    <s v="PHL"/>
    <x v="38"/>
    <n v="75791024"/>
  </r>
  <r>
    <x v="155"/>
    <s v="PHL"/>
    <x v="39"/>
    <n v="77753257"/>
  </r>
  <r>
    <x v="155"/>
    <s v="PHL"/>
    <x v="40"/>
    <n v="79625397"/>
  </r>
  <r>
    <x v="155"/>
    <s v="PHL"/>
    <x v="41"/>
    <n v="81401488"/>
  </r>
  <r>
    <x v="155"/>
    <s v="PHL"/>
    <x v="42"/>
    <n v="83068889"/>
  </r>
  <r>
    <x v="155"/>
    <s v="PHL"/>
    <x v="43"/>
    <n v="84731835"/>
  </r>
  <r>
    <x v="155"/>
    <s v="PHL"/>
    <x v="44"/>
    <n v="86394504"/>
  </r>
  <r>
    <x v="155"/>
    <s v="PHL"/>
    <x v="45"/>
    <n v="88015962"/>
  </r>
  <r>
    <x v="155"/>
    <s v="PHL"/>
    <x v="46"/>
    <n v="89508986"/>
  </r>
  <r>
    <x v="155"/>
    <s v="PHL"/>
    <x v="47"/>
    <n v="91075184"/>
  </r>
  <r>
    <x v="155"/>
    <s v="PHL"/>
    <x v="48"/>
    <n v="92699095"/>
  </r>
  <r>
    <x v="155"/>
    <s v="PHL"/>
    <x v="49"/>
    <n v="94384250"/>
  </r>
  <r>
    <x v="155"/>
    <s v="PHL"/>
    <x v="50"/>
    <n v="96337125"/>
  </r>
  <r>
    <x v="155"/>
    <s v="PHL"/>
    <x v="51"/>
    <n v="98248614"/>
  </r>
  <r>
    <x v="155"/>
    <s v="PHL"/>
    <x v="52"/>
    <n v="100175512"/>
  </r>
  <r>
    <x v="155"/>
    <s v="PHL"/>
    <x v="53"/>
    <n v="102076336"/>
  </r>
  <r>
    <x v="155"/>
    <s v="PHL"/>
    <x v="54"/>
    <n v="103767130"/>
  </r>
  <r>
    <x v="155"/>
    <s v="PHL"/>
    <x v="55"/>
    <n v="105312992"/>
  </r>
  <r>
    <x v="155"/>
    <s v="PHL"/>
    <x v="56"/>
    <n v="106735719"/>
  </r>
  <r>
    <x v="155"/>
    <s v="PHL"/>
    <x v="57"/>
    <n v="108119693"/>
  </r>
  <r>
    <x v="155"/>
    <s v="PHL"/>
    <x v="58"/>
    <n v="109465287"/>
  </r>
  <r>
    <x v="155"/>
    <s v="PHL"/>
    <x v="59"/>
    <n v="110804683"/>
  </r>
  <r>
    <x v="155"/>
    <s v="PHL"/>
    <x v="60"/>
    <n v="112081264"/>
  </r>
  <r>
    <x v="155"/>
    <s v="PHL"/>
    <x v="61"/>
    <n v="113100950"/>
  </r>
  <r>
    <x v="155"/>
    <s v="PHL"/>
    <x v="62"/>
    <n v="113964338"/>
  </r>
  <r>
    <x v="155"/>
    <s v="PHL"/>
    <x v="63"/>
    <n v="114891199"/>
  </r>
  <r>
    <x v="155"/>
    <s v="PHL"/>
    <x v="64"/>
    <n v="115843670"/>
  </r>
  <r>
    <x v="156"/>
    <s v="POL"/>
    <x v="0"/>
    <n v="29637450"/>
  </r>
  <r>
    <x v="156"/>
    <s v="POL"/>
    <x v="1"/>
    <n v="29964000"/>
  </r>
  <r>
    <x v="156"/>
    <s v="POL"/>
    <x v="2"/>
    <n v="30308500"/>
  </r>
  <r>
    <x v="156"/>
    <s v="POL"/>
    <x v="3"/>
    <n v="30712000"/>
  </r>
  <r>
    <x v="156"/>
    <s v="POL"/>
    <x v="4"/>
    <n v="31139450"/>
  </r>
  <r>
    <x v="156"/>
    <s v="POL"/>
    <x v="5"/>
    <n v="31444950"/>
  </r>
  <r>
    <x v="156"/>
    <s v="POL"/>
    <x v="6"/>
    <n v="31681000"/>
  </r>
  <r>
    <x v="156"/>
    <s v="POL"/>
    <x v="7"/>
    <n v="31987155"/>
  </r>
  <r>
    <x v="156"/>
    <s v="POL"/>
    <x v="8"/>
    <n v="32294655"/>
  </r>
  <r>
    <x v="156"/>
    <s v="POL"/>
    <x v="9"/>
    <n v="32548300"/>
  </r>
  <r>
    <x v="156"/>
    <s v="POL"/>
    <x v="10"/>
    <n v="32664300"/>
  </r>
  <r>
    <x v="156"/>
    <s v="POL"/>
    <x v="11"/>
    <n v="32783500"/>
  </r>
  <r>
    <x v="156"/>
    <s v="POL"/>
    <x v="12"/>
    <n v="33055650"/>
  </r>
  <r>
    <x v="156"/>
    <s v="POL"/>
    <x v="13"/>
    <n v="33357200"/>
  </r>
  <r>
    <x v="156"/>
    <s v="POL"/>
    <x v="14"/>
    <n v="33678899"/>
  </r>
  <r>
    <x v="156"/>
    <s v="POL"/>
    <x v="15"/>
    <n v="34015199"/>
  </r>
  <r>
    <x v="156"/>
    <s v="POL"/>
    <x v="16"/>
    <n v="34356300"/>
  </r>
  <r>
    <x v="156"/>
    <s v="POL"/>
    <x v="17"/>
    <n v="34689050"/>
  </r>
  <r>
    <x v="156"/>
    <s v="POL"/>
    <x v="18"/>
    <n v="34965600"/>
  </r>
  <r>
    <x v="156"/>
    <s v="POL"/>
    <x v="19"/>
    <n v="35247217"/>
  </r>
  <r>
    <x v="156"/>
    <s v="POL"/>
    <x v="20"/>
    <n v="35574150"/>
  </r>
  <r>
    <x v="156"/>
    <s v="POL"/>
    <x v="21"/>
    <n v="35898587"/>
  </r>
  <r>
    <x v="156"/>
    <s v="POL"/>
    <x v="22"/>
    <n v="36230481"/>
  </r>
  <r>
    <x v="156"/>
    <s v="POL"/>
    <x v="23"/>
    <n v="36571808"/>
  </r>
  <r>
    <x v="156"/>
    <s v="POL"/>
    <x v="24"/>
    <n v="36904134"/>
  </r>
  <r>
    <x v="156"/>
    <s v="POL"/>
    <x v="25"/>
    <n v="37201885"/>
  </r>
  <r>
    <x v="156"/>
    <s v="POL"/>
    <x v="26"/>
    <n v="37456119"/>
  </r>
  <r>
    <x v="156"/>
    <s v="POL"/>
    <x v="27"/>
    <n v="37668045"/>
  </r>
  <r>
    <x v="156"/>
    <s v="POL"/>
    <x v="28"/>
    <n v="37824487"/>
  </r>
  <r>
    <x v="156"/>
    <s v="POL"/>
    <x v="29"/>
    <n v="37961529"/>
  </r>
  <r>
    <x v="156"/>
    <s v="POL"/>
    <x v="30"/>
    <n v="38110782"/>
  </r>
  <r>
    <x v="156"/>
    <s v="POL"/>
    <x v="31"/>
    <n v="38246193"/>
  </r>
  <r>
    <x v="156"/>
    <s v="POL"/>
    <x v="32"/>
    <n v="38363667"/>
  </r>
  <r>
    <x v="156"/>
    <s v="POL"/>
    <x v="33"/>
    <n v="38461408"/>
  </r>
  <r>
    <x v="156"/>
    <s v="POL"/>
    <x v="34"/>
    <n v="38542652"/>
  </r>
  <r>
    <x v="156"/>
    <s v="POL"/>
    <x v="35"/>
    <n v="38594998"/>
  </r>
  <r>
    <x v="156"/>
    <s v="POL"/>
    <x v="36"/>
    <n v="38624370"/>
  </r>
  <r>
    <x v="156"/>
    <s v="POL"/>
    <x v="37"/>
    <n v="38649660"/>
  </r>
  <r>
    <x v="156"/>
    <s v="POL"/>
    <x v="38"/>
    <n v="38663481"/>
  </r>
  <r>
    <x v="156"/>
    <s v="POL"/>
    <x v="39"/>
    <n v="38660271"/>
  </r>
  <r>
    <x v="156"/>
    <s v="POL"/>
    <x v="40"/>
    <n v="38258629"/>
  </r>
  <r>
    <x v="156"/>
    <s v="POL"/>
    <x v="41"/>
    <n v="38248076"/>
  </r>
  <r>
    <x v="156"/>
    <s v="POL"/>
    <x v="42"/>
    <n v="38230364"/>
  </r>
  <r>
    <x v="156"/>
    <s v="POL"/>
    <x v="43"/>
    <n v="38204570"/>
  </r>
  <r>
    <x v="156"/>
    <s v="POL"/>
    <x v="44"/>
    <n v="38182222"/>
  </r>
  <r>
    <x v="156"/>
    <s v="POL"/>
    <x v="45"/>
    <n v="38165445"/>
  </r>
  <r>
    <x v="156"/>
    <s v="POL"/>
    <x v="46"/>
    <n v="38141267"/>
  </r>
  <r>
    <x v="156"/>
    <s v="POL"/>
    <x v="47"/>
    <n v="38120560"/>
  </r>
  <r>
    <x v="156"/>
    <s v="POL"/>
    <x v="48"/>
    <n v="38125759"/>
  </r>
  <r>
    <x v="156"/>
    <s v="POL"/>
    <x v="49"/>
    <n v="38151603"/>
  </r>
  <r>
    <x v="156"/>
    <s v="POL"/>
    <x v="50"/>
    <n v="38042794"/>
  </r>
  <r>
    <x v="156"/>
    <s v="POL"/>
    <x v="51"/>
    <n v="38063255"/>
  </r>
  <r>
    <x v="156"/>
    <s v="POL"/>
    <x v="52"/>
    <n v="38063164"/>
  </r>
  <r>
    <x v="156"/>
    <s v="POL"/>
    <x v="53"/>
    <n v="38040196"/>
  </r>
  <r>
    <x v="156"/>
    <s v="POL"/>
    <x v="54"/>
    <n v="38011735"/>
  </r>
  <r>
    <x v="156"/>
    <s v="POL"/>
    <x v="55"/>
    <n v="37986412"/>
  </r>
  <r>
    <x v="156"/>
    <s v="POL"/>
    <x v="56"/>
    <n v="37970087"/>
  </r>
  <r>
    <x v="156"/>
    <s v="POL"/>
    <x v="57"/>
    <n v="37974826"/>
  </r>
  <r>
    <x v="156"/>
    <s v="POL"/>
    <x v="58"/>
    <n v="37974750"/>
  </r>
  <r>
    <x v="156"/>
    <s v="POL"/>
    <x v="59"/>
    <n v="37965475"/>
  </r>
  <r>
    <x v="156"/>
    <s v="POL"/>
    <x v="60"/>
    <n v="37515748"/>
  </r>
  <r>
    <x v="156"/>
    <s v="POL"/>
    <x v="61"/>
    <n v="36981559"/>
  </r>
  <r>
    <x v="156"/>
    <s v="POL"/>
    <x v="62"/>
    <n v="36821749"/>
  </r>
  <r>
    <x v="156"/>
    <s v="POL"/>
    <x v="63"/>
    <n v="36687353"/>
  </r>
  <r>
    <x v="156"/>
    <s v="POL"/>
    <x v="64"/>
    <n v="36554707"/>
  </r>
  <r>
    <x v="157"/>
    <s v="PRT"/>
    <x v="0"/>
    <n v="8857716"/>
  </r>
  <r>
    <x v="157"/>
    <s v="PRT"/>
    <x v="1"/>
    <n v="8929316"/>
  </r>
  <r>
    <x v="157"/>
    <s v="PRT"/>
    <x v="2"/>
    <n v="8993985"/>
  </r>
  <r>
    <x v="157"/>
    <s v="PRT"/>
    <x v="3"/>
    <n v="9030355"/>
  </r>
  <r>
    <x v="157"/>
    <s v="PRT"/>
    <x v="4"/>
    <n v="9035365"/>
  </r>
  <r>
    <x v="157"/>
    <s v="PRT"/>
    <x v="5"/>
    <n v="8998595"/>
  </r>
  <r>
    <x v="157"/>
    <s v="PRT"/>
    <x v="6"/>
    <n v="8930990"/>
  </r>
  <r>
    <x v="157"/>
    <s v="PRT"/>
    <x v="7"/>
    <n v="8874520"/>
  </r>
  <r>
    <x v="157"/>
    <s v="PRT"/>
    <x v="8"/>
    <n v="8836650"/>
  </r>
  <r>
    <x v="157"/>
    <s v="PRT"/>
    <x v="9"/>
    <n v="8757705"/>
  </r>
  <r>
    <x v="157"/>
    <s v="PRT"/>
    <x v="10"/>
    <n v="8680431"/>
  </r>
  <r>
    <x v="157"/>
    <s v="PRT"/>
    <x v="11"/>
    <n v="8643756"/>
  </r>
  <r>
    <x v="157"/>
    <s v="PRT"/>
    <x v="12"/>
    <n v="8630430"/>
  </r>
  <r>
    <x v="157"/>
    <s v="PRT"/>
    <x v="13"/>
    <n v="8633100"/>
  </r>
  <r>
    <x v="157"/>
    <s v="PRT"/>
    <x v="14"/>
    <n v="8754365"/>
  </r>
  <r>
    <x v="157"/>
    <s v="PRT"/>
    <x v="15"/>
    <n v="9093470"/>
  </r>
  <r>
    <x v="157"/>
    <s v="PRT"/>
    <x v="16"/>
    <n v="9355810"/>
  </r>
  <r>
    <x v="157"/>
    <s v="PRT"/>
    <x v="17"/>
    <n v="9455675"/>
  </r>
  <r>
    <x v="157"/>
    <s v="PRT"/>
    <x v="18"/>
    <n v="9558250"/>
  </r>
  <r>
    <x v="157"/>
    <s v="PRT"/>
    <x v="19"/>
    <n v="9661265"/>
  </r>
  <r>
    <x v="157"/>
    <s v="PRT"/>
    <x v="20"/>
    <n v="9766312"/>
  </r>
  <r>
    <x v="157"/>
    <s v="PRT"/>
    <x v="21"/>
    <n v="9851362"/>
  </r>
  <r>
    <x v="157"/>
    <s v="PRT"/>
    <x v="22"/>
    <n v="9911771"/>
  </r>
  <r>
    <x v="157"/>
    <s v="PRT"/>
    <x v="23"/>
    <n v="9957865"/>
  </r>
  <r>
    <x v="157"/>
    <s v="PRT"/>
    <x v="24"/>
    <n v="9996232"/>
  </r>
  <r>
    <x v="157"/>
    <s v="PRT"/>
    <x v="25"/>
    <n v="10023613"/>
  </r>
  <r>
    <x v="157"/>
    <s v="PRT"/>
    <x v="26"/>
    <n v="10032734"/>
  </r>
  <r>
    <x v="157"/>
    <s v="PRT"/>
    <x v="27"/>
    <n v="10030031"/>
  </r>
  <r>
    <x v="157"/>
    <s v="PRT"/>
    <x v="28"/>
    <n v="10019610"/>
  </r>
  <r>
    <x v="157"/>
    <s v="PRT"/>
    <x v="29"/>
    <n v="10005000"/>
  </r>
  <r>
    <x v="157"/>
    <s v="PRT"/>
    <x v="30"/>
    <n v="9983218"/>
  </r>
  <r>
    <x v="157"/>
    <s v="PRT"/>
    <x v="31"/>
    <n v="9960235"/>
  </r>
  <r>
    <x v="157"/>
    <s v="PRT"/>
    <x v="32"/>
    <n v="9952494"/>
  </r>
  <r>
    <x v="157"/>
    <s v="PRT"/>
    <x v="33"/>
    <n v="9964675"/>
  </r>
  <r>
    <x v="157"/>
    <s v="PRT"/>
    <x v="34"/>
    <n v="9991525"/>
  </r>
  <r>
    <x v="157"/>
    <s v="PRT"/>
    <x v="35"/>
    <n v="10026176"/>
  </r>
  <r>
    <x v="157"/>
    <s v="PRT"/>
    <x v="36"/>
    <n v="10063945"/>
  </r>
  <r>
    <x v="157"/>
    <s v="PRT"/>
    <x v="37"/>
    <n v="10108977"/>
  </r>
  <r>
    <x v="157"/>
    <s v="PRT"/>
    <x v="38"/>
    <n v="10160196"/>
  </r>
  <r>
    <x v="157"/>
    <s v="PRT"/>
    <x v="39"/>
    <n v="10217828"/>
  </r>
  <r>
    <x v="157"/>
    <s v="PRT"/>
    <x v="40"/>
    <n v="10289898"/>
  </r>
  <r>
    <x v="157"/>
    <s v="PRT"/>
    <x v="41"/>
    <n v="10362722"/>
  </r>
  <r>
    <x v="157"/>
    <s v="PRT"/>
    <x v="42"/>
    <n v="10419631"/>
  </r>
  <r>
    <x v="157"/>
    <s v="PRT"/>
    <x v="43"/>
    <n v="10458821"/>
  </r>
  <r>
    <x v="157"/>
    <s v="PRT"/>
    <x v="44"/>
    <n v="10483861"/>
  </r>
  <r>
    <x v="157"/>
    <s v="PRT"/>
    <x v="45"/>
    <n v="10503330"/>
  </r>
  <r>
    <x v="157"/>
    <s v="PRT"/>
    <x v="46"/>
    <n v="10522288"/>
  </r>
  <r>
    <x v="157"/>
    <s v="PRT"/>
    <x v="47"/>
    <n v="10542964"/>
  </r>
  <r>
    <x v="157"/>
    <s v="PRT"/>
    <x v="48"/>
    <n v="10558177"/>
  </r>
  <r>
    <x v="157"/>
    <s v="PRT"/>
    <x v="49"/>
    <n v="10568247"/>
  </r>
  <r>
    <x v="157"/>
    <s v="PRT"/>
    <x v="50"/>
    <n v="10573100"/>
  </r>
  <r>
    <x v="157"/>
    <s v="PRT"/>
    <x v="51"/>
    <n v="10557560"/>
  </r>
  <r>
    <x v="157"/>
    <s v="PRT"/>
    <x v="52"/>
    <n v="10514844"/>
  </r>
  <r>
    <x v="157"/>
    <s v="PRT"/>
    <x v="53"/>
    <n v="10457295"/>
  </r>
  <r>
    <x v="157"/>
    <s v="PRT"/>
    <x v="54"/>
    <n v="10401062"/>
  </r>
  <r>
    <x v="157"/>
    <s v="PRT"/>
    <x v="55"/>
    <n v="10358076"/>
  </r>
  <r>
    <x v="157"/>
    <s v="PRT"/>
    <x v="56"/>
    <n v="10325452"/>
  </r>
  <r>
    <x v="157"/>
    <s v="PRT"/>
    <x v="57"/>
    <n v="10300300"/>
  </r>
  <r>
    <x v="157"/>
    <s v="PRT"/>
    <x v="58"/>
    <n v="10283822"/>
  </r>
  <r>
    <x v="157"/>
    <s v="PRT"/>
    <x v="59"/>
    <n v="10286263"/>
  </r>
  <r>
    <x v="157"/>
    <s v="PRT"/>
    <x v="60"/>
    <n v="10297081"/>
  </r>
  <r>
    <x v="157"/>
    <s v="PRT"/>
    <x v="61"/>
    <n v="10361831"/>
  </r>
  <r>
    <x v="157"/>
    <s v="PRT"/>
    <x v="62"/>
    <n v="10434332"/>
  </r>
  <r>
    <x v="157"/>
    <s v="PRT"/>
    <x v="63"/>
    <n v="10578174"/>
  </r>
  <r>
    <x v="157"/>
    <s v="PRT"/>
    <x v="64"/>
    <n v="10701636"/>
  </r>
  <r>
    <x v="158"/>
    <s v="PRI"/>
    <x v="0"/>
    <n v="2358000"/>
  </r>
  <r>
    <x v="158"/>
    <s v="PRI"/>
    <x v="1"/>
    <n v="2399722"/>
  </r>
  <r>
    <x v="158"/>
    <s v="PRI"/>
    <x v="2"/>
    <n v="2450322"/>
  </r>
  <r>
    <x v="158"/>
    <s v="PRI"/>
    <x v="3"/>
    <n v="2504530"/>
  </r>
  <r>
    <x v="158"/>
    <s v="PRI"/>
    <x v="4"/>
    <n v="2554066"/>
  </r>
  <r>
    <x v="158"/>
    <s v="PRI"/>
    <x v="5"/>
    <n v="2594000"/>
  </r>
  <r>
    <x v="158"/>
    <s v="PRI"/>
    <x v="6"/>
    <n v="2624995"/>
  </r>
  <r>
    <x v="158"/>
    <s v="PRI"/>
    <x v="7"/>
    <n v="2645674"/>
  </r>
  <r>
    <x v="158"/>
    <s v="PRI"/>
    <x v="8"/>
    <n v="2662064"/>
  </r>
  <r>
    <x v="158"/>
    <s v="PRI"/>
    <x v="9"/>
    <n v="2684150"/>
  </r>
  <r>
    <x v="158"/>
    <s v="PRI"/>
    <x v="10"/>
    <n v="2718000"/>
  </r>
  <r>
    <x v="158"/>
    <s v="PRI"/>
    <x v="11"/>
    <n v="2762190"/>
  </r>
  <r>
    <x v="158"/>
    <s v="PRI"/>
    <x v="12"/>
    <n v="2817256"/>
  </r>
  <r>
    <x v="158"/>
    <s v="PRI"/>
    <x v="13"/>
    <n v="2878786"/>
  </r>
  <r>
    <x v="158"/>
    <s v="PRI"/>
    <x v="14"/>
    <n v="2939299"/>
  </r>
  <r>
    <x v="158"/>
    <s v="PRI"/>
    <x v="15"/>
    <n v="2994000"/>
  </r>
  <r>
    <x v="158"/>
    <s v="PRI"/>
    <x v="16"/>
    <n v="3043854"/>
  </r>
  <r>
    <x v="158"/>
    <s v="PRI"/>
    <x v="17"/>
    <n v="3088690"/>
  </r>
  <r>
    <x v="158"/>
    <s v="PRI"/>
    <x v="18"/>
    <n v="3129421"/>
  </r>
  <r>
    <x v="158"/>
    <s v="PRI"/>
    <x v="19"/>
    <n v="3168088"/>
  </r>
  <r>
    <x v="158"/>
    <s v="PRI"/>
    <x v="20"/>
    <n v="3206000"/>
  </r>
  <r>
    <x v="158"/>
    <s v="PRI"/>
    <x v="21"/>
    <n v="3242552"/>
  </r>
  <r>
    <x v="158"/>
    <s v="PRI"/>
    <x v="22"/>
    <n v="3277453"/>
  </r>
  <r>
    <x v="158"/>
    <s v="PRI"/>
    <x v="23"/>
    <n v="3311138"/>
  </r>
  <r>
    <x v="158"/>
    <s v="PRI"/>
    <x v="24"/>
    <n v="3344190"/>
  </r>
  <r>
    <x v="158"/>
    <s v="PRI"/>
    <x v="25"/>
    <n v="3377000"/>
  </r>
  <r>
    <x v="158"/>
    <s v="PRI"/>
    <x v="26"/>
    <n v="3409554"/>
  </r>
  <r>
    <x v="158"/>
    <s v="PRI"/>
    <x v="27"/>
    <n v="3441850"/>
  </r>
  <r>
    <x v="158"/>
    <s v="PRI"/>
    <x v="28"/>
    <n v="3473898"/>
  </r>
  <r>
    <x v="158"/>
    <s v="PRI"/>
    <x v="29"/>
    <n v="3505650"/>
  </r>
  <r>
    <x v="158"/>
    <s v="PRI"/>
    <x v="30"/>
    <n v="3537000"/>
  </r>
  <r>
    <x v="158"/>
    <s v="PRI"/>
    <x v="31"/>
    <n v="3562110"/>
  </r>
  <r>
    <x v="158"/>
    <s v="PRI"/>
    <x v="32"/>
    <n v="3585176"/>
  </r>
  <r>
    <x v="158"/>
    <s v="PRI"/>
    <x v="33"/>
    <n v="3615497"/>
  </r>
  <r>
    <x v="158"/>
    <s v="PRI"/>
    <x v="34"/>
    <n v="3649237"/>
  </r>
  <r>
    <x v="158"/>
    <s v="PRI"/>
    <x v="35"/>
    <n v="3683103"/>
  </r>
  <r>
    <x v="158"/>
    <s v="PRI"/>
    <x v="36"/>
    <n v="3724655"/>
  </r>
  <r>
    <x v="158"/>
    <s v="PRI"/>
    <x v="37"/>
    <n v="3759430"/>
  </r>
  <r>
    <x v="158"/>
    <s v="PRI"/>
    <x v="38"/>
    <n v="3781101"/>
  </r>
  <r>
    <x v="158"/>
    <s v="PRI"/>
    <x v="39"/>
    <n v="3800081"/>
  </r>
  <r>
    <x v="158"/>
    <s v="PRI"/>
    <x v="40"/>
    <n v="3810605"/>
  </r>
  <r>
    <x v="158"/>
    <s v="PRI"/>
    <x v="41"/>
    <n v="3818774"/>
  </r>
  <r>
    <x v="158"/>
    <s v="PRI"/>
    <x v="42"/>
    <n v="3823701"/>
  </r>
  <r>
    <x v="158"/>
    <s v="PRI"/>
    <x v="43"/>
    <n v="3826095"/>
  </r>
  <r>
    <x v="158"/>
    <s v="PRI"/>
    <x v="44"/>
    <n v="3826878"/>
  </r>
  <r>
    <x v="158"/>
    <s v="PRI"/>
    <x v="45"/>
    <n v="3821362"/>
  </r>
  <r>
    <x v="158"/>
    <s v="PRI"/>
    <x v="46"/>
    <n v="3805214"/>
  </r>
  <r>
    <x v="158"/>
    <s v="PRI"/>
    <x v="47"/>
    <n v="3782995"/>
  </r>
  <r>
    <x v="158"/>
    <s v="PRI"/>
    <x v="48"/>
    <n v="3760866"/>
  </r>
  <r>
    <x v="158"/>
    <s v="PRI"/>
    <x v="49"/>
    <n v="3740410"/>
  </r>
  <r>
    <x v="158"/>
    <s v="PRI"/>
    <x v="50"/>
    <n v="3724465"/>
  </r>
  <r>
    <x v="158"/>
    <s v="PRI"/>
    <x v="51"/>
    <n v="3693464"/>
  </r>
  <r>
    <x v="158"/>
    <s v="PRI"/>
    <x v="52"/>
    <n v="3661045"/>
  </r>
  <r>
    <x v="158"/>
    <s v="PRI"/>
    <x v="53"/>
    <n v="3631427"/>
  </r>
  <r>
    <x v="158"/>
    <s v="PRI"/>
    <x v="54"/>
    <n v="3585017"/>
  </r>
  <r>
    <x v="158"/>
    <s v="PRI"/>
    <x v="55"/>
    <n v="3535167"/>
  </r>
  <r>
    <x v="158"/>
    <s v="PRI"/>
    <x v="56"/>
    <n v="3480432"/>
  </r>
  <r>
    <x v="158"/>
    <s v="PRI"/>
    <x v="57"/>
    <n v="3410837"/>
  </r>
  <r>
    <x v="158"/>
    <s v="PRI"/>
    <x v="58"/>
    <n v="3290690"/>
  </r>
  <r>
    <x v="158"/>
    <s v="PRI"/>
    <x v="59"/>
    <n v="3302691"/>
  </r>
  <r>
    <x v="158"/>
    <s v="PRI"/>
    <x v="60"/>
    <n v="3281590"/>
  </r>
  <r>
    <x v="158"/>
    <s v="PRI"/>
    <x v="61"/>
    <n v="3262711"/>
  </r>
  <r>
    <x v="158"/>
    <s v="PRI"/>
    <x v="62"/>
    <n v="3220137"/>
  </r>
  <r>
    <x v="158"/>
    <s v="PRI"/>
    <x v="63"/>
    <n v="3203792"/>
  </r>
  <r>
    <x v="158"/>
    <s v="PRI"/>
    <x v="64"/>
    <n v="3203295"/>
  </r>
  <r>
    <x v="159"/>
    <s v="QAT"/>
    <x v="0"/>
    <n v="36010"/>
  </r>
  <r>
    <x v="159"/>
    <s v="QAT"/>
    <x v="1"/>
    <n v="39680"/>
  </r>
  <r>
    <x v="159"/>
    <s v="QAT"/>
    <x v="2"/>
    <n v="44630"/>
  </r>
  <r>
    <x v="159"/>
    <s v="QAT"/>
    <x v="3"/>
    <n v="50380"/>
  </r>
  <r>
    <x v="159"/>
    <s v="QAT"/>
    <x v="4"/>
    <n v="56867"/>
  </r>
  <r>
    <x v="159"/>
    <s v="QAT"/>
    <x v="5"/>
    <n v="64065"/>
  </r>
  <r>
    <x v="159"/>
    <s v="QAT"/>
    <x v="6"/>
    <n v="72192"/>
  </r>
  <r>
    <x v="159"/>
    <s v="QAT"/>
    <x v="7"/>
    <n v="81439"/>
  </r>
  <r>
    <x v="159"/>
    <s v="QAT"/>
    <x v="8"/>
    <n v="91749"/>
  </r>
  <r>
    <x v="159"/>
    <s v="QAT"/>
    <x v="9"/>
    <n v="103025"/>
  </r>
  <r>
    <x v="159"/>
    <s v="QAT"/>
    <x v="10"/>
    <n v="116350"/>
  </r>
  <r>
    <x v="159"/>
    <s v="QAT"/>
    <x v="11"/>
    <n v="131346"/>
  </r>
  <r>
    <x v="159"/>
    <s v="QAT"/>
    <x v="12"/>
    <n v="146506"/>
  </r>
  <r>
    <x v="159"/>
    <s v="QAT"/>
    <x v="13"/>
    <n v="161841"/>
  </r>
  <r>
    <x v="159"/>
    <s v="QAT"/>
    <x v="14"/>
    <n v="177362"/>
  </r>
  <r>
    <x v="159"/>
    <s v="QAT"/>
    <x v="15"/>
    <n v="193087"/>
  </r>
  <r>
    <x v="159"/>
    <s v="QAT"/>
    <x v="16"/>
    <n v="209052"/>
  </r>
  <r>
    <x v="159"/>
    <s v="QAT"/>
    <x v="17"/>
    <n v="225285"/>
  </r>
  <r>
    <x v="159"/>
    <s v="QAT"/>
    <x v="18"/>
    <n v="241808"/>
  </r>
  <r>
    <x v="159"/>
    <s v="QAT"/>
    <x v="19"/>
    <n v="258670"/>
  </r>
  <r>
    <x v="159"/>
    <s v="QAT"/>
    <x v="20"/>
    <n v="275913"/>
  </r>
  <r>
    <x v="159"/>
    <s v="QAT"/>
    <x v="21"/>
    <n v="293553"/>
  </r>
  <r>
    <x v="159"/>
    <s v="QAT"/>
    <x v="22"/>
    <n v="311537"/>
  </r>
  <r>
    <x v="159"/>
    <s v="QAT"/>
    <x v="23"/>
    <n v="329709"/>
  </r>
  <r>
    <x v="159"/>
    <s v="QAT"/>
    <x v="24"/>
    <n v="347878"/>
  </r>
  <r>
    <x v="159"/>
    <s v="QAT"/>
    <x v="25"/>
    <n v="365940"/>
  </r>
  <r>
    <x v="159"/>
    <s v="QAT"/>
    <x v="26"/>
    <n v="382422"/>
  </r>
  <r>
    <x v="159"/>
    <s v="QAT"/>
    <x v="27"/>
    <n v="397005"/>
  </r>
  <r>
    <x v="159"/>
    <s v="QAT"/>
    <x v="28"/>
    <n v="411264"/>
  </r>
  <r>
    <x v="159"/>
    <s v="QAT"/>
    <x v="29"/>
    <n v="425646"/>
  </r>
  <r>
    <x v="159"/>
    <s v="QAT"/>
    <x v="30"/>
    <n v="440175"/>
  </r>
  <r>
    <x v="159"/>
    <s v="QAT"/>
    <x v="31"/>
    <n v="454853"/>
  </r>
  <r>
    <x v="159"/>
    <s v="QAT"/>
    <x v="32"/>
    <n v="469657"/>
  </r>
  <r>
    <x v="159"/>
    <s v="QAT"/>
    <x v="33"/>
    <n v="484545"/>
  </r>
  <r>
    <x v="159"/>
    <s v="QAT"/>
    <x v="34"/>
    <n v="499459"/>
  </r>
  <r>
    <x v="159"/>
    <s v="QAT"/>
    <x v="35"/>
    <n v="514325"/>
  </r>
  <r>
    <x v="159"/>
    <s v="QAT"/>
    <x v="36"/>
    <n v="529019"/>
  </r>
  <r>
    <x v="159"/>
    <s v="QAT"/>
    <x v="37"/>
    <n v="550500"/>
  </r>
  <r>
    <x v="159"/>
    <s v="QAT"/>
    <x v="38"/>
    <n v="580540"/>
  </r>
  <r>
    <x v="159"/>
    <s v="QAT"/>
    <x v="39"/>
    <n v="612500"/>
  </r>
  <r>
    <x v="159"/>
    <s v="QAT"/>
    <x v="40"/>
    <n v="644989"/>
  </r>
  <r>
    <x v="159"/>
    <s v="QAT"/>
    <x v="41"/>
    <n v="677925"/>
  </r>
  <r>
    <x v="159"/>
    <s v="QAT"/>
    <x v="42"/>
    <n v="711205"/>
  </r>
  <r>
    <x v="159"/>
    <s v="QAT"/>
    <x v="43"/>
    <n v="744682"/>
  </r>
  <r>
    <x v="159"/>
    <s v="QAT"/>
    <x v="44"/>
    <n v="773332"/>
  </r>
  <r>
    <x v="159"/>
    <s v="QAT"/>
    <x v="45"/>
    <n v="825408"/>
  </r>
  <r>
    <x v="159"/>
    <s v="QAT"/>
    <x v="46"/>
    <n v="972831"/>
  </r>
  <r>
    <x v="159"/>
    <s v="QAT"/>
    <x v="47"/>
    <n v="1208595"/>
  </r>
  <r>
    <x v="159"/>
    <s v="QAT"/>
    <x v="48"/>
    <n v="1426938"/>
  </r>
  <r>
    <x v="159"/>
    <s v="QAT"/>
    <x v="49"/>
    <n v="1608903"/>
  </r>
  <r>
    <x v="159"/>
    <s v="QAT"/>
    <x v="50"/>
    <n v="1616832"/>
  </r>
  <r>
    <x v="159"/>
    <s v="QAT"/>
    <x v="51"/>
    <n v="1624761"/>
  </r>
  <r>
    <x v="159"/>
    <s v="QAT"/>
    <x v="52"/>
    <n v="1722438"/>
  </r>
  <r>
    <x v="159"/>
    <s v="QAT"/>
    <x v="53"/>
    <n v="1916426"/>
  </r>
  <r>
    <x v="159"/>
    <s v="QAT"/>
    <x v="54"/>
    <n v="2151745"/>
  </r>
  <r>
    <x v="159"/>
    <s v="QAT"/>
    <x v="55"/>
    <n v="2344557"/>
  </r>
  <r>
    <x v="159"/>
    <s v="QAT"/>
    <x v="56"/>
    <n v="2477113"/>
  </r>
  <r>
    <x v="159"/>
    <s v="QAT"/>
    <x v="57"/>
    <n v="2545820"/>
  </r>
  <r>
    <x v="159"/>
    <s v="QAT"/>
    <x v="58"/>
    <n v="2580734"/>
  </r>
  <r>
    <x v="159"/>
    <s v="QAT"/>
    <x v="59"/>
    <n v="2638657"/>
  </r>
  <r>
    <x v="159"/>
    <s v="QAT"/>
    <x v="60"/>
    <n v="2794148"/>
  </r>
  <r>
    <x v="159"/>
    <s v="QAT"/>
    <x v="61"/>
    <n v="2504910"/>
  </r>
  <r>
    <x v="159"/>
    <s v="QAT"/>
    <x v="62"/>
    <n v="2657333"/>
  </r>
  <r>
    <x v="159"/>
    <s v="QAT"/>
    <x v="63"/>
    <n v="2656032"/>
  </r>
  <r>
    <x v="159"/>
    <s v="QAT"/>
    <x v="64"/>
    <n v="2857822"/>
  </r>
  <r>
    <x v="160"/>
    <s v="ROU"/>
    <x v="0"/>
    <n v="18406905"/>
  </r>
  <r>
    <x v="160"/>
    <s v="ROU"/>
    <x v="1"/>
    <n v="18555250"/>
  </r>
  <r>
    <x v="160"/>
    <s v="ROU"/>
    <x v="2"/>
    <n v="18676550"/>
  </r>
  <r>
    <x v="160"/>
    <s v="ROU"/>
    <x v="3"/>
    <n v="18797850"/>
  </r>
  <r>
    <x v="160"/>
    <s v="ROU"/>
    <x v="4"/>
    <n v="18919126"/>
  </r>
  <r>
    <x v="160"/>
    <s v="ROU"/>
    <x v="5"/>
    <n v="19031576"/>
  </r>
  <r>
    <x v="160"/>
    <s v="ROU"/>
    <x v="6"/>
    <n v="19215450"/>
  </r>
  <r>
    <x v="160"/>
    <s v="ROU"/>
    <x v="7"/>
    <n v="19534242"/>
  </r>
  <r>
    <x v="160"/>
    <s v="ROU"/>
    <x v="8"/>
    <n v="19799831"/>
  </r>
  <r>
    <x v="160"/>
    <s v="ROU"/>
    <x v="9"/>
    <n v="20009141"/>
  </r>
  <r>
    <x v="160"/>
    <s v="ROU"/>
    <x v="10"/>
    <n v="20250398"/>
  </r>
  <r>
    <x v="160"/>
    <s v="ROU"/>
    <x v="11"/>
    <n v="20461567"/>
  </r>
  <r>
    <x v="160"/>
    <s v="ROU"/>
    <x v="12"/>
    <n v="20657957"/>
  </r>
  <r>
    <x v="160"/>
    <s v="ROU"/>
    <x v="13"/>
    <n v="20835681"/>
  </r>
  <r>
    <x v="160"/>
    <s v="ROU"/>
    <x v="14"/>
    <n v="21029429"/>
  </r>
  <r>
    <x v="160"/>
    <s v="ROU"/>
    <x v="15"/>
    <n v="21293583"/>
  </r>
  <r>
    <x v="160"/>
    <s v="ROU"/>
    <x v="16"/>
    <n v="21551634"/>
  </r>
  <r>
    <x v="160"/>
    <s v="ROU"/>
    <x v="17"/>
    <n v="21756096"/>
  </r>
  <r>
    <x v="160"/>
    <s v="ROU"/>
    <x v="18"/>
    <n v="21951464"/>
  </r>
  <r>
    <x v="160"/>
    <s v="ROU"/>
    <x v="19"/>
    <n v="22090488"/>
  </r>
  <r>
    <x v="160"/>
    <s v="ROU"/>
    <x v="20"/>
    <n v="22207282"/>
  </r>
  <r>
    <x v="160"/>
    <s v="ROU"/>
    <x v="21"/>
    <n v="22353070"/>
  </r>
  <r>
    <x v="160"/>
    <s v="ROU"/>
    <x v="22"/>
    <n v="22475741"/>
  </r>
  <r>
    <x v="160"/>
    <s v="ROU"/>
    <x v="23"/>
    <n v="22560478"/>
  </r>
  <r>
    <x v="160"/>
    <s v="ROU"/>
    <x v="24"/>
    <n v="22640547"/>
  </r>
  <r>
    <x v="160"/>
    <s v="ROU"/>
    <x v="25"/>
    <n v="22732999"/>
  </r>
  <r>
    <x v="160"/>
    <s v="ROU"/>
    <x v="26"/>
    <n v="22836841"/>
  </r>
  <r>
    <x v="160"/>
    <s v="ROU"/>
    <x v="27"/>
    <n v="22949430"/>
  </r>
  <r>
    <x v="160"/>
    <s v="ROU"/>
    <x v="28"/>
    <n v="23057662"/>
  </r>
  <r>
    <x v="160"/>
    <s v="ROU"/>
    <x v="29"/>
    <n v="23161458"/>
  </r>
  <r>
    <x v="160"/>
    <s v="ROU"/>
    <x v="30"/>
    <n v="23201835"/>
  </r>
  <r>
    <x v="160"/>
    <s v="ROU"/>
    <x v="31"/>
    <n v="23001155"/>
  </r>
  <r>
    <x v="160"/>
    <s v="ROU"/>
    <x v="32"/>
    <n v="22794284"/>
  </r>
  <r>
    <x v="160"/>
    <s v="ROU"/>
    <x v="33"/>
    <n v="22763280"/>
  </r>
  <r>
    <x v="160"/>
    <s v="ROU"/>
    <x v="34"/>
    <n v="22730211"/>
  </r>
  <r>
    <x v="160"/>
    <s v="ROU"/>
    <x v="35"/>
    <n v="22684270"/>
  </r>
  <r>
    <x v="160"/>
    <s v="ROU"/>
    <x v="36"/>
    <n v="22619004"/>
  </r>
  <r>
    <x v="160"/>
    <s v="ROU"/>
    <x v="37"/>
    <n v="22553978"/>
  </r>
  <r>
    <x v="160"/>
    <s v="ROU"/>
    <x v="38"/>
    <n v="22507344"/>
  </r>
  <r>
    <x v="160"/>
    <s v="ROU"/>
    <x v="39"/>
    <n v="22472040"/>
  </r>
  <r>
    <x v="160"/>
    <s v="ROU"/>
    <x v="40"/>
    <n v="22442971"/>
  </r>
  <r>
    <x v="160"/>
    <s v="ROU"/>
    <x v="41"/>
    <n v="22131970"/>
  </r>
  <r>
    <x v="160"/>
    <s v="ROU"/>
    <x v="42"/>
    <n v="21730496"/>
  </r>
  <r>
    <x v="160"/>
    <s v="ROU"/>
    <x v="43"/>
    <n v="21574326"/>
  </r>
  <r>
    <x v="160"/>
    <s v="ROU"/>
    <x v="44"/>
    <n v="21451748"/>
  </r>
  <r>
    <x v="160"/>
    <s v="ROU"/>
    <x v="45"/>
    <n v="21319685"/>
  </r>
  <r>
    <x v="160"/>
    <s v="ROU"/>
    <x v="46"/>
    <n v="21193760"/>
  </r>
  <r>
    <x v="160"/>
    <s v="ROU"/>
    <x v="47"/>
    <n v="20882982"/>
  </r>
  <r>
    <x v="160"/>
    <s v="ROU"/>
    <x v="48"/>
    <n v="20537875"/>
  </r>
  <r>
    <x v="160"/>
    <s v="ROU"/>
    <x v="49"/>
    <n v="20367487"/>
  </r>
  <r>
    <x v="160"/>
    <s v="ROU"/>
    <x v="50"/>
    <n v="20246871"/>
  </r>
  <r>
    <x v="160"/>
    <s v="ROU"/>
    <x v="51"/>
    <n v="20147528"/>
  </r>
  <r>
    <x v="160"/>
    <s v="ROU"/>
    <x v="52"/>
    <n v="20058035"/>
  </r>
  <r>
    <x v="160"/>
    <s v="ROU"/>
    <x v="53"/>
    <n v="19983693"/>
  </r>
  <r>
    <x v="160"/>
    <s v="ROU"/>
    <x v="54"/>
    <n v="19908979"/>
  </r>
  <r>
    <x v="160"/>
    <s v="ROU"/>
    <x v="55"/>
    <n v="19815616"/>
  </r>
  <r>
    <x v="160"/>
    <s v="ROU"/>
    <x v="56"/>
    <n v="19702267"/>
  </r>
  <r>
    <x v="160"/>
    <s v="ROU"/>
    <x v="57"/>
    <n v="19588715"/>
  </r>
  <r>
    <x v="160"/>
    <s v="ROU"/>
    <x v="58"/>
    <n v="19473970"/>
  </r>
  <r>
    <x v="160"/>
    <s v="ROU"/>
    <x v="59"/>
    <n v="19371648"/>
  </r>
  <r>
    <x v="160"/>
    <s v="ROU"/>
    <x v="60"/>
    <n v="19265250"/>
  </r>
  <r>
    <x v="160"/>
    <s v="ROU"/>
    <x v="61"/>
    <n v="19122059"/>
  </r>
  <r>
    <x v="160"/>
    <s v="ROU"/>
    <x v="62"/>
    <n v="19048502"/>
  </r>
  <r>
    <x v="160"/>
    <s v="ROU"/>
    <x v="63"/>
    <n v="19059479"/>
  </r>
  <r>
    <x v="160"/>
    <s v="ROU"/>
    <x v="64"/>
    <n v="19069340"/>
  </r>
  <r>
    <x v="161"/>
    <s v="RUS"/>
    <x v="0"/>
    <n v="119897000"/>
  </r>
  <r>
    <x v="161"/>
    <s v="RUS"/>
    <x v="1"/>
    <n v="121236000"/>
  </r>
  <r>
    <x v="161"/>
    <s v="RUS"/>
    <x v="2"/>
    <n v="122591000"/>
  </r>
  <r>
    <x v="161"/>
    <s v="RUS"/>
    <x v="3"/>
    <n v="123960000"/>
  </r>
  <r>
    <x v="161"/>
    <s v="RUS"/>
    <x v="4"/>
    <n v="125345000"/>
  </r>
  <r>
    <x v="161"/>
    <s v="RUS"/>
    <x v="5"/>
    <n v="126745000"/>
  </r>
  <r>
    <x v="161"/>
    <s v="RUS"/>
    <x v="6"/>
    <n v="127468000"/>
  </r>
  <r>
    <x v="161"/>
    <s v="RUS"/>
    <x v="7"/>
    <n v="128196000"/>
  </r>
  <r>
    <x v="161"/>
    <s v="RUS"/>
    <x v="8"/>
    <n v="128928000"/>
  </r>
  <r>
    <x v="161"/>
    <s v="RUS"/>
    <x v="9"/>
    <n v="129664000"/>
  </r>
  <r>
    <x v="161"/>
    <s v="RUS"/>
    <x v="10"/>
    <n v="130404000"/>
  </r>
  <r>
    <x v="161"/>
    <s v="RUS"/>
    <x v="11"/>
    <n v="131155000"/>
  </r>
  <r>
    <x v="161"/>
    <s v="RUS"/>
    <x v="12"/>
    <n v="131909000"/>
  </r>
  <r>
    <x v="161"/>
    <s v="RUS"/>
    <x v="13"/>
    <n v="132669000"/>
  </r>
  <r>
    <x v="161"/>
    <s v="RUS"/>
    <x v="14"/>
    <n v="133432000"/>
  </r>
  <r>
    <x v="161"/>
    <s v="RUS"/>
    <x v="15"/>
    <n v="134200000"/>
  </r>
  <r>
    <x v="161"/>
    <s v="RUS"/>
    <x v="16"/>
    <n v="135147000"/>
  </r>
  <r>
    <x v="161"/>
    <s v="RUS"/>
    <x v="17"/>
    <n v="136100000"/>
  </r>
  <r>
    <x v="161"/>
    <s v="RUS"/>
    <x v="18"/>
    <n v="137060000"/>
  </r>
  <r>
    <x v="161"/>
    <s v="RUS"/>
    <x v="19"/>
    <n v="138027000"/>
  </r>
  <r>
    <x v="161"/>
    <s v="RUS"/>
    <x v="20"/>
    <n v="139010000"/>
  </r>
  <r>
    <x v="161"/>
    <s v="RUS"/>
    <x v="21"/>
    <n v="139941000"/>
  </r>
  <r>
    <x v="161"/>
    <s v="RUS"/>
    <x v="22"/>
    <n v="140823000"/>
  </r>
  <r>
    <x v="161"/>
    <s v="RUS"/>
    <x v="23"/>
    <n v="141668000"/>
  </r>
  <r>
    <x v="161"/>
    <s v="RUS"/>
    <x v="24"/>
    <n v="142745000"/>
  </r>
  <r>
    <x v="161"/>
    <s v="RUS"/>
    <x v="25"/>
    <n v="143858000"/>
  </r>
  <r>
    <x v="161"/>
    <s v="RUS"/>
    <x v="26"/>
    <n v="144894000"/>
  </r>
  <r>
    <x v="161"/>
    <s v="RUS"/>
    <x v="27"/>
    <n v="145908000"/>
  </r>
  <r>
    <x v="161"/>
    <s v="RUS"/>
    <x v="28"/>
    <n v="146857000"/>
  </r>
  <r>
    <x v="161"/>
    <s v="RUS"/>
    <x v="29"/>
    <n v="147721000"/>
  </r>
  <r>
    <x v="161"/>
    <s v="RUS"/>
    <x v="30"/>
    <n v="147969406"/>
  </r>
  <r>
    <x v="161"/>
    <s v="RUS"/>
    <x v="31"/>
    <n v="148394216"/>
  </r>
  <r>
    <x v="161"/>
    <s v="RUS"/>
    <x v="32"/>
    <n v="148538197"/>
  </r>
  <r>
    <x v="161"/>
    <s v="RUS"/>
    <x v="33"/>
    <n v="148458777"/>
  </r>
  <r>
    <x v="161"/>
    <s v="RUS"/>
    <x v="34"/>
    <n v="148407912"/>
  </r>
  <r>
    <x v="161"/>
    <s v="RUS"/>
    <x v="35"/>
    <n v="148375787"/>
  </r>
  <r>
    <x v="161"/>
    <s v="RUS"/>
    <x v="36"/>
    <n v="148160129"/>
  </r>
  <r>
    <x v="161"/>
    <s v="RUS"/>
    <x v="37"/>
    <n v="147915361"/>
  </r>
  <r>
    <x v="161"/>
    <s v="RUS"/>
    <x v="38"/>
    <n v="147670784"/>
  </r>
  <r>
    <x v="161"/>
    <s v="RUS"/>
    <x v="39"/>
    <n v="147214776"/>
  </r>
  <r>
    <x v="161"/>
    <s v="RUS"/>
    <x v="40"/>
    <n v="146596869"/>
  </r>
  <r>
    <x v="161"/>
    <s v="RUS"/>
    <x v="41"/>
    <n v="145976482"/>
  </r>
  <r>
    <x v="161"/>
    <s v="RUS"/>
    <x v="42"/>
    <n v="145306497"/>
  </r>
  <r>
    <x v="161"/>
    <s v="RUS"/>
    <x v="43"/>
    <n v="144648618"/>
  </r>
  <r>
    <x v="161"/>
    <s v="RUS"/>
    <x v="44"/>
    <n v="144067316"/>
  </r>
  <r>
    <x v="161"/>
    <s v="RUS"/>
    <x v="45"/>
    <n v="143518814"/>
  </r>
  <r>
    <x v="161"/>
    <s v="RUS"/>
    <x v="46"/>
    <n v="143049637"/>
  </r>
  <r>
    <x v="161"/>
    <s v="RUS"/>
    <x v="47"/>
    <n v="142805114"/>
  </r>
  <r>
    <x v="161"/>
    <s v="RUS"/>
    <x v="48"/>
    <n v="142742366"/>
  </r>
  <r>
    <x v="161"/>
    <s v="RUS"/>
    <x v="49"/>
    <n v="142785348"/>
  </r>
  <r>
    <x v="161"/>
    <s v="RUS"/>
    <x v="50"/>
    <n v="142849468"/>
  </r>
  <r>
    <x v="161"/>
    <s v="RUS"/>
    <x v="51"/>
    <n v="143018195"/>
  </r>
  <r>
    <x v="161"/>
    <s v="RUS"/>
    <x v="52"/>
    <n v="143378447"/>
  </r>
  <r>
    <x v="161"/>
    <s v="RUS"/>
    <x v="53"/>
    <n v="143805638"/>
  </r>
  <r>
    <x v="161"/>
    <s v="RUS"/>
    <x v="54"/>
    <n v="144237223"/>
  </r>
  <r>
    <x v="161"/>
    <s v="RUS"/>
    <x v="55"/>
    <n v="144640716"/>
  </r>
  <r>
    <x v="161"/>
    <s v="RUS"/>
    <x v="56"/>
    <n v="145015460"/>
  </r>
  <r>
    <x v="161"/>
    <s v="RUS"/>
    <x v="57"/>
    <n v="145293260"/>
  </r>
  <r>
    <x v="161"/>
    <s v="RUS"/>
    <x v="58"/>
    <n v="145398106"/>
  </r>
  <r>
    <x v="161"/>
    <s v="RUS"/>
    <x v="59"/>
    <n v="145453291"/>
  </r>
  <r>
    <x v="161"/>
    <s v="RUS"/>
    <x v="60"/>
    <n v="145245148"/>
  </r>
  <r>
    <x v="161"/>
    <s v="RUS"/>
    <x v="61"/>
    <n v="144746762"/>
  </r>
  <r>
    <x v="161"/>
    <s v="RUS"/>
    <x v="62"/>
    <n v="144236933"/>
  </r>
  <r>
    <x v="161"/>
    <s v="RUS"/>
    <x v="63"/>
    <n v="143826130"/>
  </r>
  <r>
    <x v="161"/>
    <s v="RUS"/>
    <x v="64"/>
    <n v="143533851"/>
  </r>
  <r>
    <x v="162"/>
    <s v="RWA"/>
    <x v="0"/>
    <n v="3022294"/>
  </r>
  <r>
    <x v="162"/>
    <s v="RWA"/>
    <x v="1"/>
    <n v="3106779"/>
  </r>
  <r>
    <x v="162"/>
    <s v="RWA"/>
    <x v="2"/>
    <n v="3186025"/>
  </r>
  <r>
    <x v="162"/>
    <s v="RWA"/>
    <x v="3"/>
    <n v="3258890"/>
  </r>
  <r>
    <x v="162"/>
    <s v="RWA"/>
    <x v="4"/>
    <n v="3334834"/>
  </r>
  <r>
    <x v="162"/>
    <s v="RWA"/>
    <x v="5"/>
    <n v="3423210"/>
  </r>
  <r>
    <x v="162"/>
    <s v="RWA"/>
    <x v="6"/>
    <n v="3521626"/>
  </r>
  <r>
    <x v="162"/>
    <s v="RWA"/>
    <x v="7"/>
    <n v="3629577"/>
  </r>
  <r>
    <x v="162"/>
    <s v="RWA"/>
    <x v="8"/>
    <n v="3744010"/>
  </r>
  <r>
    <x v="162"/>
    <s v="RWA"/>
    <x v="9"/>
    <n v="3861271"/>
  </r>
  <r>
    <x v="162"/>
    <s v="RWA"/>
    <x v="10"/>
    <n v="3980669"/>
  </r>
  <r>
    <x v="162"/>
    <s v="RWA"/>
    <x v="11"/>
    <n v="4100044"/>
  </r>
  <r>
    <x v="162"/>
    <s v="RWA"/>
    <x v="12"/>
    <n v="4220335"/>
  </r>
  <r>
    <x v="162"/>
    <s v="RWA"/>
    <x v="13"/>
    <n v="4345047"/>
  </r>
  <r>
    <x v="162"/>
    <s v="RWA"/>
    <x v="14"/>
    <n v="4474228"/>
  </r>
  <r>
    <x v="162"/>
    <s v="RWA"/>
    <x v="15"/>
    <n v="4607728"/>
  </r>
  <r>
    <x v="162"/>
    <s v="RWA"/>
    <x v="16"/>
    <n v="4745954"/>
  </r>
  <r>
    <x v="162"/>
    <s v="RWA"/>
    <x v="17"/>
    <n v="4888240"/>
  </r>
  <r>
    <x v="162"/>
    <s v="RWA"/>
    <x v="18"/>
    <n v="5035171"/>
  </r>
  <r>
    <x v="162"/>
    <s v="RWA"/>
    <x v="19"/>
    <n v="5189541"/>
  </r>
  <r>
    <x v="162"/>
    <s v="RWA"/>
    <x v="20"/>
    <n v="5353259"/>
  </r>
  <r>
    <x v="162"/>
    <s v="RWA"/>
    <x v="21"/>
    <n v="5527230"/>
  </r>
  <r>
    <x v="162"/>
    <s v="RWA"/>
    <x v="22"/>
    <n v="5711549"/>
  </r>
  <r>
    <x v="162"/>
    <s v="RWA"/>
    <x v="23"/>
    <n v="5905311"/>
  </r>
  <r>
    <x v="162"/>
    <s v="RWA"/>
    <x v="24"/>
    <n v="6107627"/>
  </r>
  <r>
    <x v="162"/>
    <s v="RWA"/>
    <x v="25"/>
    <n v="6317228"/>
  </r>
  <r>
    <x v="162"/>
    <s v="RWA"/>
    <x v="26"/>
    <n v="6531881"/>
  </r>
  <r>
    <x v="162"/>
    <s v="RWA"/>
    <x v="27"/>
    <n v="6749493"/>
  </r>
  <r>
    <x v="162"/>
    <s v="RWA"/>
    <x v="28"/>
    <n v="6968071"/>
  </r>
  <r>
    <x v="162"/>
    <s v="RWA"/>
    <x v="29"/>
    <n v="7184706"/>
  </r>
  <r>
    <x v="162"/>
    <s v="RWA"/>
    <x v="30"/>
    <n v="7375307"/>
  </r>
  <r>
    <x v="162"/>
    <s v="RWA"/>
    <x v="31"/>
    <n v="7526966"/>
  </r>
  <r>
    <x v="162"/>
    <s v="RWA"/>
    <x v="32"/>
    <n v="7683266"/>
  </r>
  <r>
    <x v="162"/>
    <s v="RWA"/>
    <x v="33"/>
    <n v="7981132"/>
  </r>
  <r>
    <x v="162"/>
    <s v="RWA"/>
    <x v="34"/>
    <n v="6792352"/>
  </r>
  <r>
    <x v="162"/>
    <s v="RWA"/>
    <x v="35"/>
    <n v="5674118"/>
  </r>
  <r>
    <x v="162"/>
    <s v="RWA"/>
    <x v="36"/>
    <n v="6708764"/>
  </r>
  <r>
    <x v="162"/>
    <s v="RWA"/>
    <x v="37"/>
    <n v="7755238"/>
  </r>
  <r>
    <x v="162"/>
    <s v="RWA"/>
    <x v="38"/>
    <n v="8081681"/>
  </r>
  <r>
    <x v="162"/>
    <s v="RWA"/>
    <x v="39"/>
    <n v="8147912"/>
  </r>
  <r>
    <x v="162"/>
    <s v="RWA"/>
    <x v="40"/>
    <n v="8213931"/>
  </r>
  <r>
    <x v="162"/>
    <s v="RWA"/>
    <x v="41"/>
    <n v="8287094"/>
  </r>
  <r>
    <x v="162"/>
    <s v="RWA"/>
    <x v="42"/>
    <n v="8400180"/>
  </r>
  <r>
    <x v="162"/>
    <s v="RWA"/>
    <x v="43"/>
    <n v="8586875"/>
  </r>
  <r>
    <x v="162"/>
    <s v="RWA"/>
    <x v="44"/>
    <n v="8816844"/>
  </r>
  <r>
    <x v="162"/>
    <s v="RWA"/>
    <x v="45"/>
    <n v="9054528"/>
  </r>
  <r>
    <x v="162"/>
    <s v="RWA"/>
    <x v="46"/>
    <n v="9299246"/>
  </r>
  <r>
    <x v="162"/>
    <s v="RWA"/>
    <x v="47"/>
    <n v="9549933"/>
  </r>
  <r>
    <x v="162"/>
    <s v="RWA"/>
    <x v="48"/>
    <n v="9804269"/>
  </r>
  <r>
    <x v="162"/>
    <s v="RWA"/>
    <x v="49"/>
    <n v="10060432"/>
  </r>
  <r>
    <x v="162"/>
    <s v="RWA"/>
    <x v="50"/>
    <n v="10317553"/>
  </r>
  <r>
    <x v="162"/>
    <s v="RWA"/>
    <x v="51"/>
    <n v="10573733"/>
  </r>
  <r>
    <x v="162"/>
    <s v="RWA"/>
    <x v="52"/>
    <n v="10829901"/>
  </r>
  <r>
    <x v="162"/>
    <s v="RWA"/>
    <x v="53"/>
    <n v="11093340"/>
  </r>
  <r>
    <x v="162"/>
    <s v="RWA"/>
    <x v="54"/>
    <n v="11364757"/>
  </r>
  <r>
    <x v="162"/>
    <s v="RWA"/>
    <x v="55"/>
    <n v="11640022"/>
  </r>
  <r>
    <x v="162"/>
    <s v="RWA"/>
    <x v="56"/>
    <n v="11919183"/>
  </r>
  <r>
    <x v="162"/>
    <s v="RWA"/>
    <x v="57"/>
    <n v="12202060"/>
  </r>
  <r>
    <x v="162"/>
    <s v="RWA"/>
    <x v="58"/>
    <n v="12487996"/>
  </r>
  <r>
    <x v="162"/>
    <s v="RWA"/>
    <x v="59"/>
    <n v="12776103"/>
  </r>
  <r>
    <x v="162"/>
    <s v="RWA"/>
    <x v="60"/>
    <n v="13065837"/>
  </r>
  <r>
    <x v="162"/>
    <s v="RWA"/>
    <x v="61"/>
    <n v="13355260"/>
  </r>
  <r>
    <x v="162"/>
    <s v="RWA"/>
    <x v="62"/>
    <n v="13651030"/>
  </r>
  <r>
    <x v="162"/>
    <s v="RWA"/>
    <x v="63"/>
    <n v="13954471"/>
  </r>
  <r>
    <x v="162"/>
    <s v="RWA"/>
    <x v="64"/>
    <n v="14256567"/>
  </r>
  <r>
    <x v="163"/>
    <s v="WSM"/>
    <x v="0"/>
    <n v="112490"/>
  </r>
  <r>
    <x v="163"/>
    <s v="WSM"/>
    <x v="1"/>
    <n v="115496"/>
  </r>
  <r>
    <x v="163"/>
    <s v="WSM"/>
    <x v="2"/>
    <n v="118597"/>
  </r>
  <r>
    <x v="163"/>
    <s v="WSM"/>
    <x v="3"/>
    <n v="121764"/>
  </r>
  <r>
    <x v="163"/>
    <s v="WSM"/>
    <x v="4"/>
    <n v="124894"/>
  </r>
  <r>
    <x v="163"/>
    <s v="WSM"/>
    <x v="5"/>
    <n v="127978"/>
  </r>
  <r>
    <x v="163"/>
    <s v="WSM"/>
    <x v="6"/>
    <n v="131073"/>
  </r>
  <r>
    <x v="163"/>
    <s v="WSM"/>
    <x v="7"/>
    <n v="133764"/>
  </r>
  <r>
    <x v="163"/>
    <s v="WSM"/>
    <x v="8"/>
    <n v="136020"/>
  </r>
  <r>
    <x v="163"/>
    <s v="WSM"/>
    <x v="9"/>
    <n v="138233"/>
  </r>
  <r>
    <x v="163"/>
    <s v="WSM"/>
    <x v="10"/>
    <n v="140400"/>
  </r>
  <r>
    <x v="163"/>
    <s v="WSM"/>
    <x v="11"/>
    <n v="142503"/>
  </r>
  <r>
    <x v="163"/>
    <s v="WSM"/>
    <x v="12"/>
    <n v="144538"/>
  </r>
  <r>
    <x v="163"/>
    <s v="WSM"/>
    <x v="13"/>
    <n v="146516"/>
  </r>
  <r>
    <x v="163"/>
    <s v="WSM"/>
    <x v="14"/>
    <n v="149431"/>
  </r>
  <r>
    <x v="163"/>
    <s v="WSM"/>
    <x v="15"/>
    <n v="153344"/>
  </r>
  <r>
    <x v="163"/>
    <s v="WSM"/>
    <x v="16"/>
    <n v="157113"/>
  </r>
  <r>
    <x v="163"/>
    <s v="WSM"/>
    <x v="17"/>
    <n v="159753"/>
  </r>
  <r>
    <x v="163"/>
    <s v="WSM"/>
    <x v="18"/>
    <n v="161375"/>
  </r>
  <r>
    <x v="163"/>
    <s v="WSM"/>
    <x v="19"/>
    <n v="162882"/>
  </r>
  <r>
    <x v="163"/>
    <s v="WSM"/>
    <x v="20"/>
    <n v="164322"/>
  </r>
  <r>
    <x v="163"/>
    <s v="WSM"/>
    <x v="21"/>
    <n v="165678"/>
  </r>
  <r>
    <x v="163"/>
    <s v="WSM"/>
    <x v="22"/>
    <n v="166484"/>
  </r>
  <r>
    <x v="163"/>
    <s v="WSM"/>
    <x v="23"/>
    <n v="166714"/>
  </r>
  <r>
    <x v="163"/>
    <s v="WSM"/>
    <x v="24"/>
    <n v="166796"/>
  </r>
  <r>
    <x v="163"/>
    <s v="WSM"/>
    <x v="25"/>
    <n v="166849"/>
  </r>
  <r>
    <x v="163"/>
    <s v="WSM"/>
    <x v="26"/>
    <n v="167061"/>
  </r>
  <r>
    <x v="163"/>
    <s v="WSM"/>
    <x v="27"/>
    <n v="167661"/>
  </r>
  <r>
    <x v="163"/>
    <s v="WSM"/>
    <x v="28"/>
    <n v="168346"/>
  </r>
  <r>
    <x v="163"/>
    <s v="WSM"/>
    <x v="29"/>
    <n v="168768"/>
  </r>
  <r>
    <x v="163"/>
    <s v="WSM"/>
    <x v="30"/>
    <n v="169042"/>
  </r>
  <r>
    <x v="163"/>
    <s v="WSM"/>
    <x v="31"/>
    <n v="169368"/>
  </r>
  <r>
    <x v="163"/>
    <s v="WSM"/>
    <x v="32"/>
    <n v="170331"/>
  </r>
  <r>
    <x v="163"/>
    <s v="WSM"/>
    <x v="33"/>
    <n v="171774"/>
  </r>
  <r>
    <x v="163"/>
    <s v="WSM"/>
    <x v="34"/>
    <n v="173159"/>
  </r>
  <r>
    <x v="163"/>
    <s v="WSM"/>
    <x v="35"/>
    <n v="174571"/>
  </r>
  <r>
    <x v="163"/>
    <s v="WSM"/>
    <x v="36"/>
    <n v="176071"/>
  </r>
  <r>
    <x v="163"/>
    <s v="WSM"/>
    <x v="37"/>
    <n v="177547"/>
  </r>
  <r>
    <x v="163"/>
    <s v="WSM"/>
    <x v="38"/>
    <n v="178905"/>
  </r>
  <r>
    <x v="163"/>
    <s v="WSM"/>
    <x v="39"/>
    <n v="180275"/>
  </r>
  <r>
    <x v="163"/>
    <s v="WSM"/>
    <x v="40"/>
    <n v="181685"/>
  </r>
  <r>
    <x v="163"/>
    <s v="WSM"/>
    <x v="41"/>
    <n v="183166"/>
  </r>
  <r>
    <x v="163"/>
    <s v="WSM"/>
    <x v="42"/>
    <n v="184471"/>
  </r>
  <r>
    <x v="163"/>
    <s v="WSM"/>
    <x v="43"/>
    <n v="185430"/>
  </r>
  <r>
    <x v="163"/>
    <s v="WSM"/>
    <x v="44"/>
    <n v="186249"/>
  </r>
  <r>
    <x v="163"/>
    <s v="WSM"/>
    <x v="45"/>
    <n v="186978"/>
  </r>
  <r>
    <x v="163"/>
    <s v="WSM"/>
    <x v="46"/>
    <n v="187709"/>
  </r>
  <r>
    <x v="163"/>
    <s v="WSM"/>
    <x v="47"/>
    <n v="188753"/>
  </r>
  <r>
    <x v="163"/>
    <s v="WSM"/>
    <x v="48"/>
    <n v="190107"/>
  </r>
  <r>
    <x v="163"/>
    <s v="WSM"/>
    <x v="49"/>
    <n v="191513"/>
  </r>
  <r>
    <x v="163"/>
    <s v="WSM"/>
    <x v="50"/>
    <n v="193023"/>
  </r>
  <r>
    <x v="163"/>
    <s v="WSM"/>
    <x v="51"/>
    <n v="194713"/>
  </r>
  <r>
    <x v="163"/>
    <s v="WSM"/>
    <x v="52"/>
    <n v="196498"/>
  </r>
  <r>
    <x v="163"/>
    <s v="WSM"/>
    <x v="53"/>
    <n v="198268"/>
  </r>
  <r>
    <x v="163"/>
    <s v="WSM"/>
    <x v="54"/>
    <n v="200037"/>
  </r>
  <r>
    <x v="163"/>
    <s v="WSM"/>
    <x v="55"/>
    <n v="201782"/>
  </r>
  <r>
    <x v="163"/>
    <s v="WSM"/>
    <x v="56"/>
    <n v="203499"/>
  </r>
  <r>
    <x v="163"/>
    <s v="WSM"/>
    <x v="57"/>
    <n v="205415"/>
  </r>
  <r>
    <x v="163"/>
    <s v="WSM"/>
    <x v="58"/>
    <n v="207582"/>
  </r>
  <r>
    <x v="163"/>
    <s v="WSM"/>
    <x v="59"/>
    <n v="209780"/>
  </r>
  <r>
    <x v="163"/>
    <s v="WSM"/>
    <x v="60"/>
    <n v="211944"/>
  </r>
  <r>
    <x v="163"/>
    <s v="WSM"/>
    <x v="61"/>
    <n v="213779"/>
  </r>
  <r>
    <x v="163"/>
    <s v="WSM"/>
    <x v="62"/>
    <n v="215261"/>
  </r>
  <r>
    <x v="163"/>
    <s v="WSM"/>
    <x v="63"/>
    <n v="216663"/>
  </r>
  <r>
    <x v="163"/>
    <s v="WSM"/>
    <x v="64"/>
    <n v="218019"/>
  </r>
  <r>
    <x v="164"/>
    <s v="SMR"/>
    <x v="0"/>
    <n v="15428"/>
  </r>
  <r>
    <x v="164"/>
    <s v="SMR"/>
    <x v="1"/>
    <n v="15799"/>
  </r>
  <r>
    <x v="164"/>
    <s v="SMR"/>
    <x v="2"/>
    <n v="16183"/>
  </r>
  <r>
    <x v="164"/>
    <s v="SMR"/>
    <x v="3"/>
    <n v="16580"/>
  </r>
  <r>
    <x v="164"/>
    <s v="SMR"/>
    <x v="4"/>
    <n v="16977"/>
  </r>
  <r>
    <x v="164"/>
    <s v="SMR"/>
    <x v="5"/>
    <n v="17305"/>
  </r>
  <r>
    <x v="164"/>
    <s v="SMR"/>
    <x v="6"/>
    <n v="17523"/>
  </r>
  <r>
    <x v="164"/>
    <s v="SMR"/>
    <x v="7"/>
    <n v="17688"/>
  </r>
  <r>
    <x v="164"/>
    <s v="SMR"/>
    <x v="8"/>
    <n v="17861"/>
  </r>
  <r>
    <x v="164"/>
    <s v="SMR"/>
    <x v="9"/>
    <n v="18026"/>
  </r>
  <r>
    <x v="164"/>
    <s v="SMR"/>
    <x v="10"/>
    <n v="18168"/>
  </r>
  <r>
    <x v="164"/>
    <s v="SMR"/>
    <x v="11"/>
    <n v="18419"/>
  </r>
  <r>
    <x v="164"/>
    <s v="SMR"/>
    <x v="12"/>
    <n v="18787"/>
  </r>
  <r>
    <x v="164"/>
    <s v="SMR"/>
    <x v="13"/>
    <n v="18992"/>
  </r>
  <r>
    <x v="164"/>
    <s v="SMR"/>
    <x v="14"/>
    <n v="19030"/>
  </r>
  <r>
    <x v="164"/>
    <s v="SMR"/>
    <x v="15"/>
    <n v="19046"/>
  </r>
  <r>
    <x v="164"/>
    <s v="SMR"/>
    <x v="16"/>
    <n v="19110"/>
  </r>
  <r>
    <x v="164"/>
    <s v="SMR"/>
    <x v="17"/>
    <n v="20017"/>
  </r>
  <r>
    <x v="164"/>
    <s v="SMR"/>
    <x v="18"/>
    <n v="21026"/>
  </r>
  <r>
    <x v="164"/>
    <s v="SMR"/>
    <x v="19"/>
    <n v="21320"/>
  </r>
  <r>
    <x v="164"/>
    <s v="SMR"/>
    <x v="20"/>
    <n v="21585"/>
  </r>
  <r>
    <x v="164"/>
    <s v="SMR"/>
    <x v="21"/>
    <n v="21840"/>
  </r>
  <r>
    <x v="164"/>
    <s v="SMR"/>
    <x v="22"/>
    <n v="22055"/>
  </r>
  <r>
    <x v="164"/>
    <s v="SMR"/>
    <x v="23"/>
    <n v="22229"/>
  </r>
  <r>
    <x v="164"/>
    <s v="SMR"/>
    <x v="24"/>
    <n v="22346"/>
  </r>
  <r>
    <x v="164"/>
    <s v="SMR"/>
    <x v="25"/>
    <n v="22485"/>
  </r>
  <r>
    <x v="164"/>
    <s v="SMR"/>
    <x v="26"/>
    <n v="22636"/>
  </r>
  <r>
    <x v="164"/>
    <s v="SMR"/>
    <x v="27"/>
    <n v="22686"/>
  </r>
  <r>
    <x v="164"/>
    <s v="SMR"/>
    <x v="28"/>
    <n v="22843"/>
  </r>
  <r>
    <x v="164"/>
    <s v="SMR"/>
    <x v="29"/>
    <n v="23154"/>
  </r>
  <r>
    <x v="164"/>
    <s v="SMR"/>
    <x v="30"/>
    <n v="23475"/>
  </r>
  <r>
    <x v="164"/>
    <s v="SMR"/>
    <x v="31"/>
    <n v="23797"/>
  </r>
  <r>
    <x v="164"/>
    <s v="SMR"/>
    <x v="32"/>
    <n v="24125"/>
  </r>
  <r>
    <x v="164"/>
    <s v="SMR"/>
    <x v="33"/>
    <n v="24472"/>
  </r>
  <r>
    <x v="164"/>
    <s v="SMR"/>
    <x v="34"/>
    <n v="24823"/>
  </r>
  <r>
    <x v="164"/>
    <s v="SMR"/>
    <x v="35"/>
    <n v="25158"/>
  </r>
  <r>
    <x v="164"/>
    <s v="SMR"/>
    <x v="36"/>
    <n v="25482"/>
  </r>
  <r>
    <x v="164"/>
    <s v="SMR"/>
    <x v="37"/>
    <n v="25800"/>
  </r>
  <r>
    <x v="164"/>
    <s v="SMR"/>
    <x v="38"/>
    <n v="26125"/>
  </r>
  <r>
    <x v="164"/>
    <s v="SMR"/>
    <x v="39"/>
    <n v="26459"/>
  </r>
  <r>
    <x v="164"/>
    <s v="SMR"/>
    <x v="40"/>
    <n v="26799"/>
  </r>
  <r>
    <x v="164"/>
    <s v="SMR"/>
    <x v="41"/>
    <n v="27143"/>
  </r>
  <r>
    <x v="164"/>
    <s v="SMR"/>
    <x v="42"/>
    <n v="27491"/>
  </r>
  <r>
    <x v="164"/>
    <s v="SMR"/>
    <x v="43"/>
    <n v="27843"/>
  </r>
  <r>
    <x v="164"/>
    <s v="SMR"/>
    <x v="44"/>
    <n v="29457"/>
  </r>
  <r>
    <x v="164"/>
    <s v="SMR"/>
    <x v="45"/>
    <n v="29836"/>
  </r>
  <r>
    <x v="164"/>
    <s v="SMR"/>
    <x v="46"/>
    <n v="30184"/>
  </r>
  <r>
    <x v="164"/>
    <s v="SMR"/>
    <x v="47"/>
    <n v="31211"/>
  </r>
  <r>
    <x v="164"/>
    <s v="SMR"/>
    <x v="48"/>
    <n v="31662"/>
  </r>
  <r>
    <x v="164"/>
    <s v="SMR"/>
    <x v="49"/>
    <n v="33066"/>
  </r>
  <r>
    <x v="164"/>
    <s v="SMR"/>
    <x v="50"/>
    <n v="33270"/>
  </r>
  <r>
    <x v="164"/>
    <s v="SMR"/>
    <x v="51"/>
    <n v="32620"/>
  </r>
  <r>
    <x v="164"/>
    <s v="SMR"/>
    <x v="52"/>
    <n v="33469"/>
  </r>
  <r>
    <x v="164"/>
    <s v="SMR"/>
    <x v="53"/>
    <n v="33041"/>
  </r>
  <r>
    <x v="164"/>
    <s v="SMR"/>
    <x v="54"/>
    <n v="32655"/>
  </r>
  <r>
    <x v="164"/>
    <s v="SMR"/>
    <x v="55"/>
    <n v="32897"/>
  </r>
  <r>
    <x v="164"/>
    <s v="SMR"/>
    <x v="56"/>
    <n v="33101"/>
  </r>
  <r>
    <x v="164"/>
    <s v="SMR"/>
    <x v="57"/>
    <n v="33825"/>
  </r>
  <r>
    <x v="164"/>
    <s v="SMR"/>
    <x v="58"/>
    <n v="34522"/>
  </r>
  <r>
    <x v="164"/>
    <s v="SMR"/>
    <x v="59"/>
    <n v="34663"/>
  </r>
  <r>
    <x v="164"/>
    <s v="SMR"/>
    <x v="60"/>
    <n v="34770"/>
  </r>
  <r>
    <x v="164"/>
    <s v="SMR"/>
    <x v="61"/>
    <n v="34252"/>
  </r>
  <r>
    <x v="164"/>
    <s v="SMR"/>
    <x v="62"/>
    <n v="33755"/>
  </r>
  <r>
    <x v="164"/>
    <s v="SMR"/>
    <x v="63"/>
    <n v="33860"/>
  </r>
  <r>
    <x v="164"/>
    <s v="SMR"/>
    <x v="64"/>
    <n v="33977"/>
  </r>
  <r>
    <x v="165"/>
    <s v="STP"/>
    <x v="0"/>
    <n v="68012"/>
  </r>
  <r>
    <x v="165"/>
    <s v="STP"/>
    <x v="1"/>
    <n v="68707"/>
  </r>
  <r>
    <x v="165"/>
    <s v="STP"/>
    <x v="2"/>
    <n v="69403"/>
  </r>
  <r>
    <x v="165"/>
    <s v="STP"/>
    <x v="3"/>
    <n v="70112"/>
  </r>
  <r>
    <x v="165"/>
    <s v="STP"/>
    <x v="4"/>
    <n v="70865"/>
  </r>
  <r>
    <x v="165"/>
    <s v="STP"/>
    <x v="5"/>
    <n v="71680"/>
  </r>
  <r>
    <x v="165"/>
    <s v="STP"/>
    <x v="6"/>
    <n v="72576"/>
  </r>
  <r>
    <x v="165"/>
    <s v="STP"/>
    <x v="7"/>
    <n v="73596"/>
  </r>
  <r>
    <x v="165"/>
    <s v="STP"/>
    <x v="8"/>
    <n v="74765"/>
  </r>
  <r>
    <x v="165"/>
    <s v="STP"/>
    <x v="9"/>
    <n v="76083"/>
  </r>
  <r>
    <x v="165"/>
    <s v="STP"/>
    <x v="10"/>
    <n v="77626"/>
  </r>
  <r>
    <x v="165"/>
    <s v="STP"/>
    <x v="11"/>
    <n v="79330"/>
  </r>
  <r>
    <x v="165"/>
    <s v="STP"/>
    <x v="12"/>
    <n v="81041"/>
  </r>
  <r>
    <x v="165"/>
    <s v="STP"/>
    <x v="13"/>
    <n v="82798"/>
  </r>
  <r>
    <x v="165"/>
    <s v="STP"/>
    <x v="14"/>
    <n v="84672"/>
  </r>
  <r>
    <x v="165"/>
    <s v="STP"/>
    <x v="15"/>
    <n v="86708"/>
  </r>
  <r>
    <x v="165"/>
    <s v="STP"/>
    <x v="16"/>
    <n v="88922"/>
  </r>
  <r>
    <x v="165"/>
    <s v="STP"/>
    <x v="17"/>
    <n v="91301"/>
  </r>
  <r>
    <x v="165"/>
    <s v="STP"/>
    <x v="18"/>
    <n v="93794"/>
  </r>
  <r>
    <x v="165"/>
    <s v="STP"/>
    <x v="19"/>
    <n v="96252"/>
  </r>
  <r>
    <x v="165"/>
    <s v="STP"/>
    <x v="20"/>
    <n v="98544"/>
  </r>
  <r>
    <x v="165"/>
    <s v="STP"/>
    <x v="21"/>
    <n v="100615"/>
  </r>
  <r>
    <x v="165"/>
    <s v="STP"/>
    <x v="22"/>
    <n v="102508"/>
  </r>
  <r>
    <x v="165"/>
    <s v="STP"/>
    <x v="23"/>
    <n v="104380"/>
  </r>
  <r>
    <x v="165"/>
    <s v="STP"/>
    <x v="24"/>
    <n v="106394"/>
  </r>
  <r>
    <x v="165"/>
    <s v="STP"/>
    <x v="25"/>
    <n v="108658"/>
  </r>
  <r>
    <x v="165"/>
    <s v="STP"/>
    <x v="26"/>
    <n v="111150"/>
  </r>
  <r>
    <x v="165"/>
    <s v="STP"/>
    <x v="27"/>
    <n v="113919"/>
  </r>
  <r>
    <x v="165"/>
    <s v="STP"/>
    <x v="28"/>
    <n v="116939"/>
  </r>
  <r>
    <x v="165"/>
    <s v="STP"/>
    <x v="29"/>
    <n v="119979"/>
  </r>
  <r>
    <x v="165"/>
    <s v="STP"/>
    <x v="30"/>
    <n v="122980"/>
  </r>
  <r>
    <x v="165"/>
    <s v="STP"/>
    <x v="31"/>
    <n v="125697"/>
  </r>
  <r>
    <x v="165"/>
    <s v="STP"/>
    <x v="32"/>
    <n v="128110"/>
  </r>
  <r>
    <x v="165"/>
    <s v="STP"/>
    <x v="33"/>
    <n v="130467"/>
  </r>
  <r>
    <x v="165"/>
    <s v="STP"/>
    <x v="34"/>
    <n v="132732"/>
  </r>
  <r>
    <x v="165"/>
    <s v="STP"/>
    <x v="35"/>
    <n v="134895"/>
  </r>
  <r>
    <x v="165"/>
    <s v="STP"/>
    <x v="36"/>
    <n v="136962"/>
  </r>
  <r>
    <x v="165"/>
    <s v="STP"/>
    <x v="37"/>
    <n v="138922"/>
  </r>
  <r>
    <x v="165"/>
    <s v="STP"/>
    <x v="38"/>
    <n v="140751"/>
  </r>
  <r>
    <x v="165"/>
    <s v="STP"/>
    <x v="39"/>
    <n v="142442"/>
  </r>
  <r>
    <x v="165"/>
    <s v="STP"/>
    <x v="40"/>
    <n v="144018"/>
  </r>
  <r>
    <x v="165"/>
    <s v="STP"/>
    <x v="41"/>
    <n v="146375"/>
  </r>
  <r>
    <x v="165"/>
    <s v="STP"/>
    <x v="42"/>
    <n v="149922"/>
  </r>
  <r>
    <x v="165"/>
    <s v="STP"/>
    <x v="43"/>
    <n v="153814"/>
  </r>
  <r>
    <x v="165"/>
    <s v="STP"/>
    <x v="44"/>
    <n v="157705"/>
  </r>
  <r>
    <x v="165"/>
    <s v="STP"/>
    <x v="45"/>
    <n v="161639"/>
  </r>
  <r>
    <x v="165"/>
    <s v="STP"/>
    <x v="46"/>
    <n v="165638"/>
  </r>
  <r>
    <x v="165"/>
    <s v="STP"/>
    <x v="47"/>
    <n v="169700"/>
  </r>
  <r>
    <x v="165"/>
    <s v="STP"/>
    <x v="48"/>
    <n v="173793"/>
  </r>
  <r>
    <x v="165"/>
    <s v="STP"/>
    <x v="49"/>
    <n v="177853"/>
  </r>
  <r>
    <x v="165"/>
    <s v="STP"/>
    <x v="50"/>
    <n v="181802"/>
  </r>
  <r>
    <x v="165"/>
    <s v="STP"/>
    <x v="51"/>
    <n v="185649"/>
  </r>
  <r>
    <x v="165"/>
    <s v="STP"/>
    <x v="52"/>
    <n v="189439"/>
  </r>
  <r>
    <x v="165"/>
    <s v="STP"/>
    <x v="53"/>
    <n v="193148"/>
  </r>
  <r>
    <x v="165"/>
    <s v="STP"/>
    <x v="54"/>
    <n v="196767"/>
  </r>
  <r>
    <x v="165"/>
    <s v="STP"/>
    <x v="55"/>
    <n v="200291"/>
  </r>
  <r>
    <x v="165"/>
    <s v="STP"/>
    <x v="56"/>
    <n v="203689"/>
  </r>
  <r>
    <x v="165"/>
    <s v="STP"/>
    <x v="57"/>
    <n v="206970"/>
  </r>
  <r>
    <x v="165"/>
    <s v="STP"/>
    <x v="58"/>
    <n v="210187"/>
  </r>
  <r>
    <x v="165"/>
    <s v="STP"/>
    <x v="59"/>
    <n v="213392"/>
  </r>
  <r>
    <x v="165"/>
    <s v="STP"/>
    <x v="60"/>
    <n v="217435"/>
  </r>
  <r>
    <x v="165"/>
    <s v="STP"/>
    <x v="61"/>
    <n v="221961"/>
  </r>
  <r>
    <x v="165"/>
    <s v="STP"/>
    <x v="62"/>
    <n v="226305"/>
  </r>
  <r>
    <x v="165"/>
    <s v="STP"/>
    <x v="63"/>
    <n v="230871"/>
  </r>
  <r>
    <x v="165"/>
    <s v="STP"/>
    <x v="64"/>
    <n v="235536"/>
  </r>
  <r>
    <x v="166"/>
    <s v="SAU"/>
    <x v="0"/>
    <n v="2435403"/>
  </r>
  <r>
    <x v="166"/>
    <s v="SAU"/>
    <x v="1"/>
    <n v="2526347"/>
  </r>
  <r>
    <x v="166"/>
    <s v="SAU"/>
    <x v="2"/>
    <n v="2620910"/>
  </r>
  <r>
    <x v="166"/>
    <s v="SAU"/>
    <x v="3"/>
    <n v="2719341"/>
  </r>
  <r>
    <x v="166"/>
    <s v="SAU"/>
    <x v="4"/>
    <n v="2821968"/>
  </r>
  <r>
    <x v="166"/>
    <s v="SAU"/>
    <x v="5"/>
    <n v="2928771"/>
  </r>
  <r>
    <x v="166"/>
    <s v="SAU"/>
    <x v="6"/>
    <n v="3039887"/>
  </r>
  <r>
    <x v="166"/>
    <s v="SAU"/>
    <x v="7"/>
    <n v="3157242"/>
  </r>
  <r>
    <x v="166"/>
    <s v="SAU"/>
    <x v="8"/>
    <n v="3282711"/>
  </r>
  <r>
    <x v="166"/>
    <s v="SAU"/>
    <x v="9"/>
    <n v="3417114"/>
  </r>
  <r>
    <x v="166"/>
    <s v="SAU"/>
    <x v="10"/>
    <n v="3562470"/>
  </r>
  <r>
    <x v="166"/>
    <s v="SAU"/>
    <x v="11"/>
    <n v="3724031"/>
  </r>
  <r>
    <x v="166"/>
    <s v="SAU"/>
    <x v="12"/>
    <n v="3905722"/>
  </r>
  <r>
    <x v="166"/>
    <s v="SAU"/>
    <x v="13"/>
    <n v="4106344"/>
  </r>
  <r>
    <x v="166"/>
    <s v="SAU"/>
    <x v="14"/>
    <n v="4323632"/>
  </r>
  <r>
    <x v="166"/>
    <s v="SAU"/>
    <x v="15"/>
    <n v="4556287"/>
  </r>
  <r>
    <x v="166"/>
    <s v="SAU"/>
    <x v="16"/>
    <n v="4807933"/>
  </r>
  <r>
    <x v="166"/>
    <s v="SAU"/>
    <x v="17"/>
    <n v="5083048"/>
  </r>
  <r>
    <x v="166"/>
    <s v="SAU"/>
    <x v="18"/>
    <n v="5381902"/>
  </r>
  <r>
    <x v="166"/>
    <s v="SAU"/>
    <x v="19"/>
    <n v="5703698"/>
  </r>
  <r>
    <x v="166"/>
    <s v="SAU"/>
    <x v="20"/>
    <n v="6047997"/>
  </r>
  <r>
    <x v="166"/>
    <s v="SAU"/>
    <x v="21"/>
    <n v="6420551"/>
  </r>
  <r>
    <x v="166"/>
    <s v="SAU"/>
    <x v="22"/>
    <n v="6824486"/>
  </r>
  <r>
    <x v="166"/>
    <s v="SAU"/>
    <x v="23"/>
    <n v="7252941"/>
  </r>
  <r>
    <x v="166"/>
    <s v="SAU"/>
    <x v="24"/>
    <n v="7697307"/>
  </r>
  <r>
    <x v="166"/>
    <s v="SAU"/>
    <x v="25"/>
    <n v="8151779"/>
  </r>
  <r>
    <x v="166"/>
    <s v="SAU"/>
    <x v="26"/>
    <n v="8628639"/>
  </r>
  <r>
    <x v="166"/>
    <s v="SAU"/>
    <x v="27"/>
    <n v="9130194"/>
  </r>
  <r>
    <x v="166"/>
    <s v="SAU"/>
    <x v="28"/>
    <n v="9629165"/>
  </r>
  <r>
    <x v="166"/>
    <s v="SAU"/>
    <x v="29"/>
    <n v="10128394"/>
  </r>
  <r>
    <x v="166"/>
    <s v="SAU"/>
    <x v="30"/>
    <n v="10640691"/>
  </r>
  <r>
    <x v="166"/>
    <s v="SAU"/>
    <x v="31"/>
    <n v="11160744"/>
  </r>
  <r>
    <x v="166"/>
    <s v="SAU"/>
    <x v="32"/>
    <n v="11686676"/>
  </r>
  <r>
    <x v="166"/>
    <s v="SAU"/>
    <x v="33"/>
    <n v="12215862"/>
  </r>
  <r>
    <x v="166"/>
    <s v="SAU"/>
    <x v="34"/>
    <n v="12750040"/>
  </r>
  <r>
    <x v="166"/>
    <s v="SAU"/>
    <x v="35"/>
    <n v="13289245"/>
  </r>
  <r>
    <x v="166"/>
    <s v="SAU"/>
    <x v="36"/>
    <n v="13831009"/>
  </r>
  <r>
    <x v="166"/>
    <s v="SAU"/>
    <x v="37"/>
    <n v="14374943"/>
  </r>
  <r>
    <x v="166"/>
    <s v="SAU"/>
    <x v="38"/>
    <n v="14922185"/>
  </r>
  <r>
    <x v="166"/>
    <s v="SAU"/>
    <x v="39"/>
    <n v="15472075"/>
  </r>
  <r>
    <x v="166"/>
    <s v="SAU"/>
    <x v="40"/>
    <n v="16177722"/>
  </r>
  <r>
    <x v="166"/>
    <s v="SAU"/>
    <x v="41"/>
    <n v="17041397"/>
  </r>
  <r>
    <x v="166"/>
    <s v="SAU"/>
    <x v="42"/>
    <n v="17910910"/>
  </r>
  <r>
    <x v="166"/>
    <s v="SAU"/>
    <x v="43"/>
    <n v="18786767"/>
  </r>
  <r>
    <x v="166"/>
    <s v="SAU"/>
    <x v="44"/>
    <n v="19669480"/>
  </r>
  <r>
    <x v="166"/>
    <s v="SAU"/>
    <x v="45"/>
    <n v="20559890"/>
  </r>
  <r>
    <x v="166"/>
    <s v="SAU"/>
    <x v="46"/>
    <n v="21459144"/>
  </r>
  <r>
    <x v="166"/>
    <s v="SAU"/>
    <x v="47"/>
    <n v="22368313"/>
  </r>
  <r>
    <x v="166"/>
    <s v="SAU"/>
    <x v="48"/>
    <n v="23287877"/>
  </r>
  <r>
    <x v="166"/>
    <s v="SAU"/>
    <x v="49"/>
    <n v="24217654"/>
  </r>
  <r>
    <x v="166"/>
    <s v="SAU"/>
    <x v="50"/>
    <n v="23978487"/>
  </r>
  <r>
    <x v="166"/>
    <s v="SAU"/>
    <x v="51"/>
    <n v="25091867"/>
  </r>
  <r>
    <x v="166"/>
    <s v="SAU"/>
    <x v="52"/>
    <n v="26168861"/>
  </r>
  <r>
    <x v="166"/>
    <s v="SAU"/>
    <x v="53"/>
    <n v="27624004"/>
  </r>
  <r>
    <x v="166"/>
    <s v="SAU"/>
    <x v="54"/>
    <n v="28309273"/>
  </r>
  <r>
    <x v="166"/>
    <s v="SAU"/>
    <x v="55"/>
    <n v="29816382"/>
  </r>
  <r>
    <x v="166"/>
    <s v="SAU"/>
    <x v="56"/>
    <n v="30954198"/>
  </r>
  <r>
    <x v="166"/>
    <s v="SAU"/>
    <x v="57"/>
    <n v="30977355"/>
  </r>
  <r>
    <x v="166"/>
    <s v="SAU"/>
    <x v="58"/>
    <n v="30196281"/>
  </r>
  <r>
    <x v="166"/>
    <s v="SAU"/>
    <x v="59"/>
    <n v="30063799"/>
  </r>
  <r>
    <x v="166"/>
    <s v="SAU"/>
    <x v="60"/>
    <n v="31552510"/>
  </r>
  <r>
    <x v="166"/>
    <s v="SAU"/>
    <x v="61"/>
    <n v="30784383"/>
  </r>
  <r>
    <x v="166"/>
    <s v="SAU"/>
    <x v="62"/>
    <n v="32175224"/>
  </r>
  <r>
    <x v="166"/>
    <s v="SAU"/>
    <x v="63"/>
    <n v="33702731"/>
  </r>
  <r>
    <x v="166"/>
    <s v="SAU"/>
    <x v="64"/>
    <n v="35300280"/>
  </r>
  <r>
    <x v="167"/>
    <s v="SEN"/>
    <x v="0"/>
    <n v="3340907"/>
  </r>
  <r>
    <x v="167"/>
    <s v="SEN"/>
    <x v="1"/>
    <n v="3436375"/>
  </r>
  <r>
    <x v="167"/>
    <s v="SEN"/>
    <x v="2"/>
    <n v="3534686"/>
  </r>
  <r>
    <x v="167"/>
    <s v="SEN"/>
    <x v="3"/>
    <n v="3635876"/>
  </r>
  <r>
    <x v="167"/>
    <s v="SEN"/>
    <x v="4"/>
    <n v="3740535"/>
  </r>
  <r>
    <x v="167"/>
    <s v="SEN"/>
    <x v="5"/>
    <n v="3849788"/>
  </r>
  <r>
    <x v="167"/>
    <s v="SEN"/>
    <x v="6"/>
    <n v="3964299"/>
  </r>
  <r>
    <x v="167"/>
    <s v="SEN"/>
    <x v="7"/>
    <n v="4083870"/>
  </r>
  <r>
    <x v="167"/>
    <s v="SEN"/>
    <x v="8"/>
    <n v="4207587"/>
  </r>
  <r>
    <x v="167"/>
    <s v="SEN"/>
    <x v="9"/>
    <n v="4334974"/>
  </r>
  <r>
    <x v="167"/>
    <s v="SEN"/>
    <x v="10"/>
    <n v="4466328"/>
  </r>
  <r>
    <x v="167"/>
    <s v="SEN"/>
    <x v="11"/>
    <n v="4601864"/>
  </r>
  <r>
    <x v="167"/>
    <s v="SEN"/>
    <x v="12"/>
    <n v="4741631"/>
  </r>
  <r>
    <x v="167"/>
    <s v="SEN"/>
    <x v="13"/>
    <n v="4885181"/>
  </r>
  <r>
    <x v="167"/>
    <s v="SEN"/>
    <x v="14"/>
    <n v="5029437"/>
  </r>
  <r>
    <x v="167"/>
    <s v="SEN"/>
    <x v="15"/>
    <n v="5170810"/>
  </r>
  <r>
    <x v="167"/>
    <s v="SEN"/>
    <x v="16"/>
    <n v="5308564"/>
  </r>
  <r>
    <x v="167"/>
    <s v="SEN"/>
    <x v="17"/>
    <n v="5439549"/>
  </r>
  <r>
    <x v="167"/>
    <s v="SEN"/>
    <x v="18"/>
    <n v="5568096"/>
  </r>
  <r>
    <x v="167"/>
    <s v="SEN"/>
    <x v="19"/>
    <n v="5702895"/>
  </r>
  <r>
    <x v="167"/>
    <s v="SEN"/>
    <x v="20"/>
    <n v="5845638"/>
  </r>
  <r>
    <x v="167"/>
    <s v="SEN"/>
    <x v="21"/>
    <n v="5997160"/>
  </r>
  <r>
    <x v="167"/>
    <s v="SEN"/>
    <x v="22"/>
    <n v="6156961"/>
  </r>
  <r>
    <x v="167"/>
    <s v="SEN"/>
    <x v="23"/>
    <n v="6324504"/>
  </r>
  <r>
    <x v="167"/>
    <s v="SEN"/>
    <x v="24"/>
    <n v="6499364"/>
  </r>
  <r>
    <x v="167"/>
    <s v="SEN"/>
    <x v="25"/>
    <n v="6683287"/>
  </r>
  <r>
    <x v="167"/>
    <s v="SEN"/>
    <x v="26"/>
    <n v="6878192"/>
  </r>
  <r>
    <x v="167"/>
    <s v="SEN"/>
    <x v="27"/>
    <n v="7081530"/>
  </r>
  <r>
    <x v="167"/>
    <s v="SEN"/>
    <x v="28"/>
    <n v="7289618"/>
  </r>
  <r>
    <x v="167"/>
    <s v="SEN"/>
    <x v="29"/>
    <n v="7502207"/>
  </r>
  <r>
    <x v="167"/>
    <s v="SEN"/>
    <x v="30"/>
    <n v="7720523"/>
  </r>
  <r>
    <x v="167"/>
    <s v="SEN"/>
    <x v="31"/>
    <n v="7943085"/>
  </r>
  <r>
    <x v="167"/>
    <s v="SEN"/>
    <x v="32"/>
    <n v="8168395"/>
  </r>
  <r>
    <x v="167"/>
    <s v="SEN"/>
    <x v="33"/>
    <n v="8396288"/>
  </r>
  <r>
    <x v="167"/>
    <s v="SEN"/>
    <x v="34"/>
    <n v="8624078"/>
  </r>
  <r>
    <x v="167"/>
    <s v="SEN"/>
    <x v="35"/>
    <n v="8848101"/>
  </r>
  <r>
    <x v="167"/>
    <s v="SEN"/>
    <x v="36"/>
    <n v="9067014"/>
  </r>
  <r>
    <x v="167"/>
    <s v="SEN"/>
    <x v="37"/>
    <n v="9283495"/>
  </r>
  <r>
    <x v="167"/>
    <s v="SEN"/>
    <x v="38"/>
    <n v="9502952"/>
  </r>
  <r>
    <x v="167"/>
    <s v="SEN"/>
    <x v="39"/>
    <n v="9730887"/>
  </r>
  <r>
    <x v="167"/>
    <s v="SEN"/>
    <x v="40"/>
    <n v="9968260"/>
  </r>
  <r>
    <x v="167"/>
    <s v="SEN"/>
    <x v="41"/>
    <n v="10212942"/>
  </r>
  <r>
    <x v="167"/>
    <s v="SEN"/>
    <x v="42"/>
    <n v="10466214"/>
  </r>
  <r>
    <x v="167"/>
    <s v="SEN"/>
    <x v="43"/>
    <n v="10721176"/>
  </r>
  <r>
    <x v="167"/>
    <s v="SEN"/>
    <x v="44"/>
    <n v="10975704"/>
  </r>
  <r>
    <x v="167"/>
    <s v="SEN"/>
    <x v="45"/>
    <n v="11235472"/>
  </r>
  <r>
    <x v="167"/>
    <s v="SEN"/>
    <x v="46"/>
    <n v="11500094"/>
  </r>
  <r>
    <x v="167"/>
    <s v="SEN"/>
    <x v="47"/>
    <n v="11770344"/>
  </r>
  <r>
    <x v="167"/>
    <s v="SEN"/>
    <x v="48"/>
    <n v="12048959"/>
  </r>
  <r>
    <x v="167"/>
    <s v="SEN"/>
    <x v="49"/>
    <n v="12337389"/>
  </r>
  <r>
    <x v="167"/>
    <s v="SEN"/>
    <x v="50"/>
    <n v="12635413"/>
  </r>
  <r>
    <x v="167"/>
    <s v="SEN"/>
    <x v="51"/>
    <n v="12958897"/>
  </r>
  <r>
    <x v="167"/>
    <s v="SEN"/>
    <x v="52"/>
    <n v="13310495"/>
  </r>
  <r>
    <x v="167"/>
    <s v="SEN"/>
    <x v="53"/>
    <n v="13710849"/>
  </r>
  <r>
    <x v="167"/>
    <s v="SEN"/>
    <x v="54"/>
    <n v="14152102"/>
  </r>
  <r>
    <x v="167"/>
    <s v="SEN"/>
    <x v="55"/>
    <n v="14593331"/>
  </r>
  <r>
    <x v="167"/>
    <s v="SEN"/>
    <x v="56"/>
    <n v="15034521"/>
  </r>
  <r>
    <x v="167"/>
    <s v="SEN"/>
    <x v="57"/>
    <n v="15475002"/>
  </r>
  <r>
    <x v="167"/>
    <s v="SEN"/>
    <x v="58"/>
    <n v="15914498"/>
  </r>
  <r>
    <x v="167"/>
    <s v="SEN"/>
    <x v="59"/>
    <n v="16352922"/>
  </r>
  <r>
    <x v="167"/>
    <s v="SEN"/>
    <x v="60"/>
    <n v="16789219"/>
  </r>
  <r>
    <x v="167"/>
    <s v="SEN"/>
    <x v="61"/>
    <n v="17220867"/>
  </r>
  <r>
    <x v="167"/>
    <s v="SEN"/>
    <x v="62"/>
    <n v="17651103"/>
  </r>
  <r>
    <x v="167"/>
    <s v="SEN"/>
    <x v="63"/>
    <n v="18077573"/>
  </r>
  <r>
    <x v="167"/>
    <s v="SEN"/>
    <x v="64"/>
    <n v="18501984"/>
  </r>
  <r>
    <x v="168"/>
    <s v="SRB"/>
    <x v="0"/>
    <n v="6638992"/>
  </r>
  <r>
    <x v="168"/>
    <s v="SRB"/>
    <x v="1"/>
    <n v="6689077"/>
  </r>
  <r>
    <x v="168"/>
    <s v="SRB"/>
    <x v="2"/>
    <n v="6740264"/>
  </r>
  <r>
    <x v="168"/>
    <s v="SRB"/>
    <x v="3"/>
    <n v="6787950"/>
  </r>
  <r>
    <x v="168"/>
    <s v="SRB"/>
    <x v="4"/>
    <n v="6832855"/>
  </r>
  <r>
    <x v="168"/>
    <s v="SRB"/>
    <x v="5"/>
    <n v="6876624"/>
  </r>
  <r>
    <x v="168"/>
    <s v="SRB"/>
    <x v="6"/>
    <n v="6927969"/>
  </r>
  <r>
    <x v="168"/>
    <s v="SRB"/>
    <x v="7"/>
    <n v="6966522"/>
  </r>
  <r>
    <x v="168"/>
    <s v="SRB"/>
    <x v="8"/>
    <n v="7007586"/>
  </r>
  <r>
    <x v="168"/>
    <s v="SRB"/>
    <x v="9"/>
    <n v="7123249"/>
  </r>
  <r>
    <x v="168"/>
    <s v="SRB"/>
    <x v="10"/>
    <n v="7164993"/>
  </r>
  <r>
    <x v="168"/>
    <s v="SRB"/>
    <x v="11"/>
    <n v="7211716"/>
  </r>
  <r>
    <x v="168"/>
    <s v="SRB"/>
    <x v="12"/>
    <n v="7252012"/>
  </r>
  <r>
    <x v="168"/>
    <s v="SRB"/>
    <x v="13"/>
    <n v="7283902"/>
  </r>
  <r>
    <x v="168"/>
    <s v="SRB"/>
    <x v="14"/>
    <n v="7326043"/>
  </r>
  <r>
    <x v="168"/>
    <s v="SRB"/>
    <x v="15"/>
    <n v="7368717"/>
  </r>
  <r>
    <x v="168"/>
    <s v="SRB"/>
    <x v="16"/>
    <n v="7418973"/>
  </r>
  <r>
    <x v="168"/>
    <s v="SRB"/>
    <x v="17"/>
    <n v="7462783"/>
  </r>
  <r>
    <x v="168"/>
    <s v="SRB"/>
    <x v="18"/>
    <n v="7504017"/>
  </r>
  <r>
    <x v="168"/>
    <s v="SRB"/>
    <x v="19"/>
    <n v="7541997"/>
  </r>
  <r>
    <x v="168"/>
    <s v="SRB"/>
    <x v="20"/>
    <n v="7709544"/>
  </r>
  <r>
    <x v="168"/>
    <s v="SRB"/>
    <x v="21"/>
    <n v="7736787"/>
  </r>
  <r>
    <x v="168"/>
    <s v="SRB"/>
    <x v="22"/>
    <n v="7763335"/>
  </r>
  <r>
    <x v="168"/>
    <s v="SRB"/>
    <x v="23"/>
    <n v="7788100"/>
  </r>
  <r>
    <x v="168"/>
    <s v="SRB"/>
    <x v="24"/>
    <n v="7813549"/>
  </r>
  <r>
    <x v="168"/>
    <s v="SRB"/>
    <x v="25"/>
    <n v="7835902"/>
  </r>
  <r>
    <x v="168"/>
    <s v="SRB"/>
    <x v="26"/>
    <n v="7853824"/>
  </r>
  <r>
    <x v="168"/>
    <s v="SRB"/>
    <x v="27"/>
    <n v="7868027"/>
  </r>
  <r>
    <x v="168"/>
    <s v="SRB"/>
    <x v="28"/>
    <n v="7884218"/>
  </r>
  <r>
    <x v="168"/>
    <s v="SRB"/>
    <x v="29"/>
    <n v="7893787"/>
  </r>
  <r>
    <x v="168"/>
    <s v="SRB"/>
    <x v="30"/>
    <n v="7897937"/>
  </r>
  <r>
    <x v="168"/>
    <s v="SRB"/>
    <x v="31"/>
    <n v="7595636"/>
  </r>
  <r>
    <x v="168"/>
    <s v="SRB"/>
    <x v="32"/>
    <n v="7604063"/>
  </r>
  <r>
    <x v="168"/>
    <s v="SRB"/>
    <x v="33"/>
    <n v="7614328"/>
  </r>
  <r>
    <x v="168"/>
    <s v="SRB"/>
    <x v="34"/>
    <n v="7622711"/>
  </r>
  <r>
    <x v="168"/>
    <s v="SRB"/>
    <x v="35"/>
    <n v="7628264"/>
  </r>
  <r>
    <x v="168"/>
    <s v="SRB"/>
    <x v="36"/>
    <n v="7622185"/>
  </r>
  <r>
    <x v="168"/>
    <s v="SRB"/>
    <x v="37"/>
    <n v="7598538"/>
  </r>
  <r>
    <x v="168"/>
    <s v="SRB"/>
    <x v="38"/>
    <n v="7567745"/>
  </r>
  <r>
    <x v="168"/>
    <s v="SRB"/>
    <x v="39"/>
    <n v="7540401"/>
  </r>
  <r>
    <x v="168"/>
    <s v="SRB"/>
    <x v="40"/>
    <n v="7516346"/>
  </r>
  <r>
    <x v="168"/>
    <s v="SRB"/>
    <x v="41"/>
    <n v="7503433"/>
  </r>
  <r>
    <x v="168"/>
    <s v="SRB"/>
    <x v="42"/>
    <n v="7500031"/>
  </r>
  <r>
    <x v="168"/>
    <s v="SRB"/>
    <x v="43"/>
    <n v="7480591"/>
  </r>
  <r>
    <x v="168"/>
    <s v="SRB"/>
    <x v="44"/>
    <n v="7463157"/>
  </r>
  <r>
    <x v="168"/>
    <s v="SRB"/>
    <x v="45"/>
    <n v="7440769"/>
  </r>
  <r>
    <x v="168"/>
    <s v="SRB"/>
    <x v="46"/>
    <n v="7411569"/>
  </r>
  <r>
    <x v="168"/>
    <s v="SRB"/>
    <x v="47"/>
    <n v="7381579"/>
  </r>
  <r>
    <x v="168"/>
    <s v="SRB"/>
    <x v="48"/>
    <n v="7350222"/>
  </r>
  <r>
    <x v="168"/>
    <s v="SRB"/>
    <x v="49"/>
    <n v="7320807"/>
  </r>
  <r>
    <x v="168"/>
    <s v="SRB"/>
    <x v="50"/>
    <n v="7291436"/>
  </r>
  <r>
    <x v="168"/>
    <s v="SRB"/>
    <x v="51"/>
    <n v="7236519"/>
  </r>
  <r>
    <x v="168"/>
    <s v="SRB"/>
    <x v="52"/>
    <n v="7201497"/>
  </r>
  <r>
    <x v="168"/>
    <s v="SRB"/>
    <x v="53"/>
    <n v="7166553"/>
  </r>
  <r>
    <x v="168"/>
    <s v="SRB"/>
    <x v="54"/>
    <n v="7131787"/>
  </r>
  <r>
    <x v="168"/>
    <s v="SRB"/>
    <x v="55"/>
    <n v="7095383"/>
  </r>
  <r>
    <x v="168"/>
    <s v="SRB"/>
    <x v="56"/>
    <n v="7058322"/>
  </r>
  <r>
    <x v="168"/>
    <s v="SRB"/>
    <x v="57"/>
    <n v="7020858"/>
  </r>
  <r>
    <x v="168"/>
    <s v="SRB"/>
    <x v="58"/>
    <n v="6982604"/>
  </r>
  <r>
    <x v="168"/>
    <s v="SRB"/>
    <x v="59"/>
    <n v="6945235"/>
  </r>
  <r>
    <x v="168"/>
    <s v="SRB"/>
    <x v="60"/>
    <n v="6899126"/>
  </r>
  <r>
    <x v="168"/>
    <s v="SRB"/>
    <x v="61"/>
    <n v="6834326"/>
  </r>
  <r>
    <x v="168"/>
    <s v="SRB"/>
    <x v="62"/>
    <n v="6664449"/>
  </r>
  <r>
    <x v="168"/>
    <s v="SRB"/>
    <x v="63"/>
    <n v="6623183"/>
  </r>
  <r>
    <x v="168"/>
    <s v="SRB"/>
    <x v="64"/>
    <n v="6587202"/>
  </r>
  <r>
    <x v="169"/>
    <s v="SYC"/>
    <x v="0"/>
    <n v="41700"/>
  </r>
  <r>
    <x v="169"/>
    <s v="SYC"/>
    <x v="1"/>
    <n v="42889"/>
  </r>
  <r>
    <x v="169"/>
    <s v="SYC"/>
    <x v="2"/>
    <n v="44042"/>
  </r>
  <r>
    <x v="169"/>
    <s v="SYC"/>
    <x v="3"/>
    <n v="45176"/>
  </r>
  <r>
    <x v="169"/>
    <s v="SYC"/>
    <x v="4"/>
    <n v="46322"/>
  </r>
  <r>
    <x v="169"/>
    <s v="SYC"/>
    <x v="5"/>
    <n v="47500"/>
  </r>
  <r>
    <x v="169"/>
    <s v="SYC"/>
    <x v="6"/>
    <n v="48699"/>
  </r>
  <r>
    <x v="169"/>
    <s v="SYC"/>
    <x v="7"/>
    <n v="49911"/>
  </r>
  <r>
    <x v="169"/>
    <s v="SYC"/>
    <x v="8"/>
    <n v="51134"/>
  </r>
  <r>
    <x v="169"/>
    <s v="SYC"/>
    <x v="9"/>
    <n v="52365"/>
  </r>
  <r>
    <x v="169"/>
    <s v="SYC"/>
    <x v="10"/>
    <n v="53600"/>
  </r>
  <r>
    <x v="169"/>
    <s v="SYC"/>
    <x v="11"/>
    <n v="54695"/>
  </r>
  <r>
    <x v="169"/>
    <s v="SYC"/>
    <x v="12"/>
    <n v="56029"/>
  </r>
  <r>
    <x v="169"/>
    <s v="SYC"/>
    <x v="13"/>
    <n v="56892"/>
  </r>
  <r>
    <x v="169"/>
    <s v="SYC"/>
    <x v="14"/>
    <n v="57937"/>
  </r>
  <r>
    <x v="169"/>
    <s v="SYC"/>
    <x v="15"/>
    <n v="59292"/>
  </r>
  <r>
    <x v="169"/>
    <s v="SYC"/>
    <x v="16"/>
    <n v="60504"/>
  </r>
  <r>
    <x v="169"/>
    <s v="SYC"/>
    <x v="17"/>
    <n v="61786"/>
  </r>
  <r>
    <x v="169"/>
    <s v="SYC"/>
    <x v="18"/>
    <n v="62150"/>
  </r>
  <r>
    <x v="169"/>
    <s v="SYC"/>
    <x v="19"/>
    <n v="62686"/>
  </r>
  <r>
    <x v="169"/>
    <s v="SYC"/>
    <x v="20"/>
    <n v="63261"/>
  </r>
  <r>
    <x v="169"/>
    <s v="SYC"/>
    <x v="21"/>
    <n v="64035"/>
  </r>
  <r>
    <x v="169"/>
    <s v="SYC"/>
    <x v="22"/>
    <n v="64413"/>
  </r>
  <r>
    <x v="169"/>
    <s v="SYC"/>
    <x v="23"/>
    <n v="64335"/>
  </r>
  <r>
    <x v="169"/>
    <s v="SYC"/>
    <x v="24"/>
    <n v="64717"/>
  </r>
  <r>
    <x v="169"/>
    <s v="SYC"/>
    <x v="25"/>
    <n v="65244"/>
  </r>
  <r>
    <x v="169"/>
    <s v="SYC"/>
    <x v="26"/>
    <n v="65652"/>
  </r>
  <r>
    <x v="169"/>
    <s v="SYC"/>
    <x v="27"/>
    <n v="68499"/>
  </r>
  <r>
    <x v="169"/>
    <s v="SYC"/>
    <x v="28"/>
    <n v="68755"/>
  </r>
  <r>
    <x v="169"/>
    <s v="SYC"/>
    <x v="29"/>
    <n v="69167"/>
  </r>
  <r>
    <x v="169"/>
    <s v="SYC"/>
    <x v="30"/>
    <n v="69507"/>
  </r>
  <r>
    <x v="169"/>
    <s v="SYC"/>
    <x v="31"/>
    <n v="70439"/>
  </r>
  <r>
    <x v="169"/>
    <s v="SYC"/>
    <x v="32"/>
    <n v="70763"/>
  </r>
  <r>
    <x v="169"/>
    <s v="SYC"/>
    <x v="33"/>
    <n v="72253"/>
  </r>
  <r>
    <x v="169"/>
    <s v="SYC"/>
    <x v="34"/>
    <n v="74205"/>
  </r>
  <r>
    <x v="169"/>
    <s v="SYC"/>
    <x v="35"/>
    <n v="75304"/>
  </r>
  <r>
    <x v="169"/>
    <s v="SYC"/>
    <x v="36"/>
    <n v="76417"/>
  </r>
  <r>
    <x v="169"/>
    <s v="SYC"/>
    <x v="37"/>
    <n v="77319"/>
  </r>
  <r>
    <x v="169"/>
    <s v="SYC"/>
    <x v="38"/>
    <n v="78846"/>
  </r>
  <r>
    <x v="169"/>
    <s v="SYC"/>
    <x v="39"/>
    <n v="80410"/>
  </r>
  <r>
    <x v="169"/>
    <s v="SYC"/>
    <x v="40"/>
    <n v="81131"/>
  </r>
  <r>
    <x v="169"/>
    <s v="SYC"/>
    <x v="41"/>
    <n v="81202"/>
  </r>
  <r>
    <x v="169"/>
    <s v="SYC"/>
    <x v="42"/>
    <n v="83723"/>
  </r>
  <r>
    <x v="169"/>
    <s v="SYC"/>
    <x v="43"/>
    <n v="82781"/>
  </r>
  <r>
    <x v="169"/>
    <s v="SYC"/>
    <x v="44"/>
    <n v="82475"/>
  </r>
  <r>
    <x v="169"/>
    <s v="SYC"/>
    <x v="45"/>
    <n v="82858"/>
  </r>
  <r>
    <x v="169"/>
    <s v="SYC"/>
    <x v="46"/>
    <n v="84600"/>
  </r>
  <r>
    <x v="169"/>
    <s v="SYC"/>
    <x v="47"/>
    <n v="85033"/>
  </r>
  <r>
    <x v="169"/>
    <s v="SYC"/>
    <x v="48"/>
    <n v="86956"/>
  </r>
  <r>
    <x v="169"/>
    <s v="SYC"/>
    <x v="49"/>
    <n v="87298"/>
  </r>
  <r>
    <x v="169"/>
    <s v="SYC"/>
    <x v="50"/>
    <n v="89770"/>
  </r>
  <r>
    <x v="169"/>
    <s v="SYC"/>
    <x v="51"/>
    <n v="87441"/>
  </r>
  <r>
    <x v="169"/>
    <s v="SYC"/>
    <x v="52"/>
    <n v="88303"/>
  </r>
  <r>
    <x v="169"/>
    <s v="SYC"/>
    <x v="53"/>
    <n v="89949"/>
  </r>
  <r>
    <x v="169"/>
    <s v="SYC"/>
    <x v="54"/>
    <n v="91359"/>
  </r>
  <r>
    <x v="169"/>
    <s v="SYC"/>
    <x v="55"/>
    <n v="93419"/>
  </r>
  <r>
    <x v="169"/>
    <s v="SYC"/>
    <x v="56"/>
    <n v="94677"/>
  </r>
  <r>
    <x v="169"/>
    <s v="SYC"/>
    <x v="57"/>
    <n v="95843"/>
  </r>
  <r>
    <x v="169"/>
    <s v="SYC"/>
    <x v="58"/>
    <n v="96762"/>
  </r>
  <r>
    <x v="169"/>
    <s v="SYC"/>
    <x v="59"/>
    <n v="97625"/>
  </r>
  <r>
    <x v="169"/>
    <s v="SYC"/>
    <x v="60"/>
    <n v="98462"/>
  </r>
  <r>
    <x v="169"/>
    <s v="SYC"/>
    <x v="61"/>
    <n v="99258"/>
  </r>
  <r>
    <x v="169"/>
    <s v="SYC"/>
    <x v="62"/>
    <n v="119878"/>
  </r>
  <r>
    <x v="169"/>
    <s v="SYC"/>
    <x v="63"/>
    <n v="119773"/>
  </r>
  <r>
    <x v="169"/>
    <s v="SYC"/>
    <x v="64"/>
    <n v="121354"/>
  </r>
  <r>
    <x v="170"/>
    <s v="SLE"/>
    <x v="0"/>
    <n v="2268356"/>
  </r>
  <r>
    <x v="170"/>
    <s v="SLE"/>
    <x v="1"/>
    <n v="2304227"/>
  </r>
  <r>
    <x v="170"/>
    <s v="SLE"/>
    <x v="2"/>
    <n v="2342242"/>
  </r>
  <r>
    <x v="170"/>
    <s v="SLE"/>
    <x v="3"/>
    <n v="2382258"/>
  </r>
  <r>
    <x v="170"/>
    <s v="SLE"/>
    <x v="4"/>
    <n v="2424390"/>
  </r>
  <r>
    <x v="170"/>
    <s v="SLE"/>
    <x v="5"/>
    <n v="2468666"/>
  </r>
  <r>
    <x v="170"/>
    <s v="SLE"/>
    <x v="6"/>
    <n v="2514638"/>
  </r>
  <r>
    <x v="170"/>
    <s v="SLE"/>
    <x v="7"/>
    <n v="2562384"/>
  </r>
  <r>
    <x v="170"/>
    <s v="SLE"/>
    <x v="8"/>
    <n v="2611532"/>
  </r>
  <r>
    <x v="170"/>
    <s v="SLE"/>
    <x v="9"/>
    <n v="2661365"/>
  </r>
  <r>
    <x v="170"/>
    <s v="SLE"/>
    <x v="10"/>
    <n v="2712286"/>
  </r>
  <r>
    <x v="170"/>
    <s v="SLE"/>
    <x v="11"/>
    <n v="2763222"/>
  </r>
  <r>
    <x v="170"/>
    <s v="SLE"/>
    <x v="12"/>
    <n v="2814388"/>
  </r>
  <r>
    <x v="170"/>
    <s v="SLE"/>
    <x v="13"/>
    <n v="2866955"/>
  </r>
  <r>
    <x v="170"/>
    <s v="SLE"/>
    <x v="14"/>
    <n v="2920459"/>
  </r>
  <r>
    <x v="170"/>
    <s v="SLE"/>
    <x v="15"/>
    <n v="2974657"/>
  </r>
  <r>
    <x v="170"/>
    <s v="SLE"/>
    <x v="16"/>
    <n v="3028820"/>
  </r>
  <r>
    <x v="170"/>
    <s v="SLE"/>
    <x v="17"/>
    <n v="3085354"/>
  </r>
  <r>
    <x v="170"/>
    <s v="SLE"/>
    <x v="18"/>
    <n v="3145517"/>
  </r>
  <r>
    <x v="170"/>
    <s v="SLE"/>
    <x v="19"/>
    <n v="3207499"/>
  </r>
  <r>
    <x v="170"/>
    <s v="SLE"/>
    <x v="20"/>
    <n v="3272089"/>
  </r>
  <r>
    <x v="170"/>
    <s v="SLE"/>
    <x v="21"/>
    <n v="3338940"/>
  </r>
  <r>
    <x v="170"/>
    <s v="SLE"/>
    <x v="22"/>
    <n v="3408183"/>
  </r>
  <r>
    <x v="170"/>
    <s v="SLE"/>
    <x v="23"/>
    <n v="3481646"/>
  </r>
  <r>
    <x v="170"/>
    <s v="SLE"/>
    <x v="24"/>
    <n v="3558758"/>
  </r>
  <r>
    <x v="170"/>
    <s v="SLE"/>
    <x v="25"/>
    <n v="3638438"/>
  </r>
  <r>
    <x v="170"/>
    <s v="SLE"/>
    <x v="26"/>
    <n v="3728380"/>
  </r>
  <r>
    <x v="170"/>
    <s v="SLE"/>
    <x v="27"/>
    <n v="3829718"/>
  </r>
  <r>
    <x v="170"/>
    <s v="SLE"/>
    <x v="28"/>
    <n v="3934517"/>
  </r>
  <r>
    <x v="170"/>
    <s v="SLE"/>
    <x v="29"/>
    <n v="4034037"/>
  </r>
  <r>
    <x v="170"/>
    <s v="SLE"/>
    <x v="30"/>
    <n v="4196828"/>
  </r>
  <r>
    <x v="170"/>
    <s v="SLE"/>
    <x v="31"/>
    <n v="4246267"/>
  </r>
  <r>
    <x v="170"/>
    <s v="SLE"/>
    <x v="32"/>
    <n v="4166366"/>
  </r>
  <r>
    <x v="170"/>
    <s v="SLE"/>
    <x v="33"/>
    <n v="4157130"/>
  </r>
  <r>
    <x v="170"/>
    <s v="SLE"/>
    <x v="34"/>
    <n v="4173105"/>
  </r>
  <r>
    <x v="170"/>
    <s v="SLE"/>
    <x v="35"/>
    <n v="4179179"/>
  </r>
  <r>
    <x v="170"/>
    <s v="SLE"/>
    <x v="36"/>
    <n v="4199210"/>
  </r>
  <r>
    <x v="170"/>
    <s v="SLE"/>
    <x v="37"/>
    <n v="4253716"/>
  </r>
  <r>
    <x v="170"/>
    <s v="SLE"/>
    <x v="38"/>
    <n v="4295785"/>
  </r>
  <r>
    <x v="170"/>
    <s v="SLE"/>
    <x v="39"/>
    <n v="4318043"/>
  </r>
  <r>
    <x v="170"/>
    <s v="SLE"/>
    <x v="40"/>
    <n v="4423611"/>
  </r>
  <r>
    <x v="170"/>
    <s v="SLE"/>
    <x v="41"/>
    <n v="4692716"/>
  </r>
  <r>
    <x v="170"/>
    <s v="SLE"/>
    <x v="42"/>
    <n v="4971435"/>
  </r>
  <r>
    <x v="170"/>
    <s v="SLE"/>
    <x v="43"/>
    <n v="5177687"/>
  </r>
  <r>
    <x v="170"/>
    <s v="SLE"/>
    <x v="44"/>
    <n v="5355717"/>
  </r>
  <r>
    <x v="170"/>
    <s v="SLE"/>
    <x v="45"/>
    <n v="5501712"/>
  </r>
  <r>
    <x v="170"/>
    <s v="SLE"/>
    <x v="46"/>
    <n v="5624466"/>
  </r>
  <r>
    <x v="170"/>
    <s v="SLE"/>
    <x v="47"/>
    <n v="5749352"/>
  </r>
  <r>
    <x v="170"/>
    <s v="SLE"/>
    <x v="48"/>
    <n v="5894722"/>
  </r>
  <r>
    <x v="170"/>
    <s v="SLE"/>
    <x v="49"/>
    <n v="6055646"/>
  </r>
  <r>
    <x v="170"/>
    <s v="SLE"/>
    <x v="50"/>
    <n v="6222714"/>
  </r>
  <r>
    <x v="170"/>
    <s v="SLE"/>
    <x v="51"/>
    <n v="6387251"/>
  </r>
  <r>
    <x v="170"/>
    <s v="SLE"/>
    <x v="52"/>
    <n v="6551080"/>
  </r>
  <r>
    <x v="170"/>
    <s v="SLE"/>
    <x v="53"/>
    <n v="6714051"/>
  </r>
  <r>
    <x v="170"/>
    <s v="SLE"/>
    <x v="54"/>
    <n v="6876385"/>
  </r>
  <r>
    <x v="170"/>
    <s v="SLE"/>
    <x v="55"/>
    <n v="7037655"/>
  </r>
  <r>
    <x v="170"/>
    <s v="SLE"/>
    <x v="56"/>
    <n v="7205328"/>
  </r>
  <r>
    <x v="170"/>
    <s v="SLE"/>
    <x v="57"/>
    <n v="7379299"/>
  </r>
  <r>
    <x v="170"/>
    <s v="SLE"/>
    <x v="58"/>
    <n v="7554563"/>
  </r>
  <r>
    <x v="170"/>
    <s v="SLE"/>
    <x v="59"/>
    <n v="7731991"/>
  </r>
  <r>
    <x v="170"/>
    <s v="SLE"/>
    <x v="60"/>
    <n v="7912558"/>
  </r>
  <r>
    <x v="170"/>
    <s v="SLE"/>
    <x v="61"/>
    <n v="8094602"/>
  </r>
  <r>
    <x v="170"/>
    <s v="SLE"/>
    <x v="62"/>
    <n v="8276807"/>
  </r>
  <r>
    <x v="170"/>
    <s v="SLE"/>
    <x v="63"/>
    <n v="8460512"/>
  </r>
  <r>
    <x v="170"/>
    <s v="SLE"/>
    <x v="64"/>
    <n v="8642022"/>
  </r>
  <r>
    <x v="171"/>
    <s v="SGP"/>
    <x v="0"/>
    <n v="1646400"/>
  </r>
  <r>
    <x v="171"/>
    <s v="SGP"/>
    <x v="1"/>
    <n v="1702400"/>
  </r>
  <r>
    <x v="171"/>
    <s v="SGP"/>
    <x v="2"/>
    <n v="1750200"/>
  </r>
  <r>
    <x v="171"/>
    <s v="SGP"/>
    <x v="3"/>
    <n v="1795000"/>
  </r>
  <r>
    <x v="171"/>
    <s v="SGP"/>
    <x v="4"/>
    <n v="1841600"/>
  </r>
  <r>
    <x v="171"/>
    <s v="SGP"/>
    <x v="5"/>
    <n v="1886900"/>
  </r>
  <r>
    <x v="171"/>
    <s v="SGP"/>
    <x v="6"/>
    <n v="1934400"/>
  </r>
  <r>
    <x v="171"/>
    <s v="SGP"/>
    <x v="7"/>
    <n v="1977600"/>
  </r>
  <r>
    <x v="171"/>
    <s v="SGP"/>
    <x v="8"/>
    <n v="2012000"/>
  </r>
  <r>
    <x v="171"/>
    <s v="SGP"/>
    <x v="9"/>
    <n v="2042500"/>
  </r>
  <r>
    <x v="171"/>
    <s v="SGP"/>
    <x v="10"/>
    <n v="2074507"/>
  </r>
  <r>
    <x v="171"/>
    <s v="SGP"/>
    <x v="11"/>
    <n v="2112900"/>
  </r>
  <r>
    <x v="171"/>
    <s v="SGP"/>
    <x v="12"/>
    <n v="2152400"/>
  </r>
  <r>
    <x v="171"/>
    <s v="SGP"/>
    <x v="13"/>
    <n v="2193000"/>
  </r>
  <r>
    <x v="171"/>
    <s v="SGP"/>
    <x v="14"/>
    <n v="2229800"/>
  </r>
  <r>
    <x v="171"/>
    <s v="SGP"/>
    <x v="15"/>
    <n v="2262600"/>
  </r>
  <r>
    <x v="171"/>
    <s v="SGP"/>
    <x v="16"/>
    <n v="2293300"/>
  </r>
  <r>
    <x v="171"/>
    <s v="SGP"/>
    <x v="17"/>
    <n v="2325300"/>
  </r>
  <r>
    <x v="171"/>
    <s v="SGP"/>
    <x v="18"/>
    <n v="2353600"/>
  </r>
  <r>
    <x v="171"/>
    <s v="SGP"/>
    <x v="19"/>
    <n v="2383500"/>
  </r>
  <r>
    <x v="171"/>
    <s v="SGP"/>
    <x v="20"/>
    <n v="2413945"/>
  </r>
  <r>
    <x v="171"/>
    <s v="SGP"/>
    <x v="21"/>
    <n v="2532835"/>
  </r>
  <r>
    <x v="171"/>
    <s v="SGP"/>
    <x v="22"/>
    <n v="2646466"/>
  </r>
  <r>
    <x v="171"/>
    <s v="SGP"/>
    <x v="23"/>
    <n v="2681061"/>
  </r>
  <r>
    <x v="171"/>
    <s v="SGP"/>
    <x v="24"/>
    <n v="2732221"/>
  </r>
  <r>
    <x v="171"/>
    <s v="SGP"/>
    <x v="25"/>
    <n v="2735957"/>
  </r>
  <r>
    <x v="171"/>
    <s v="SGP"/>
    <x v="26"/>
    <n v="2733373"/>
  </r>
  <r>
    <x v="171"/>
    <s v="SGP"/>
    <x v="27"/>
    <n v="2774789"/>
  </r>
  <r>
    <x v="171"/>
    <s v="SGP"/>
    <x v="28"/>
    <n v="2846108"/>
  </r>
  <r>
    <x v="171"/>
    <s v="SGP"/>
    <x v="29"/>
    <n v="2930901"/>
  </r>
  <r>
    <x v="171"/>
    <s v="SGP"/>
    <x v="30"/>
    <n v="3047132"/>
  </r>
  <r>
    <x v="171"/>
    <s v="SGP"/>
    <x v="31"/>
    <n v="3135083"/>
  </r>
  <r>
    <x v="171"/>
    <s v="SGP"/>
    <x v="32"/>
    <n v="3230698"/>
  </r>
  <r>
    <x v="171"/>
    <s v="SGP"/>
    <x v="33"/>
    <n v="3313471"/>
  </r>
  <r>
    <x v="171"/>
    <s v="SGP"/>
    <x v="34"/>
    <n v="3419048"/>
  </r>
  <r>
    <x v="171"/>
    <s v="SGP"/>
    <x v="35"/>
    <n v="3524506"/>
  </r>
  <r>
    <x v="171"/>
    <s v="SGP"/>
    <x v="36"/>
    <n v="3670704"/>
  </r>
  <r>
    <x v="171"/>
    <s v="SGP"/>
    <x v="37"/>
    <n v="3796038"/>
  </r>
  <r>
    <x v="171"/>
    <s v="SGP"/>
    <x v="38"/>
    <n v="3927213"/>
  </r>
  <r>
    <x v="171"/>
    <s v="SGP"/>
    <x v="39"/>
    <n v="3958723"/>
  </r>
  <r>
    <x v="171"/>
    <s v="SGP"/>
    <x v="40"/>
    <n v="4027887"/>
  </r>
  <r>
    <x v="171"/>
    <s v="SGP"/>
    <x v="41"/>
    <n v="4138012"/>
  </r>
  <r>
    <x v="171"/>
    <s v="SGP"/>
    <x v="42"/>
    <n v="4175950"/>
  </r>
  <r>
    <x v="171"/>
    <s v="SGP"/>
    <x v="43"/>
    <n v="4114826"/>
  </r>
  <r>
    <x v="171"/>
    <s v="SGP"/>
    <x v="44"/>
    <n v="4166664"/>
  </r>
  <r>
    <x v="171"/>
    <s v="SGP"/>
    <x v="45"/>
    <n v="4265762"/>
  </r>
  <r>
    <x v="171"/>
    <s v="SGP"/>
    <x v="46"/>
    <n v="4401365"/>
  </r>
  <r>
    <x v="171"/>
    <s v="SGP"/>
    <x v="47"/>
    <n v="4588599"/>
  </r>
  <r>
    <x v="171"/>
    <s v="SGP"/>
    <x v="48"/>
    <n v="4839396"/>
  </r>
  <r>
    <x v="171"/>
    <s v="SGP"/>
    <x v="49"/>
    <n v="4987573"/>
  </r>
  <r>
    <x v="171"/>
    <s v="SGP"/>
    <x v="50"/>
    <n v="5076732"/>
  </r>
  <r>
    <x v="171"/>
    <s v="SGP"/>
    <x v="51"/>
    <n v="5183688"/>
  </r>
  <r>
    <x v="171"/>
    <s v="SGP"/>
    <x v="52"/>
    <n v="5312437"/>
  </r>
  <r>
    <x v="171"/>
    <s v="SGP"/>
    <x v="53"/>
    <n v="5399162"/>
  </r>
  <r>
    <x v="171"/>
    <s v="SGP"/>
    <x v="54"/>
    <n v="5469724"/>
  </r>
  <r>
    <x v="171"/>
    <s v="SGP"/>
    <x v="55"/>
    <n v="5535002"/>
  </r>
  <r>
    <x v="171"/>
    <s v="SGP"/>
    <x v="56"/>
    <n v="5607283"/>
  </r>
  <r>
    <x v="171"/>
    <s v="SGP"/>
    <x v="57"/>
    <n v="5612253"/>
  </r>
  <r>
    <x v="171"/>
    <s v="SGP"/>
    <x v="58"/>
    <n v="5638676"/>
  </r>
  <r>
    <x v="171"/>
    <s v="SGP"/>
    <x v="59"/>
    <n v="5703569"/>
  </r>
  <r>
    <x v="171"/>
    <s v="SGP"/>
    <x v="60"/>
    <n v="5685807"/>
  </r>
  <r>
    <x v="171"/>
    <s v="SGP"/>
    <x v="61"/>
    <n v="5453566"/>
  </r>
  <r>
    <x v="171"/>
    <s v="SGP"/>
    <x v="62"/>
    <n v="5637022"/>
  </r>
  <r>
    <x v="171"/>
    <s v="SGP"/>
    <x v="63"/>
    <n v="5917648"/>
  </r>
  <r>
    <x v="171"/>
    <s v="SGP"/>
    <x v="64"/>
    <n v="6036860"/>
  </r>
  <r>
    <x v="172"/>
    <s v="SXM"/>
    <x v="0"/>
    <n v="2715"/>
  </r>
  <r>
    <x v="172"/>
    <s v="SXM"/>
    <x v="1"/>
    <n v="2970"/>
  </r>
  <r>
    <x v="172"/>
    <s v="SXM"/>
    <x v="2"/>
    <n v="3264"/>
  </r>
  <r>
    <x v="172"/>
    <s v="SXM"/>
    <x v="3"/>
    <n v="3584"/>
  </r>
  <r>
    <x v="172"/>
    <s v="SXM"/>
    <x v="4"/>
    <n v="3922"/>
  </r>
  <r>
    <x v="172"/>
    <s v="SXM"/>
    <x v="5"/>
    <n v="4282"/>
  </r>
  <r>
    <x v="172"/>
    <s v="SXM"/>
    <x v="6"/>
    <n v="4664"/>
  </r>
  <r>
    <x v="172"/>
    <s v="SXM"/>
    <x v="7"/>
    <n v="5071"/>
  </r>
  <r>
    <x v="172"/>
    <s v="SXM"/>
    <x v="8"/>
    <n v="5500"/>
  </r>
  <r>
    <x v="172"/>
    <s v="SXM"/>
    <x v="9"/>
    <n v="5948"/>
  </r>
  <r>
    <x v="172"/>
    <s v="SXM"/>
    <x v="10"/>
    <n v="6414"/>
  </r>
  <r>
    <x v="172"/>
    <s v="SXM"/>
    <x v="11"/>
    <n v="6888"/>
  </r>
  <r>
    <x v="172"/>
    <s v="SXM"/>
    <x v="12"/>
    <n v="7380"/>
  </r>
  <r>
    <x v="172"/>
    <s v="SXM"/>
    <x v="13"/>
    <n v="7917"/>
  </r>
  <r>
    <x v="172"/>
    <s v="SXM"/>
    <x v="14"/>
    <n v="8492"/>
  </r>
  <r>
    <x v="172"/>
    <s v="SXM"/>
    <x v="15"/>
    <n v="9094"/>
  </r>
  <r>
    <x v="172"/>
    <s v="SXM"/>
    <x v="16"/>
    <n v="9716"/>
  </r>
  <r>
    <x v="172"/>
    <s v="SXM"/>
    <x v="17"/>
    <n v="10364"/>
  </r>
  <r>
    <x v="172"/>
    <s v="SXM"/>
    <x v="18"/>
    <n v="11039"/>
  </r>
  <r>
    <x v="172"/>
    <s v="SXM"/>
    <x v="19"/>
    <n v="11723"/>
  </r>
  <r>
    <x v="172"/>
    <s v="SXM"/>
    <x v="20"/>
    <n v="12410"/>
  </r>
  <r>
    <x v="172"/>
    <s v="SXM"/>
    <x v="21"/>
    <n v="13302"/>
  </r>
  <r>
    <x v="172"/>
    <s v="SXM"/>
    <x v="22"/>
    <n v="14607"/>
  </r>
  <r>
    <x v="172"/>
    <s v="SXM"/>
    <x v="23"/>
    <n v="16133"/>
  </r>
  <r>
    <x v="172"/>
    <s v="SXM"/>
    <x v="24"/>
    <n v="17694"/>
  </r>
  <r>
    <x v="172"/>
    <s v="SXM"/>
    <x v="25"/>
    <n v="19291"/>
  </r>
  <r>
    <x v="172"/>
    <s v="SXM"/>
    <x v="26"/>
    <n v="20930"/>
  </r>
  <r>
    <x v="172"/>
    <s v="SXM"/>
    <x v="27"/>
    <n v="22617"/>
  </r>
  <r>
    <x v="172"/>
    <s v="SXM"/>
    <x v="28"/>
    <n v="24357"/>
  </r>
  <r>
    <x v="172"/>
    <s v="SXM"/>
    <x v="29"/>
    <n v="26169"/>
  </r>
  <r>
    <x v="172"/>
    <s v="SXM"/>
    <x v="30"/>
    <n v="28061"/>
  </r>
  <r>
    <x v="172"/>
    <s v="SXM"/>
    <x v="31"/>
    <n v="30046"/>
  </r>
  <r>
    <x v="172"/>
    <s v="SXM"/>
    <x v="32"/>
    <n v="31567"/>
  </r>
  <r>
    <x v="172"/>
    <s v="SXM"/>
    <x v="33"/>
    <n v="32026"/>
  </r>
  <r>
    <x v="172"/>
    <s v="SXM"/>
    <x v="34"/>
    <n v="31917"/>
  </r>
  <r>
    <x v="172"/>
    <s v="SXM"/>
    <x v="35"/>
    <n v="31772"/>
  </r>
  <r>
    <x v="172"/>
    <s v="SXM"/>
    <x v="36"/>
    <n v="31598"/>
  </r>
  <r>
    <x v="172"/>
    <s v="SXM"/>
    <x v="37"/>
    <n v="31404"/>
  </r>
  <r>
    <x v="172"/>
    <s v="SXM"/>
    <x v="38"/>
    <n v="31193"/>
  </r>
  <r>
    <x v="172"/>
    <s v="SXM"/>
    <x v="39"/>
    <n v="30977"/>
  </r>
  <r>
    <x v="172"/>
    <s v="SXM"/>
    <x v="40"/>
    <n v="30773"/>
  </r>
  <r>
    <x v="172"/>
    <s v="SXM"/>
    <x v="41"/>
    <n v="30726"/>
  </r>
  <r>
    <x v="172"/>
    <s v="SXM"/>
    <x v="42"/>
    <n v="30960"/>
  </r>
  <r>
    <x v="172"/>
    <s v="SXM"/>
    <x v="43"/>
    <n v="31327"/>
  </r>
  <r>
    <x v="172"/>
    <s v="SXM"/>
    <x v="44"/>
    <n v="31690"/>
  </r>
  <r>
    <x v="172"/>
    <s v="SXM"/>
    <x v="45"/>
    <n v="32057"/>
  </r>
  <r>
    <x v="172"/>
    <s v="SXM"/>
    <x v="46"/>
    <n v="32428"/>
  </r>
  <r>
    <x v="172"/>
    <s v="SXM"/>
    <x v="47"/>
    <n v="32791"/>
  </r>
  <r>
    <x v="172"/>
    <s v="SXM"/>
    <x v="48"/>
    <n v="33145"/>
  </r>
  <r>
    <x v="172"/>
    <s v="SXM"/>
    <x v="49"/>
    <n v="33491"/>
  </r>
  <r>
    <x v="172"/>
    <s v="SXM"/>
    <x v="50"/>
    <n v="33794"/>
  </r>
  <r>
    <x v="172"/>
    <s v="SXM"/>
    <x v="51"/>
    <n v="34267"/>
  </r>
  <r>
    <x v="172"/>
    <s v="SXM"/>
    <x v="52"/>
    <n v="35023"/>
  </r>
  <r>
    <x v="172"/>
    <s v="SXM"/>
    <x v="53"/>
    <n v="35854"/>
  </r>
  <r>
    <x v="172"/>
    <s v="SXM"/>
    <x v="54"/>
    <n v="36672"/>
  </r>
  <r>
    <x v="172"/>
    <s v="SXM"/>
    <x v="55"/>
    <n v="37471"/>
  </r>
  <r>
    <x v="172"/>
    <s v="SXM"/>
    <x v="56"/>
    <n v="38249"/>
  </r>
  <r>
    <x v="172"/>
    <s v="SXM"/>
    <x v="57"/>
    <n v="38996"/>
  </r>
  <r>
    <x v="172"/>
    <s v="SXM"/>
    <x v="58"/>
    <n v="39712"/>
  </r>
  <r>
    <x v="172"/>
    <s v="SXM"/>
    <x v="59"/>
    <n v="40385"/>
  </r>
  <r>
    <x v="172"/>
    <s v="SXM"/>
    <x v="60"/>
    <n v="41008"/>
  </r>
  <r>
    <x v="172"/>
    <s v="SXM"/>
    <x v="61"/>
    <n v="41571"/>
  </r>
  <r>
    <x v="172"/>
    <s v="SXM"/>
    <x v="62"/>
    <n v="42139"/>
  </r>
  <r>
    <x v="172"/>
    <s v="SXM"/>
    <x v="63"/>
    <n v="42749"/>
  </r>
  <r>
    <x v="172"/>
    <s v="SXM"/>
    <x v="64"/>
    <n v="43350"/>
  </r>
  <r>
    <x v="173"/>
    <s v="SVK"/>
    <x v="0"/>
    <n v="4068095"/>
  </r>
  <r>
    <x v="173"/>
    <s v="SVK"/>
    <x v="1"/>
    <n v="4191667"/>
  </r>
  <r>
    <x v="173"/>
    <s v="SVK"/>
    <x v="2"/>
    <n v="4238188"/>
  </r>
  <r>
    <x v="173"/>
    <s v="SVK"/>
    <x v="3"/>
    <n v="4282017"/>
  </r>
  <r>
    <x v="173"/>
    <s v="SVK"/>
    <x v="4"/>
    <n v="4327341"/>
  </r>
  <r>
    <x v="173"/>
    <s v="SVK"/>
    <x v="5"/>
    <n v="4370983"/>
  </r>
  <r>
    <x v="173"/>
    <s v="SVK"/>
    <x v="6"/>
    <n v="4411666"/>
  </r>
  <r>
    <x v="173"/>
    <s v="SVK"/>
    <x v="7"/>
    <n v="4449367"/>
  </r>
  <r>
    <x v="173"/>
    <s v="SVK"/>
    <x v="8"/>
    <n v="4483915"/>
  </r>
  <r>
    <x v="173"/>
    <s v="SVK"/>
    <x v="9"/>
    <n v="4518607"/>
  </r>
  <r>
    <x v="173"/>
    <s v="SVK"/>
    <x v="10"/>
    <n v="4538223"/>
  </r>
  <r>
    <x v="173"/>
    <s v="SVK"/>
    <x v="11"/>
    <n v="4557449"/>
  </r>
  <r>
    <x v="173"/>
    <s v="SVK"/>
    <x v="12"/>
    <n v="4596622"/>
  </r>
  <r>
    <x v="173"/>
    <s v="SVK"/>
    <x v="13"/>
    <n v="4641445"/>
  </r>
  <r>
    <x v="173"/>
    <s v="SVK"/>
    <x v="14"/>
    <n v="4689623"/>
  </r>
  <r>
    <x v="173"/>
    <s v="SVK"/>
    <x v="15"/>
    <n v="4739105"/>
  </r>
  <r>
    <x v="173"/>
    <s v="SVK"/>
    <x v="16"/>
    <n v="4789507"/>
  </r>
  <r>
    <x v="173"/>
    <s v="SVK"/>
    <x v="17"/>
    <n v="4840501"/>
  </r>
  <r>
    <x v="173"/>
    <s v="SVK"/>
    <x v="18"/>
    <n v="4890125"/>
  </r>
  <r>
    <x v="173"/>
    <s v="SVK"/>
    <x v="19"/>
    <n v="4938973"/>
  </r>
  <r>
    <x v="173"/>
    <s v="SVK"/>
    <x v="20"/>
    <n v="4979815"/>
  </r>
  <r>
    <x v="173"/>
    <s v="SVK"/>
    <x v="21"/>
    <n v="5016105"/>
  </r>
  <r>
    <x v="173"/>
    <s v="SVK"/>
    <x v="22"/>
    <n v="5055099"/>
  </r>
  <r>
    <x v="173"/>
    <s v="SVK"/>
    <x v="23"/>
    <n v="5091971"/>
  </r>
  <r>
    <x v="173"/>
    <s v="SVK"/>
    <x v="24"/>
    <n v="5127097"/>
  </r>
  <r>
    <x v="173"/>
    <s v="SVK"/>
    <x v="25"/>
    <n v="5161768"/>
  </r>
  <r>
    <x v="173"/>
    <s v="SVK"/>
    <x v="26"/>
    <n v="5193838"/>
  </r>
  <r>
    <x v="173"/>
    <s v="SVK"/>
    <x v="27"/>
    <n v="5222840"/>
  </r>
  <r>
    <x v="173"/>
    <s v="SVK"/>
    <x v="28"/>
    <n v="5250596"/>
  </r>
  <r>
    <x v="173"/>
    <s v="SVK"/>
    <x v="29"/>
    <n v="5275942"/>
  </r>
  <r>
    <x v="173"/>
    <s v="SVK"/>
    <x v="30"/>
    <n v="5299187"/>
  </r>
  <r>
    <x v="173"/>
    <s v="SVK"/>
    <x v="31"/>
    <n v="5303294"/>
  </r>
  <r>
    <x v="173"/>
    <s v="SVK"/>
    <x v="32"/>
    <n v="5305016"/>
  </r>
  <r>
    <x v="173"/>
    <s v="SVK"/>
    <x v="33"/>
    <n v="5325305"/>
  </r>
  <r>
    <x v="173"/>
    <s v="SVK"/>
    <x v="34"/>
    <n v="5346331"/>
  </r>
  <r>
    <x v="173"/>
    <s v="SVK"/>
    <x v="35"/>
    <n v="5361999"/>
  </r>
  <r>
    <x v="173"/>
    <s v="SVK"/>
    <x v="36"/>
    <n v="5373361"/>
  </r>
  <r>
    <x v="173"/>
    <s v="SVK"/>
    <x v="37"/>
    <n v="5383291"/>
  </r>
  <r>
    <x v="173"/>
    <s v="SVK"/>
    <x v="38"/>
    <n v="5390516"/>
  </r>
  <r>
    <x v="173"/>
    <s v="SVK"/>
    <x v="39"/>
    <n v="5396020"/>
  </r>
  <r>
    <x v="173"/>
    <s v="SVK"/>
    <x v="40"/>
    <n v="5388720"/>
  </r>
  <r>
    <x v="173"/>
    <s v="SVK"/>
    <x v="41"/>
    <n v="5378867"/>
  </r>
  <r>
    <x v="173"/>
    <s v="SVK"/>
    <x v="42"/>
    <n v="5376912"/>
  </r>
  <r>
    <x v="173"/>
    <s v="SVK"/>
    <x v="43"/>
    <n v="5373374"/>
  </r>
  <r>
    <x v="173"/>
    <s v="SVK"/>
    <x v="44"/>
    <n v="5372280"/>
  </r>
  <r>
    <x v="173"/>
    <s v="SVK"/>
    <x v="45"/>
    <n v="5372807"/>
  </r>
  <r>
    <x v="173"/>
    <s v="SVK"/>
    <x v="46"/>
    <n v="5373054"/>
  </r>
  <r>
    <x v="173"/>
    <s v="SVK"/>
    <x v="47"/>
    <n v="5374622"/>
  </r>
  <r>
    <x v="173"/>
    <s v="SVK"/>
    <x v="48"/>
    <n v="5379233"/>
  </r>
  <r>
    <x v="173"/>
    <s v="SVK"/>
    <x v="49"/>
    <n v="5386406"/>
  </r>
  <r>
    <x v="173"/>
    <s v="SVK"/>
    <x v="50"/>
    <n v="5391428"/>
  </r>
  <r>
    <x v="173"/>
    <s v="SVK"/>
    <x v="51"/>
    <n v="5398384"/>
  </r>
  <r>
    <x v="173"/>
    <s v="SVK"/>
    <x v="52"/>
    <n v="5407579"/>
  </r>
  <r>
    <x v="173"/>
    <s v="SVK"/>
    <x v="53"/>
    <n v="5413393"/>
  </r>
  <r>
    <x v="173"/>
    <s v="SVK"/>
    <x v="54"/>
    <n v="5418649"/>
  </r>
  <r>
    <x v="173"/>
    <s v="SVK"/>
    <x v="55"/>
    <n v="5423801"/>
  </r>
  <r>
    <x v="173"/>
    <s v="SVK"/>
    <x v="56"/>
    <n v="5430798"/>
  </r>
  <r>
    <x v="173"/>
    <s v="SVK"/>
    <x v="57"/>
    <n v="5439232"/>
  </r>
  <r>
    <x v="173"/>
    <s v="SVK"/>
    <x v="58"/>
    <n v="5446771"/>
  </r>
  <r>
    <x v="173"/>
    <s v="SVK"/>
    <x v="59"/>
    <n v="5454147"/>
  </r>
  <r>
    <x v="173"/>
    <s v="SVK"/>
    <x v="60"/>
    <n v="5458827"/>
  </r>
  <r>
    <x v="173"/>
    <s v="SVK"/>
    <x v="61"/>
    <n v="5447247"/>
  </r>
  <r>
    <x v="173"/>
    <s v="SVK"/>
    <x v="62"/>
    <n v="5431752"/>
  </r>
  <r>
    <x v="173"/>
    <s v="SVK"/>
    <x v="63"/>
    <n v="5426740"/>
  </r>
  <r>
    <x v="173"/>
    <s v="SVK"/>
    <x v="64"/>
    <n v="5422069"/>
  </r>
  <r>
    <x v="174"/>
    <s v="SVN"/>
    <x v="0"/>
    <n v="1584720"/>
  </r>
  <r>
    <x v="174"/>
    <s v="SVN"/>
    <x v="1"/>
    <n v="1594131"/>
  </r>
  <r>
    <x v="174"/>
    <s v="SVN"/>
    <x v="2"/>
    <n v="1603649"/>
  </r>
  <r>
    <x v="174"/>
    <s v="SVN"/>
    <x v="3"/>
    <n v="1616971"/>
  </r>
  <r>
    <x v="174"/>
    <s v="SVN"/>
    <x v="4"/>
    <n v="1632114"/>
  </r>
  <r>
    <x v="174"/>
    <s v="SVN"/>
    <x v="5"/>
    <n v="1649160"/>
  </r>
  <r>
    <x v="174"/>
    <s v="SVN"/>
    <x v="6"/>
    <n v="1669905"/>
  </r>
  <r>
    <x v="174"/>
    <s v="SVN"/>
    <x v="7"/>
    <n v="1689528"/>
  </r>
  <r>
    <x v="174"/>
    <s v="SVN"/>
    <x v="8"/>
    <n v="1704546"/>
  </r>
  <r>
    <x v="174"/>
    <s v="SVN"/>
    <x v="9"/>
    <n v="1713874"/>
  </r>
  <r>
    <x v="174"/>
    <s v="SVN"/>
    <x v="10"/>
    <n v="1724891"/>
  </r>
  <r>
    <x v="174"/>
    <s v="SVN"/>
    <x v="11"/>
    <n v="1738335"/>
  </r>
  <r>
    <x v="174"/>
    <s v="SVN"/>
    <x v="12"/>
    <n v="1752233"/>
  </r>
  <r>
    <x v="174"/>
    <s v="SVN"/>
    <x v="13"/>
    <n v="1766697"/>
  </r>
  <r>
    <x v="174"/>
    <s v="SVN"/>
    <x v="14"/>
    <n v="1776132"/>
  </r>
  <r>
    <x v="174"/>
    <s v="SVN"/>
    <x v="15"/>
    <n v="1793581"/>
  </r>
  <r>
    <x v="174"/>
    <s v="SVN"/>
    <x v="16"/>
    <n v="1820249"/>
  </r>
  <r>
    <x v="174"/>
    <s v="SVN"/>
    <x v="17"/>
    <n v="1842377"/>
  </r>
  <r>
    <x v="174"/>
    <s v="SVN"/>
    <x v="18"/>
    <n v="1862548"/>
  </r>
  <r>
    <x v="174"/>
    <s v="SVN"/>
    <x v="19"/>
    <n v="1882599"/>
  </r>
  <r>
    <x v="174"/>
    <s v="SVN"/>
    <x v="20"/>
    <n v="1901315"/>
  </r>
  <r>
    <x v="174"/>
    <s v="SVN"/>
    <x v="21"/>
    <n v="1906531"/>
  </r>
  <r>
    <x v="174"/>
    <s v="SVN"/>
    <x v="22"/>
    <n v="1910334"/>
  </r>
  <r>
    <x v="174"/>
    <s v="SVN"/>
    <x v="23"/>
    <n v="1922321"/>
  </r>
  <r>
    <x v="174"/>
    <s v="SVN"/>
    <x v="24"/>
    <n v="1932154"/>
  </r>
  <r>
    <x v="174"/>
    <s v="SVN"/>
    <x v="25"/>
    <n v="1941641"/>
  </r>
  <r>
    <x v="174"/>
    <s v="SVN"/>
    <x v="26"/>
    <n v="1965964"/>
  </r>
  <r>
    <x v="174"/>
    <s v="SVN"/>
    <x v="27"/>
    <n v="1989776"/>
  </r>
  <r>
    <x v="174"/>
    <s v="SVN"/>
    <x v="28"/>
    <n v="1995196"/>
  </r>
  <r>
    <x v="174"/>
    <s v="SVN"/>
    <x v="29"/>
    <n v="1996351"/>
  </r>
  <r>
    <x v="174"/>
    <s v="SVN"/>
    <x v="30"/>
    <n v="1998161"/>
  </r>
  <r>
    <x v="174"/>
    <s v="SVN"/>
    <x v="31"/>
    <n v="1999429"/>
  </r>
  <r>
    <x v="174"/>
    <s v="SVN"/>
    <x v="32"/>
    <n v="1996498"/>
  </r>
  <r>
    <x v="174"/>
    <s v="SVN"/>
    <x v="33"/>
    <n v="1991746"/>
  </r>
  <r>
    <x v="174"/>
    <s v="SVN"/>
    <x v="34"/>
    <n v="1989443"/>
  </r>
  <r>
    <x v="174"/>
    <s v="SVN"/>
    <x v="35"/>
    <n v="1989872"/>
  </r>
  <r>
    <x v="174"/>
    <s v="SVN"/>
    <x v="36"/>
    <n v="1988628"/>
  </r>
  <r>
    <x v="174"/>
    <s v="SVN"/>
    <x v="37"/>
    <n v="1985956"/>
  </r>
  <r>
    <x v="174"/>
    <s v="SVN"/>
    <x v="38"/>
    <n v="1981629"/>
  </r>
  <r>
    <x v="174"/>
    <s v="SVN"/>
    <x v="39"/>
    <n v="1983045"/>
  </r>
  <r>
    <x v="174"/>
    <s v="SVN"/>
    <x v="40"/>
    <n v="1988925"/>
  </r>
  <r>
    <x v="174"/>
    <s v="SVN"/>
    <x v="41"/>
    <n v="1992060"/>
  </r>
  <r>
    <x v="174"/>
    <s v="SVN"/>
    <x v="42"/>
    <n v="1994530"/>
  </r>
  <r>
    <x v="174"/>
    <s v="SVN"/>
    <x v="43"/>
    <n v="1995733"/>
  </r>
  <r>
    <x v="174"/>
    <s v="SVN"/>
    <x v="44"/>
    <n v="1997012"/>
  </r>
  <r>
    <x v="174"/>
    <s v="SVN"/>
    <x v="45"/>
    <n v="2000474"/>
  </r>
  <r>
    <x v="174"/>
    <s v="SVN"/>
    <x v="46"/>
    <n v="2006868"/>
  </r>
  <r>
    <x v="174"/>
    <s v="SVN"/>
    <x v="47"/>
    <n v="2018122"/>
  </r>
  <r>
    <x v="174"/>
    <s v="SVN"/>
    <x v="48"/>
    <n v="2021316"/>
  </r>
  <r>
    <x v="174"/>
    <s v="SVN"/>
    <x v="49"/>
    <n v="2039669"/>
  </r>
  <r>
    <x v="174"/>
    <s v="SVN"/>
    <x v="50"/>
    <n v="2048583"/>
  </r>
  <r>
    <x v="174"/>
    <s v="SVN"/>
    <x v="51"/>
    <n v="2052843"/>
  </r>
  <r>
    <x v="174"/>
    <s v="SVN"/>
    <x v="52"/>
    <n v="2057159"/>
  </r>
  <r>
    <x v="174"/>
    <s v="SVN"/>
    <x v="53"/>
    <n v="2059953"/>
  </r>
  <r>
    <x v="174"/>
    <s v="SVN"/>
    <x v="54"/>
    <n v="2061980"/>
  </r>
  <r>
    <x v="174"/>
    <s v="SVN"/>
    <x v="55"/>
    <n v="2063531"/>
  </r>
  <r>
    <x v="174"/>
    <s v="SVN"/>
    <x v="56"/>
    <n v="2065042"/>
  </r>
  <r>
    <x v="174"/>
    <s v="SVN"/>
    <x v="57"/>
    <n v="2066388"/>
  </r>
  <r>
    <x v="174"/>
    <s v="SVN"/>
    <x v="58"/>
    <n v="2073894"/>
  </r>
  <r>
    <x v="174"/>
    <s v="SVN"/>
    <x v="59"/>
    <n v="2088385"/>
  </r>
  <r>
    <x v="174"/>
    <s v="SVN"/>
    <x v="60"/>
    <n v="2102419"/>
  </r>
  <r>
    <x v="174"/>
    <s v="SVN"/>
    <x v="61"/>
    <n v="2108079"/>
  </r>
  <r>
    <x v="174"/>
    <s v="SVN"/>
    <x v="62"/>
    <n v="2112076"/>
  </r>
  <r>
    <x v="174"/>
    <s v="SVN"/>
    <x v="63"/>
    <n v="2120461"/>
  </r>
  <r>
    <x v="174"/>
    <s v="SVN"/>
    <x v="64"/>
    <n v="2126324"/>
  </r>
  <r>
    <x v="175"/>
    <s v="SLB"/>
    <x v="0"/>
    <n v="139688"/>
  </r>
  <r>
    <x v="175"/>
    <s v="SLB"/>
    <x v="1"/>
    <n v="142912"/>
  </r>
  <r>
    <x v="175"/>
    <s v="SLB"/>
    <x v="2"/>
    <n v="146201"/>
  </r>
  <r>
    <x v="175"/>
    <s v="SLB"/>
    <x v="3"/>
    <n v="149589"/>
  </r>
  <r>
    <x v="175"/>
    <s v="SLB"/>
    <x v="4"/>
    <n v="153085"/>
  </r>
  <r>
    <x v="175"/>
    <s v="SLB"/>
    <x v="5"/>
    <n v="156686"/>
  </r>
  <r>
    <x v="175"/>
    <s v="SLB"/>
    <x v="6"/>
    <n v="160393"/>
  </r>
  <r>
    <x v="175"/>
    <s v="SLB"/>
    <x v="7"/>
    <n v="164245"/>
  </r>
  <r>
    <x v="175"/>
    <s v="SLB"/>
    <x v="8"/>
    <n v="168282"/>
  </r>
  <r>
    <x v="175"/>
    <s v="SLB"/>
    <x v="9"/>
    <n v="172476"/>
  </r>
  <r>
    <x v="175"/>
    <s v="SLB"/>
    <x v="10"/>
    <n v="176579"/>
  </r>
  <r>
    <x v="175"/>
    <s v="SLB"/>
    <x v="11"/>
    <n v="180637"/>
  </r>
  <r>
    <x v="175"/>
    <s v="SLB"/>
    <x v="12"/>
    <n v="184994"/>
  </r>
  <r>
    <x v="175"/>
    <s v="SLB"/>
    <x v="13"/>
    <n v="189774"/>
  </r>
  <r>
    <x v="175"/>
    <s v="SLB"/>
    <x v="14"/>
    <n v="195041"/>
  </r>
  <r>
    <x v="175"/>
    <s v="SLB"/>
    <x v="15"/>
    <n v="200744"/>
  </r>
  <r>
    <x v="175"/>
    <s v="SLB"/>
    <x v="16"/>
    <n v="207194"/>
  </r>
  <r>
    <x v="175"/>
    <s v="SLB"/>
    <x v="17"/>
    <n v="214418"/>
  </r>
  <r>
    <x v="175"/>
    <s v="SLB"/>
    <x v="18"/>
    <n v="222029"/>
  </r>
  <r>
    <x v="175"/>
    <s v="SLB"/>
    <x v="19"/>
    <n v="229953"/>
  </r>
  <r>
    <x v="175"/>
    <s v="SLB"/>
    <x v="20"/>
    <n v="238135"/>
  </r>
  <r>
    <x v="175"/>
    <s v="SLB"/>
    <x v="21"/>
    <n v="246555"/>
  </r>
  <r>
    <x v="175"/>
    <s v="SLB"/>
    <x v="22"/>
    <n v="255200"/>
  </r>
  <r>
    <x v="175"/>
    <s v="SLB"/>
    <x v="23"/>
    <n v="264068"/>
  </r>
  <r>
    <x v="175"/>
    <s v="SLB"/>
    <x v="24"/>
    <n v="273163"/>
  </r>
  <r>
    <x v="175"/>
    <s v="SLB"/>
    <x v="25"/>
    <n v="282455"/>
  </r>
  <r>
    <x v="175"/>
    <s v="SLB"/>
    <x v="26"/>
    <n v="291842"/>
  </r>
  <r>
    <x v="175"/>
    <s v="SLB"/>
    <x v="27"/>
    <n v="301414"/>
  </r>
  <r>
    <x v="175"/>
    <s v="SLB"/>
    <x v="28"/>
    <n v="311265"/>
  </r>
  <r>
    <x v="175"/>
    <s v="SLB"/>
    <x v="29"/>
    <n v="321282"/>
  </r>
  <r>
    <x v="175"/>
    <s v="SLB"/>
    <x v="30"/>
    <n v="331435"/>
  </r>
  <r>
    <x v="175"/>
    <s v="SLB"/>
    <x v="31"/>
    <n v="341738"/>
  </r>
  <r>
    <x v="175"/>
    <s v="SLB"/>
    <x v="32"/>
    <n v="352205"/>
  </r>
  <r>
    <x v="175"/>
    <s v="SLB"/>
    <x v="33"/>
    <n v="362839"/>
  </r>
  <r>
    <x v="175"/>
    <s v="SLB"/>
    <x v="34"/>
    <n v="373675"/>
  </r>
  <r>
    <x v="175"/>
    <s v="SLB"/>
    <x v="35"/>
    <n v="384733"/>
  </r>
  <r>
    <x v="175"/>
    <s v="SLB"/>
    <x v="36"/>
    <n v="396009"/>
  </r>
  <r>
    <x v="175"/>
    <s v="SLB"/>
    <x v="37"/>
    <n v="407474"/>
  </r>
  <r>
    <x v="175"/>
    <s v="SLB"/>
    <x v="38"/>
    <n v="419071"/>
  </r>
  <r>
    <x v="175"/>
    <s v="SLB"/>
    <x v="39"/>
    <n v="430500"/>
  </r>
  <r>
    <x v="175"/>
    <s v="SLB"/>
    <x v="40"/>
    <n v="440469"/>
  </r>
  <r>
    <x v="175"/>
    <s v="SLB"/>
    <x v="41"/>
    <n v="449125"/>
  </r>
  <r>
    <x v="175"/>
    <s v="SLB"/>
    <x v="42"/>
    <n v="457671"/>
  </r>
  <r>
    <x v="175"/>
    <s v="SLB"/>
    <x v="43"/>
    <n v="466154"/>
  </r>
  <r>
    <x v="175"/>
    <s v="SLB"/>
    <x v="44"/>
    <n v="474611"/>
  </r>
  <r>
    <x v="175"/>
    <s v="SLB"/>
    <x v="45"/>
    <n v="483080"/>
  </r>
  <r>
    <x v="175"/>
    <s v="SLB"/>
    <x v="46"/>
    <n v="491594"/>
  </r>
  <r>
    <x v="175"/>
    <s v="SLB"/>
    <x v="47"/>
    <n v="500156"/>
  </r>
  <r>
    <x v="175"/>
    <s v="SLB"/>
    <x v="48"/>
    <n v="508790"/>
  </r>
  <r>
    <x v="175"/>
    <s v="SLB"/>
    <x v="49"/>
    <n v="518141"/>
  </r>
  <r>
    <x v="175"/>
    <s v="SLB"/>
    <x v="50"/>
    <n v="532968"/>
  </r>
  <r>
    <x v="175"/>
    <s v="SLB"/>
    <x v="51"/>
    <n v="552945"/>
  </r>
  <r>
    <x v="175"/>
    <s v="SLB"/>
    <x v="52"/>
    <n v="573606"/>
  </r>
  <r>
    <x v="175"/>
    <s v="SLB"/>
    <x v="53"/>
    <n v="594945"/>
  </r>
  <r>
    <x v="175"/>
    <s v="SLB"/>
    <x v="54"/>
    <n v="616908"/>
  </r>
  <r>
    <x v="175"/>
    <s v="SLB"/>
    <x v="55"/>
    <n v="639415"/>
  </r>
  <r>
    <x v="175"/>
    <s v="SLB"/>
    <x v="56"/>
    <n v="662379"/>
  </r>
  <r>
    <x v="175"/>
    <s v="SLB"/>
    <x v="57"/>
    <n v="685672"/>
  </r>
  <r>
    <x v="175"/>
    <s v="SLB"/>
    <x v="58"/>
    <n v="709101"/>
  </r>
  <r>
    <x v="175"/>
    <s v="SLB"/>
    <x v="59"/>
    <n v="728147"/>
  </r>
  <r>
    <x v="175"/>
    <s v="SLB"/>
    <x v="60"/>
    <n v="744498"/>
  </r>
  <r>
    <x v="175"/>
    <s v="SLB"/>
    <x v="61"/>
    <n v="762591"/>
  </r>
  <r>
    <x v="175"/>
    <s v="SLB"/>
    <x v="62"/>
    <n v="781066"/>
  </r>
  <r>
    <x v="175"/>
    <s v="SLB"/>
    <x v="63"/>
    <n v="800005"/>
  </r>
  <r>
    <x v="175"/>
    <s v="SLB"/>
    <x v="64"/>
    <n v="819198"/>
  </r>
  <r>
    <x v="176"/>
    <s v="SOM"/>
    <x v="0"/>
    <n v="2876331"/>
  </r>
  <r>
    <x v="176"/>
    <s v="SOM"/>
    <x v="1"/>
    <n v="2952054"/>
  </r>
  <r>
    <x v="176"/>
    <s v="SOM"/>
    <x v="2"/>
    <n v="3030091"/>
  </r>
  <r>
    <x v="176"/>
    <s v="SOM"/>
    <x v="3"/>
    <n v="3110361"/>
  </r>
  <r>
    <x v="176"/>
    <s v="SOM"/>
    <x v="4"/>
    <n v="3192796"/>
  </r>
  <r>
    <x v="176"/>
    <s v="SOM"/>
    <x v="5"/>
    <n v="3277874"/>
  </r>
  <r>
    <x v="176"/>
    <s v="SOM"/>
    <x v="6"/>
    <n v="3365106"/>
  </r>
  <r>
    <x v="176"/>
    <s v="SOM"/>
    <x v="7"/>
    <n v="3454537"/>
  </r>
  <r>
    <x v="176"/>
    <s v="SOM"/>
    <x v="8"/>
    <n v="3546590"/>
  </r>
  <r>
    <x v="176"/>
    <s v="SOM"/>
    <x v="9"/>
    <n v="3641015"/>
  </r>
  <r>
    <x v="176"/>
    <s v="SOM"/>
    <x v="10"/>
    <n v="3738448"/>
  </r>
  <r>
    <x v="176"/>
    <s v="SOM"/>
    <x v="11"/>
    <n v="3837691"/>
  </r>
  <r>
    <x v="176"/>
    <s v="SOM"/>
    <x v="12"/>
    <n v="3939436"/>
  </r>
  <r>
    <x v="176"/>
    <s v="SOM"/>
    <x v="13"/>
    <n v="4045592"/>
  </r>
  <r>
    <x v="176"/>
    <s v="SOM"/>
    <x v="14"/>
    <n v="4151842"/>
  </r>
  <r>
    <x v="176"/>
    <s v="SOM"/>
    <x v="15"/>
    <n v="4257535"/>
  </r>
  <r>
    <x v="176"/>
    <s v="SOM"/>
    <x v="16"/>
    <n v="4365812"/>
  </r>
  <r>
    <x v="176"/>
    <s v="SOM"/>
    <x v="17"/>
    <n v="4484050"/>
  </r>
  <r>
    <x v="176"/>
    <s v="SOM"/>
    <x v="18"/>
    <n v="4814892"/>
  </r>
  <r>
    <x v="176"/>
    <s v="SOM"/>
    <x v="19"/>
    <n v="5449117"/>
  </r>
  <r>
    <x v="176"/>
    <s v="SOM"/>
    <x v="20"/>
    <n v="5936154"/>
  </r>
  <r>
    <x v="176"/>
    <s v="SOM"/>
    <x v="21"/>
    <n v="5982849"/>
  </r>
  <r>
    <x v="176"/>
    <s v="SOM"/>
    <x v="22"/>
    <n v="6003840"/>
  </r>
  <r>
    <x v="176"/>
    <s v="SOM"/>
    <x v="23"/>
    <n v="6198430"/>
  </r>
  <r>
    <x v="176"/>
    <s v="SOM"/>
    <x v="24"/>
    <n v="6428389"/>
  </r>
  <r>
    <x v="176"/>
    <s v="SOM"/>
    <x v="25"/>
    <n v="6693289"/>
  </r>
  <r>
    <x v="176"/>
    <s v="SOM"/>
    <x v="26"/>
    <n v="6974788"/>
  </r>
  <r>
    <x v="176"/>
    <s v="SOM"/>
    <x v="27"/>
    <n v="7228302"/>
  </r>
  <r>
    <x v="176"/>
    <s v="SOM"/>
    <x v="28"/>
    <n v="7235360"/>
  </r>
  <r>
    <x v="176"/>
    <s v="SOM"/>
    <x v="29"/>
    <n v="7114817"/>
  </r>
  <r>
    <x v="176"/>
    <s v="SOM"/>
    <x v="30"/>
    <n v="7082811"/>
  </r>
  <r>
    <x v="176"/>
    <s v="SOM"/>
    <x v="31"/>
    <n v="6813760"/>
  </r>
  <r>
    <x v="176"/>
    <s v="SOM"/>
    <x v="32"/>
    <n v="6495107"/>
  </r>
  <r>
    <x v="176"/>
    <s v="SOM"/>
    <x v="33"/>
    <n v="6681399"/>
  </r>
  <r>
    <x v="176"/>
    <s v="SOM"/>
    <x v="34"/>
    <n v="7026797"/>
  </r>
  <r>
    <x v="176"/>
    <s v="SOM"/>
    <x v="35"/>
    <n v="7285007"/>
  </r>
  <r>
    <x v="176"/>
    <s v="SOM"/>
    <x v="36"/>
    <n v="7554474"/>
  </r>
  <r>
    <x v="176"/>
    <s v="SOM"/>
    <x v="37"/>
    <n v="7824525"/>
  </r>
  <r>
    <x v="176"/>
    <s v="SOM"/>
    <x v="38"/>
    <n v="8155417"/>
  </r>
  <r>
    <x v="176"/>
    <s v="SOM"/>
    <x v="39"/>
    <n v="8492059"/>
  </r>
  <r>
    <x v="176"/>
    <s v="SOM"/>
    <x v="40"/>
    <n v="8838713"/>
  </r>
  <r>
    <x v="176"/>
    <s v="SOM"/>
    <x v="41"/>
    <n v="9198493"/>
  </r>
  <r>
    <x v="176"/>
    <s v="SOM"/>
    <x v="42"/>
    <n v="9550063"/>
  </r>
  <r>
    <x v="176"/>
    <s v="SOM"/>
    <x v="43"/>
    <n v="9909157"/>
  </r>
  <r>
    <x v="176"/>
    <s v="SOM"/>
    <x v="44"/>
    <n v="10280998"/>
  </r>
  <r>
    <x v="176"/>
    <s v="SOM"/>
    <x v="45"/>
    <n v="10644228"/>
  </r>
  <r>
    <x v="176"/>
    <s v="SOM"/>
    <x v="46"/>
    <n v="10975502"/>
  </r>
  <r>
    <x v="176"/>
    <s v="SOM"/>
    <x v="47"/>
    <n v="11322582"/>
  </r>
  <r>
    <x v="176"/>
    <s v="SOM"/>
    <x v="48"/>
    <n v="11663084"/>
  </r>
  <r>
    <x v="176"/>
    <s v="SOM"/>
    <x v="49"/>
    <n v="11961201"/>
  </r>
  <r>
    <x v="176"/>
    <s v="SOM"/>
    <x v="50"/>
    <n v="12261756"/>
  </r>
  <r>
    <x v="176"/>
    <s v="SOM"/>
    <x v="51"/>
    <n v="12348830"/>
  </r>
  <r>
    <x v="176"/>
    <s v="SOM"/>
    <x v="52"/>
    <n v="12461160"/>
  </r>
  <r>
    <x v="176"/>
    <s v="SOM"/>
    <x v="53"/>
    <n v="12869594"/>
  </r>
  <r>
    <x v="176"/>
    <s v="SOM"/>
    <x v="54"/>
    <n v="13339491"/>
  </r>
  <r>
    <x v="176"/>
    <s v="SOM"/>
    <x v="55"/>
    <n v="13806963"/>
  </r>
  <r>
    <x v="176"/>
    <s v="SOM"/>
    <x v="56"/>
    <n v="14348740"/>
  </r>
  <r>
    <x v="176"/>
    <s v="SOM"/>
    <x v="57"/>
    <n v="14916629"/>
  </r>
  <r>
    <x v="176"/>
    <s v="SOM"/>
    <x v="58"/>
    <n v="15452487"/>
  </r>
  <r>
    <x v="176"/>
    <s v="SOM"/>
    <x v="59"/>
    <n v="16030971"/>
  </r>
  <r>
    <x v="176"/>
    <s v="SOM"/>
    <x v="60"/>
    <n v="16651191"/>
  </r>
  <r>
    <x v="176"/>
    <s v="SOM"/>
    <x v="61"/>
    <n v="17271431"/>
  </r>
  <r>
    <x v="176"/>
    <s v="SOM"/>
    <x v="62"/>
    <n v="17801897"/>
  </r>
  <r>
    <x v="176"/>
    <s v="SOM"/>
    <x v="63"/>
    <n v="18358615"/>
  </r>
  <r>
    <x v="176"/>
    <s v="SOM"/>
    <x v="64"/>
    <n v="19009151"/>
  </r>
  <r>
    <x v="177"/>
    <s v="ZAF"/>
    <x v="0"/>
    <n v="16440172"/>
  </r>
  <r>
    <x v="177"/>
    <s v="ZAF"/>
    <x v="1"/>
    <n v="16908035"/>
  </r>
  <r>
    <x v="177"/>
    <s v="ZAF"/>
    <x v="2"/>
    <n v="17418522"/>
  </r>
  <r>
    <x v="177"/>
    <s v="ZAF"/>
    <x v="3"/>
    <n v="17954564"/>
  </r>
  <r>
    <x v="177"/>
    <s v="ZAF"/>
    <x v="4"/>
    <n v="18511361"/>
  </r>
  <r>
    <x v="177"/>
    <s v="ZAF"/>
    <x v="5"/>
    <n v="19089380"/>
  </r>
  <r>
    <x v="177"/>
    <s v="ZAF"/>
    <x v="6"/>
    <n v="19690087"/>
  </r>
  <r>
    <x v="177"/>
    <s v="ZAF"/>
    <x v="7"/>
    <n v="20314066"/>
  </r>
  <r>
    <x v="177"/>
    <s v="ZAF"/>
    <x v="8"/>
    <n v="20957287"/>
  </r>
  <r>
    <x v="177"/>
    <s v="ZAF"/>
    <x v="9"/>
    <n v="21614676"/>
  </r>
  <r>
    <x v="177"/>
    <s v="ZAF"/>
    <x v="10"/>
    <n v="22279984"/>
  </r>
  <r>
    <x v="177"/>
    <s v="ZAF"/>
    <x v="11"/>
    <n v="22942143"/>
  </r>
  <r>
    <x v="177"/>
    <s v="ZAF"/>
    <x v="12"/>
    <n v="23609456"/>
  </r>
  <r>
    <x v="177"/>
    <s v="ZAF"/>
    <x v="13"/>
    <n v="24294263"/>
  </r>
  <r>
    <x v="177"/>
    <s v="ZAF"/>
    <x v="14"/>
    <n v="24989108"/>
  </r>
  <r>
    <x v="177"/>
    <s v="ZAF"/>
    <x v="15"/>
    <n v="25690940"/>
  </r>
  <r>
    <x v="177"/>
    <s v="ZAF"/>
    <x v="16"/>
    <n v="26395450"/>
  </r>
  <r>
    <x v="177"/>
    <s v="ZAF"/>
    <x v="17"/>
    <n v="27118952"/>
  </r>
  <r>
    <x v="177"/>
    <s v="ZAF"/>
    <x v="18"/>
    <n v="27869507"/>
  </r>
  <r>
    <x v="177"/>
    <s v="ZAF"/>
    <x v="19"/>
    <n v="28634162"/>
  </r>
  <r>
    <x v="177"/>
    <s v="ZAF"/>
    <x v="20"/>
    <n v="29518857"/>
  </r>
  <r>
    <x v="177"/>
    <s v="ZAF"/>
    <x v="21"/>
    <n v="30541044"/>
  </r>
  <r>
    <x v="177"/>
    <s v="ZAF"/>
    <x v="22"/>
    <n v="31615339"/>
  </r>
  <r>
    <x v="177"/>
    <s v="ZAF"/>
    <x v="23"/>
    <n v="32739304"/>
  </r>
  <r>
    <x v="177"/>
    <s v="ZAF"/>
    <x v="24"/>
    <n v="33892788"/>
  </r>
  <r>
    <x v="177"/>
    <s v="ZAF"/>
    <x v="25"/>
    <n v="35042093"/>
  </r>
  <r>
    <x v="177"/>
    <s v="ZAF"/>
    <x v="26"/>
    <n v="36180515"/>
  </r>
  <r>
    <x v="177"/>
    <s v="ZAF"/>
    <x v="27"/>
    <n v="37326190"/>
  </r>
  <r>
    <x v="177"/>
    <s v="ZAF"/>
    <x v="28"/>
    <n v="38480649"/>
  </r>
  <r>
    <x v="177"/>
    <s v="ZAF"/>
    <x v="29"/>
    <n v="39628575"/>
  </r>
  <r>
    <x v="177"/>
    <s v="ZAF"/>
    <x v="30"/>
    <n v="40746268"/>
  </r>
  <r>
    <x v="177"/>
    <s v="ZAF"/>
    <x v="31"/>
    <n v="41687898"/>
  </r>
  <r>
    <x v="177"/>
    <s v="ZAF"/>
    <x v="32"/>
    <n v="42443509"/>
  </r>
  <r>
    <x v="177"/>
    <s v="ZAF"/>
    <x v="33"/>
    <n v="43297156"/>
  </r>
  <r>
    <x v="177"/>
    <s v="ZAF"/>
    <x v="34"/>
    <n v="44004139"/>
  </r>
  <r>
    <x v="177"/>
    <s v="ZAF"/>
    <x v="35"/>
    <n v="44541554"/>
  </r>
  <r>
    <x v="177"/>
    <s v="ZAF"/>
    <x v="36"/>
    <n v="45123018"/>
  </r>
  <r>
    <x v="177"/>
    <s v="ZAF"/>
    <x v="37"/>
    <n v="45666838"/>
  </r>
  <r>
    <x v="177"/>
    <s v="ZAF"/>
    <x v="38"/>
    <n v="46223880"/>
  </r>
  <r>
    <x v="177"/>
    <s v="ZAF"/>
    <x v="39"/>
    <n v="46730335"/>
  </r>
  <r>
    <x v="177"/>
    <s v="ZAF"/>
    <x v="40"/>
    <n v="47159719"/>
  </r>
  <r>
    <x v="177"/>
    <s v="ZAF"/>
    <x v="41"/>
    <n v="47566800"/>
  </r>
  <r>
    <x v="177"/>
    <s v="ZAF"/>
    <x v="42"/>
    <n v="48019415"/>
  </r>
  <r>
    <x v="177"/>
    <s v="ZAF"/>
    <x v="43"/>
    <n v="48500348"/>
  </r>
  <r>
    <x v="177"/>
    <s v="ZAF"/>
    <x v="44"/>
    <n v="48991421"/>
  </r>
  <r>
    <x v="177"/>
    <s v="ZAF"/>
    <x v="45"/>
    <n v="49490033"/>
  </r>
  <r>
    <x v="177"/>
    <s v="ZAF"/>
    <x v="46"/>
    <n v="49998277"/>
  </r>
  <r>
    <x v="177"/>
    <s v="ZAF"/>
    <x v="47"/>
    <n v="50528584"/>
  </r>
  <r>
    <x v="177"/>
    <s v="ZAF"/>
    <x v="48"/>
    <n v="51114599"/>
  </r>
  <r>
    <x v="177"/>
    <s v="ZAF"/>
    <x v="49"/>
    <n v="51728516"/>
  </r>
  <r>
    <x v="177"/>
    <s v="ZAF"/>
    <x v="50"/>
    <n v="52344051"/>
  </r>
  <r>
    <x v="177"/>
    <s v="ZAF"/>
    <x v="51"/>
    <n v="52995205"/>
  </r>
  <r>
    <x v="177"/>
    <s v="ZAF"/>
    <x v="52"/>
    <n v="53782567"/>
  </r>
  <r>
    <x v="177"/>
    <s v="ZAF"/>
    <x v="53"/>
    <n v="54678791"/>
  </r>
  <r>
    <x v="177"/>
    <s v="ZAF"/>
    <x v="54"/>
    <n v="55594838"/>
  </r>
  <r>
    <x v="177"/>
    <s v="ZAF"/>
    <x v="55"/>
    <n v="56723537"/>
  </r>
  <r>
    <x v="177"/>
    <s v="ZAF"/>
    <x v="56"/>
    <n v="57259551"/>
  </r>
  <r>
    <x v="177"/>
    <s v="ZAF"/>
    <x v="57"/>
    <n v="57635162"/>
  </r>
  <r>
    <x v="177"/>
    <s v="ZAF"/>
    <x v="58"/>
    <n v="58613001"/>
  </r>
  <r>
    <x v="177"/>
    <s v="ZAF"/>
    <x v="59"/>
    <n v="59587885"/>
  </r>
  <r>
    <x v="177"/>
    <s v="ZAF"/>
    <x v="60"/>
    <n v="60562381"/>
  </r>
  <r>
    <x v="177"/>
    <s v="ZAF"/>
    <x v="61"/>
    <n v="61502603"/>
  </r>
  <r>
    <x v="177"/>
    <s v="ZAF"/>
    <x v="62"/>
    <n v="62378410"/>
  </r>
  <r>
    <x v="177"/>
    <s v="ZAF"/>
    <x v="63"/>
    <n v="63212384"/>
  </r>
  <r>
    <x v="177"/>
    <s v="ZAF"/>
    <x v="64"/>
    <n v="64007187"/>
  </r>
  <r>
    <x v="178"/>
    <s v="SSD"/>
    <x v="0"/>
    <n v="2931559"/>
  </r>
  <r>
    <x v="178"/>
    <s v="SSD"/>
    <x v="1"/>
    <n v="2976724"/>
  </r>
  <r>
    <x v="178"/>
    <s v="SSD"/>
    <x v="2"/>
    <n v="3024308"/>
  </r>
  <r>
    <x v="178"/>
    <s v="SSD"/>
    <x v="3"/>
    <n v="3072669"/>
  </r>
  <r>
    <x v="178"/>
    <s v="SSD"/>
    <x v="4"/>
    <n v="3129918"/>
  </r>
  <r>
    <x v="178"/>
    <s v="SSD"/>
    <x v="5"/>
    <n v="3189835"/>
  </r>
  <r>
    <x v="178"/>
    <s v="SSD"/>
    <x v="6"/>
    <n v="3236423"/>
  </r>
  <r>
    <x v="178"/>
    <s v="SSD"/>
    <x v="7"/>
    <n v="3277648"/>
  </r>
  <r>
    <x v="178"/>
    <s v="SSD"/>
    <x v="8"/>
    <n v="3321528"/>
  </r>
  <r>
    <x v="178"/>
    <s v="SSD"/>
    <x v="9"/>
    <n v="3365533"/>
  </r>
  <r>
    <x v="178"/>
    <s v="SSD"/>
    <x v="10"/>
    <n v="3409614"/>
  </r>
  <r>
    <x v="178"/>
    <s v="SSD"/>
    <x v="11"/>
    <n v="3468646"/>
  </r>
  <r>
    <x v="178"/>
    <s v="SSD"/>
    <x v="12"/>
    <n v="3542497"/>
  </r>
  <r>
    <x v="178"/>
    <s v="SSD"/>
    <x v="13"/>
    <n v="3627383"/>
  </r>
  <r>
    <x v="178"/>
    <s v="SSD"/>
    <x v="14"/>
    <n v="3723259"/>
  </r>
  <r>
    <x v="178"/>
    <s v="SSD"/>
    <x v="15"/>
    <n v="3821494"/>
  </r>
  <r>
    <x v="178"/>
    <s v="SSD"/>
    <x v="16"/>
    <n v="3921910"/>
  </r>
  <r>
    <x v="178"/>
    <s v="SSD"/>
    <x v="17"/>
    <n v="4024032"/>
  </r>
  <r>
    <x v="178"/>
    <s v="SSD"/>
    <x v="18"/>
    <n v="4127657"/>
  </r>
  <r>
    <x v="178"/>
    <s v="SSD"/>
    <x v="19"/>
    <n v="4232605"/>
  </r>
  <r>
    <x v="178"/>
    <s v="SSD"/>
    <x v="20"/>
    <n v="4339030"/>
  </r>
  <r>
    <x v="178"/>
    <s v="SSD"/>
    <x v="21"/>
    <n v="4447272"/>
  </r>
  <r>
    <x v="178"/>
    <s v="SSD"/>
    <x v="22"/>
    <n v="4557686"/>
  </r>
  <r>
    <x v="178"/>
    <s v="SSD"/>
    <x v="23"/>
    <n v="4661574"/>
  </r>
  <r>
    <x v="178"/>
    <s v="SSD"/>
    <x v="24"/>
    <n v="4750627"/>
  </r>
  <r>
    <x v="178"/>
    <s v="SSD"/>
    <x v="25"/>
    <n v="4834296"/>
  </r>
  <r>
    <x v="178"/>
    <s v="SSD"/>
    <x v="26"/>
    <n v="4921240"/>
  </r>
  <r>
    <x v="178"/>
    <s v="SSD"/>
    <x v="27"/>
    <n v="4962395"/>
  </r>
  <r>
    <x v="178"/>
    <s v="SSD"/>
    <x v="28"/>
    <n v="4848029"/>
  </r>
  <r>
    <x v="178"/>
    <s v="SSD"/>
    <x v="29"/>
    <n v="4713229"/>
  </r>
  <r>
    <x v="178"/>
    <s v="SSD"/>
    <x v="30"/>
    <n v="4737633"/>
  </r>
  <r>
    <x v="178"/>
    <s v="SSD"/>
    <x v="31"/>
    <n v="4836677"/>
  </r>
  <r>
    <x v="178"/>
    <s v="SSD"/>
    <x v="32"/>
    <n v="4909749"/>
  </r>
  <r>
    <x v="178"/>
    <s v="SSD"/>
    <x v="33"/>
    <n v="4956002"/>
  </r>
  <r>
    <x v="178"/>
    <s v="SSD"/>
    <x v="34"/>
    <n v="5071184"/>
  </r>
  <r>
    <x v="178"/>
    <s v="SSD"/>
    <x v="35"/>
    <n v="5225836"/>
  </r>
  <r>
    <x v="178"/>
    <s v="SSD"/>
    <x v="36"/>
    <n v="5356925"/>
  </r>
  <r>
    <x v="178"/>
    <s v="SSD"/>
    <x v="37"/>
    <n v="5509136"/>
  </r>
  <r>
    <x v="178"/>
    <s v="SSD"/>
    <x v="38"/>
    <n v="5620068"/>
  </r>
  <r>
    <x v="178"/>
    <s v="SSD"/>
    <x v="39"/>
    <n v="5771628"/>
  </r>
  <r>
    <x v="178"/>
    <s v="SSD"/>
    <x v="40"/>
    <n v="6032267"/>
  </r>
  <r>
    <x v="178"/>
    <s v="SSD"/>
    <x v="41"/>
    <n v="6308391"/>
  </r>
  <r>
    <x v="178"/>
    <s v="SSD"/>
    <x v="42"/>
    <n v="6596806"/>
  </r>
  <r>
    <x v="178"/>
    <s v="SSD"/>
    <x v="43"/>
    <n v="6903127"/>
  </r>
  <r>
    <x v="178"/>
    <s v="SSD"/>
    <x v="44"/>
    <n v="7233041"/>
  </r>
  <r>
    <x v="178"/>
    <s v="SSD"/>
    <x v="45"/>
    <n v="7590143"/>
  </r>
  <r>
    <x v="178"/>
    <s v="SSD"/>
    <x v="46"/>
    <n v="7976526"/>
  </r>
  <r>
    <x v="178"/>
    <s v="SSD"/>
    <x v="47"/>
    <n v="8388788"/>
  </r>
  <r>
    <x v="178"/>
    <s v="SSD"/>
    <x v="48"/>
    <n v="8817647"/>
  </r>
  <r>
    <x v="178"/>
    <s v="SSD"/>
    <x v="49"/>
    <n v="9243556"/>
  </r>
  <r>
    <x v="178"/>
    <s v="SSD"/>
    <x v="50"/>
    <n v="9745953"/>
  </r>
  <r>
    <x v="178"/>
    <s v="SSD"/>
    <x v="51"/>
    <n v="10288109"/>
  </r>
  <r>
    <x v="178"/>
    <s v="SSD"/>
    <x v="52"/>
    <n v="10756240"/>
  </r>
  <r>
    <x v="178"/>
    <s v="SSD"/>
    <x v="53"/>
    <n v="11166275"/>
  </r>
  <r>
    <x v="178"/>
    <s v="SSD"/>
    <x v="54"/>
    <n v="11235073"/>
  </r>
  <r>
    <x v="178"/>
    <s v="SSD"/>
    <x v="55"/>
    <n v="11107561"/>
  </r>
  <r>
    <x v="178"/>
    <s v="SSD"/>
    <x v="56"/>
    <n v="10830102"/>
  </r>
  <r>
    <x v="178"/>
    <s v="SSD"/>
    <x v="57"/>
    <n v="10259154"/>
  </r>
  <r>
    <x v="178"/>
    <s v="SSD"/>
    <x v="58"/>
    <n v="10122977"/>
  </r>
  <r>
    <x v="178"/>
    <s v="SSD"/>
    <x v="59"/>
    <n v="10423384"/>
  </r>
  <r>
    <x v="178"/>
    <s v="SSD"/>
    <x v="60"/>
    <n v="10698467"/>
  </r>
  <r>
    <x v="178"/>
    <s v="SSD"/>
    <x v="61"/>
    <n v="10865780"/>
  </r>
  <r>
    <x v="178"/>
    <s v="SSD"/>
    <x v="62"/>
    <n v="11021177"/>
  </r>
  <r>
    <x v="178"/>
    <s v="SSD"/>
    <x v="63"/>
    <n v="11483374"/>
  </r>
  <r>
    <x v="178"/>
    <s v="SSD"/>
    <x v="64"/>
    <n v="11943408"/>
  </r>
  <r>
    <x v="179"/>
    <s v="ESP"/>
    <x v="0"/>
    <n v="30455000"/>
  </r>
  <r>
    <x v="179"/>
    <s v="ESP"/>
    <x v="1"/>
    <n v="30739250"/>
  </r>
  <r>
    <x v="179"/>
    <s v="ESP"/>
    <x v="2"/>
    <n v="31023366"/>
  </r>
  <r>
    <x v="179"/>
    <s v="ESP"/>
    <x v="3"/>
    <n v="31296651"/>
  </r>
  <r>
    <x v="179"/>
    <s v="ESP"/>
    <x v="4"/>
    <n v="31609195"/>
  </r>
  <r>
    <x v="179"/>
    <s v="ESP"/>
    <x v="5"/>
    <n v="31954292"/>
  </r>
  <r>
    <x v="179"/>
    <s v="ESP"/>
    <x v="6"/>
    <n v="32283194"/>
  </r>
  <r>
    <x v="179"/>
    <s v="ESP"/>
    <x v="7"/>
    <n v="32682947"/>
  </r>
  <r>
    <x v="179"/>
    <s v="ESP"/>
    <x v="8"/>
    <n v="33113134"/>
  </r>
  <r>
    <x v="179"/>
    <s v="ESP"/>
    <x v="9"/>
    <n v="33441054"/>
  </r>
  <r>
    <x v="179"/>
    <s v="ESP"/>
    <x v="10"/>
    <n v="33814531"/>
  </r>
  <r>
    <x v="179"/>
    <s v="ESP"/>
    <x v="11"/>
    <n v="34224490"/>
  </r>
  <r>
    <x v="179"/>
    <s v="ESP"/>
    <x v="12"/>
    <n v="34604469"/>
  </r>
  <r>
    <x v="179"/>
    <s v="ESP"/>
    <x v="13"/>
    <n v="34988947"/>
  </r>
  <r>
    <x v="179"/>
    <s v="ESP"/>
    <x v="14"/>
    <n v="35373335"/>
  </r>
  <r>
    <x v="179"/>
    <s v="ESP"/>
    <x v="15"/>
    <n v="35757900"/>
  </r>
  <r>
    <x v="179"/>
    <s v="ESP"/>
    <x v="16"/>
    <n v="36137812"/>
  </r>
  <r>
    <x v="179"/>
    <s v="ESP"/>
    <x v="17"/>
    <n v="36511638"/>
  </r>
  <r>
    <x v="179"/>
    <s v="ESP"/>
    <x v="18"/>
    <n v="36864898"/>
  </r>
  <r>
    <x v="179"/>
    <s v="ESP"/>
    <x v="19"/>
    <n v="37191330"/>
  </r>
  <r>
    <x v="179"/>
    <s v="ESP"/>
    <x v="20"/>
    <n v="37491165"/>
  </r>
  <r>
    <x v="179"/>
    <s v="ESP"/>
    <x v="21"/>
    <n v="37758631"/>
  </r>
  <r>
    <x v="179"/>
    <s v="ESP"/>
    <x v="22"/>
    <n v="37986012"/>
  </r>
  <r>
    <x v="179"/>
    <s v="ESP"/>
    <x v="23"/>
    <n v="38171525"/>
  </r>
  <r>
    <x v="179"/>
    <s v="ESP"/>
    <x v="24"/>
    <n v="38330364"/>
  </r>
  <r>
    <x v="179"/>
    <s v="ESP"/>
    <x v="25"/>
    <n v="38469512"/>
  </r>
  <r>
    <x v="179"/>
    <s v="ESP"/>
    <x v="26"/>
    <n v="38584624"/>
  </r>
  <r>
    <x v="179"/>
    <s v="ESP"/>
    <x v="27"/>
    <n v="38684815"/>
  </r>
  <r>
    <x v="179"/>
    <s v="ESP"/>
    <x v="28"/>
    <n v="38766939"/>
  </r>
  <r>
    <x v="179"/>
    <s v="ESP"/>
    <x v="29"/>
    <n v="38827764"/>
  </r>
  <r>
    <x v="179"/>
    <s v="ESP"/>
    <x v="30"/>
    <n v="38867322"/>
  </r>
  <r>
    <x v="179"/>
    <s v="ESP"/>
    <x v="31"/>
    <n v="38966376"/>
  </r>
  <r>
    <x v="179"/>
    <s v="ESP"/>
    <x v="32"/>
    <n v="39157685"/>
  </r>
  <r>
    <x v="179"/>
    <s v="ESP"/>
    <x v="33"/>
    <n v="39361262"/>
  </r>
  <r>
    <x v="179"/>
    <s v="ESP"/>
    <x v="34"/>
    <n v="39549108"/>
  </r>
  <r>
    <x v="179"/>
    <s v="ESP"/>
    <x v="35"/>
    <n v="39724050"/>
  </r>
  <r>
    <x v="179"/>
    <s v="ESP"/>
    <x v="36"/>
    <n v="39889852"/>
  </r>
  <r>
    <x v="179"/>
    <s v="ESP"/>
    <x v="37"/>
    <n v="40057389"/>
  </r>
  <r>
    <x v="179"/>
    <s v="ESP"/>
    <x v="38"/>
    <n v="40223509"/>
  </r>
  <r>
    <x v="179"/>
    <s v="ESP"/>
    <x v="39"/>
    <n v="40386875"/>
  </r>
  <r>
    <x v="179"/>
    <s v="ESP"/>
    <x v="40"/>
    <n v="40567864"/>
  </r>
  <r>
    <x v="179"/>
    <s v="ESP"/>
    <x v="41"/>
    <n v="40850412"/>
  </r>
  <r>
    <x v="179"/>
    <s v="ESP"/>
    <x v="42"/>
    <n v="41431558"/>
  </r>
  <r>
    <x v="179"/>
    <s v="ESP"/>
    <x v="43"/>
    <n v="42187645"/>
  </r>
  <r>
    <x v="179"/>
    <s v="ESP"/>
    <x v="44"/>
    <n v="42921895"/>
  </r>
  <r>
    <x v="179"/>
    <s v="ESP"/>
    <x v="45"/>
    <n v="43653155"/>
  </r>
  <r>
    <x v="179"/>
    <s v="ESP"/>
    <x v="46"/>
    <n v="44397319"/>
  </r>
  <r>
    <x v="179"/>
    <s v="ESP"/>
    <x v="47"/>
    <n v="45226803"/>
  </r>
  <r>
    <x v="179"/>
    <s v="ESP"/>
    <x v="48"/>
    <n v="45954106"/>
  </r>
  <r>
    <x v="179"/>
    <s v="ESP"/>
    <x v="49"/>
    <n v="46362946"/>
  </r>
  <r>
    <x v="179"/>
    <s v="ESP"/>
    <x v="50"/>
    <n v="46576897"/>
  </r>
  <r>
    <x v="179"/>
    <s v="ESP"/>
    <x v="51"/>
    <n v="46742697"/>
  </r>
  <r>
    <x v="179"/>
    <s v="ESP"/>
    <x v="52"/>
    <n v="46773055"/>
  </r>
  <r>
    <x v="179"/>
    <s v="ESP"/>
    <x v="53"/>
    <n v="46604197"/>
  </r>
  <r>
    <x v="179"/>
    <s v="ESP"/>
    <x v="54"/>
    <n v="46460733"/>
  </r>
  <r>
    <x v="179"/>
    <s v="ESP"/>
    <x v="55"/>
    <n v="46422303"/>
  </r>
  <r>
    <x v="179"/>
    <s v="ESP"/>
    <x v="56"/>
    <n v="46458139"/>
  </r>
  <r>
    <x v="179"/>
    <s v="ESP"/>
    <x v="57"/>
    <n v="46571232"/>
  </r>
  <r>
    <x v="179"/>
    <s v="ESP"/>
    <x v="58"/>
    <n v="46782011"/>
  </r>
  <r>
    <x v="179"/>
    <s v="ESP"/>
    <x v="59"/>
    <n v="47118501"/>
  </r>
  <r>
    <x v="179"/>
    <s v="ESP"/>
    <x v="60"/>
    <n v="47359424"/>
  </r>
  <r>
    <x v="179"/>
    <s v="ESP"/>
    <x v="61"/>
    <n v="47443821"/>
  </r>
  <r>
    <x v="179"/>
    <s v="ESP"/>
    <x v="62"/>
    <n v="47786102"/>
  </r>
  <r>
    <x v="179"/>
    <s v="ESP"/>
    <x v="63"/>
    <n v="48347910"/>
  </r>
  <r>
    <x v="179"/>
    <s v="ESP"/>
    <x v="64"/>
    <n v="48807137"/>
  </r>
  <r>
    <x v="180"/>
    <s v="LKA"/>
    <x v="0"/>
    <n v="9661389"/>
  </r>
  <r>
    <x v="180"/>
    <s v="LKA"/>
    <x v="1"/>
    <n v="9899372"/>
  </r>
  <r>
    <x v="180"/>
    <s v="LKA"/>
    <x v="2"/>
    <n v="10143754"/>
  </r>
  <r>
    <x v="180"/>
    <s v="LKA"/>
    <x v="3"/>
    <n v="10395040"/>
  </r>
  <r>
    <x v="180"/>
    <s v="LKA"/>
    <x v="4"/>
    <n v="10653397"/>
  </r>
  <r>
    <x v="180"/>
    <s v="LKA"/>
    <x v="5"/>
    <n v="10916965"/>
  </r>
  <r>
    <x v="180"/>
    <s v="LKA"/>
    <x v="6"/>
    <n v="11183928"/>
  </r>
  <r>
    <x v="180"/>
    <s v="LKA"/>
    <x v="7"/>
    <n v="11457328"/>
  </r>
  <r>
    <x v="180"/>
    <s v="LKA"/>
    <x v="8"/>
    <n v="11736088"/>
  </r>
  <r>
    <x v="180"/>
    <s v="LKA"/>
    <x v="9"/>
    <n v="12013858"/>
  </r>
  <r>
    <x v="180"/>
    <s v="LKA"/>
    <x v="10"/>
    <n v="12287110"/>
  </r>
  <r>
    <x v="180"/>
    <s v="LKA"/>
    <x v="11"/>
    <n v="12551910"/>
  </r>
  <r>
    <x v="180"/>
    <s v="LKA"/>
    <x v="12"/>
    <n v="12809205"/>
  </r>
  <r>
    <x v="180"/>
    <s v="LKA"/>
    <x v="13"/>
    <n v="13060916"/>
  </r>
  <r>
    <x v="180"/>
    <s v="LKA"/>
    <x v="14"/>
    <n v="13305693"/>
  </r>
  <r>
    <x v="180"/>
    <s v="LKA"/>
    <x v="15"/>
    <n v="13548984"/>
  </r>
  <r>
    <x v="180"/>
    <s v="LKA"/>
    <x v="16"/>
    <n v="13796770"/>
  </r>
  <r>
    <x v="180"/>
    <s v="LKA"/>
    <x v="17"/>
    <n v="14049371"/>
  </r>
  <r>
    <x v="180"/>
    <s v="LKA"/>
    <x v="18"/>
    <n v="14310128"/>
  </r>
  <r>
    <x v="180"/>
    <s v="LKA"/>
    <x v="19"/>
    <n v="14579614"/>
  </r>
  <r>
    <x v="180"/>
    <s v="LKA"/>
    <x v="20"/>
    <n v="14847974"/>
  </r>
  <r>
    <x v="180"/>
    <s v="LKA"/>
    <x v="21"/>
    <n v="15099414"/>
  </r>
  <r>
    <x v="180"/>
    <s v="LKA"/>
    <x v="22"/>
    <n v="15286567"/>
  </r>
  <r>
    <x v="180"/>
    <s v="LKA"/>
    <x v="23"/>
    <n v="15388794"/>
  </r>
  <r>
    <x v="180"/>
    <s v="LKA"/>
    <x v="24"/>
    <n v="15441860"/>
  </r>
  <r>
    <x v="180"/>
    <s v="LKA"/>
    <x v="25"/>
    <n v="15544154"/>
  </r>
  <r>
    <x v="180"/>
    <s v="LKA"/>
    <x v="26"/>
    <n v="15731256"/>
  </r>
  <r>
    <x v="180"/>
    <s v="LKA"/>
    <x v="27"/>
    <n v="15916576"/>
  </r>
  <r>
    <x v="180"/>
    <s v="LKA"/>
    <x v="28"/>
    <n v="16078621"/>
  </r>
  <r>
    <x v="180"/>
    <s v="LKA"/>
    <x v="29"/>
    <n v="16248557"/>
  </r>
  <r>
    <x v="180"/>
    <s v="LKA"/>
    <x v="30"/>
    <n v="16352458"/>
  </r>
  <r>
    <x v="180"/>
    <s v="LKA"/>
    <x v="31"/>
    <n v="16475354"/>
  </r>
  <r>
    <x v="180"/>
    <s v="LKA"/>
    <x v="32"/>
    <n v="16739284"/>
  </r>
  <r>
    <x v="180"/>
    <s v="LKA"/>
    <x v="33"/>
    <n v="17025918"/>
  </r>
  <r>
    <x v="180"/>
    <s v="LKA"/>
    <x v="34"/>
    <n v="17275773"/>
  </r>
  <r>
    <x v="180"/>
    <s v="LKA"/>
    <x v="35"/>
    <n v="17564068"/>
  </r>
  <r>
    <x v="180"/>
    <s v="LKA"/>
    <x v="36"/>
    <n v="17905018"/>
  </r>
  <r>
    <x v="180"/>
    <s v="LKA"/>
    <x v="37"/>
    <n v="18248200"/>
  </r>
  <r>
    <x v="180"/>
    <s v="LKA"/>
    <x v="38"/>
    <n v="18596003"/>
  </r>
  <r>
    <x v="180"/>
    <s v="LKA"/>
    <x v="39"/>
    <n v="18944731"/>
  </r>
  <r>
    <x v="180"/>
    <s v="LKA"/>
    <x v="40"/>
    <n v="19293054"/>
  </r>
  <r>
    <x v="180"/>
    <s v="LKA"/>
    <x v="41"/>
    <n v="19600362"/>
  </r>
  <r>
    <x v="180"/>
    <s v="LKA"/>
    <x v="42"/>
    <n v="19805752"/>
  </r>
  <r>
    <x v="180"/>
    <s v="LKA"/>
    <x v="43"/>
    <n v="19951521"/>
  </r>
  <r>
    <x v="180"/>
    <s v="LKA"/>
    <x v="44"/>
    <n v="20087605"/>
  </r>
  <r>
    <x v="180"/>
    <s v="LKA"/>
    <x v="45"/>
    <n v="20216524"/>
  </r>
  <r>
    <x v="180"/>
    <s v="LKA"/>
    <x v="46"/>
    <n v="20352411"/>
  </r>
  <r>
    <x v="180"/>
    <s v="LKA"/>
    <x v="47"/>
    <n v="20492545"/>
  </r>
  <r>
    <x v="180"/>
    <s v="LKA"/>
    <x v="48"/>
    <n v="20629378"/>
  </r>
  <r>
    <x v="180"/>
    <s v="LKA"/>
    <x v="49"/>
    <n v="20756435"/>
  </r>
  <r>
    <x v="180"/>
    <s v="LKA"/>
    <x v="50"/>
    <n v="20879089"/>
  </r>
  <r>
    <x v="180"/>
    <s v="LKA"/>
    <x v="51"/>
    <n v="21009048"/>
  </r>
  <r>
    <x v="180"/>
    <s v="LKA"/>
    <x v="52"/>
    <n v="21169458"/>
  </r>
  <r>
    <x v="180"/>
    <s v="LKA"/>
    <x v="53"/>
    <n v="20585000"/>
  </r>
  <r>
    <x v="180"/>
    <s v="LKA"/>
    <x v="54"/>
    <n v="20778000"/>
  </r>
  <r>
    <x v="180"/>
    <s v="LKA"/>
    <x v="55"/>
    <n v="20970000"/>
  </r>
  <r>
    <x v="180"/>
    <s v="LKA"/>
    <x v="56"/>
    <n v="21209000"/>
  </r>
  <r>
    <x v="180"/>
    <s v="LKA"/>
    <x v="57"/>
    <n v="21453000"/>
  </r>
  <r>
    <x v="180"/>
    <s v="LKA"/>
    <x v="58"/>
    <n v="21670000"/>
  </r>
  <r>
    <x v="180"/>
    <s v="LKA"/>
    <x v="59"/>
    <n v="21803000"/>
  </r>
  <r>
    <x v="180"/>
    <s v="LKA"/>
    <x v="60"/>
    <n v="21919000"/>
  </r>
  <r>
    <x v="180"/>
    <s v="LKA"/>
    <x v="61"/>
    <n v="22156000"/>
  </r>
  <r>
    <x v="180"/>
    <s v="LKA"/>
    <x v="62"/>
    <n v="22181000"/>
  </r>
  <r>
    <x v="180"/>
    <s v="LKA"/>
    <x v="63"/>
    <n v="22037000"/>
  </r>
  <r>
    <x v="180"/>
    <s v="LKA"/>
    <x v="64"/>
    <n v="21916000"/>
  </r>
  <r>
    <x v="181"/>
    <s v="KNA"/>
    <x v="0"/>
    <n v="55810"/>
  </r>
  <r>
    <x v="181"/>
    <s v="KNA"/>
    <x v="1"/>
    <n v="55334"/>
  </r>
  <r>
    <x v="181"/>
    <s v="KNA"/>
    <x v="2"/>
    <n v="54461"/>
  </r>
  <r>
    <x v="181"/>
    <s v="KNA"/>
    <x v="3"/>
    <n v="53441"/>
  </r>
  <r>
    <x v="181"/>
    <s v="KNA"/>
    <x v="4"/>
    <n v="52326"/>
  </r>
  <r>
    <x v="181"/>
    <s v="KNA"/>
    <x v="5"/>
    <n v="51139"/>
  </r>
  <r>
    <x v="181"/>
    <s v="KNA"/>
    <x v="6"/>
    <n v="49898"/>
  </r>
  <r>
    <x v="181"/>
    <s v="KNA"/>
    <x v="7"/>
    <n v="48605"/>
  </r>
  <r>
    <x v="181"/>
    <s v="KNA"/>
    <x v="8"/>
    <n v="47245"/>
  </r>
  <r>
    <x v="181"/>
    <s v="KNA"/>
    <x v="9"/>
    <n v="45731"/>
  </r>
  <r>
    <x v="181"/>
    <s v="KNA"/>
    <x v="10"/>
    <n v="44606"/>
  </r>
  <r>
    <x v="181"/>
    <s v="KNA"/>
    <x v="11"/>
    <n v="44206"/>
  </r>
  <r>
    <x v="181"/>
    <s v="KNA"/>
    <x v="12"/>
    <n v="44033"/>
  </r>
  <r>
    <x v="181"/>
    <s v="KNA"/>
    <x v="13"/>
    <n v="43880"/>
  </r>
  <r>
    <x v="181"/>
    <s v="KNA"/>
    <x v="14"/>
    <n v="43738"/>
  </r>
  <r>
    <x v="181"/>
    <s v="KNA"/>
    <x v="15"/>
    <n v="43606"/>
  </r>
  <r>
    <x v="181"/>
    <s v="KNA"/>
    <x v="16"/>
    <n v="43482"/>
  </r>
  <r>
    <x v="181"/>
    <s v="KNA"/>
    <x v="17"/>
    <n v="43358"/>
  </r>
  <r>
    <x v="181"/>
    <s v="KNA"/>
    <x v="18"/>
    <n v="43217"/>
  </r>
  <r>
    <x v="181"/>
    <s v="KNA"/>
    <x v="19"/>
    <n v="43033"/>
  </r>
  <r>
    <x v="181"/>
    <s v="KNA"/>
    <x v="20"/>
    <n v="42850"/>
  </r>
  <r>
    <x v="181"/>
    <s v="KNA"/>
    <x v="21"/>
    <n v="42698"/>
  </r>
  <r>
    <x v="181"/>
    <s v="KNA"/>
    <x v="22"/>
    <n v="42532"/>
  </r>
  <r>
    <x v="181"/>
    <s v="KNA"/>
    <x v="23"/>
    <n v="42334"/>
  </r>
  <r>
    <x v="181"/>
    <s v="KNA"/>
    <x v="24"/>
    <n v="42113"/>
  </r>
  <r>
    <x v="181"/>
    <s v="KNA"/>
    <x v="25"/>
    <n v="41874"/>
  </r>
  <r>
    <x v="181"/>
    <s v="KNA"/>
    <x v="26"/>
    <n v="41618"/>
  </r>
  <r>
    <x v="181"/>
    <s v="KNA"/>
    <x v="27"/>
    <n v="41348"/>
  </r>
  <r>
    <x v="181"/>
    <s v="KNA"/>
    <x v="28"/>
    <n v="41062"/>
  </r>
  <r>
    <x v="181"/>
    <s v="KNA"/>
    <x v="29"/>
    <n v="40758"/>
  </r>
  <r>
    <x v="181"/>
    <s v="KNA"/>
    <x v="30"/>
    <n v="40432"/>
  </r>
  <r>
    <x v="181"/>
    <s v="KNA"/>
    <x v="31"/>
    <n v="40358"/>
  </r>
  <r>
    <x v="181"/>
    <s v="KNA"/>
    <x v="32"/>
    <n v="40715"/>
  </r>
  <r>
    <x v="181"/>
    <s v="KNA"/>
    <x v="33"/>
    <n v="41242"/>
  </r>
  <r>
    <x v="181"/>
    <s v="KNA"/>
    <x v="34"/>
    <n v="41776"/>
  </r>
  <r>
    <x v="181"/>
    <s v="KNA"/>
    <x v="35"/>
    <n v="42326"/>
  </r>
  <r>
    <x v="181"/>
    <s v="KNA"/>
    <x v="36"/>
    <n v="42877"/>
  </r>
  <r>
    <x v="181"/>
    <s v="KNA"/>
    <x v="37"/>
    <n v="43428"/>
  </r>
  <r>
    <x v="181"/>
    <s v="KNA"/>
    <x v="38"/>
    <n v="43998"/>
  </r>
  <r>
    <x v="181"/>
    <s v="KNA"/>
    <x v="39"/>
    <n v="44601"/>
  </r>
  <r>
    <x v="181"/>
    <s v="KNA"/>
    <x v="40"/>
    <n v="45248"/>
  </r>
  <r>
    <x v="181"/>
    <s v="KNA"/>
    <x v="41"/>
    <n v="45761"/>
  </r>
  <r>
    <x v="181"/>
    <s v="KNA"/>
    <x v="42"/>
    <n v="46020"/>
  </r>
  <r>
    <x v="181"/>
    <s v="KNA"/>
    <x v="43"/>
    <n v="46176"/>
  </r>
  <r>
    <x v="181"/>
    <s v="KNA"/>
    <x v="44"/>
    <n v="46315"/>
  </r>
  <r>
    <x v="181"/>
    <s v="KNA"/>
    <x v="45"/>
    <n v="46437"/>
  </r>
  <r>
    <x v="181"/>
    <s v="KNA"/>
    <x v="46"/>
    <n v="46569"/>
  </r>
  <r>
    <x v="181"/>
    <s v="KNA"/>
    <x v="47"/>
    <n v="46706"/>
  </r>
  <r>
    <x v="181"/>
    <s v="KNA"/>
    <x v="48"/>
    <n v="46835"/>
  </r>
  <r>
    <x v="181"/>
    <s v="KNA"/>
    <x v="49"/>
    <n v="46916"/>
  </r>
  <r>
    <x v="181"/>
    <s v="KNA"/>
    <x v="50"/>
    <n v="46846"/>
  </r>
  <r>
    <x v="181"/>
    <s v="KNA"/>
    <x v="51"/>
    <n v="46886"/>
  </r>
  <r>
    <x v="181"/>
    <s v="KNA"/>
    <x v="52"/>
    <n v="47033"/>
  </r>
  <r>
    <x v="181"/>
    <s v="KNA"/>
    <x v="53"/>
    <n v="47069"/>
  </r>
  <r>
    <x v="181"/>
    <s v="KNA"/>
    <x v="54"/>
    <n v="47089"/>
  </r>
  <r>
    <x v="181"/>
    <s v="KNA"/>
    <x v="55"/>
    <n v="47087"/>
  </r>
  <r>
    <x v="181"/>
    <s v="KNA"/>
    <x v="56"/>
    <n v="47075"/>
  </r>
  <r>
    <x v="181"/>
    <s v="KNA"/>
    <x v="57"/>
    <n v="47050"/>
  </r>
  <r>
    <x v="181"/>
    <s v="KNA"/>
    <x v="58"/>
    <n v="47008"/>
  </r>
  <r>
    <x v="181"/>
    <s v="KNA"/>
    <x v="59"/>
    <n v="46952"/>
  </r>
  <r>
    <x v="181"/>
    <s v="KNA"/>
    <x v="60"/>
    <n v="46870"/>
  </r>
  <r>
    <x v="181"/>
    <s v="KNA"/>
    <x v="61"/>
    <n v="46763"/>
  </r>
  <r>
    <x v="181"/>
    <s v="KNA"/>
    <x v="62"/>
    <n v="46709"/>
  </r>
  <r>
    <x v="181"/>
    <s v="KNA"/>
    <x v="63"/>
    <n v="46758"/>
  </r>
  <r>
    <x v="181"/>
    <s v="KNA"/>
    <x v="64"/>
    <n v="46843"/>
  </r>
  <r>
    <x v="182"/>
    <s v="LCA"/>
    <x v="0"/>
    <n v="92585"/>
  </r>
  <r>
    <x v="182"/>
    <s v="LCA"/>
    <x v="1"/>
    <n v="93490"/>
  </r>
  <r>
    <x v="182"/>
    <s v="LCA"/>
    <x v="2"/>
    <n v="94505"/>
  </r>
  <r>
    <x v="182"/>
    <s v="LCA"/>
    <x v="3"/>
    <n v="95519"/>
  </r>
  <r>
    <x v="182"/>
    <s v="LCA"/>
    <x v="4"/>
    <n v="96505"/>
  </r>
  <r>
    <x v="182"/>
    <s v="LCA"/>
    <x v="5"/>
    <n v="97493"/>
  </r>
  <r>
    <x v="182"/>
    <s v="LCA"/>
    <x v="6"/>
    <n v="98463"/>
  </r>
  <r>
    <x v="182"/>
    <s v="LCA"/>
    <x v="7"/>
    <n v="99504"/>
  </r>
  <r>
    <x v="182"/>
    <s v="LCA"/>
    <x v="8"/>
    <n v="100675"/>
  </r>
  <r>
    <x v="182"/>
    <s v="LCA"/>
    <x v="9"/>
    <n v="101879"/>
  </r>
  <r>
    <x v="182"/>
    <s v="LCA"/>
    <x v="10"/>
    <n v="103165"/>
  </r>
  <r>
    <x v="182"/>
    <s v="LCA"/>
    <x v="11"/>
    <n v="104564"/>
  </r>
  <r>
    <x v="182"/>
    <s v="LCA"/>
    <x v="12"/>
    <n v="106002"/>
  </r>
  <r>
    <x v="182"/>
    <s v="LCA"/>
    <x v="13"/>
    <n v="107498"/>
  </r>
  <r>
    <x v="182"/>
    <s v="LCA"/>
    <x v="14"/>
    <n v="109076"/>
  </r>
  <r>
    <x v="182"/>
    <s v="LCA"/>
    <x v="15"/>
    <n v="110725"/>
  </r>
  <r>
    <x v="182"/>
    <s v="LCA"/>
    <x v="16"/>
    <n v="112425"/>
  </r>
  <r>
    <x v="182"/>
    <s v="LCA"/>
    <x v="17"/>
    <n v="114135"/>
  </r>
  <r>
    <x v="182"/>
    <s v="LCA"/>
    <x v="18"/>
    <n v="115834"/>
  </r>
  <r>
    <x v="182"/>
    <s v="LCA"/>
    <x v="19"/>
    <n v="117528"/>
  </r>
  <r>
    <x v="182"/>
    <s v="LCA"/>
    <x v="20"/>
    <n v="119290"/>
  </r>
  <r>
    <x v="182"/>
    <s v="LCA"/>
    <x v="21"/>
    <n v="121166"/>
  </r>
  <r>
    <x v="182"/>
    <s v="LCA"/>
    <x v="22"/>
    <n v="123087"/>
  </r>
  <r>
    <x v="182"/>
    <s v="LCA"/>
    <x v="23"/>
    <n v="125044"/>
  </r>
  <r>
    <x v="182"/>
    <s v="LCA"/>
    <x v="24"/>
    <n v="127067"/>
  </r>
  <r>
    <x v="182"/>
    <s v="LCA"/>
    <x v="25"/>
    <n v="129159"/>
  </r>
  <r>
    <x v="182"/>
    <s v="LCA"/>
    <x v="26"/>
    <n v="131239"/>
  </r>
  <r>
    <x v="182"/>
    <s v="LCA"/>
    <x v="27"/>
    <n v="133227"/>
  </r>
  <r>
    <x v="182"/>
    <s v="LCA"/>
    <x v="28"/>
    <n v="135000"/>
  </r>
  <r>
    <x v="182"/>
    <s v="LCA"/>
    <x v="29"/>
    <n v="136512"/>
  </r>
  <r>
    <x v="182"/>
    <s v="LCA"/>
    <x v="30"/>
    <n v="137857"/>
  </r>
  <r>
    <x v="182"/>
    <s v="LCA"/>
    <x v="31"/>
    <n v="139520"/>
  </r>
  <r>
    <x v="182"/>
    <s v="LCA"/>
    <x v="32"/>
    <n v="141617"/>
  </r>
  <r>
    <x v="182"/>
    <s v="LCA"/>
    <x v="33"/>
    <n v="143726"/>
  </r>
  <r>
    <x v="182"/>
    <s v="LCA"/>
    <x v="34"/>
    <n v="145890"/>
  </r>
  <r>
    <x v="182"/>
    <s v="LCA"/>
    <x v="35"/>
    <n v="148208"/>
  </r>
  <r>
    <x v="182"/>
    <s v="LCA"/>
    <x v="36"/>
    <n v="150436"/>
  </r>
  <r>
    <x v="182"/>
    <s v="LCA"/>
    <x v="37"/>
    <n v="152569"/>
  </r>
  <r>
    <x v="182"/>
    <s v="LCA"/>
    <x v="38"/>
    <n v="154677"/>
  </r>
  <r>
    <x v="182"/>
    <s v="LCA"/>
    <x v="39"/>
    <n v="156702"/>
  </r>
  <r>
    <x v="182"/>
    <s v="LCA"/>
    <x v="40"/>
    <n v="158616"/>
  </r>
  <r>
    <x v="182"/>
    <s v="LCA"/>
    <x v="41"/>
    <n v="160237"/>
  </r>
  <r>
    <x v="182"/>
    <s v="LCA"/>
    <x v="42"/>
    <n v="161641"/>
  </r>
  <r>
    <x v="182"/>
    <s v="LCA"/>
    <x v="43"/>
    <n v="162976"/>
  </r>
  <r>
    <x v="182"/>
    <s v="LCA"/>
    <x v="44"/>
    <n v="164239"/>
  </r>
  <r>
    <x v="182"/>
    <s v="LCA"/>
    <x v="45"/>
    <n v="165450"/>
  </r>
  <r>
    <x v="182"/>
    <s v="LCA"/>
    <x v="46"/>
    <n v="166639"/>
  </r>
  <r>
    <x v="182"/>
    <s v="LCA"/>
    <x v="47"/>
    <n v="167758"/>
  </r>
  <r>
    <x v="182"/>
    <s v="LCA"/>
    <x v="48"/>
    <n v="168808"/>
  </r>
  <r>
    <x v="182"/>
    <s v="LCA"/>
    <x v="49"/>
    <n v="169869"/>
  </r>
  <r>
    <x v="182"/>
    <s v="LCA"/>
    <x v="50"/>
    <n v="170906"/>
  </r>
  <r>
    <x v="182"/>
    <s v="LCA"/>
    <x v="51"/>
    <n v="171801"/>
  </r>
  <r>
    <x v="182"/>
    <s v="LCA"/>
    <x v="52"/>
    <n v="172587"/>
  </r>
  <r>
    <x v="182"/>
    <s v="LCA"/>
    <x v="53"/>
    <n v="173369"/>
  </r>
  <r>
    <x v="182"/>
    <s v="LCA"/>
    <x v="54"/>
    <n v="174138"/>
  </r>
  <r>
    <x v="182"/>
    <s v="LCA"/>
    <x v="55"/>
    <n v="174905"/>
  </r>
  <r>
    <x v="182"/>
    <s v="LCA"/>
    <x v="56"/>
    <n v="175646"/>
  </r>
  <r>
    <x v="182"/>
    <s v="LCA"/>
    <x v="57"/>
    <n v="176342"/>
  </r>
  <r>
    <x v="182"/>
    <s v="LCA"/>
    <x v="58"/>
    <n v="177017"/>
  </r>
  <r>
    <x v="182"/>
    <s v="LCA"/>
    <x v="59"/>
    <n v="177661"/>
  </r>
  <r>
    <x v="182"/>
    <s v="LCA"/>
    <x v="60"/>
    <n v="178250"/>
  </r>
  <r>
    <x v="182"/>
    <s v="LCA"/>
    <x v="61"/>
    <n v="178522"/>
  </r>
  <r>
    <x v="182"/>
    <s v="LCA"/>
    <x v="62"/>
    <n v="178781"/>
  </r>
  <r>
    <x v="182"/>
    <s v="LCA"/>
    <x v="63"/>
    <n v="179285"/>
  </r>
  <r>
    <x v="182"/>
    <s v="LCA"/>
    <x v="64"/>
    <n v="179744"/>
  </r>
  <r>
    <x v="183"/>
    <s v="MAF"/>
    <x v="0"/>
    <n v="4250"/>
  </r>
  <r>
    <x v="183"/>
    <s v="MAF"/>
    <x v="1"/>
    <n v="4386"/>
  </r>
  <r>
    <x v="183"/>
    <s v="MAF"/>
    <x v="2"/>
    <n v="4527"/>
  </r>
  <r>
    <x v="183"/>
    <s v="MAF"/>
    <x v="3"/>
    <n v="4673"/>
  </r>
  <r>
    <x v="183"/>
    <s v="MAF"/>
    <x v="4"/>
    <n v="4827"/>
  </r>
  <r>
    <x v="183"/>
    <s v="MAF"/>
    <x v="5"/>
    <n v="4996"/>
  </r>
  <r>
    <x v="183"/>
    <s v="MAF"/>
    <x v="6"/>
    <n v="5213"/>
  </r>
  <r>
    <x v="183"/>
    <s v="MAF"/>
    <x v="7"/>
    <n v="5472"/>
  </r>
  <r>
    <x v="183"/>
    <s v="MAF"/>
    <x v="8"/>
    <n v="5693"/>
  </r>
  <r>
    <x v="183"/>
    <s v="MAF"/>
    <x v="9"/>
    <n v="5868"/>
  </r>
  <r>
    <x v="183"/>
    <s v="MAF"/>
    <x v="10"/>
    <n v="6047"/>
  </r>
  <r>
    <x v="183"/>
    <s v="MAF"/>
    <x v="11"/>
    <n v="6228"/>
  </r>
  <r>
    <x v="183"/>
    <s v="MAF"/>
    <x v="12"/>
    <n v="6409"/>
  </r>
  <r>
    <x v="183"/>
    <s v="MAF"/>
    <x v="13"/>
    <n v="6596"/>
  </r>
  <r>
    <x v="183"/>
    <s v="MAF"/>
    <x v="14"/>
    <n v="6801"/>
  </r>
  <r>
    <x v="183"/>
    <s v="MAF"/>
    <x v="15"/>
    <n v="7038"/>
  </r>
  <r>
    <x v="183"/>
    <s v="MAF"/>
    <x v="16"/>
    <n v="7303"/>
  </r>
  <r>
    <x v="183"/>
    <s v="MAF"/>
    <x v="17"/>
    <n v="7569"/>
  </r>
  <r>
    <x v="183"/>
    <s v="MAF"/>
    <x v="18"/>
    <n v="7822"/>
  </r>
  <r>
    <x v="183"/>
    <s v="MAF"/>
    <x v="19"/>
    <n v="8063"/>
  </r>
  <r>
    <x v="183"/>
    <s v="MAF"/>
    <x v="20"/>
    <n v="8288"/>
  </r>
  <r>
    <x v="183"/>
    <s v="MAF"/>
    <x v="21"/>
    <n v="8498"/>
  </r>
  <r>
    <x v="183"/>
    <s v="MAF"/>
    <x v="22"/>
    <n v="9494"/>
  </r>
  <r>
    <x v="183"/>
    <s v="MAF"/>
    <x v="23"/>
    <n v="11485"/>
  </r>
  <r>
    <x v="183"/>
    <s v="MAF"/>
    <x v="24"/>
    <n v="13733"/>
  </r>
  <r>
    <x v="183"/>
    <s v="MAF"/>
    <x v="25"/>
    <n v="16095"/>
  </r>
  <r>
    <x v="183"/>
    <s v="MAF"/>
    <x v="26"/>
    <n v="18558"/>
  </r>
  <r>
    <x v="183"/>
    <s v="MAF"/>
    <x v="27"/>
    <n v="21108"/>
  </r>
  <r>
    <x v="183"/>
    <s v="MAF"/>
    <x v="28"/>
    <n v="23749"/>
  </r>
  <r>
    <x v="183"/>
    <s v="MAF"/>
    <x v="29"/>
    <n v="26453"/>
  </r>
  <r>
    <x v="183"/>
    <s v="MAF"/>
    <x v="30"/>
    <n v="28224"/>
  </r>
  <r>
    <x v="183"/>
    <s v="MAF"/>
    <x v="31"/>
    <n v="28800"/>
  </r>
  <r>
    <x v="183"/>
    <s v="MAF"/>
    <x v="32"/>
    <n v="29081"/>
  </r>
  <r>
    <x v="183"/>
    <s v="MAF"/>
    <x v="33"/>
    <n v="29282"/>
  </r>
  <r>
    <x v="183"/>
    <s v="MAF"/>
    <x v="34"/>
    <n v="29413"/>
  </r>
  <r>
    <x v="183"/>
    <s v="MAF"/>
    <x v="35"/>
    <n v="29470"/>
  </r>
  <r>
    <x v="183"/>
    <s v="MAF"/>
    <x v="36"/>
    <n v="29443"/>
  </r>
  <r>
    <x v="183"/>
    <s v="MAF"/>
    <x v="37"/>
    <n v="29323"/>
  </r>
  <r>
    <x v="183"/>
    <s v="MAF"/>
    <x v="38"/>
    <n v="29107"/>
  </r>
  <r>
    <x v="183"/>
    <s v="MAF"/>
    <x v="39"/>
    <n v="29284"/>
  </r>
  <r>
    <x v="183"/>
    <s v="MAF"/>
    <x v="40"/>
    <n v="29996"/>
  </r>
  <r>
    <x v="183"/>
    <s v="MAF"/>
    <x v="41"/>
    <n v="30803"/>
  </r>
  <r>
    <x v="183"/>
    <s v="MAF"/>
    <x v="42"/>
    <n v="31604"/>
  </r>
  <r>
    <x v="183"/>
    <s v="MAF"/>
    <x v="43"/>
    <n v="32395"/>
  </r>
  <r>
    <x v="183"/>
    <s v="MAF"/>
    <x v="44"/>
    <n v="33171"/>
  </r>
  <r>
    <x v="183"/>
    <s v="MAF"/>
    <x v="45"/>
    <n v="33928"/>
  </r>
  <r>
    <x v="183"/>
    <s v="MAF"/>
    <x v="46"/>
    <n v="34658"/>
  </r>
  <r>
    <x v="183"/>
    <s v="MAF"/>
    <x v="47"/>
    <n v="35337"/>
  </r>
  <r>
    <x v="183"/>
    <s v="MAF"/>
    <x v="48"/>
    <n v="35958"/>
  </r>
  <r>
    <x v="183"/>
    <s v="MAF"/>
    <x v="49"/>
    <n v="36502"/>
  </r>
  <r>
    <x v="183"/>
    <s v="MAF"/>
    <x v="50"/>
    <n v="36856"/>
  </r>
  <r>
    <x v="183"/>
    <s v="MAF"/>
    <x v="51"/>
    <n v="37069"/>
  </r>
  <r>
    <x v="183"/>
    <s v="MAF"/>
    <x v="52"/>
    <n v="37276"/>
  </r>
  <r>
    <x v="183"/>
    <s v="MAF"/>
    <x v="53"/>
    <n v="37419"/>
  </r>
  <r>
    <x v="183"/>
    <s v="MAF"/>
    <x v="54"/>
    <n v="37450"/>
  </r>
  <r>
    <x v="183"/>
    <s v="MAF"/>
    <x v="55"/>
    <n v="37369"/>
  </r>
  <r>
    <x v="183"/>
    <s v="MAF"/>
    <x v="56"/>
    <n v="37175"/>
  </r>
  <r>
    <x v="183"/>
    <s v="MAF"/>
    <x v="57"/>
    <n v="36837"/>
  </r>
  <r>
    <x v="183"/>
    <s v="MAF"/>
    <x v="58"/>
    <n v="36012"/>
  </r>
  <r>
    <x v="183"/>
    <s v="MAF"/>
    <x v="59"/>
    <n v="34267"/>
  </r>
  <r>
    <x v="183"/>
    <s v="MAF"/>
    <x v="60"/>
    <n v="31786"/>
  </r>
  <r>
    <x v="183"/>
    <s v="MAF"/>
    <x v="61"/>
    <n v="29961"/>
  </r>
  <r>
    <x v="183"/>
    <s v="MAF"/>
    <x v="62"/>
    <n v="28870"/>
  </r>
  <r>
    <x v="183"/>
    <s v="MAF"/>
    <x v="63"/>
    <n v="27515"/>
  </r>
  <r>
    <x v="183"/>
    <s v="MAF"/>
    <x v="64"/>
    <n v="26129"/>
  </r>
  <r>
    <x v="184"/>
    <s v="VCT"/>
    <x v="0"/>
    <n v="84388"/>
  </r>
  <r>
    <x v="184"/>
    <s v="VCT"/>
    <x v="1"/>
    <n v="85870"/>
  </r>
  <r>
    <x v="184"/>
    <s v="VCT"/>
    <x v="2"/>
    <n v="87236"/>
  </r>
  <r>
    <x v="184"/>
    <s v="VCT"/>
    <x v="3"/>
    <n v="88523"/>
  </r>
  <r>
    <x v="184"/>
    <s v="VCT"/>
    <x v="4"/>
    <n v="89749"/>
  </r>
  <r>
    <x v="184"/>
    <s v="VCT"/>
    <x v="5"/>
    <n v="90927"/>
  </r>
  <r>
    <x v="184"/>
    <s v="VCT"/>
    <x v="6"/>
    <n v="92052"/>
  </r>
  <r>
    <x v="184"/>
    <s v="VCT"/>
    <x v="7"/>
    <n v="93124"/>
  </r>
  <r>
    <x v="184"/>
    <s v="VCT"/>
    <x v="8"/>
    <n v="94123"/>
  </r>
  <r>
    <x v="184"/>
    <s v="VCT"/>
    <x v="9"/>
    <n v="95058"/>
  </r>
  <r>
    <x v="184"/>
    <s v="VCT"/>
    <x v="10"/>
    <n v="95964"/>
  </r>
  <r>
    <x v="184"/>
    <s v="VCT"/>
    <x v="11"/>
    <n v="96872"/>
  </r>
  <r>
    <x v="184"/>
    <s v="VCT"/>
    <x v="12"/>
    <n v="97790"/>
  </r>
  <r>
    <x v="184"/>
    <s v="VCT"/>
    <x v="13"/>
    <n v="98691"/>
  </r>
  <r>
    <x v="184"/>
    <s v="VCT"/>
    <x v="14"/>
    <n v="99556"/>
  </r>
  <r>
    <x v="184"/>
    <s v="VCT"/>
    <x v="15"/>
    <n v="100387"/>
  </r>
  <r>
    <x v="184"/>
    <s v="VCT"/>
    <x v="16"/>
    <n v="101197"/>
  </r>
  <r>
    <x v="184"/>
    <s v="VCT"/>
    <x v="17"/>
    <n v="101999"/>
  </r>
  <r>
    <x v="184"/>
    <s v="VCT"/>
    <x v="18"/>
    <n v="102775"/>
  </r>
  <r>
    <x v="184"/>
    <s v="VCT"/>
    <x v="19"/>
    <n v="103478"/>
  </r>
  <r>
    <x v="184"/>
    <s v="VCT"/>
    <x v="20"/>
    <n v="104213"/>
  </r>
  <r>
    <x v="184"/>
    <s v="VCT"/>
    <x v="21"/>
    <n v="105073"/>
  </r>
  <r>
    <x v="184"/>
    <s v="VCT"/>
    <x v="22"/>
    <n v="105969"/>
  </r>
  <r>
    <x v="184"/>
    <s v="VCT"/>
    <x v="23"/>
    <n v="106838"/>
  </r>
  <r>
    <x v="184"/>
    <s v="VCT"/>
    <x v="24"/>
    <n v="107687"/>
  </r>
  <r>
    <x v="184"/>
    <s v="VCT"/>
    <x v="25"/>
    <n v="108506"/>
  </r>
  <r>
    <x v="184"/>
    <s v="VCT"/>
    <x v="26"/>
    <n v="109281"/>
  </r>
  <r>
    <x v="184"/>
    <s v="VCT"/>
    <x v="27"/>
    <n v="110001"/>
  </r>
  <r>
    <x v="184"/>
    <s v="VCT"/>
    <x v="28"/>
    <n v="110658"/>
  </r>
  <r>
    <x v="184"/>
    <s v="VCT"/>
    <x v="29"/>
    <n v="111272"/>
  </r>
  <r>
    <x v="184"/>
    <s v="VCT"/>
    <x v="30"/>
    <n v="111812"/>
  </r>
  <r>
    <x v="184"/>
    <s v="VCT"/>
    <x v="31"/>
    <n v="112222"/>
  </r>
  <r>
    <x v="184"/>
    <s v="VCT"/>
    <x v="32"/>
    <n v="112509"/>
  </r>
  <r>
    <x v="184"/>
    <s v="VCT"/>
    <x v="33"/>
    <n v="112735"/>
  </r>
  <r>
    <x v="184"/>
    <s v="VCT"/>
    <x v="34"/>
    <n v="112918"/>
  </r>
  <r>
    <x v="184"/>
    <s v="VCT"/>
    <x v="35"/>
    <n v="113047"/>
  </r>
  <r>
    <x v="184"/>
    <s v="VCT"/>
    <x v="36"/>
    <n v="113119"/>
  </r>
  <r>
    <x v="184"/>
    <s v="VCT"/>
    <x v="37"/>
    <n v="113141"/>
  </r>
  <r>
    <x v="184"/>
    <s v="VCT"/>
    <x v="38"/>
    <n v="113180"/>
  </r>
  <r>
    <x v="184"/>
    <s v="VCT"/>
    <x v="39"/>
    <n v="113366"/>
  </r>
  <r>
    <x v="184"/>
    <s v="VCT"/>
    <x v="40"/>
    <n v="113545"/>
  </r>
  <r>
    <x v="184"/>
    <s v="VCT"/>
    <x v="41"/>
    <n v="113501"/>
  </r>
  <r>
    <x v="184"/>
    <s v="VCT"/>
    <x v="42"/>
    <n v="113347"/>
  </r>
  <r>
    <x v="184"/>
    <s v="VCT"/>
    <x v="43"/>
    <n v="113141"/>
  </r>
  <r>
    <x v="184"/>
    <s v="VCT"/>
    <x v="44"/>
    <n v="112835"/>
  </r>
  <r>
    <x v="184"/>
    <s v="VCT"/>
    <x v="45"/>
    <n v="112450"/>
  </r>
  <r>
    <x v="184"/>
    <s v="VCT"/>
    <x v="46"/>
    <n v="112014"/>
  </r>
  <r>
    <x v="184"/>
    <s v="VCT"/>
    <x v="47"/>
    <n v="111531"/>
  </r>
  <r>
    <x v="184"/>
    <s v="VCT"/>
    <x v="48"/>
    <n v="111028"/>
  </r>
  <r>
    <x v="184"/>
    <s v="VCT"/>
    <x v="49"/>
    <n v="110508"/>
  </r>
  <r>
    <x v="184"/>
    <s v="VCT"/>
    <x v="50"/>
    <n v="109959"/>
  </r>
  <r>
    <x v="184"/>
    <s v="VCT"/>
    <x v="51"/>
    <n v="109349"/>
  </r>
  <r>
    <x v="184"/>
    <s v="VCT"/>
    <x v="52"/>
    <n v="108736"/>
  </r>
  <r>
    <x v="184"/>
    <s v="VCT"/>
    <x v="53"/>
    <n v="108135"/>
  </r>
  <r>
    <x v="184"/>
    <s v="VCT"/>
    <x v="54"/>
    <n v="107535"/>
  </r>
  <r>
    <x v="184"/>
    <s v="VCT"/>
    <x v="55"/>
    <n v="106960"/>
  </r>
  <r>
    <x v="184"/>
    <s v="VCT"/>
    <x v="56"/>
    <n v="106349"/>
  </r>
  <r>
    <x v="184"/>
    <s v="VCT"/>
    <x v="57"/>
    <n v="105663"/>
  </r>
  <r>
    <x v="184"/>
    <s v="VCT"/>
    <x v="58"/>
    <n v="104926"/>
  </r>
  <r>
    <x v="184"/>
    <s v="VCT"/>
    <x v="59"/>
    <n v="104167"/>
  </r>
  <r>
    <x v="184"/>
    <s v="VCT"/>
    <x v="60"/>
    <n v="103526"/>
  </r>
  <r>
    <x v="184"/>
    <s v="VCT"/>
    <x v="61"/>
    <n v="102841"/>
  </r>
  <r>
    <x v="184"/>
    <s v="VCT"/>
    <x v="62"/>
    <n v="102046"/>
  </r>
  <r>
    <x v="184"/>
    <s v="VCT"/>
    <x v="63"/>
    <n v="101323"/>
  </r>
  <r>
    <x v="184"/>
    <s v="VCT"/>
    <x v="64"/>
    <n v="100616"/>
  </r>
  <r>
    <x v="185"/>
    <s v="SDN"/>
    <x v="0"/>
    <n v="8364489"/>
  </r>
  <r>
    <x v="185"/>
    <s v="SDN"/>
    <x v="1"/>
    <n v="8634941"/>
  </r>
  <r>
    <x v="185"/>
    <s v="SDN"/>
    <x v="2"/>
    <n v="8919028"/>
  </r>
  <r>
    <x v="185"/>
    <s v="SDN"/>
    <x v="3"/>
    <n v="9218077"/>
  </r>
  <r>
    <x v="185"/>
    <s v="SDN"/>
    <x v="4"/>
    <n v="9531109"/>
  </r>
  <r>
    <x v="185"/>
    <s v="SDN"/>
    <x v="5"/>
    <n v="9858030"/>
  </r>
  <r>
    <x v="185"/>
    <s v="SDN"/>
    <x v="6"/>
    <n v="10197578"/>
  </r>
  <r>
    <x v="185"/>
    <s v="SDN"/>
    <x v="7"/>
    <n v="10550597"/>
  </r>
  <r>
    <x v="185"/>
    <s v="SDN"/>
    <x v="8"/>
    <n v="10917999"/>
  </r>
  <r>
    <x v="185"/>
    <s v="SDN"/>
    <x v="9"/>
    <n v="11298936"/>
  </r>
  <r>
    <x v="185"/>
    <s v="SDN"/>
    <x v="10"/>
    <n v="11695771"/>
  </r>
  <r>
    <x v="185"/>
    <s v="SDN"/>
    <x v="11"/>
    <n v="12105539"/>
  </r>
  <r>
    <x v="185"/>
    <s v="SDN"/>
    <x v="12"/>
    <n v="12527856"/>
  </r>
  <r>
    <x v="185"/>
    <s v="SDN"/>
    <x v="13"/>
    <n v="13049315"/>
  </r>
  <r>
    <x v="185"/>
    <s v="SDN"/>
    <x v="14"/>
    <n v="13580723"/>
  </r>
  <r>
    <x v="185"/>
    <s v="SDN"/>
    <x v="15"/>
    <n v="14064798"/>
  </r>
  <r>
    <x v="185"/>
    <s v="SDN"/>
    <x v="16"/>
    <n v="14569716"/>
  </r>
  <r>
    <x v="185"/>
    <s v="SDN"/>
    <x v="17"/>
    <n v="15086614"/>
  </r>
  <r>
    <x v="185"/>
    <s v="SDN"/>
    <x v="18"/>
    <n v="15695003"/>
  </r>
  <r>
    <x v="185"/>
    <s v="SDN"/>
    <x v="19"/>
    <n v="16355352"/>
  </r>
  <r>
    <x v="185"/>
    <s v="SDN"/>
    <x v="20"/>
    <n v="17058905"/>
  </r>
  <r>
    <x v="185"/>
    <s v="SDN"/>
    <x v="21"/>
    <n v="17780572"/>
  </r>
  <r>
    <x v="185"/>
    <s v="SDN"/>
    <x v="22"/>
    <n v="18486645"/>
  </r>
  <r>
    <x v="185"/>
    <s v="SDN"/>
    <x v="23"/>
    <n v="19109770"/>
  </r>
  <r>
    <x v="185"/>
    <s v="SDN"/>
    <x v="24"/>
    <n v="19546528"/>
  </r>
  <r>
    <x v="185"/>
    <s v="SDN"/>
    <x v="25"/>
    <n v="19905872"/>
  </r>
  <r>
    <x v="185"/>
    <s v="SDN"/>
    <x v="26"/>
    <n v="20288238"/>
  </r>
  <r>
    <x v="185"/>
    <s v="SDN"/>
    <x v="27"/>
    <n v="20704904"/>
  </r>
  <r>
    <x v="185"/>
    <s v="SDN"/>
    <x v="28"/>
    <n v="21138431"/>
  </r>
  <r>
    <x v="185"/>
    <s v="SDN"/>
    <x v="29"/>
    <n v="21578022"/>
  </r>
  <r>
    <x v="185"/>
    <s v="SDN"/>
    <x v="30"/>
    <n v="22021481"/>
  </r>
  <r>
    <x v="185"/>
    <s v="SDN"/>
    <x v="31"/>
    <n v="22470676"/>
  </r>
  <r>
    <x v="185"/>
    <s v="SDN"/>
    <x v="32"/>
    <n v="22927355"/>
  </r>
  <r>
    <x v="185"/>
    <s v="SDN"/>
    <x v="33"/>
    <n v="23445592"/>
  </r>
  <r>
    <x v="185"/>
    <s v="SDN"/>
    <x v="34"/>
    <n v="24043948"/>
  </r>
  <r>
    <x v="185"/>
    <s v="SDN"/>
    <x v="35"/>
    <n v="24672143"/>
  </r>
  <r>
    <x v="185"/>
    <s v="SDN"/>
    <x v="36"/>
    <n v="25231528"/>
  </r>
  <r>
    <x v="185"/>
    <s v="SDN"/>
    <x v="37"/>
    <n v="25799821"/>
  </r>
  <r>
    <x v="185"/>
    <s v="SDN"/>
    <x v="38"/>
    <n v="26458999"/>
  </r>
  <r>
    <x v="185"/>
    <s v="SDN"/>
    <x v="39"/>
    <n v="27130613"/>
  </r>
  <r>
    <x v="185"/>
    <s v="SDN"/>
    <x v="40"/>
    <n v="27816745"/>
  </r>
  <r>
    <x v="185"/>
    <s v="SDN"/>
    <x v="41"/>
    <n v="28516770"/>
  </r>
  <r>
    <x v="185"/>
    <s v="SDN"/>
    <x v="42"/>
    <n v="29228727"/>
  </r>
  <r>
    <x v="185"/>
    <s v="SDN"/>
    <x v="43"/>
    <n v="29896035"/>
  </r>
  <r>
    <x v="185"/>
    <s v="SDN"/>
    <x v="44"/>
    <n v="30556637"/>
  </r>
  <r>
    <x v="185"/>
    <s v="SDN"/>
    <x v="45"/>
    <n v="31262444"/>
  </r>
  <r>
    <x v="185"/>
    <s v="SDN"/>
    <x v="46"/>
    <n v="31992435"/>
  </r>
  <r>
    <x v="185"/>
    <s v="SDN"/>
    <x v="47"/>
    <n v="32764135"/>
  </r>
  <r>
    <x v="185"/>
    <s v="SDN"/>
    <x v="48"/>
    <n v="33623980"/>
  </r>
  <r>
    <x v="185"/>
    <s v="SDN"/>
    <x v="49"/>
    <n v="34569113"/>
  </r>
  <r>
    <x v="185"/>
    <s v="SDN"/>
    <x v="50"/>
    <n v="35414399"/>
  </r>
  <r>
    <x v="185"/>
    <s v="SDN"/>
    <x v="51"/>
    <n v="36140806"/>
  </r>
  <r>
    <x v="185"/>
    <s v="SDN"/>
    <x v="52"/>
    <n v="36923178"/>
  </r>
  <r>
    <x v="185"/>
    <s v="SDN"/>
    <x v="53"/>
    <n v="37785849"/>
  </r>
  <r>
    <x v="185"/>
    <s v="SDN"/>
    <x v="54"/>
    <n v="38823318"/>
  </r>
  <r>
    <x v="185"/>
    <s v="SDN"/>
    <x v="55"/>
    <n v="40024431"/>
  </r>
  <r>
    <x v="185"/>
    <s v="SDN"/>
    <x v="56"/>
    <n v="41259892"/>
  </r>
  <r>
    <x v="185"/>
    <s v="SDN"/>
    <x v="57"/>
    <n v="42714306"/>
  </r>
  <r>
    <x v="185"/>
    <s v="SDN"/>
    <x v="58"/>
    <n v="44230596"/>
  </r>
  <r>
    <x v="185"/>
    <s v="SDN"/>
    <x v="59"/>
    <n v="45548175"/>
  </r>
  <r>
    <x v="185"/>
    <s v="SDN"/>
    <x v="60"/>
    <n v="46789231"/>
  </r>
  <r>
    <x v="185"/>
    <s v="SDN"/>
    <x v="61"/>
    <n v="48066924"/>
  </r>
  <r>
    <x v="185"/>
    <s v="SDN"/>
    <x v="62"/>
    <n v="49383346"/>
  </r>
  <r>
    <x v="185"/>
    <s v="SDN"/>
    <x v="63"/>
    <n v="50042791"/>
  </r>
  <r>
    <x v="185"/>
    <s v="SDN"/>
    <x v="64"/>
    <n v="50448963"/>
  </r>
  <r>
    <x v="186"/>
    <s v="SUR"/>
    <x v="0"/>
    <n v="263918"/>
  </r>
  <r>
    <x v="186"/>
    <s v="SUR"/>
    <x v="1"/>
    <n v="272791"/>
  </r>
  <r>
    <x v="186"/>
    <s v="SUR"/>
    <x v="2"/>
    <n v="283912"/>
  </r>
  <r>
    <x v="186"/>
    <s v="SUR"/>
    <x v="3"/>
    <n v="297034"/>
  </r>
  <r>
    <x v="186"/>
    <s v="SUR"/>
    <x v="4"/>
    <n v="309041"/>
  </r>
  <r>
    <x v="186"/>
    <s v="SUR"/>
    <x v="5"/>
    <n v="320000"/>
  </r>
  <r>
    <x v="186"/>
    <s v="SUR"/>
    <x v="6"/>
    <n v="331135"/>
  </r>
  <r>
    <x v="186"/>
    <s v="SUR"/>
    <x v="7"/>
    <n v="342679"/>
  </r>
  <r>
    <x v="186"/>
    <s v="SUR"/>
    <x v="8"/>
    <n v="354616"/>
  </r>
  <r>
    <x v="186"/>
    <s v="SUR"/>
    <x v="9"/>
    <n v="366906"/>
  </r>
  <r>
    <x v="186"/>
    <s v="SUR"/>
    <x v="10"/>
    <n v="379442"/>
  </r>
  <r>
    <x v="186"/>
    <s v="SUR"/>
    <x v="11"/>
    <n v="391932"/>
  </r>
  <r>
    <x v="186"/>
    <s v="SUR"/>
    <x v="12"/>
    <n v="397413"/>
  </r>
  <r>
    <x v="186"/>
    <s v="SUR"/>
    <x v="13"/>
    <n v="395772"/>
  </r>
  <r>
    <x v="186"/>
    <s v="SUR"/>
    <x v="14"/>
    <n v="393676"/>
  </r>
  <r>
    <x v="186"/>
    <s v="SUR"/>
    <x v="15"/>
    <n v="391170"/>
  </r>
  <r>
    <x v="186"/>
    <s v="SUR"/>
    <x v="16"/>
    <n v="388289"/>
  </r>
  <r>
    <x v="186"/>
    <s v="SUR"/>
    <x v="17"/>
    <n v="385067"/>
  </r>
  <r>
    <x v="186"/>
    <s v="SUR"/>
    <x v="18"/>
    <n v="381502"/>
  </r>
  <r>
    <x v="186"/>
    <s v="SUR"/>
    <x v="19"/>
    <n v="377602"/>
  </r>
  <r>
    <x v="186"/>
    <s v="SUR"/>
    <x v="20"/>
    <n v="375377"/>
  </r>
  <r>
    <x v="186"/>
    <s v="SUR"/>
    <x v="21"/>
    <n v="375459"/>
  </r>
  <r>
    <x v="186"/>
    <s v="SUR"/>
    <x v="22"/>
    <n v="376555"/>
  </r>
  <r>
    <x v="186"/>
    <s v="SUR"/>
    <x v="23"/>
    <n v="378746"/>
  </r>
  <r>
    <x v="186"/>
    <s v="SUR"/>
    <x v="24"/>
    <n v="382193"/>
  </r>
  <r>
    <x v="186"/>
    <s v="SUR"/>
    <x v="25"/>
    <n v="386972"/>
  </r>
  <r>
    <x v="186"/>
    <s v="SUR"/>
    <x v="26"/>
    <n v="392330"/>
  </r>
  <r>
    <x v="186"/>
    <s v="SUR"/>
    <x v="27"/>
    <n v="396911"/>
  </r>
  <r>
    <x v="186"/>
    <s v="SUR"/>
    <x v="28"/>
    <n v="402227"/>
  </r>
  <r>
    <x v="186"/>
    <s v="SUR"/>
    <x v="29"/>
    <n v="408409"/>
  </r>
  <r>
    <x v="186"/>
    <s v="SUR"/>
    <x v="30"/>
    <n v="412493"/>
  </r>
  <r>
    <x v="186"/>
    <s v="SUR"/>
    <x v="31"/>
    <n v="415013"/>
  </r>
  <r>
    <x v="186"/>
    <s v="SUR"/>
    <x v="32"/>
    <n v="417589"/>
  </r>
  <r>
    <x v="186"/>
    <s v="SUR"/>
    <x v="33"/>
    <n v="419352"/>
  </r>
  <r>
    <x v="186"/>
    <s v="SUR"/>
    <x v="34"/>
    <n v="422375"/>
  </r>
  <r>
    <x v="186"/>
    <s v="SUR"/>
    <x v="35"/>
    <n v="429606"/>
  </r>
  <r>
    <x v="186"/>
    <s v="SUR"/>
    <x v="36"/>
    <n v="438830"/>
  </r>
  <r>
    <x v="186"/>
    <s v="SUR"/>
    <x v="37"/>
    <n v="448067"/>
  </r>
  <r>
    <x v="186"/>
    <s v="SUR"/>
    <x v="38"/>
    <n v="457406"/>
  </r>
  <r>
    <x v="186"/>
    <s v="SUR"/>
    <x v="39"/>
    <n v="466916"/>
  </r>
  <r>
    <x v="186"/>
    <s v="SUR"/>
    <x v="40"/>
    <n v="476643"/>
  </r>
  <r>
    <x v="186"/>
    <s v="SUR"/>
    <x v="41"/>
    <n v="486560"/>
  </r>
  <r>
    <x v="186"/>
    <s v="SUR"/>
    <x v="42"/>
    <n v="496551"/>
  </r>
  <r>
    <x v="186"/>
    <s v="SUR"/>
    <x v="43"/>
    <n v="506414"/>
  </r>
  <r>
    <x v="186"/>
    <s v="SUR"/>
    <x v="44"/>
    <n v="513923"/>
  </r>
  <r>
    <x v="186"/>
    <s v="SUR"/>
    <x v="45"/>
    <n v="519313"/>
  </r>
  <r>
    <x v="186"/>
    <s v="SUR"/>
    <x v="46"/>
    <n v="524997"/>
  </r>
  <r>
    <x v="186"/>
    <s v="SUR"/>
    <x v="47"/>
    <n v="531016"/>
  </r>
  <r>
    <x v="186"/>
    <s v="SUR"/>
    <x v="48"/>
    <n v="537245"/>
  </r>
  <r>
    <x v="186"/>
    <s v="SUR"/>
    <x v="49"/>
    <n v="543568"/>
  </r>
  <r>
    <x v="186"/>
    <s v="SUR"/>
    <x v="50"/>
    <n v="549923"/>
  </r>
  <r>
    <x v="186"/>
    <s v="SUR"/>
    <x v="51"/>
    <n v="556269"/>
  </r>
  <r>
    <x v="186"/>
    <s v="SUR"/>
    <x v="52"/>
    <n v="562633"/>
  </r>
  <r>
    <x v="186"/>
    <s v="SUR"/>
    <x v="53"/>
    <n v="569020"/>
  </r>
  <r>
    <x v="186"/>
    <s v="SUR"/>
    <x v="54"/>
    <n v="575373"/>
  </r>
  <r>
    <x v="186"/>
    <s v="SUR"/>
    <x v="55"/>
    <n v="581627"/>
  </r>
  <r>
    <x v="186"/>
    <s v="SUR"/>
    <x v="56"/>
    <n v="587757"/>
  </r>
  <r>
    <x v="186"/>
    <s v="SUR"/>
    <x v="57"/>
    <n v="593713"/>
  </r>
  <r>
    <x v="186"/>
    <s v="SUR"/>
    <x v="58"/>
    <n v="599513"/>
  </r>
  <r>
    <x v="186"/>
    <s v="SUR"/>
    <x v="59"/>
    <n v="605768"/>
  </r>
  <r>
    <x v="186"/>
    <s v="SUR"/>
    <x v="60"/>
    <n v="612317"/>
  </r>
  <r>
    <x v="186"/>
    <s v="SUR"/>
    <x v="61"/>
    <n v="617896"/>
  </r>
  <r>
    <x v="186"/>
    <s v="SUR"/>
    <x v="62"/>
    <n v="623164"/>
  </r>
  <r>
    <x v="186"/>
    <s v="SUR"/>
    <x v="63"/>
    <n v="628886"/>
  </r>
  <r>
    <x v="186"/>
    <s v="SUR"/>
    <x v="64"/>
    <n v="634431"/>
  </r>
  <r>
    <x v="187"/>
    <s v="SWE"/>
    <x v="0"/>
    <n v="7484656"/>
  </r>
  <r>
    <x v="187"/>
    <s v="SWE"/>
    <x v="1"/>
    <n v="7519998"/>
  </r>
  <r>
    <x v="187"/>
    <s v="SWE"/>
    <x v="2"/>
    <n v="7561588"/>
  </r>
  <r>
    <x v="187"/>
    <s v="SWE"/>
    <x v="3"/>
    <n v="7604328"/>
  </r>
  <r>
    <x v="187"/>
    <s v="SWE"/>
    <x v="4"/>
    <n v="7661354"/>
  </r>
  <r>
    <x v="187"/>
    <s v="SWE"/>
    <x v="5"/>
    <n v="7733853"/>
  </r>
  <r>
    <x v="187"/>
    <s v="SWE"/>
    <x v="6"/>
    <n v="7807797"/>
  </r>
  <r>
    <x v="187"/>
    <s v="SWE"/>
    <x v="7"/>
    <n v="7867931"/>
  </r>
  <r>
    <x v="187"/>
    <s v="SWE"/>
    <x v="8"/>
    <n v="7912273"/>
  </r>
  <r>
    <x v="187"/>
    <s v="SWE"/>
    <x v="9"/>
    <n v="7968072"/>
  </r>
  <r>
    <x v="187"/>
    <s v="SWE"/>
    <x v="10"/>
    <n v="8042801"/>
  </r>
  <r>
    <x v="187"/>
    <s v="SWE"/>
    <x v="11"/>
    <n v="8098334"/>
  </r>
  <r>
    <x v="187"/>
    <s v="SWE"/>
    <x v="12"/>
    <n v="8122300"/>
  </r>
  <r>
    <x v="187"/>
    <s v="SWE"/>
    <x v="13"/>
    <n v="8136312"/>
  </r>
  <r>
    <x v="187"/>
    <s v="SWE"/>
    <x v="14"/>
    <n v="8159955"/>
  </r>
  <r>
    <x v="187"/>
    <s v="SWE"/>
    <x v="15"/>
    <n v="8192437"/>
  </r>
  <r>
    <x v="187"/>
    <s v="SWE"/>
    <x v="16"/>
    <n v="8222286"/>
  </r>
  <r>
    <x v="187"/>
    <s v="SWE"/>
    <x v="17"/>
    <n v="8251540"/>
  </r>
  <r>
    <x v="187"/>
    <s v="SWE"/>
    <x v="18"/>
    <n v="8275599"/>
  </r>
  <r>
    <x v="187"/>
    <s v="SWE"/>
    <x v="19"/>
    <n v="8293678"/>
  </r>
  <r>
    <x v="187"/>
    <s v="SWE"/>
    <x v="20"/>
    <n v="8310531"/>
  </r>
  <r>
    <x v="187"/>
    <s v="SWE"/>
    <x v="21"/>
    <n v="8320503"/>
  </r>
  <r>
    <x v="187"/>
    <s v="SWE"/>
    <x v="22"/>
    <n v="8325263"/>
  </r>
  <r>
    <x v="187"/>
    <s v="SWE"/>
    <x v="23"/>
    <n v="8329033"/>
  </r>
  <r>
    <x v="187"/>
    <s v="SWE"/>
    <x v="24"/>
    <n v="8336605"/>
  </r>
  <r>
    <x v="187"/>
    <s v="SWE"/>
    <x v="25"/>
    <n v="8350386"/>
  </r>
  <r>
    <x v="187"/>
    <s v="SWE"/>
    <x v="26"/>
    <n v="8369829"/>
  </r>
  <r>
    <x v="187"/>
    <s v="SWE"/>
    <x v="27"/>
    <n v="8397804"/>
  </r>
  <r>
    <x v="187"/>
    <s v="SWE"/>
    <x v="28"/>
    <n v="8436489"/>
  </r>
  <r>
    <x v="187"/>
    <s v="SWE"/>
    <x v="29"/>
    <n v="8492964"/>
  </r>
  <r>
    <x v="187"/>
    <s v="SWE"/>
    <x v="30"/>
    <n v="8558835"/>
  </r>
  <r>
    <x v="187"/>
    <s v="SWE"/>
    <x v="31"/>
    <n v="8617375"/>
  </r>
  <r>
    <x v="187"/>
    <s v="SWE"/>
    <x v="32"/>
    <n v="8668067"/>
  </r>
  <r>
    <x v="187"/>
    <s v="SWE"/>
    <x v="33"/>
    <n v="8718561"/>
  </r>
  <r>
    <x v="187"/>
    <s v="SWE"/>
    <x v="34"/>
    <n v="8780745"/>
  </r>
  <r>
    <x v="187"/>
    <s v="SWE"/>
    <x v="35"/>
    <n v="8826939"/>
  </r>
  <r>
    <x v="187"/>
    <s v="SWE"/>
    <x v="36"/>
    <n v="8840998"/>
  </r>
  <r>
    <x v="187"/>
    <s v="SWE"/>
    <x v="37"/>
    <n v="8846062"/>
  </r>
  <r>
    <x v="187"/>
    <s v="SWE"/>
    <x v="38"/>
    <n v="8850974"/>
  </r>
  <r>
    <x v="187"/>
    <s v="SWE"/>
    <x v="39"/>
    <n v="8857874"/>
  </r>
  <r>
    <x v="187"/>
    <s v="SWE"/>
    <x v="40"/>
    <n v="8872109"/>
  </r>
  <r>
    <x v="187"/>
    <s v="SWE"/>
    <x v="41"/>
    <n v="8895960"/>
  </r>
  <r>
    <x v="187"/>
    <s v="SWE"/>
    <x v="42"/>
    <n v="8924958"/>
  </r>
  <r>
    <x v="187"/>
    <s v="SWE"/>
    <x v="43"/>
    <n v="8958229"/>
  </r>
  <r>
    <x v="187"/>
    <s v="SWE"/>
    <x v="44"/>
    <n v="8993531"/>
  </r>
  <r>
    <x v="187"/>
    <s v="SWE"/>
    <x v="45"/>
    <n v="9029572"/>
  </r>
  <r>
    <x v="187"/>
    <s v="SWE"/>
    <x v="46"/>
    <n v="9080505"/>
  </r>
  <r>
    <x v="187"/>
    <s v="SWE"/>
    <x v="47"/>
    <n v="9148092"/>
  </r>
  <r>
    <x v="187"/>
    <s v="SWE"/>
    <x v="48"/>
    <n v="9219637"/>
  </r>
  <r>
    <x v="187"/>
    <s v="SWE"/>
    <x v="49"/>
    <n v="9298515"/>
  </r>
  <r>
    <x v="187"/>
    <s v="SWE"/>
    <x v="50"/>
    <n v="9378126"/>
  </r>
  <r>
    <x v="187"/>
    <s v="SWE"/>
    <x v="51"/>
    <n v="9449213"/>
  </r>
  <r>
    <x v="187"/>
    <s v="SWE"/>
    <x v="52"/>
    <n v="9519374"/>
  </r>
  <r>
    <x v="187"/>
    <s v="SWE"/>
    <x v="53"/>
    <n v="9600379"/>
  </r>
  <r>
    <x v="187"/>
    <s v="SWE"/>
    <x v="54"/>
    <n v="9696110"/>
  </r>
  <r>
    <x v="187"/>
    <s v="SWE"/>
    <x v="55"/>
    <n v="9799186"/>
  </r>
  <r>
    <x v="187"/>
    <s v="SWE"/>
    <x v="56"/>
    <n v="9923085"/>
  </r>
  <r>
    <x v="187"/>
    <s v="SWE"/>
    <x v="57"/>
    <n v="10057698"/>
  </r>
  <r>
    <x v="187"/>
    <s v="SWE"/>
    <x v="58"/>
    <n v="10175214"/>
  </r>
  <r>
    <x v="187"/>
    <s v="SWE"/>
    <x v="59"/>
    <n v="10278887"/>
  </r>
  <r>
    <x v="187"/>
    <s v="SWE"/>
    <x v="60"/>
    <n v="10353442"/>
  </r>
  <r>
    <x v="187"/>
    <s v="SWE"/>
    <x v="61"/>
    <n v="10415811"/>
  </r>
  <r>
    <x v="187"/>
    <s v="SWE"/>
    <x v="62"/>
    <n v="10486941"/>
  </r>
  <r>
    <x v="187"/>
    <s v="SWE"/>
    <x v="63"/>
    <n v="10536632"/>
  </r>
  <r>
    <x v="187"/>
    <s v="SWE"/>
    <x v="64"/>
    <n v="10569709"/>
  </r>
  <r>
    <x v="188"/>
    <s v="CHE"/>
    <x v="0"/>
    <n v="5327827"/>
  </r>
  <r>
    <x v="188"/>
    <s v="CHE"/>
    <x v="1"/>
    <n v="5434294"/>
  </r>
  <r>
    <x v="188"/>
    <s v="CHE"/>
    <x v="2"/>
    <n v="5573815"/>
  </r>
  <r>
    <x v="188"/>
    <s v="CHE"/>
    <x v="3"/>
    <n v="5694247"/>
  </r>
  <r>
    <x v="188"/>
    <s v="CHE"/>
    <x v="4"/>
    <n v="5789228"/>
  </r>
  <r>
    <x v="188"/>
    <s v="CHE"/>
    <x v="5"/>
    <n v="5856472"/>
  </r>
  <r>
    <x v="188"/>
    <s v="CHE"/>
    <x v="6"/>
    <n v="5918002"/>
  </r>
  <r>
    <x v="188"/>
    <s v="CHE"/>
    <x v="7"/>
    <n v="5991785"/>
  </r>
  <r>
    <x v="188"/>
    <s v="CHE"/>
    <x v="8"/>
    <n v="6067714"/>
  </r>
  <r>
    <x v="188"/>
    <s v="CHE"/>
    <x v="9"/>
    <n v="6136387"/>
  </r>
  <r>
    <x v="188"/>
    <s v="CHE"/>
    <x v="10"/>
    <n v="6180877"/>
  </r>
  <r>
    <x v="188"/>
    <s v="CHE"/>
    <x v="11"/>
    <n v="6213399"/>
  </r>
  <r>
    <x v="188"/>
    <s v="CHE"/>
    <x v="12"/>
    <n v="6260956"/>
  </r>
  <r>
    <x v="188"/>
    <s v="CHE"/>
    <x v="13"/>
    <n v="6307347"/>
  </r>
  <r>
    <x v="188"/>
    <s v="CHE"/>
    <x v="14"/>
    <n v="6341405"/>
  </r>
  <r>
    <x v="188"/>
    <s v="CHE"/>
    <x v="15"/>
    <n v="6338632"/>
  </r>
  <r>
    <x v="188"/>
    <s v="CHE"/>
    <x v="16"/>
    <n v="6302504"/>
  </r>
  <r>
    <x v="188"/>
    <s v="CHE"/>
    <x v="17"/>
    <n v="6281174"/>
  </r>
  <r>
    <x v="188"/>
    <s v="CHE"/>
    <x v="18"/>
    <n v="6281738"/>
  </r>
  <r>
    <x v="188"/>
    <s v="CHE"/>
    <x v="19"/>
    <n v="6294365"/>
  </r>
  <r>
    <x v="188"/>
    <s v="CHE"/>
    <x v="20"/>
    <n v="6319408"/>
  </r>
  <r>
    <x v="188"/>
    <s v="CHE"/>
    <x v="21"/>
    <n v="6354074"/>
  </r>
  <r>
    <x v="188"/>
    <s v="CHE"/>
    <x v="22"/>
    <n v="6391309"/>
  </r>
  <r>
    <x v="188"/>
    <s v="CHE"/>
    <x v="23"/>
    <n v="6418773"/>
  </r>
  <r>
    <x v="188"/>
    <s v="CHE"/>
    <x v="24"/>
    <n v="6441865"/>
  </r>
  <r>
    <x v="188"/>
    <s v="CHE"/>
    <x v="25"/>
    <n v="6470365"/>
  </r>
  <r>
    <x v="188"/>
    <s v="CHE"/>
    <x v="26"/>
    <n v="6504124"/>
  </r>
  <r>
    <x v="188"/>
    <s v="CHE"/>
    <x v="27"/>
    <n v="6545106"/>
  </r>
  <r>
    <x v="188"/>
    <s v="CHE"/>
    <x v="28"/>
    <n v="6593386"/>
  </r>
  <r>
    <x v="188"/>
    <s v="CHE"/>
    <x v="29"/>
    <n v="6646912"/>
  </r>
  <r>
    <x v="188"/>
    <s v="CHE"/>
    <x v="30"/>
    <n v="6715519"/>
  </r>
  <r>
    <x v="188"/>
    <s v="CHE"/>
    <x v="31"/>
    <n v="6799978"/>
  </r>
  <r>
    <x v="188"/>
    <s v="CHE"/>
    <x v="32"/>
    <n v="6875364"/>
  </r>
  <r>
    <x v="188"/>
    <s v="CHE"/>
    <x v="33"/>
    <n v="6938265"/>
  </r>
  <r>
    <x v="188"/>
    <s v="CHE"/>
    <x v="34"/>
    <n v="6993795"/>
  </r>
  <r>
    <x v="188"/>
    <s v="CHE"/>
    <x v="35"/>
    <n v="7040687"/>
  </r>
  <r>
    <x v="188"/>
    <s v="CHE"/>
    <x v="36"/>
    <n v="7071850"/>
  </r>
  <r>
    <x v="188"/>
    <s v="CHE"/>
    <x v="37"/>
    <n v="7088906"/>
  </r>
  <r>
    <x v="188"/>
    <s v="CHE"/>
    <x v="38"/>
    <n v="7110001"/>
  </r>
  <r>
    <x v="188"/>
    <s v="CHE"/>
    <x v="39"/>
    <n v="7143991"/>
  </r>
  <r>
    <x v="188"/>
    <s v="CHE"/>
    <x v="40"/>
    <n v="7184250"/>
  </r>
  <r>
    <x v="188"/>
    <s v="CHE"/>
    <x v="41"/>
    <n v="7229854"/>
  </r>
  <r>
    <x v="188"/>
    <s v="CHE"/>
    <x v="42"/>
    <n v="7284753"/>
  </r>
  <r>
    <x v="188"/>
    <s v="CHE"/>
    <x v="43"/>
    <n v="7339001"/>
  </r>
  <r>
    <x v="188"/>
    <s v="CHE"/>
    <x v="44"/>
    <n v="7389625"/>
  </r>
  <r>
    <x v="188"/>
    <s v="CHE"/>
    <x v="45"/>
    <n v="7437115"/>
  </r>
  <r>
    <x v="188"/>
    <s v="CHE"/>
    <x v="46"/>
    <n v="7483934"/>
  </r>
  <r>
    <x v="188"/>
    <s v="CHE"/>
    <x v="47"/>
    <n v="7551117"/>
  </r>
  <r>
    <x v="188"/>
    <s v="CHE"/>
    <x v="48"/>
    <n v="7647675"/>
  </r>
  <r>
    <x v="188"/>
    <s v="CHE"/>
    <x v="49"/>
    <n v="7743831"/>
  </r>
  <r>
    <x v="188"/>
    <s v="CHE"/>
    <x v="50"/>
    <n v="7824909"/>
  </r>
  <r>
    <x v="188"/>
    <s v="CHE"/>
    <x v="51"/>
    <n v="7912398"/>
  </r>
  <r>
    <x v="188"/>
    <s v="CHE"/>
    <x v="52"/>
    <n v="7996861"/>
  </r>
  <r>
    <x v="188"/>
    <s v="CHE"/>
    <x v="53"/>
    <n v="8089346"/>
  </r>
  <r>
    <x v="188"/>
    <s v="CHE"/>
    <x v="54"/>
    <n v="8188649"/>
  </r>
  <r>
    <x v="188"/>
    <s v="CHE"/>
    <x v="55"/>
    <n v="8282396"/>
  </r>
  <r>
    <x v="188"/>
    <s v="CHE"/>
    <x v="56"/>
    <n v="8373338"/>
  </r>
  <r>
    <x v="188"/>
    <s v="CHE"/>
    <x v="57"/>
    <n v="8451840"/>
  </r>
  <r>
    <x v="188"/>
    <s v="CHE"/>
    <x v="58"/>
    <n v="8514329"/>
  </r>
  <r>
    <x v="188"/>
    <s v="CHE"/>
    <x v="59"/>
    <n v="8575280"/>
  </r>
  <r>
    <x v="188"/>
    <s v="CHE"/>
    <x v="60"/>
    <n v="8638167"/>
  </r>
  <r>
    <x v="188"/>
    <s v="CHE"/>
    <x v="61"/>
    <n v="8704546"/>
  </r>
  <r>
    <x v="188"/>
    <s v="CHE"/>
    <x v="62"/>
    <n v="8777088"/>
  </r>
  <r>
    <x v="188"/>
    <s v="CHE"/>
    <x v="63"/>
    <n v="8888093"/>
  </r>
  <r>
    <x v="188"/>
    <s v="CHE"/>
    <x v="64"/>
    <n v="9034102"/>
  </r>
  <r>
    <x v="189"/>
    <s v="SYR"/>
    <x v="0"/>
    <n v="4673500"/>
  </r>
  <r>
    <x v="189"/>
    <s v="SYR"/>
    <x v="1"/>
    <n v="4815466"/>
  </r>
  <r>
    <x v="189"/>
    <s v="SYR"/>
    <x v="2"/>
    <n v="4959340"/>
  </r>
  <r>
    <x v="189"/>
    <s v="SYR"/>
    <x v="3"/>
    <n v="5110467"/>
  </r>
  <r>
    <x v="189"/>
    <s v="SYR"/>
    <x v="4"/>
    <n v="5269087"/>
  </r>
  <r>
    <x v="189"/>
    <s v="SYR"/>
    <x v="5"/>
    <n v="5435267"/>
  </r>
  <r>
    <x v="189"/>
    <s v="SYR"/>
    <x v="6"/>
    <n v="5609047"/>
  </r>
  <r>
    <x v="189"/>
    <s v="SYR"/>
    <x v="7"/>
    <n v="5790198"/>
  </r>
  <r>
    <x v="189"/>
    <s v="SYR"/>
    <x v="8"/>
    <n v="5978742"/>
  </r>
  <r>
    <x v="189"/>
    <s v="SYR"/>
    <x v="9"/>
    <n v="6175166"/>
  </r>
  <r>
    <x v="189"/>
    <s v="SYR"/>
    <x v="10"/>
    <n v="6380609"/>
  </r>
  <r>
    <x v="189"/>
    <s v="SYR"/>
    <x v="11"/>
    <n v="6598094"/>
  </r>
  <r>
    <x v="189"/>
    <s v="SYR"/>
    <x v="12"/>
    <n v="6826024"/>
  </r>
  <r>
    <x v="189"/>
    <s v="SYR"/>
    <x v="13"/>
    <n v="7060321"/>
  </r>
  <r>
    <x v="189"/>
    <s v="SYR"/>
    <x v="14"/>
    <n v="7302160"/>
  </r>
  <r>
    <x v="189"/>
    <s v="SYR"/>
    <x v="15"/>
    <n v="7554364"/>
  </r>
  <r>
    <x v="189"/>
    <s v="SYR"/>
    <x v="16"/>
    <n v="7817320"/>
  </r>
  <r>
    <x v="189"/>
    <s v="SYR"/>
    <x v="17"/>
    <n v="8090501"/>
  </r>
  <r>
    <x v="189"/>
    <s v="SYR"/>
    <x v="18"/>
    <n v="8372759"/>
  </r>
  <r>
    <x v="189"/>
    <s v="SYR"/>
    <x v="19"/>
    <n v="8661909"/>
  </r>
  <r>
    <x v="189"/>
    <s v="SYR"/>
    <x v="20"/>
    <n v="8957663"/>
  </r>
  <r>
    <x v="189"/>
    <s v="SYR"/>
    <x v="21"/>
    <n v="9260189"/>
  </r>
  <r>
    <x v="189"/>
    <s v="SYR"/>
    <x v="22"/>
    <n v="9572511"/>
  </r>
  <r>
    <x v="189"/>
    <s v="SYR"/>
    <x v="23"/>
    <n v="9904809"/>
  </r>
  <r>
    <x v="189"/>
    <s v="SYR"/>
    <x v="24"/>
    <n v="10258398"/>
  </r>
  <r>
    <x v="189"/>
    <s v="SYR"/>
    <x v="25"/>
    <n v="10625672"/>
  </r>
  <r>
    <x v="189"/>
    <s v="SYR"/>
    <x v="26"/>
    <n v="11002844"/>
  </r>
  <r>
    <x v="189"/>
    <s v="SYR"/>
    <x v="27"/>
    <n v="11388923"/>
  </r>
  <r>
    <x v="189"/>
    <s v="SYR"/>
    <x v="28"/>
    <n v="11782264"/>
  </r>
  <r>
    <x v="189"/>
    <s v="SYR"/>
    <x v="29"/>
    <n v="12179060"/>
  </r>
  <r>
    <x v="189"/>
    <s v="SYR"/>
    <x v="30"/>
    <n v="12579208"/>
  </r>
  <r>
    <x v="189"/>
    <s v="SYR"/>
    <x v="31"/>
    <n v="12980821"/>
  </r>
  <r>
    <x v="189"/>
    <s v="SYR"/>
    <x v="32"/>
    <n v="13385571"/>
  </r>
  <r>
    <x v="189"/>
    <s v="SYR"/>
    <x v="33"/>
    <n v="13795686"/>
  </r>
  <r>
    <x v="189"/>
    <s v="SYR"/>
    <x v="34"/>
    <n v="14208583"/>
  </r>
  <r>
    <x v="189"/>
    <s v="SYR"/>
    <x v="35"/>
    <n v="14616801"/>
  </r>
  <r>
    <x v="189"/>
    <s v="SYR"/>
    <x v="36"/>
    <n v="15018104"/>
  </r>
  <r>
    <x v="189"/>
    <s v="SYR"/>
    <x v="37"/>
    <n v="15417542"/>
  </r>
  <r>
    <x v="189"/>
    <s v="SYR"/>
    <x v="38"/>
    <n v="15820413"/>
  </r>
  <r>
    <x v="189"/>
    <s v="SYR"/>
    <x v="39"/>
    <n v="16228061"/>
  </r>
  <r>
    <x v="189"/>
    <s v="SYR"/>
    <x v="40"/>
    <n v="16637888"/>
  </r>
  <r>
    <x v="189"/>
    <s v="SYR"/>
    <x v="41"/>
    <n v="17051338"/>
  </r>
  <r>
    <x v="189"/>
    <s v="SYR"/>
    <x v="42"/>
    <n v="17468332"/>
  </r>
  <r>
    <x v="189"/>
    <s v="SYR"/>
    <x v="43"/>
    <n v="17889296"/>
  </r>
  <r>
    <x v="189"/>
    <s v="SYR"/>
    <x v="44"/>
    <n v="18336875"/>
  </r>
  <r>
    <x v="189"/>
    <s v="SYR"/>
    <x v="45"/>
    <n v="18814091"/>
  </r>
  <r>
    <x v="189"/>
    <s v="SYR"/>
    <x v="46"/>
    <n v="19637022"/>
  </r>
  <r>
    <x v="189"/>
    <s v="SYR"/>
    <x v="47"/>
    <n v="20884125"/>
  </r>
  <r>
    <x v="189"/>
    <s v="SYR"/>
    <x v="48"/>
    <n v="21636564"/>
  </r>
  <r>
    <x v="189"/>
    <s v="SYR"/>
    <x v="49"/>
    <n v="21976969"/>
  </r>
  <r>
    <x v="189"/>
    <s v="SYR"/>
    <x v="50"/>
    <n v="22482421"/>
  </r>
  <r>
    <x v="189"/>
    <s v="SYR"/>
    <x v="51"/>
    <n v="22878098"/>
  </r>
  <r>
    <x v="189"/>
    <s v="SYR"/>
    <x v="52"/>
    <n v="22759763"/>
  </r>
  <r>
    <x v="189"/>
    <s v="SYR"/>
    <x v="53"/>
    <n v="21666917"/>
  </r>
  <r>
    <x v="189"/>
    <s v="SYR"/>
    <x v="54"/>
    <n v="20273659"/>
  </r>
  <r>
    <x v="189"/>
    <s v="SYR"/>
    <x v="55"/>
    <n v="19424618"/>
  </r>
  <r>
    <x v="189"/>
    <s v="SYR"/>
    <x v="56"/>
    <n v="19193834"/>
  </r>
  <r>
    <x v="189"/>
    <s v="SYR"/>
    <x v="57"/>
    <n v="19224668"/>
  </r>
  <r>
    <x v="189"/>
    <s v="SYR"/>
    <x v="58"/>
    <n v="19577845"/>
  </r>
  <r>
    <x v="189"/>
    <s v="SYR"/>
    <x v="59"/>
    <n v="20353534"/>
  </r>
  <r>
    <x v="189"/>
    <s v="SYR"/>
    <x v="60"/>
    <n v="21049429"/>
  </r>
  <r>
    <x v="189"/>
    <s v="SYR"/>
    <x v="61"/>
    <n v="21628839"/>
  </r>
  <r>
    <x v="189"/>
    <s v="SYR"/>
    <x v="62"/>
    <n v="22462173"/>
  </r>
  <r>
    <x v="189"/>
    <s v="SYR"/>
    <x v="63"/>
    <n v="23594623"/>
  </r>
  <r>
    <x v="189"/>
    <s v="SYR"/>
    <x v="64"/>
    <n v="24672760"/>
  </r>
  <r>
    <x v="190"/>
    <s v="TJK"/>
    <x v="0"/>
    <n v="2112131"/>
  </r>
  <r>
    <x v="190"/>
    <s v="TJK"/>
    <x v="1"/>
    <n v="2181805"/>
  </r>
  <r>
    <x v="190"/>
    <s v="TJK"/>
    <x v="2"/>
    <n v="2255026"/>
  </r>
  <r>
    <x v="190"/>
    <s v="TJK"/>
    <x v="3"/>
    <n v="2331736"/>
  </r>
  <r>
    <x v="190"/>
    <s v="TJK"/>
    <x v="4"/>
    <n v="2411260"/>
  </r>
  <r>
    <x v="190"/>
    <s v="TJK"/>
    <x v="5"/>
    <n v="2492998"/>
  </r>
  <r>
    <x v="190"/>
    <s v="TJK"/>
    <x v="6"/>
    <n v="2577184"/>
  </r>
  <r>
    <x v="190"/>
    <s v="TJK"/>
    <x v="7"/>
    <n v="2664130"/>
  </r>
  <r>
    <x v="190"/>
    <s v="TJK"/>
    <x v="8"/>
    <n v="2753848"/>
  </r>
  <r>
    <x v="190"/>
    <s v="TJK"/>
    <x v="9"/>
    <n v="2845273"/>
  </r>
  <r>
    <x v="190"/>
    <s v="TJK"/>
    <x v="10"/>
    <n v="2936779"/>
  </r>
  <r>
    <x v="190"/>
    <s v="TJK"/>
    <x v="11"/>
    <n v="3028837"/>
  </r>
  <r>
    <x v="190"/>
    <s v="TJK"/>
    <x v="12"/>
    <n v="3123691"/>
  </r>
  <r>
    <x v="190"/>
    <s v="TJK"/>
    <x v="13"/>
    <n v="3222290"/>
  </r>
  <r>
    <x v="190"/>
    <s v="TJK"/>
    <x v="14"/>
    <n v="3324499"/>
  </r>
  <r>
    <x v="190"/>
    <s v="TJK"/>
    <x v="15"/>
    <n v="3430425"/>
  </r>
  <r>
    <x v="190"/>
    <s v="TJK"/>
    <x v="16"/>
    <n v="3540076"/>
  </r>
  <r>
    <x v="190"/>
    <s v="TJK"/>
    <x v="17"/>
    <n v="3653265"/>
  </r>
  <r>
    <x v="190"/>
    <s v="TJK"/>
    <x v="18"/>
    <n v="3768508"/>
  </r>
  <r>
    <x v="190"/>
    <s v="TJK"/>
    <x v="19"/>
    <n v="3882691"/>
  </r>
  <r>
    <x v="190"/>
    <s v="TJK"/>
    <x v="20"/>
    <n v="3995256"/>
  </r>
  <r>
    <x v="190"/>
    <s v="TJK"/>
    <x v="21"/>
    <n v="4109022"/>
  </r>
  <r>
    <x v="190"/>
    <s v="TJK"/>
    <x v="22"/>
    <n v="4227171"/>
  </r>
  <r>
    <x v="190"/>
    <s v="TJK"/>
    <x v="23"/>
    <n v="4350874"/>
  </r>
  <r>
    <x v="190"/>
    <s v="TJK"/>
    <x v="24"/>
    <n v="4480026"/>
  </r>
  <r>
    <x v="190"/>
    <s v="TJK"/>
    <x v="25"/>
    <n v="4619003"/>
  </r>
  <r>
    <x v="190"/>
    <s v="TJK"/>
    <x v="26"/>
    <n v="4772139"/>
  </r>
  <r>
    <x v="190"/>
    <s v="TJK"/>
    <x v="27"/>
    <n v="4939059"/>
  </r>
  <r>
    <x v="190"/>
    <s v="TJK"/>
    <x v="28"/>
    <n v="5114989"/>
  </r>
  <r>
    <x v="190"/>
    <s v="TJK"/>
    <x v="29"/>
    <n v="5267249"/>
  </r>
  <r>
    <x v="190"/>
    <s v="TJK"/>
    <x v="30"/>
    <n v="5398768"/>
  </r>
  <r>
    <x v="190"/>
    <s v="TJK"/>
    <x v="31"/>
    <n v="5541205"/>
  </r>
  <r>
    <x v="190"/>
    <s v="TJK"/>
    <x v="32"/>
    <n v="5649400"/>
  </r>
  <r>
    <x v="190"/>
    <s v="TJK"/>
    <x v="33"/>
    <n v="5724993"/>
  </r>
  <r>
    <x v="190"/>
    <s v="TJK"/>
    <x v="34"/>
    <n v="5825368"/>
  </r>
  <r>
    <x v="190"/>
    <s v="TJK"/>
    <x v="35"/>
    <n v="5948584"/>
  </r>
  <r>
    <x v="190"/>
    <s v="TJK"/>
    <x v="36"/>
    <n v="6066523"/>
  </r>
  <r>
    <x v="190"/>
    <s v="TJK"/>
    <x v="37"/>
    <n v="6139829"/>
  </r>
  <r>
    <x v="190"/>
    <s v="TJK"/>
    <x v="38"/>
    <n v="6176397"/>
  </r>
  <r>
    <x v="190"/>
    <s v="TJK"/>
    <x v="39"/>
    <n v="6208370"/>
  </r>
  <r>
    <x v="190"/>
    <s v="TJK"/>
    <x v="40"/>
    <n v="6284735"/>
  </r>
  <r>
    <x v="190"/>
    <s v="TJK"/>
    <x v="41"/>
    <n v="6407377"/>
  </r>
  <r>
    <x v="190"/>
    <s v="TJK"/>
    <x v="42"/>
    <n v="6531669"/>
  </r>
  <r>
    <x v="190"/>
    <s v="TJK"/>
    <x v="43"/>
    <n v="6658575"/>
  </r>
  <r>
    <x v="190"/>
    <s v="TJK"/>
    <x v="44"/>
    <n v="6790547"/>
  </r>
  <r>
    <x v="190"/>
    <s v="TJK"/>
    <x v="45"/>
    <n v="6924720"/>
  </r>
  <r>
    <x v="190"/>
    <s v="TJK"/>
    <x v="46"/>
    <n v="7057566"/>
  </r>
  <r>
    <x v="190"/>
    <s v="TJK"/>
    <x v="47"/>
    <n v="7194477"/>
  </r>
  <r>
    <x v="190"/>
    <s v="TJK"/>
    <x v="48"/>
    <n v="7338403"/>
  </r>
  <r>
    <x v="190"/>
    <s v="TJK"/>
    <x v="49"/>
    <n v="7490230"/>
  </r>
  <r>
    <x v="190"/>
    <s v="TJK"/>
    <x v="50"/>
    <n v="7652141"/>
  </r>
  <r>
    <x v="190"/>
    <s v="TJK"/>
    <x v="51"/>
    <n v="7824785"/>
  </r>
  <r>
    <x v="190"/>
    <s v="TJK"/>
    <x v="52"/>
    <n v="8014084"/>
  </r>
  <r>
    <x v="190"/>
    <s v="TJK"/>
    <x v="53"/>
    <n v="8216724"/>
  </r>
  <r>
    <x v="190"/>
    <s v="TJK"/>
    <x v="54"/>
    <n v="8425552"/>
  </r>
  <r>
    <x v="190"/>
    <s v="TJK"/>
    <x v="55"/>
    <n v="8643840"/>
  </r>
  <r>
    <x v="190"/>
    <s v="TJK"/>
    <x v="56"/>
    <n v="8865631"/>
  </r>
  <r>
    <x v="190"/>
    <s v="TJK"/>
    <x v="57"/>
    <n v="9085946"/>
  </r>
  <r>
    <x v="190"/>
    <s v="TJK"/>
    <x v="58"/>
    <n v="9307333"/>
  </r>
  <r>
    <x v="190"/>
    <s v="TJK"/>
    <x v="59"/>
    <n v="9529966"/>
  </r>
  <r>
    <x v="190"/>
    <s v="TJK"/>
    <x v="60"/>
    <n v="9749310"/>
  </r>
  <r>
    <x v="190"/>
    <s v="TJK"/>
    <x v="61"/>
    <n v="9966908"/>
  </r>
  <r>
    <x v="190"/>
    <s v="TJK"/>
    <x v="62"/>
    <n v="10182222"/>
  </r>
  <r>
    <x v="190"/>
    <s v="TJK"/>
    <x v="63"/>
    <n v="10389799"/>
  </r>
  <r>
    <x v="190"/>
    <s v="TJK"/>
    <x v="64"/>
    <n v="10590927"/>
  </r>
  <r>
    <x v="191"/>
    <s v="TZA"/>
    <x v="0"/>
    <n v="9901419"/>
  </r>
  <r>
    <x v="191"/>
    <s v="TZA"/>
    <x v="1"/>
    <n v="10187886"/>
  </r>
  <r>
    <x v="191"/>
    <s v="TZA"/>
    <x v="2"/>
    <n v="10487756"/>
  </r>
  <r>
    <x v="191"/>
    <s v="TZA"/>
    <x v="3"/>
    <n v="10799528"/>
  </r>
  <r>
    <x v="191"/>
    <s v="TZA"/>
    <x v="4"/>
    <n v="11127826"/>
  </r>
  <r>
    <x v="191"/>
    <s v="TZA"/>
    <x v="5"/>
    <n v="11470728"/>
  </r>
  <r>
    <x v="191"/>
    <s v="TZA"/>
    <x v="6"/>
    <n v="11827459"/>
  </r>
  <r>
    <x v="191"/>
    <s v="TZA"/>
    <x v="7"/>
    <n v="12200109"/>
  </r>
  <r>
    <x v="191"/>
    <s v="TZA"/>
    <x v="8"/>
    <n v="12602076"/>
  </r>
  <r>
    <x v="191"/>
    <s v="TZA"/>
    <x v="9"/>
    <n v="13036700"/>
  </r>
  <r>
    <x v="191"/>
    <s v="TZA"/>
    <x v="10"/>
    <n v="13492677"/>
  </r>
  <r>
    <x v="191"/>
    <s v="TZA"/>
    <x v="11"/>
    <n v="13971451"/>
  </r>
  <r>
    <x v="191"/>
    <s v="TZA"/>
    <x v="12"/>
    <n v="14479308"/>
  </r>
  <r>
    <x v="191"/>
    <s v="TZA"/>
    <x v="13"/>
    <n v="15010101"/>
  </r>
  <r>
    <x v="191"/>
    <s v="TZA"/>
    <x v="14"/>
    <n v="15561630"/>
  </r>
  <r>
    <x v="191"/>
    <s v="TZA"/>
    <x v="15"/>
    <n v="16138361"/>
  </r>
  <r>
    <x v="191"/>
    <s v="TZA"/>
    <x v="16"/>
    <n v="16736211"/>
  </r>
  <r>
    <x v="191"/>
    <s v="TZA"/>
    <x v="17"/>
    <n v="17352929"/>
  </r>
  <r>
    <x v="191"/>
    <s v="TZA"/>
    <x v="18"/>
    <n v="17976566"/>
  </r>
  <r>
    <x v="191"/>
    <s v="TZA"/>
    <x v="19"/>
    <n v="18592038"/>
  </r>
  <r>
    <x v="191"/>
    <s v="TZA"/>
    <x v="20"/>
    <n v="19189769"/>
  </r>
  <r>
    <x v="191"/>
    <s v="TZA"/>
    <x v="21"/>
    <n v="19784703"/>
  </r>
  <r>
    <x v="191"/>
    <s v="TZA"/>
    <x v="22"/>
    <n v="20398571"/>
  </r>
  <r>
    <x v="191"/>
    <s v="TZA"/>
    <x v="23"/>
    <n v="21079874"/>
  </r>
  <r>
    <x v="191"/>
    <s v="TZA"/>
    <x v="24"/>
    <n v="21779066"/>
  </r>
  <r>
    <x v="191"/>
    <s v="TZA"/>
    <x v="25"/>
    <n v="22501693"/>
  </r>
  <r>
    <x v="191"/>
    <s v="TZA"/>
    <x v="26"/>
    <n v="23258959"/>
  </r>
  <r>
    <x v="191"/>
    <s v="TZA"/>
    <x v="27"/>
    <n v="24030378"/>
  </r>
  <r>
    <x v="191"/>
    <s v="TZA"/>
    <x v="28"/>
    <n v="24769686"/>
  </r>
  <r>
    <x v="191"/>
    <s v="TZA"/>
    <x v="29"/>
    <n v="25438759"/>
  </r>
  <r>
    <x v="191"/>
    <s v="TZA"/>
    <x v="30"/>
    <n v="26110207"/>
  </r>
  <r>
    <x v="191"/>
    <s v="TZA"/>
    <x v="31"/>
    <n v="26780436"/>
  </r>
  <r>
    <x v="191"/>
    <s v="TZA"/>
    <x v="32"/>
    <n v="27457588"/>
  </r>
  <r>
    <x v="191"/>
    <s v="TZA"/>
    <x v="33"/>
    <n v="28332692"/>
  </r>
  <r>
    <x v="191"/>
    <s v="TZA"/>
    <x v="34"/>
    <n v="29442356"/>
  </r>
  <r>
    <x v="191"/>
    <s v="TZA"/>
    <x v="35"/>
    <n v="30383497"/>
  </r>
  <r>
    <x v="191"/>
    <s v="TZA"/>
    <x v="36"/>
    <n v="30945762"/>
  </r>
  <r>
    <x v="191"/>
    <s v="TZA"/>
    <x v="37"/>
    <n v="31578089"/>
  </r>
  <r>
    <x v="191"/>
    <s v="TZA"/>
    <x v="38"/>
    <n v="32420458"/>
  </r>
  <r>
    <x v="191"/>
    <s v="TZA"/>
    <x v="39"/>
    <n v="33300330"/>
  </r>
  <r>
    <x v="191"/>
    <s v="TZA"/>
    <x v="40"/>
    <n v="34260139"/>
  </r>
  <r>
    <x v="191"/>
    <s v="TZA"/>
    <x v="41"/>
    <n v="35198299"/>
  </r>
  <r>
    <x v="191"/>
    <s v="TZA"/>
    <x v="42"/>
    <n v="36121304"/>
  </r>
  <r>
    <x v="191"/>
    <s v="TZA"/>
    <x v="43"/>
    <n v="37089555"/>
  </r>
  <r>
    <x v="191"/>
    <s v="TZA"/>
    <x v="44"/>
    <n v="38109668"/>
  </r>
  <r>
    <x v="191"/>
    <s v="TZA"/>
    <x v="45"/>
    <n v="39182076"/>
  </r>
  <r>
    <x v="191"/>
    <s v="TZA"/>
    <x v="46"/>
    <n v="40294902"/>
  </r>
  <r>
    <x v="191"/>
    <s v="TZA"/>
    <x v="47"/>
    <n v="41435512"/>
  </r>
  <r>
    <x v="191"/>
    <s v="TZA"/>
    <x v="48"/>
    <n v="42570728"/>
  </r>
  <r>
    <x v="191"/>
    <s v="TZA"/>
    <x v="49"/>
    <n v="43633982"/>
  </r>
  <r>
    <x v="191"/>
    <s v="TZA"/>
    <x v="50"/>
    <n v="44758488"/>
  </r>
  <r>
    <x v="191"/>
    <s v="TZA"/>
    <x v="51"/>
    <n v="46029367"/>
  </r>
  <r>
    <x v="191"/>
    <s v="TZA"/>
    <x v="52"/>
    <n v="47374260"/>
  </r>
  <r>
    <x v="191"/>
    <s v="TZA"/>
    <x v="53"/>
    <n v="48824128"/>
  </r>
  <r>
    <x v="191"/>
    <s v="TZA"/>
    <x v="54"/>
    <n v="50351512"/>
  </r>
  <r>
    <x v="191"/>
    <s v="TZA"/>
    <x v="55"/>
    <n v="52020962"/>
  </r>
  <r>
    <x v="191"/>
    <s v="TZA"/>
    <x v="56"/>
    <n v="53824013"/>
  </r>
  <r>
    <x v="191"/>
    <s v="TZA"/>
    <x v="57"/>
    <n v="55652890"/>
  </r>
  <r>
    <x v="191"/>
    <s v="TZA"/>
    <x v="58"/>
    <n v="57437145"/>
  </r>
  <r>
    <x v="191"/>
    <s v="TZA"/>
    <x v="59"/>
    <n v="59174891"/>
  </r>
  <r>
    <x v="191"/>
    <s v="TZA"/>
    <x v="60"/>
    <n v="60972798"/>
  </r>
  <r>
    <x v="191"/>
    <s v="TZA"/>
    <x v="61"/>
    <n v="62830412"/>
  </r>
  <r>
    <x v="191"/>
    <s v="TZA"/>
    <x v="62"/>
    <n v="64711821"/>
  </r>
  <r>
    <x v="191"/>
    <s v="TZA"/>
    <x v="63"/>
    <n v="66617606"/>
  </r>
  <r>
    <x v="191"/>
    <s v="TZA"/>
    <x v="64"/>
    <n v="68560157"/>
  </r>
  <r>
    <x v="192"/>
    <s v="THA"/>
    <x v="0"/>
    <n v="26851747"/>
  </r>
  <r>
    <x v="192"/>
    <s v="THA"/>
    <x v="1"/>
    <n v="27650334"/>
  </r>
  <r>
    <x v="192"/>
    <s v="THA"/>
    <x v="2"/>
    <n v="28481040"/>
  </r>
  <r>
    <x v="192"/>
    <s v="THA"/>
    <x v="3"/>
    <n v="29342322"/>
  </r>
  <r>
    <x v="192"/>
    <s v="THA"/>
    <x v="4"/>
    <n v="30232141"/>
  </r>
  <r>
    <x v="192"/>
    <s v="THA"/>
    <x v="5"/>
    <n v="31149337"/>
  </r>
  <r>
    <x v="192"/>
    <s v="THA"/>
    <x v="6"/>
    <n v="32086071"/>
  </r>
  <r>
    <x v="192"/>
    <s v="THA"/>
    <x v="7"/>
    <n v="33037801"/>
  </r>
  <r>
    <x v="192"/>
    <s v="THA"/>
    <x v="8"/>
    <n v="34002560"/>
  </r>
  <r>
    <x v="192"/>
    <s v="THA"/>
    <x v="9"/>
    <n v="34973782"/>
  </r>
  <r>
    <x v="192"/>
    <s v="THA"/>
    <x v="10"/>
    <n v="35954408"/>
  </r>
  <r>
    <x v="192"/>
    <s v="THA"/>
    <x v="11"/>
    <n v="36937387"/>
  </r>
  <r>
    <x v="192"/>
    <s v="THA"/>
    <x v="12"/>
    <n v="37933929"/>
  </r>
  <r>
    <x v="192"/>
    <s v="THA"/>
    <x v="13"/>
    <n v="38947787"/>
  </r>
  <r>
    <x v="192"/>
    <s v="THA"/>
    <x v="14"/>
    <n v="39952891"/>
  </r>
  <r>
    <x v="192"/>
    <s v="THA"/>
    <x v="15"/>
    <n v="40940005"/>
  </r>
  <r>
    <x v="192"/>
    <s v="THA"/>
    <x v="16"/>
    <n v="41896504"/>
  </r>
  <r>
    <x v="192"/>
    <s v="THA"/>
    <x v="17"/>
    <n v="42843974"/>
  </r>
  <r>
    <x v="192"/>
    <s v="THA"/>
    <x v="18"/>
    <n v="43788976"/>
  </r>
  <r>
    <x v="192"/>
    <s v="THA"/>
    <x v="19"/>
    <n v="44718434"/>
  </r>
  <r>
    <x v="192"/>
    <s v="THA"/>
    <x v="20"/>
    <n v="45650022"/>
  </r>
  <r>
    <x v="192"/>
    <s v="THA"/>
    <x v="21"/>
    <n v="46575855"/>
  </r>
  <r>
    <x v="192"/>
    <s v="THA"/>
    <x v="22"/>
    <n v="47494577"/>
  </r>
  <r>
    <x v="192"/>
    <s v="THA"/>
    <x v="23"/>
    <n v="48423309"/>
  </r>
  <r>
    <x v="192"/>
    <s v="THA"/>
    <x v="24"/>
    <n v="49351708"/>
  </r>
  <r>
    <x v="192"/>
    <s v="THA"/>
    <x v="25"/>
    <n v="50270753"/>
  </r>
  <r>
    <x v="192"/>
    <s v="THA"/>
    <x v="26"/>
    <n v="51177834"/>
  </r>
  <r>
    <x v="192"/>
    <s v="THA"/>
    <x v="27"/>
    <n v="52074105"/>
  </r>
  <r>
    <x v="192"/>
    <s v="THA"/>
    <x v="28"/>
    <n v="52969595"/>
  </r>
  <r>
    <x v="192"/>
    <s v="THA"/>
    <x v="29"/>
    <n v="53848956"/>
  </r>
  <r>
    <x v="192"/>
    <s v="THA"/>
    <x v="30"/>
    <n v="54738329"/>
  </r>
  <r>
    <x v="192"/>
    <s v="THA"/>
    <x v="31"/>
    <n v="55637434"/>
  </r>
  <r>
    <x v="192"/>
    <s v="THA"/>
    <x v="32"/>
    <n v="56528834"/>
  </r>
  <r>
    <x v="192"/>
    <s v="THA"/>
    <x v="33"/>
    <n v="57408198"/>
  </r>
  <r>
    <x v="192"/>
    <s v="THA"/>
    <x v="34"/>
    <n v="58260854"/>
  </r>
  <r>
    <x v="192"/>
    <s v="THA"/>
    <x v="35"/>
    <n v="59098232"/>
  </r>
  <r>
    <x v="192"/>
    <s v="THA"/>
    <x v="36"/>
    <n v="59920064"/>
  </r>
  <r>
    <x v="192"/>
    <s v="THA"/>
    <x v="37"/>
    <n v="60724584"/>
  </r>
  <r>
    <x v="192"/>
    <s v="THA"/>
    <x v="38"/>
    <n v="61522630"/>
  </r>
  <r>
    <x v="192"/>
    <s v="THA"/>
    <x v="39"/>
    <n v="62299043"/>
  </r>
  <r>
    <x v="192"/>
    <s v="THA"/>
    <x v="40"/>
    <n v="63007815"/>
  </r>
  <r>
    <x v="192"/>
    <s v="THA"/>
    <x v="41"/>
    <n v="63651141"/>
  </r>
  <r>
    <x v="192"/>
    <s v="THA"/>
    <x v="42"/>
    <n v="64266437"/>
  </r>
  <r>
    <x v="192"/>
    <s v="THA"/>
    <x v="43"/>
    <n v="64868166"/>
  </r>
  <r>
    <x v="192"/>
    <s v="THA"/>
    <x v="44"/>
    <n v="65452047"/>
  </r>
  <r>
    <x v="192"/>
    <s v="THA"/>
    <x v="45"/>
    <n v="66017420"/>
  </r>
  <r>
    <x v="192"/>
    <s v="THA"/>
    <x v="46"/>
    <n v="66567687"/>
  </r>
  <r>
    <x v="192"/>
    <s v="THA"/>
    <x v="47"/>
    <n v="67102394"/>
  </r>
  <r>
    <x v="192"/>
    <s v="THA"/>
    <x v="48"/>
    <n v="67619830"/>
  </r>
  <r>
    <x v="192"/>
    <s v="THA"/>
    <x v="49"/>
    <n v="68121080"/>
  </r>
  <r>
    <x v="192"/>
    <s v="THA"/>
    <x v="50"/>
    <n v="68579447"/>
  </r>
  <r>
    <x v="192"/>
    <s v="THA"/>
    <x v="51"/>
    <n v="69007208"/>
  </r>
  <r>
    <x v="192"/>
    <s v="THA"/>
    <x v="52"/>
    <n v="69436098"/>
  </r>
  <r>
    <x v="192"/>
    <s v="THA"/>
    <x v="53"/>
    <n v="69845114"/>
  </r>
  <r>
    <x v="192"/>
    <s v="THA"/>
    <x v="54"/>
    <n v="70216367"/>
  </r>
  <r>
    <x v="192"/>
    <s v="THA"/>
    <x v="55"/>
    <n v="70540795"/>
  </r>
  <r>
    <x v="192"/>
    <s v="THA"/>
    <x v="56"/>
    <n v="70859841"/>
  </r>
  <r>
    <x v="192"/>
    <s v="THA"/>
    <x v="57"/>
    <n v="71160187"/>
  </r>
  <r>
    <x v="192"/>
    <s v="THA"/>
    <x v="58"/>
    <n v="71376079"/>
  </r>
  <r>
    <x v="192"/>
    <s v="THA"/>
    <x v="59"/>
    <n v="71522271"/>
  </r>
  <r>
    <x v="192"/>
    <s v="THA"/>
    <x v="60"/>
    <n v="71641484"/>
  </r>
  <r>
    <x v="192"/>
    <s v="THA"/>
    <x v="61"/>
    <n v="71727332"/>
  </r>
  <r>
    <x v="192"/>
    <s v="THA"/>
    <x v="62"/>
    <n v="71735329"/>
  </r>
  <r>
    <x v="192"/>
    <s v="THA"/>
    <x v="63"/>
    <n v="71702435"/>
  </r>
  <r>
    <x v="192"/>
    <s v="THA"/>
    <x v="64"/>
    <n v="71668011"/>
  </r>
  <r>
    <x v="193"/>
    <s v="TLS"/>
    <x v="0"/>
    <n v="468118"/>
  </r>
  <r>
    <x v="193"/>
    <s v="TLS"/>
    <x v="1"/>
    <n v="475291"/>
  </r>
  <r>
    <x v="193"/>
    <s v="TLS"/>
    <x v="2"/>
    <n v="482774"/>
  </r>
  <r>
    <x v="193"/>
    <s v="TLS"/>
    <x v="3"/>
    <n v="490564"/>
  </r>
  <r>
    <x v="193"/>
    <s v="TLS"/>
    <x v="4"/>
    <n v="498659"/>
  </r>
  <r>
    <x v="193"/>
    <s v="TLS"/>
    <x v="5"/>
    <n v="507034"/>
  </r>
  <r>
    <x v="193"/>
    <s v="TLS"/>
    <x v="6"/>
    <n v="515696"/>
  </r>
  <r>
    <x v="193"/>
    <s v="TLS"/>
    <x v="7"/>
    <n v="524648"/>
  </r>
  <r>
    <x v="193"/>
    <s v="TLS"/>
    <x v="8"/>
    <n v="533875"/>
  </r>
  <r>
    <x v="193"/>
    <s v="TLS"/>
    <x v="9"/>
    <n v="543356"/>
  </r>
  <r>
    <x v="193"/>
    <s v="TLS"/>
    <x v="10"/>
    <n v="553069"/>
  </r>
  <r>
    <x v="193"/>
    <s v="TLS"/>
    <x v="11"/>
    <n v="562966"/>
  </r>
  <r>
    <x v="193"/>
    <s v="TLS"/>
    <x v="12"/>
    <n v="572962"/>
  </r>
  <r>
    <x v="193"/>
    <s v="TLS"/>
    <x v="13"/>
    <n v="582855"/>
  </r>
  <r>
    <x v="193"/>
    <s v="TLS"/>
    <x v="14"/>
    <n v="590827"/>
  </r>
  <r>
    <x v="193"/>
    <s v="TLS"/>
    <x v="15"/>
    <n v="598158"/>
  </r>
  <r>
    <x v="193"/>
    <s v="TLS"/>
    <x v="16"/>
    <n v="607620"/>
  </r>
  <r>
    <x v="193"/>
    <s v="TLS"/>
    <x v="17"/>
    <n v="618315"/>
  </r>
  <r>
    <x v="193"/>
    <s v="TLS"/>
    <x v="18"/>
    <n v="628775"/>
  </r>
  <r>
    <x v="193"/>
    <s v="TLS"/>
    <x v="19"/>
    <n v="638719"/>
  </r>
  <r>
    <x v="193"/>
    <s v="TLS"/>
    <x v="20"/>
    <n v="649871"/>
  </r>
  <r>
    <x v="193"/>
    <s v="TLS"/>
    <x v="21"/>
    <n v="660493"/>
  </r>
  <r>
    <x v="193"/>
    <s v="TLS"/>
    <x v="22"/>
    <n v="669149"/>
  </r>
  <r>
    <x v="193"/>
    <s v="TLS"/>
    <x v="23"/>
    <n v="677707"/>
  </r>
  <r>
    <x v="193"/>
    <s v="TLS"/>
    <x v="24"/>
    <n v="686777"/>
  </r>
  <r>
    <x v="193"/>
    <s v="TLS"/>
    <x v="25"/>
    <n v="696665"/>
  </r>
  <r>
    <x v="193"/>
    <s v="TLS"/>
    <x v="26"/>
    <n v="707185"/>
  </r>
  <r>
    <x v="193"/>
    <s v="TLS"/>
    <x v="27"/>
    <n v="718476"/>
  </r>
  <r>
    <x v="193"/>
    <s v="TLS"/>
    <x v="28"/>
    <n v="730745"/>
  </r>
  <r>
    <x v="193"/>
    <s v="TLS"/>
    <x v="29"/>
    <n v="744856"/>
  </r>
  <r>
    <x v="193"/>
    <s v="TLS"/>
    <x v="30"/>
    <n v="760345"/>
  </r>
  <r>
    <x v="193"/>
    <s v="TLS"/>
    <x v="31"/>
    <n v="778278"/>
  </r>
  <r>
    <x v="193"/>
    <s v="TLS"/>
    <x v="32"/>
    <n v="799318"/>
  </r>
  <r>
    <x v="193"/>
    <s v="TLS"/>
    <x v="33"/>
    <n v="821437"/>
  </r>
  <r>
    <x v="193"/>
    <s v="TLS"/>
    <x v="34"/>
    <n v="844493"/>
  </r>
  <r>
    <x v="193"/>
    <s v="TLS"/>
    <x v="35"/>
    <n v="868146"/>
  </r>
  <r>
    <x v="193"/>
    <s v="TLS"/>
    <x v="36"/>
    <n v="892282"/>
  </r>
  <r>
    <x v="193"/>
    <s v="TLS"/>
    <x v="37"/>
    <n v="917184"/>
  </r>
  <r>
    <x v="193"/>
    <s v="TLS"/>
    <x v="38"/>
    <n v="942530"/>
  </r>
  <r>
    <x v="193"/>
    <s v="TLS"/>
    <x v="39"/>
    <n v="834697"/>
  </r>
  <r>
    <x v="193"/>
    <s v="TLS"/>
    <x v="40"/>
    <n v="745088"/>
  </r>
  <r>
    <x v="193"/>
    <s v="TLS"/>
    <x v="41"/>
    <n v="812249"/>
  </r>
  <r>
    <x v="193"/>
    <s v="TLS"/>
    <x v="42"/>
    <n v="879159"/>
  </r>
  <r>
    <x v="193"/>
    <s v="TLS"/>
    <x v="43"/>
    <n v="916878"/>
  </r>
  <r>
    <x v="193"/>
    <s v="TLS"/>
    <x v="44"/>
    <n v="929074"/>
  </r>
  <r>
    <x v="193"/>
    <s v="TLS"/>
    <x v="45"/>
    <n v="948311"/>
  </r>
  <r>
    <x v="193"/>
    <s v="TLS"/>
    <x v="46"/>
    <n v="976597"/>
  </r>
  <r>
    <x v="193"/>
    <s v="TLS"/>
    <x v="47"/>
    <n v="1004889"/>
  </r>
  <r>
    <x v="193"/>
    <s v="TLS"/>
    <x v="48"/>
    <n v="1032429"/>
  </r>
  <r>
    <x v="193"/>
    <s v="TLS"/>
    <x v="49"/>
    <n v="1058782"/>
  </r>
  <r>
    <x v="193"/>
    <s v="TLS"/>
    <x v="50"/>
    <n v="1084679"/>
  </r>
  <r>
    <x v="193"/>
    <s v="TLS"/>
    <x v="51"/>
    <n v="1110207"/>
  </r>
  <r>
    <x v="193"/>
    <s v="TLS"/>
    <x v="52"/>
    <n v="1134885"/>
  </r>
  <r>
    <x v="193"/>
    <s v="TLS"/>
    <x v="53"/>
    <n v="1158695"/>
  </r>
  <r>
    <x v="193"/>
    <s v="TLS"/>
    <x v="54"/>
    <n v="1181903"/>
  </r>
  <r>
    <x v="193"/>
    <s v="TLS"/>
    <x v="55"/>
    <n v="1205131"/>
  </r>
  <r>
    <x v="193"/>
    <s v="TLS"/>
    <x v="56"/>
    <n v="1228312"/>
  </r>
  <r>
    <x v="193"/>
    <s v="TLS"/>
    <x v="57"/>
    <n v="1251703"/>
  </r>
  <r>
    <x v="193"/>
    <s v="TLS"/>
    <x v="58"/>
    <n v="1275959"/>
  </r>
  <r>
    <x v="193"/>
    <s v="TLS"/>
    <x v="59"/>
    <n v="1300945"/>
  </r>
  <r>
    <x v="193"/>
    <s v="TLS"/>
    <x v="60"/>
    <n v="1326053"/>
  </r>
  <r>
    <x v="193"/>
    <s v="TLS"/>
    <x v="61"/>
    <n v="1350139"/>
  </r>
  <r>
    <x v="193"/>
    <s v="TLS"/>
    <x v="62"/>
    <n v="1369295"/>
  </r>
  <r>
    <x v="193"/>
    <s v="TLS"/>
    <x v="63"/>
    <n v="1384286"/>
  </r>
  <r>
    <x v="193"/>
    <s v="TLS"/>
    <x v="64"/>
    <n v="1400638"/>
  </r>
  <r>
    <x v="194"/>
    <s v="TGO"/>
    <x v="0"/>
    <n v="1673110"/>
  </r>
  <r>
    <x v="194"/>
    <s v="TGO"/>
    <x v="1"/>
    <n v="1702717"/>
  </r>
  <r>
    <x v="194"/>
    <s v="TGO"/>
    <x v="2"/>
    <n v="1732959"/>
  </r>
  <r>
    <x v="194"/>
    <s v="TGO"/>
    <x v="3"/>
    <n v="1765072"/>
  </r>
  <r>
    <x v="194"/>
    <s v="TGO"/>
    <x v="4"/>
    <n v="1803440"/>
  </r>
  <r>
    <x v="194"/>
    <s v="TGO"/>
    <x v="5"/>
    <n v="1853771"/>
  </r>
  <r>
    <x v="194"/>
    <s v="TGO"/>
    <x v="6"/>
    <n v="1918513"/>
  </r>
  <r>
    <x v="194"/>
    <s v="TGO"/>
    <x v="7"/>
    <n v="1995890"/>
  </r>
  <r>
    <x v="194"/>
    <s v="TGO"/>
    <x v="8"/>
    <n v="2080226"/>
  </r>
  <r>
    <x v="194"/>
    <s v="TGO"/>
    <x v="9"/>
    <n v="2164814"/>
  </r>
  <r>
    <x v="194"/>
    <s v="TGO"/>
    <x v="10"/>
    <n v="2244773"/>
  </r>
  <r>
    <x v="194"/>
    <s v="TGO"/>
    <x v="11"/>
    <n v="2317976"/>
  </r>
  <r>
    <x v="194"/>
    <s v="TGO"/>
    <x v="12"/>
    <n v="2384994"/>
  </r>
  <r>
    <x v="194"/>
    <s v="TGO"/>
    <x v="13"/>
    <n v="2448749"/>
  </r>
  <r>
    <x v="194"/>
    <s v="TGO"/>
    <x v="14"/>
    <n v="2511760"/>
  </r>
  <r>
    <x v="194"/>
    <s v="TGO"/>
    <x v="15"/>
    <n v="2574622"/>
  </r>
  <r>
    <x v="194"/>
    <s v="TGO"/>
    <x v="16"/>
    <n v="2637796"/>
  </r>
  <r>
    <x v="194"/>
    <s v="TGO"/>
    <x v="17"/>
    <n v="2701894"/>
  </r>
  <r>
    <x v="194"/>
    <s v="TGO"/>
    <x v="18"/>
    <n v="2768148"/>
  </r>
  <r>
    <x v="194"/>
    <s v="TGO"/>
    <x v="19"/>
    <n v="2839854"/>
  </r>
  <r>
    <x v="194"/>
    <s v="TGO"/>
    <x v="20"/>
    <n v="2920894"/>
  </r>
  <r>
    <x v="194"/>
    <s v="TGO"/>
    <x v="21"/>
    <n v="3013043"/>
  </r>
  <r>
    <x v="194"/>
    <s v="TGO"/>
    <x v="22"/>
    <n v="3115042"/>
  </r>
  <r>
    <x v="194"/>
    <s v="TGO"/>
    <x v="23"/>
    <n v="3222899"/>
  </r>
  <r>
    <x v="194"/>
    <s v="TGO"/>
    <x v="24"/>
    <n v="3332837"/>
  </r>
  <r>
    <x v="194"/>
    <s v="TGO"/>
    <x v="25"/>
    <n v="3441091"/>
  </r>
  <r>
    <x v="194"/>
    <s v="TGO"/>
    <x v="26"/>
    <n v="3547952"/>
  </r>
  <r>
    <x v="194"/>
    <s v="TGO"/>
    <x v="27"/>
    <n v="3657508"/>
  </r>
  <r>
    <x v="194"/>
    <s v="TGO"/>
    <x v="28"/>
    <n v="3769742"/>
  </r>
  <r>
    <x v="194"/>
    <s v="TGO"/>
    <x v="29"/>
    <n v="3883411"/>
  </r>
  <r>
    <x v="194"/>
    <s v="TGO"/>
    <x v="30"/>
    <n v="3998761"/>
  </r>
  <r>
    <x v="194"/>
    <s v="TGO"/>
    <x v="31"/>
    <n v="4115560"/>
  </r>
  <r>
    <x v="194"/>
    <s v="TGO"/>
    <x v="32"/>
    <n v="4233617"/>
  </r>
  <r>
    <x v="194"/>
    <s v="TGO"/>
    <x v="33"/>
    <n v="4207453"/>
  </r>
  <r>
    <x v="194"/>
    <s v="TGO"/>
    <x v="34"/>
    <n v="4222940"/>
  </r>
  <r>
    <x v="194"/>
    <s v="TGO"/>
    <x v="35"/>
    <n v="4410832"/>
  </r>
  <r>
    <x v="194"/>
    <s v="TGO"/>
    <x v="36"/>
    <n v="4577860"/>
  </r>
  <r>
    <x v="194"/>
    <s v="TGO"/>
    <x v="37"/>
    <n v="4725030"/>
  </r>
  <r>
    <x v="194"/>
    <s v="TGO"/>
    <x v="38"/>
    <n v="4860913"/>
  </r>
  <r>
    <x v="194"/>
    <s v="TGO"/>
    <x v="39"/>
    <n v="5000269"/>
  </r>
  <r>
    <x v="194"/>
    <s v="TGO"/>
    <x v="40"/>
    <n v="5140037"/>
  </r>
  <r>
    <x v="194"/>
    <s v="TGO"/>
    <x v="41"/>
    <n v="5277382"/>
  </r>
  <r>
    <x v="194"/>
    <s v="TGO"/>
    <x v="42"/>
    <n v="5413274"/>
  </r>
  <r>
    <x v="194"/>
    <s v="TGO"/>
    <x v="43"/>
    <n v="5552167"/>
  </r>
  <r>
    <x v="194"/>
    <s v="TGO"/>
    <x v="44"/>
    <n v="5696508"/>
  </r>
  <r>
    <x v="194"/>
    <s v="TGO"/>
    <x v="45"/>
    <n v="5844631"/>
  </r>
  <r>
    <x v="194"/>
    <s v="TGO"/>
    <x v="46"/>
    <n v="6010668"/>
  </r>
  <r>
    <x v="194"/>
    <s v="TGO"/>
    <x v="47"/>
    <n v="6188344"/>
  </r>
  <r>
    <x v="194"/>
    <s v="TGO"/>
    <x v="48"/>
    <n v="6368812"/>
  </r>
  <r>
    <x v="194"/>
    <s v="TGO"/>
    <x v="49"/>
    <n v="6551865"/>
  </r>
  <r>
    <x v="194"/>
    <s v="TGO"/>
    <x v="50"/>
    <n v="6732590"/>
  </r>
  <r>
    <x v="194"/>
    <s v="TGO"/>
    <x v="51"/>
    <n v="6916474"/>
  </r>
  <r>
    <x v="194"/>
    <s v="TGO"/>
    <x v="52"/>
    <n v="7100736"/>
  </r>
  <r>
    <x v="194"/>
    <s v="TGO"/>
    <x v="53"/>
    <n v="7285442"/>
  </r>
  <r>
    <x v="194"/>
    <s v="TGO"/>
    <x v="54"/>
    <n v="7472450"/>
  </r>
  <r>
    <x v="194"/>
    <s v="TGO"/>
    <x v="55"/>
    <n v="7663195"/>
  </r>
  <r>
    <x v="194"/>
    <s v="TGO"/>
    <x v="56"/>
    <n v="7858289"/>
  </r>
  <r>
    <x v="194"/>
    <s v="TGO"/>
    <x v="57"/>
    <n v="8057140"/>
  </r>
  <r>
    <x v="194"/>
    <s v="TGO"/>
    <x v="58"/>
    <n v="8258778"/>
  </r>
  <r>
    <x v="194"/>
    <s v="TGO"/>
    <x v="59"/>
    <n v="8463068"/>
  </r>
  <r>
    <x v="194"/>
    <s v="TGO"/>
    <x v="60"/>
    <n v="8669720"/>
  </r>
  <r>
    <x v="194"/>
    <s v="TGO"/>
    <x v="61"/>
    <n v="8878379"/>
  </r>
  <r>
    <x v="194"/>
    <s v="TGO"/>
    <x v="62"/>
    <n v="9089738"/>
  </r>
  <r>
    <x v="194"/>
    <s v="TGO"/>
    <x v="63"/>
    <n v="9304337"/>
  </r>
  <r>
    <x v="194"/>
    <s v="TGO"/>
    <x v="64"/>
    <n v="9515236"/>
  </r>
  <r>
    <x v="195"/>
    <s v="TON"/>
    <x v="0"/>
    <n v="66170"/>
  </r>
  <r>
    <x v="195"/>
    <s v="TON"/>
    <x v="1"/>
    <n v="68037"/>
  </r>
  <r>
    <x v="195"/>
    <s v="TON"/>
    <x v="2"/>
    <n v="69940"/>
  </r>
  <r>
    <x v="195"/>
    <s v="TON"/>
    <x v="3"/>
    <n v="71885"/>
  </r>
  <r>
    <x v="195"/>
    <s v="TON"/>
    <x v="4"/>
    <n v="73879"/>
  </r>
  <r>
    <x v="195"/>
    <s v="TON"/>
    <x v="5"/>
    <n v="75924"/>
  </r>
  <r>
    <x v="195"/>
    <s v="TON"/>
    <x v="6"/>
    <n v="78002"/>
  </r>
  <r>
    <x v="195"/>
    <s v="TON"/>
    <x v="7"/>
    <n v="79814"/>
  </r>
  <r>
    <x v="195"/>
    <s v="TON"/>
    <x v="8"/>
    <n v="81353"/>
  </r>
  <r>
    <x v="195"/>
    <s v="TON"/>
    <x v="9"/>
    <n v="82885"/>
  </r>
  <r>
    <x v="195"/>
    <s v="TON"/>
    <x v="10"/>
    <n v="84401"/>
  </r>
  <r>
    <x v="195"/>
    <s v="TON"/>
    <x v="11"/>
    <n v="85896"/>
  </r>
  <r>
    <x v="195"/>
    <s v="TON"/>
    <x v="12"/>
    <n v="87356"/>
  </r>
  <r>
    <x v="195"/>
    <s v="TON"/>
    <x v="13"/>
    <n v="88805"/>
  </r>
  <r>
    <x v="195"/>
    <s v="TON"/>
    <x v="14"/>
    <n v="90683"/>
  </r>
  <r>
    <x v="195"/>
    <s v="TON"/>
    <x v="15"/>
    <n v="93017"/>
  </r>
  <r>
    <x v="195"/>
    <s v="TON"/>
    <x v="16"/>
    <n v="95325"/>
  </r>
  <r>
    <x v="195"/>
    <s v="TON"/>
    <x v="17"/>
    <n v="96725"/>
  </r>
  <r>
    <x v="195"/>
    <s v="TON"/>
    <x v="18"/>
    <n v="97204"/>
  </r>
  <r>
    <x v="195"/>
    <s v="TON"/>
    <x v="19"/>
    <n v="97544"/>
  </r>
  <r>
    <x v="195"/>
    <s v="TON"/>
    <x v="20"/>
    <n v="97769"/>
  </r>
  <r>
    <x v="195"/>
    <s v="TON"/>
    <x v="21"/>
    <n v="97909"/>
  </r>
  <r>
    <x v="195"/>
    <s v="TON"/>
    <x v="22"/>
    <n v="97980"/>
  </r>
  <r>
    <x v="195"/>
    <s v="TON"/>
    <x v="23"/>
    <n v="97998"/>
  </r>
  <r>
    <x v="195"/>
    <s v="TON"/>
    <x v="24"/>
    <n v="97990"/>
  </r>
  <r>
    <x v="195"/>
    <s v="TON"/>
    <x v="25"/>
    <n v="97984"/>
  </r>
  <r>
    <x v="195"/>
    <s v="TON"/>
    <x v="26"/>
    <n v="98010"/>
  </r>
  <r>
    <x v="195"/>
    <s v="TON"/>
    <x v="27"/>
    <n v="98376"/>
  </r>
  <r>
    <x v="195"/>
    <s v="TON"/>
    <x v="28"/>
    <n v="98969"/>
  </r>
  <r>
    <x v="195"/>
    <s v="TON"/>
    <x v="29"/>
    <n v="99403"/>
  </r>
  <r>
    <x v="195"/>
    <s v="TON"/>
    <x v="30"/>
    <n v="99700"/>
  </r>
  <r>
    <x v="195"/>
    <s v="TON"/>
    <x v="31"/>
    <n v="99895"/>
  </r>
  <r>
    <x v="195"/>
    <s v="TON"/>
    <x v="32"/>
    <n v="100022"/>
  </r>
  <r>
    <x v="195"/>
    <s v="TON"/>
    <x v="33"/>
    <n v="100103"/>
  </r>
  <r>
    <x v="195"/>
    <s v="TON"/>
    <x v="34"/>
    <n v="100166"/>
  </r>
  <r>
    <x v="195"/>
    <s v="TON"/>
    <x v="35"/>
    <n v="100225"/>
  </r>
  <r>
    <x v="195"/>
    <s v="TON"/>
    <x v="36"/>
    <n v="100275"/>
  </r>
  <r>
    <x v="195"/>
    <s v="TON"/>
    <x v="37"/>
    <n v="100674"/>
  </r>
  <r>
    <x v="195"/>
    <s v="TON"/>
    <x v="38"/>
    <n v="101388"/>
  </r>
  <r>
    <x v="195"/>
    <s v="TON"/>
    <x v="39"/>
    <n v="102046"/>
  </r>
  <r>
    <x v="195"/>
    <s v="TON"/>
    <x v="40"/>
    <n v="102677"/>
  </r>
  <r>
    <x v="195"/>
    <s v="TON"/>
    <x v="41"/>
    <n v="103288"/>
  </r>
  <r>
    <x v="195"/>
    <s v="TON"/>
    <x v="42"/>
    <n v="103874"/>
  </r>
  <r>
    <x v="195"/>
    <s v="TON"/>
    <x v="43"/>
    <n v="104464"/>
  </r>
  <r>
    <x v="195"/>
    <s v="TON"/>
    <x v="44"/>
    <n v="105071"/>
  </r>
  <r>
    <x v="195"/>
    <s v="TON"/>
    <x v="45"/>
    <n v="105671"/>
  </r>
  <r>
    <x v="195"/>
    <s v="TON"/>
    <x v="46"/>
    <n v="106253"/>
  </r>
  <r>
    <x v="195"/>
    <s v="TON"/>
    <x v="47"/>
    <n v="106726"/>
  </r>
  <r>
    <x v="195"/>
    <s v="TON"/>
    <x v="48"/>
    <n v="107020"/>
  </r>
  <r>
    <x v="195"/>
    <s v="TON"/>
    <x v="49"/>
    <n v="107203"/>
  </r>
  <r>
    <x v="195"/>
    <s v="TON"/>
    <x v="50"/>
    <n v="107400"/>
  </r>
  <r>
    <x v="195"/>
    <s v="TON"/>
    <x v="51"/>
    <n v="107570"/>
  </r>
  <r>
    <x v="195"/>
    <s v="TON"/>
    <x v="52"/>
    <n v="107460"/>
  </r>
  <r>
    <x v="195"/>
    <s v="TON"/>
    <x v="53"/>
    <n v="107078"/>
  </r>
  <r>
    <x v="195"/>
    <s v="TON"/>
    <x v="54"/>
    <n v="106609"/>
  </r>
  <r>
    <x v="195"/>
    <s v="TON"/>
    <x v="55"/>
    <n v="106095"/>
  </r>
  <r>
    <x v="195"/>
    <s v="TON"/>
    <x v="56"/>
    <n v="105524"/>
  </r>
  <r>
    <x v="195"/>
    <s v="TON"/>
    <x v="57"/>
    <n v="105356"/>
  </r>
  <r>
    <x v="195"/>
    <s v="TON"/>
    <x v="58"/>
    <n v="105567"/>
  </r>
  <r>
    <x v="195"/>
    <s v="TON"/>
    <x v="59"/>
    <n v="105669"/>
  </r>
  <r>
    <x v="195"/>
    <s v="TON"/>
    <x v="60"/>
    <n v="105704"/>
  </r>
  <r>
    <x v="195"/>
    <s v="TON"/>
    <x v="61"/>
    <n v="105490"/>
  </r>
  <r>
    <x v="195"/>
    <s v="TON"/>
    <x v="62"/>
    <n v="105042"/>
  </r>
  <r>
    <x v="195"/>
    <s v="TON"/>
    <x v="63"/>
    <n v="104597"/>
  </r>
  <r>
    <x v="195"/>
    <s v="TON"/>
    <x v="64"/>
    <n v="104175"/>
  </r>
  <r>
    <x v="196"/>
    <s v="TTO"/>
    <x v="0"/>
    <n v="844943"/>
  </r>
  <r>
    <x v="196"/>
    <s v="TTO"/>
    <x v="1"/>
    <n v="863144"/>
  </r>
  <r>
    <x v="196"/>
    <s v="TTO"/>
    <x v="2"/>
    <n v="880194"/>
  </r>
  <r>
    <x v="196"/>
    <s v="TTO"/>
    <x v="3"/>
    <n v="896804"/>
  </r>
  <r>
    <x v="196"/>
    <s v="TTO"/>
    <x v="4"/>
    <n v="912963"/>
  </r>
  <r>
    <x v="196"/>
    <s v="TTO"/>
    <x v="5"/>
    <n v="928425"/>
  </r>
  <r>
    <x v="196"/>
    <s v="TTO"/>
    <x v="6"/>
    <n v="942937"/>
  </r>
  <r>
    <x v="196"/>
    <s v="TTO"/>
    <x v="7"/>
    <n v="956418"/>
  </r>
  <r>
    <x v="196"/>
    <s v="TTO"/>
    <x v="8"/>
    <n v="969006"/>
  </r>
  <r>
    <x v="196"/>
    <s v="TTO"/>
    <x v="9"/>
    <n v="980706"/>
  </r>
  <r>
    <x v="196"/>
    <s v="TTO"/>
    <x v="10"/>
    <n v="991471"/>
  </r>
  <r>
    <x v="196"/>
    <s v="TTO"/>
    <x v="11"/>
    <n v="1002585"/>
  </r>
  <r>
    <x v="196"/>
    <s v="TTO"/>
    <x v="12"/>
    <n v="1014921"/>
  </r>
  <r>
    <x v="196"/>
    <s v="TTO"/>
    <x v="13"/>
    <n v="1027851"/>
  </r>
  <r>
    <x v="196"/>
    <s v="TTO"/>
    <x v="14"/>
    <n v="1040761"/>
  </r>
  <r>
    <x v="196"/>
    <s v="TTO"/>
    <x v="15"/>
    <n v="1053469"/>
  </r>
  <r>
    <x v="196"/>
    <s v="TTO"/>
    <x v="16"/>
    <n v="1066311"/>
  </r>
  <r>
    <x v="196"/>
    <s v="TTO"/>
    <x v="17"/>
    <n v="1079554"/>
  </r>
  <r>
    <x v="196"/>
    <s v="TTO"/>
    <x v="18"/>
    <n v="1093380"/>
  </r>
  <r>
    <x v="196"/>
    <s v="TTO"/>
    <x v="19"/>
    <n v="1107639"/>
  </r>
  <r>
    <x v="196"/>
    <s v="TTO"/>
    <x v="20"/>
    <n v="1121744"/>
  </r>
  <r>
    <x v="196"/>
    <s v="TTO"/>
    <x v="21"/>
    <n v="1135132"/>
  </r>
  <r>
    <x v="196"/>
    <s v="TTO"/>
    <x v="22"/>
    <n v="1147927"/>
  </r>
  <r>
    <x v="196"/>
    <s v="TTO"/>
    <x v="23"/>
    <n v="1160534"/>
  </r>
  <r>
    <x v="196"/>
    <s v="TTO"/>
    <x v="24"/>
    <n v="1172984"/>
  </r>
  <r>
    <x v="196"/>
    <s v="TTO"/>
    <x v="25"/>
    <n v="1187366"/>
  </r>
  <r>
    <x v="196"/>
    <s v="TTO"/>
    <x v="26"/>
    <n v="1203124"/>
  </r>
  <r>
    <x v="196"/>
    <s v="TTO"/>
    <x v="27"/>
    <n v="1217364"/>
  </r>
  <r>
    <x v="196"/>
    <s v="TTO"/>
    <x v="28"/>
    <n v="1230069"/>
  </r>
  <r>
    <x v="196"/>
    <s v="TTO"/>
    <x v="29"/>
    <n v="1241600"/>
  </r>
  <r>
    <x v="196"/>
    <s v="TTO"/>
    <x v="30"/>
    <n v="1252208"/>
  </r>
  <r>
    <x v="196"/>
    <s v="TTO"/>
    <x v="31"/>
    <n v="1262171"/>
  </r>
  <r>
    <x v="196"/>
    <s v="TTO"/>
    <x v="32"/>
    <n v="1271674"/>
  </r>
  <r>
    <x v="196"/>
    <s v="TTO"/>
    <x v="33"/>
    <n v="1280466"/>
  </r>
  <r>
    <x v="196"/>
    <s v="TTO"/>
    <x v="34"/>
    <n v="1288341"/>
  </r>
  <r>
    <x v="196"/>
    <s v="TTO"/>
    <x v="35"/>
    <n v="1295169"/>
  </r>
  <r>
    <x v="196"/>
    <s v="TTO"/>
    <x v="36"/>
    <n v="1300928"/>
  </r>
  <r>
    <x v="196"/>
    <s v="TTO"/>
    <x v="37"/>
    <n v="1305836"/>
  </r>
  <r>
    <x v="196"/>
    <s v="TTO"/>
    <x v="38"/>
    <n v="1310225"/>
  </r>
  <r>
    <x v="196"/>
    <s v="TTO"/>
    <x v="39"/>
    <n v="1314708"/>
  </r>
  <r>
    <x v="196"/>
    <s v="TTO"/>
    <x v="40"/>
    <n v="1319774"/>
  </r>
  <r>
    <x v="196"/>
    <s v="TTO"/>
    <x v="41"/>
    <n v="1325567"/>
  </r>
  <r>
    <x v="196"/>
    <s v="TTO"/>
    <x v="42"/>
    <n v="1332011"/>
  </r>
  <r>
    <x v="196"/>
    <s v="TTO"/>
    <x v="43"/>
    <n v="1338709"/>
  </r>
  <r>
    <x v="196"/>
    <s v="TTO"/>
    <x v="44"/>
    <n v="1345380"/>
  </r>
  <r>
    <x v="196"/>
    <s v="TTO"/>
    <x v="45"/>
    <n v="1294494"/>
  </r>
  <r>
    <x v="196"/>
    <s v="TTO"/>
    <x v="46"/>
    <n v="1297944"/>
  </r>
  <r>
    <x v="196"/>
    <s v="TTO"/>
    <x v="47"/>
    <n v="1303188"/>
  </r>
  <r>
    <x v="196"/>
    <s v="TTO"/>
    <x v="48"/>
    <n v="1308587"/>
  </r>
  <r>
    <x v="196"/>
    <s v="TTO"/>
    <x v="49"/>
    <n v="1310106"/>
  </r>
  <r>
    <x v="196"/>
    <s v="TTO"/>
    <x v="50"/>
    <n v="1317714"/>
  </r>
  <r>
    <x v="196"/>
    <s v="TTO"/>
    <x v="51"/>
    <n v="1328019"/>
  </r>
  <r>
    <x v="196"/>
    <s v="TTO"/>
    <x v="52"/>
    <n v="1335194"/>
  </r>
  <r>
    <x v="196"/>
    <s v="TTO"/>
    <x v="53"/>
    <n v="1340557"/>
  </r>
  <r>
    <x v="196"/>
    <s v="TTO"/>
    <x v="54"/>
    <n v="1345343"/>
  </r>
  <r>
    <x v="196"/>
    <s v="TTO"/>
    <x v="55"/>
    <n v="1349667"/>
  </r>
  <r>
    <x v="196"/>
    <s v="TTO"/>
    <x v="56"/>
    <n v="1353895"/>
  </r>
  <r>
    <x v="196"/>
    <s v="TTO"/>
    <x v="57"/>
    <n v="1356633"/>
  </r>
  <r>
    <x v="196"/>
    <s v="TTO"/>
    <x v="58"/>
    <n v="1359193"/>
  </r>
  <r>
    <x v="196"/>
    <s v="TTO"/>
    <x v="59"/>
    <n v="1363985"/>
  </r>
  <r>
    <x v="196"/>
    <s v="TTO"/>
    <x v="60"/>
    <n v="1366725"/>
  </r>
  <r>
    <x v="196"/>
    <s v="TTO"/>
    <x v="61"/>
    <n v="1367558"/>
  </r>
  <r>
    <x v="196"/>
    <s v="TTO"/>
    <x v="62"/>
    <n v="1365805"/>
  </r>
  <r>
    <x v="196"/>
    <s v="TTO"/>
    <x v="63"/>
    <n v="1367510"/>
  </r>
  <r>
    <x v="196"/>
    <s v="TTO"/>
    <x v="64"/>
    <n v="1368333"/>
  </r>
  <r>
    <x v="197"/>
    <s v="TUN"/>
    <x v="0"/>
    <n v="4267288"/>
  </r>
  <r>
    <x v="197"/>
    <s v="TUN"/>
    <x v="1"/>
    <n v="4316278"/>
  </r>
  <r>
    <x v="197"/>
    <s v="TUN"/>
    <x v="2"/>
    <n v="4369136"/>
  </r>
  <r>
    <x v="197"/>
    <s v="TUN"/>
    <x v="3"/>
    <n v="4427131"/>
  </r>
  <r>
    <x v="197"/>
    <s v="TUN"/>
    <x v="4"/>
    <n v="4489869"/>
  </r>
  <r>
    <x v="197"/>
    <s v="TUN"/>
    <x v="5"/>
    <n v="4561385"/>
  </r>
  <r>
    <x v="197"/>
    <s v="TUN"/>
    <x v="6"/>
    <n v="4652287"/>
  </r>
  <r>
    <x v="197"/>
    <s v="TUN"/>
    <x v="7"/>
    <n v="4760970"/>
  </r>
  <r>
    <x v="197"/>
    <s v="TUN"/>
    <x v="8"/>
    <n v="4879899"/>
  </r>
  <r>
    <x v="197"/>
    <s v="TUN"/>
    <x v="9"/>
    <n v="5004697"/>
  </r>
  <r>
    <x v="197"/>
    <s v="TUN"/>
    <x v="10"/>
    <n v="5131396"/>
  </r>
  <r>
    <x v="197"/>
    <s v="TUN"/>
    <x v="11"/>
    <n v="5261658"/>
  </r>
  <r>
    <x v="197"/>
    <s v="TUN"/>
    <x v="12"/>
    <n v="5396557"/>
  </r>
  <r>
    <x v="197"/>
    <s v="TUN"/>
    <x v="13"/>
    <n v="5537242"/>
  </r>
  <r>
    <x v="197"/>
    <s v="TUN"/>
    <x v="14"/>
    <n v="5684674"/>
  </r>
  <r>
    <x v="197"/>
    <s v="TUN"/>
    <x v="15"/>
    <n v="5839262"/>
  </r>
  <r>
    <x v="197"/>
    <s v="TUN"/>
    <x v="16"/>
    <n v="5996994"/>
  </r>
  <r>
    <x v="197"/>
    <s v="TUN"/>
    <x v="17"/>
    <n v="6155931"/>
  </r>
  <r>
    <x v="197"/>
    <s v="TUN"/>
    <x v="18"/>
    <n v="6309390"/>
  </r>
  <r>
    <x v="197"/>
    <s v="TUN"/>
    <x v="19"/>
    <n v="6456419"/>
  </r>
  <r>
    <x v="197"/>
    <s v="TUN"/>
    <x v="20"/>
    <n v="6606195"/>
  </r>
  <r>
    <x v="197"/>
    <s v="TUN"/>
    <x v="21"/>
    <n v="6758284"/>
  </r>
  <r>
    <x v="197"/>
    <s v="TUN"/>
    <x v="22"/>
    <n v="6908642"/>
  </r>
  <r>
    <x v="197"/>
    <s v="TUN"/>
    <x v="23"/>
    <n v="7053800"/>
  </r>
  <r>
    <x v="197"/>
    <s v="TUN"/>
    <x v="24"/>
    <n v="7220044"/>
  </r>
  <r>
    <x v="197"/>
    <s v="TUN"/>
    <x v="25"/>
    <n v="7409903"/>
  </r>
  <r>
    <x v="197"/>
    <s v="TUN"/>
    <x v="26"/>
    <n v="7600301"/>
  </r>
  <r>
    <x v="197"/>
    <s v="TUN"/>
    <x v="27"/>
    <n v="7789987"/>
  </r>
  <r>
    <x v="197"/>
    <s v="TUN"/>
    <x v="28"/>
    <n v="7974440"/>
  </r>
  <r>
    <x v="197"/>
    <s v="TUN"/>
    <x v="29"/>
    <n v="8151660"/>
  </r>
  <r>
    <x v="197"/>
    <s v="TUN"/>
    <x v="30"/>
    <n v="8324509"/>
  </r>
  <r>
    <x v="197"/>
    <s v="TUN"/>
    <x v="31"/>
    <n v="8501827"/>
  </r>
  <r>
    <x v="197"/>
    <s v="TUN"/>
    <x v="32"/>
    <n v="8682512"/>
  </r>
  <r>
    <x v="197"/>
    <s v="TUN"/>
    <x v="33"/>
    <n v="8857910"/>
  </r>
  <r>
    <x v="197"/>
    <s v="TUN"/>
    <x v="34"/>
    <n v="9018448"/>
  </r>
  <r>
    <x v="197"/>
    <s v="TUN"/>
    <x v="35"/>
    <n v="9161258"/>
  </r>
  <r>
    <x v="197"/>
    <s v="TUN"/>
    <x v="36"/>
    <n v="9294432"/>
  </r>
  <r>
    <x v="197"/>
    <s v="TUN"/>
    <x v="37"/>
    <n v="9421270"/>
  </r>
  <r>
    <x v="197"/>
    <s v="TUN"/>
    <x v="38"/>
    <n v="9541667"/>
  </r>
  <r>
    <x v="197"/>
    <s v="TUN"/>
    <x v="39"/>
    <n v="9655963"/>
  </r>
  <r>
    <x v="197"/>
    <s v="TUN"/>
    <x v="40"/>
    <n v="9764935"/>
  </r>
  <r>
    <x v="197"/>
    <s v="TUN"/>
    <x v="41"/>
    <n v="9869677"/>
  </r>
  <r>
    <x v="197"/>
    <s v="TUN"/>
    <x v="42"/>
    <n v="9971515"/>
  </r>
  <r>
    <x v="197"/>
    <s v="TUN"/>
    <x v="43"/>
    <n v="10071632"/>
  </r>
  <r>
    <x v="197"/>
    <s v="TUN"/>
    <x v="44"/>
    <n v="10166163"/>
  </r>
  <r>
    <x v="197"/>
    <s v="TUN"/>
    <x v="45"/>
    <n v="10255472"/>
  </r>
  <r>
    <x v="197"/>
    <s v="TUN"/>
    <x v="46"/>
    <n v="10346410"/>
  </r>
  <r>
    <x v="197"/>
    <s v="TUN"/>
    <x v="47"/>
    <n v="10441702"/>
  </r>
  <r>
    <x v="197"/>
    <s v="TUN"/>
    <x v="48"/>
    <n v="10542635"/>
  </r>
  <r>
    <x v="197"/>
    <s v="TUN"/>
    <x v="49"/>
    <n v="10650681"/>
  </r>
  <r>
    <x v="197"/>
    <s v="TUN"/>
    <x v="50"/>
    <n v="10765980"/>
  </r>
  <r>
    <x v="197"/>
    <s v="TUN"/>
    <x v="51"/>
    <n v="10886035"/>
  </r>
  <r>
    <x v="197"/>
    <s v="TUN"/>
    <x v="52"/>
    <n v="11009647"/>
  </r>
  <r>
    <x v="197"/>
    <s v="TUN"/>
    <x v="53"/>
    <n v="11141361"/>
  </r>
  <r>
    <x v="197"/>
    <s v="TUN"/>
    <x v="54"/>
    <n v="11274288"/>
  </r>
  <r>
    <x v="197"/>
    <s v="TUN"/>
    <x v="55"/>
    <n v="11402264"/>
  </r>
  <r>
    <x v="197"/>
    <s v="TUN"/>
    <x v="56"/>
    <n v="11528674"/>
  </r>
  <r>
    <x v="197"/>
    <s v="TUN"/>
    <x v="57"/>
    <n v="11650498"/>
  </r>
  <r>
    <x v="197"/>
    <s v="TUN"/>
    <x v="58"/>
    <n v="11765514"/>
  </r>
  <r>
    <x v="197"/>
    <s v="TUN"/>
    <x v="59"/>
    <n v="11875081"/>
  </r>
  <r>
    <x v="197"/>
    <s v="TUN"/>
    <x v="60"/>
    <n v="11974057"/>
  </r>
  <r>
    <x v="197"/>
    <s v="TUN"/>
    <x v="61"/>
    <n v="12048622"/>
  </r>
  <r>
    <x v="197"/>
    <s v="TUN"/>
    <x v="62"/>
    <n v="12119334"/>
  </r>
  <r>
    <x v="197"/>
    <s v="TUN"/>
    <x v="63"/>
    <n v="12200431"/>
  </r>
  <r>
    <x v="197"/>
    <s v="TUN"/>
    <x v="64"/>
    <n v="12277109"/>
  </r>
  <r>
    <x v="198"/>
    <s v="TUR"/>
    <x v="0"/>
    <n v="28329898"/>
  </r>
  <r>
    <x v="198"/>
    <s v="TUR"/>
    <x v="1"/>
    <n v="29119238"/>
  </r>
  <r>
    <x v="198"/>
    <s v="TUR"/>
    <x v="2"/>
    <n v="29916147"/>
  </r>
  <r>
    <x v="198"/>
    <s v="TUR"/>
    <x v="3"/>
    <n v="30726841"/>
  </r>
  <r>
    <x v="198"/>
    <s v="TUR"/>
    <x v="4"/>
    <n v="31543072"/>
  </r>
  <r>
    <x v="198"/>
    <s v="TUR"/>
    <x v="5"/>
    <n v="32345220"/>
  </r>
  <r>
    <x v="198"/>
    <s v="TUR"/>
    <x v="6"/>
    <n v="33177672"/>
  </r>
  <r>
    <x v="198"/>
    <s v="TUR"/>
    <x v="7"/>
    <n v="34050421"/>
  </r>
  <r>
    <x v="198"/>
    <s v="TUR"/>
    <x v="8"/>
    <n v="34921684"/>
  </r>
  <r>
    <x v="198"/>
    <s v="TUR"/>
    <x v="9"/>
    <n v="35787774"/>
  </r>
  <r>
    <x v="198"/>
    <s v="TUR"/>
    <x v="10"/>
    <n v="36638465"/>
  </r>
  <r>
    <x v="198"/>
    <s v="TUR"/>
    <x v="11"/>
    <n v="37518611"/>
  </r>
  <r>
    <x v="198"/>
    <s v="TUR"/>
    <x v="12"/>
    <n v="38430221"/>
  </r>
  <r>
    <x v="198"/>
    <s v="TUR"/>
    <x v="13"/>
    <n v="39329533"/>
  </r>
  <r>
    <x v="198"/>
    <s v="TUR"/>
    <x v="14"/>
    <n v="40210234"/>
  </r>
  <r>
    <x v="198"/>
    <s v="TUR"/>
    <x v="15"/>
    <n v="41053126"/>
  </r>
  <r>
    <x v="198"/>
    <s v="TUR"/>
    <x v="16"/>
    <n v="41899984"/>
  </r>
  <r>
    <x v="198"/>
    <s v="TUR"/>
    <x v="17"/>
    <n v="42773298"/>
  </r>
  <r>
    <x v="198"/>
    <s v="TUR"/>
    <x v="18"/>
    <n v="43645306"/>
  </r>
  <r>
    <x v="198"/>
    <s v="TUR"/>
    <x v="19"/>
    <n v="44510429"/>
  </r>
  <r>
    <x v="198"/>
    <s v="TUR"/>
    <x v="20"/>
    <n v="45408815"/>
  </r>
  <r>
    <x v="198"/>
    <s v="TUR"/>
    <x v="21"/>
    <n v="46321190"/>
  </r>
  <r>
    <x v="198"/>
    <s v="TUR"/>
    <x v="22"/>
    <n v="47322096"/>
  </r>
  <r>
    <x v="198"/>
    <s v="TUR"/>
    <x v="23"/>
    <n v="48447410"/>
  </r>
  <r>
    <x v="198"/>
    <s v="TUR"/>
    <x v="24"/>
    <n v="49574069"/>
  </r>
  <r>
    <x v="198"/>
    <s v="TUR"/>
    <x v="25"/>
    <n v="50687115"/>
  </r>
  <r>
    <x v="198"/>
    <s v="TUR"/>
    <x v="26"/>
    <n v="51777772"/>
  </r>
  <r>
    <x v="198"/>
    <s v="TUR"/>
    <x v="27"/>
    <n v="52843670"/>
  </r>
  <r>
    <x v="198"/>
    <s v="TUR"/>
    <x v="28"/>
    <n v="53909626"/>
  </r>
  <r>
    <x v="198"/>
    <s v="TUR"/>
    <x v="29"/>
    <n v="54976723"/>
  </r>
  <r>
    <x v="198"/>
    <s v="TUR"/>
    <x v="30"/>
    <n v="56015628"/>
  </r>
  <r>
    <x v="198"/>
    <s v="TUR"/>
    <x v="31"/>
    <n v="57009887"/>
  </r>
  <r>
    <x v="198"/>
    <s v="TUR"/>
    <x v="32"/>
    <n v="57990118"/>
  </r>
  <r>
    <x v="198"/>
    <s v="TUR"/>
    <x v="33"/>
    <n v="58999167"/>
  </r>
  <r>
    <x v="198"/>
    <s v="TUR"/>
    <x v="34"/>
    <n v="60033836"/>
  </r>
  <r>
    <x v="198"/>
    <s v="TUR"/>
    <x v="35"/>
    <n v="61024503"/>
  </r>
  <r>
    <x v="198"/>
    <s v="TUR"/>
    <x v="36"/>
    <n v="61951134"/>
  </r>
  <r>
    <x v="198"/>
    <s v="TUR"/>
    <x v="37"/>
    <n v="62852966"/>
  </r>
  <r>
    <x v="198"/>
    <s v="TUR"/>
    <x v="38"/>
    <n v="63734383"/>
  </r>
  <r>
    <x v="198"/>
    <s v="TUR"/>
    <x v="39"/>
    <n v="64591923"/>
  </r>
  <r>
    <x v="198"/>
    <s v="TUR"/>
    <x v="40"/>
    <n v="65425961"/>
  </r>
  <r>
    <x v="198"/>
    <s v="TUR"/>
    <x v="41"/>
    <n v="66245128"/>
  </r>
  <r>
    <x v="198"/>
    <s v="TUR"/>
    <x v="42"/>
    <n v="67048795"/>
  </r>
  <r>
    <x v="198"/>
    <s v="TUR"/>
    <x v="43"/>
    <n v="67831730"/>
  </r>
  <r>
    <x v="198"/>
    <s v="TUR"/>
    <x v="44"/>
    <n v="68592617"/>
  </r>
  <r>
    <x v="198"/>
    <s v="TUR"/>
    <x v="45"/>
    <n v="69329557"/>
  </r>
  <r>
    <x v="198"/>
    <s v="TUR"/>
    <x v="46"/>
    <n v="70045349"/>
  </r>
  <r>
    <x v="198"/>
    <s v="TUR"/>
    <x v="47"/>
    <n v="70158112"/>
  </r>
  <r>
    <x v="198"/>
    <s v="TUR"/>
    <x v="48"/>
    <n v="71051678"/>
  </r>
  <r>
    <x v="198"/>
    <s v="TUR"/>
    <x v="49"/>
    <n v="72039206"/>
  </r>
  <r>
    <x v="198"/>
    <s v="TUR"/>
    <x v="50"/>
    <n v="73142150"/>
  </r>
  <r>
    <x v="198"/>
    <s v="TUR"/>
    <x v="51"/>
    <n v="74223629"/>
  </r>
  <r>
    <x v="198"/>
    <s v="TUR"/>
    <x v="52"/>
    <n v="75175827"/>
  </r>
  <r>
    <x v="198"/>
    <s v="TUR"/>
    <x v="53"/>
    <n v="76147624"/>
  </r>
  <r>
    <x v="198"/>
    <s v="TUR"/>
    <x v="54"/>
    <n v="77181884"/>
  </r>
  <r>
    <x v="198"/>
    <s v="TUR"/>
    <x v="55"/>
    <n v="78218479"/>
  </r>
  <r>
    <x v="198"/>
    <s v="TUR"/>
    <x v="56"/>
    <n v="79277962"/>
  </r>
  <r>
    <x v="198"/>
    <s v="TUR"/>
    <x v="57"/>
    <n v="80312698"/>
  </r>
  <r>
    <x v="198"/>
    <s v="TUR"/>
    <x v="58"/>
    <n v="81407204"/>
  </r>
  <r>
    <x v="198"/>
    <s v="TUR"/>
    <x v="59"/>
    <n v="82579440"/>
  </r>
  <r>
    <x v="198"/>
    <s v="TUR"/>
    <x v="60"/>
    <n v="83384680"/>
  </r>
  <r>
    <x v="198"/>
    <s v="TUR"/>
    <x v="61"/>
    <n v="84147318"/>
  </r>
  <r>
    <x v="198"/>
    <s v="TUR"/>
    <x v="62"/>
    <n v="84979913"/>
  </r>
  <r>
    <x v="198"/>
    <s v="TUR"/>
    <x v="63"/>
    <n v="85325965"/>
  </r>
  <r>
    <x v="198"/>
    <s v="TUR"/>
    <x v="64"/>
    <n v="85518661"/>
  </r>
  <r>
    <x v="199"/>
    <s v="TKM"/>
    <x v="0"/>
    <n v="1643457"/>
  </r>
  <r>
    <x v="199"/>
    <s v="TKM"/>
    <x v="1"/>
    <n v="1695400"/>
  </r>
  <r>
    <x v="199"/>
    <s v="TKM"/>
    <x v="2"/>
    <n v="1749214"/>
  </r>
  <r>
    <x v="199"/>
    <s v="TKM"/>
    <x v="3"/>
    <n v="1804272"/>
  </r>
  <r>
    <x v="199"/>
    <s v="TKM"/>
    <x v="4"/>
    <n v="1859997"/>
  </r>
  <r>
    <x v="199"/>
    <s v="TKM"/>
    <x v="5"/>
    <n v="1915916"/>
  </r>
  <r>
    <x v="199"/>
    <s v="TKM"/>
    <x v="6"/>
    <n v="1971737"/>
  </r>
  <r>
    <x v="199"/>
    <s v="TKM"/>
    <x v="7"/>
    <n v="2027403"/>
  </r>
  <r>
    <x v="199"/>
    <s v="TKM"/>
    <x v="8"/>
    <n v="2083069"/>
  </r>
  <r>
    <x v="199"/>
    <s v="TKM"/>
    <x v="9"/>
    <n v="2139024"/>
  </r>
  <r>
    <x v="199"/>
    <s v="TKM"/>
    <x v="10"/>
    <n v="2195616"/>
  </r>
  <r>
    <x v="199"/>
    <s v="TKM"/>
    <x v="11"/>
    <n v="2253119"/>
  </r>
  <r>
    <x v="199"/>
    <s v="TKM"/>
    <x v="12"/>
    <n v="2311430"/>
  </r>
  <r>
    <x v="199"/>
    <s v="TKM"/>
    <x v="13"/>
    <n v="2370919"/>
  </r>
  <r>
    <x v="199"/>
    <s v="TKM"/>
    <x v="14"/>
    <n v="2432028"/>
  </r>
  <r>
    <x v="199"/>
    <s v="TKM"/>
    <x v="15"/>
    <n v="2494570"/>
  </r>
  <r>
    <x v="199"/>
    <s v="TKM"/>
    <x v="16"/>
    <n v="2558521"/>
  </r>
  <r>
    <x v="199"/>
    <s v="TKM"/>
    <x v="17"/>
    <n v="2623948"/>
  </r>
  <r>
    <x v="199"/>
    <s v="TKM"/>
    <x v="18"/>
    <n v="2691088"/>
  </r>
  <r>
    <x v="199"/>
    <s v="TKM"/>
    <x v="19"/>
    <n v="2760358"/>
  </r>
  <r>
    <x v="199"/>
    <s v="TKM"/>
    <x v="20"/>
    <n v="2832203"/>
  </r>
  <r>
    <x v="199"/>
    <s v="TKM"/>
    <x v="21"/>
    <n v="2907187"/>
  </r>
  <r>
    <x v="199"/>
    <s v="TKM"/>
    <x v="22"/>
    <n v="2985557"/>
  </r>
  <r>
    <x v="199"/>
    <s v="TKM"/>
    <x v="23"/>
    <n v="3067534"/>
  </r>
  <r>
    <x v="199"/>
    <s v="TKM"/>
    <x v="24"/>
    <n v="3154079"/>
  </r>
  <r>
    <x v="199"/>
    <s v="TKM"/>
    <x v="25"/>
    <n v="3247534"/>
  </r>
  <r>
    <x v="199"/>
    <s v="TKM"/>
    <x v="26"/>
    <n v="3347809"/>
  </r>
  <r>
    <x v="199"/>
    <s v="TKM"/>
    <x v="27"/>
    <n v="3452731"/>
  </r>
  <r>
    <x v="199"/>
    <s v="TKM"/>
    <x v="28"/>
    <n v="3559363"/>
  </r>
  <r>
    <x v="199"/>
    <s v="TKM"/>
    <x v="29"/>
    <n v="3662459"/>
  </r>
  <r>
    <x v="199"/>
    <s v="TKM"/>
    <x v="30"/>
    <n v="3760562"/>
  </r>
  <r>
    <x v="199"/>
    <s v="TKM"/>
    <x v="31"/>
    <n v="3855894"/>
  </r>
  <r>
    <x v="199"/>
    <s v="TKM"/>
    <x v="32"/>
    <n v="3944689"/>
  </r>
  <r>
    <x v="199"/>
    <s v="TKM"/>
    <x v="33"/>
    <n v="4032407"/>
  </r>
  <r>
    <x v="199"/>
    <s v="TKM"/>
    <x v="34"/>
    <n v="4116662"/>
  </r>
  <r>
    <x v="199"/>
    <s v="TKM"/>
    <x v="35"/>
    <n v="4191203"/>
  </r>
  <r>
    <x v="199"/>
    <s v="TKM"/>
    <x v="36"/>
    <n v="4263819"/>
  </r>
  <r>
    <x v="199"/>
    <s v="TKM"/>
    <x v="37"/>
    <n v="4336730"/>
  </r>
  <r>
    <x v="199"/>
    <s v="TKM"/>
    <x v="38"/>
    <n v="4410507"/>
  </r>
  <r>
    <x v="199"/>
    <s v="TKM"/>
    <x v="39"/>
    <n v="4492170"/>
  </r>
  <r>
    <x v="199"/>
    <s v="TKM"/>
    <x v="40"/>
    <n v="4582677"/>
  </r>
  <r>
    <x v="199"/>
    <s v="TKM"/>
    <x v="41"/>
    <n v="4675409"/>
  </r>
  <r>
    <x v="199"/>
    <s v="TKM"/>
    <x v="42"/>
    <n v="4769465"/>
  </r>
  <r>
    <x v="199"/>
    <s v="TKM"/>
    <x v="43"/>
    <n v="4863865"/>
  </r>
  <r>
    <x v="199"/>
    <s v="TKM"/>
    <x v="44"/>
    <n v="4958093"/>
  </r>
  <r>
    <x v="199"/>
    <s v="TKM"/>
    <x v="45"/>
    <n v="5052257"/>
  </r>
  <r>
    <x v="199"/>
    <s v="TKM"/>
    <x v="46"/>
    <n v="5147105"/>
  </r>
  <r>
    <x v="199"/>
    <s v="TKM"/>
    <x v="47"/>
    <n v="5244046"/>
  </r>
  <r>
    <x v="199"/>
    <s v="TKM"/>
    <x v="48"/>
    <n v="5345029"/>
  </r>
  <r>
    <x v="199"/>
    <s v="TKM"/>
    <x v="49"/>
    <n v="5451592"/>
  </r>
  <r>
    <x v="199"/>
    <s v="TKM"/>
    <x v="50"/>
    <n v="5564356"/>
  </r>
  <r>
    <x v="199"/>
    <s v="TKM"/>
    <x v="51"/>
    <n v="5683417"/>
  </r>
  <r>
    <x v="199"/>
    <s v="TKM"/>
    <x v="52"/>
    <n v="5808546"/>
  </r>
  <r>
    <x v="199"/>
    <s v="TKM"/>
    <x v="53"/>
    <n v="5939341"/>
  </r>
  <r>
    <x v="199"/>
    <s v="TKM"/>
    <x v="54"/>
    <n v="6075283"/>
  </r>
  <r>
    <x v="199"/>
    <s v="TKM"/>
    <x v="55"/>
    <n v="6215770"/>
  </r>
  <r>
    <x v="199"/>
    <s v="TKM"/>
    <x v="56"/>
    <n v="6360041"/>
  </r>
  <r>
    <x v="199"/>
    <s v="TKM"/>
    <x v="57"/>
    <n v="6507061"/>
  </r>
  <r>
    <x v="199"/>
    <s v="TKM"/>
    <x v="58"/>
    <n v="6655524"/>
  </r>
  <r>
    <x v="199"/>
    <s v="TKM"/>
    <x v="59"/>
    <n v="6803944"/>
  </r>
  <r>
    <x v="199"/>
    <s v="TKM"/>
    <x v="60"/>
    <n v="6949912"/>
  </r>
  <r>
    <x v="199"/>
    <s v="TKM"/>
    <x v="61"/>
    <n v="7092043"/>
  </r>
  <r>
    <x v="199"/>
    <s v="TKM"/>
    <x v="62"/>
    <n v="7230193"/>
  </r>
  <r>
    <x v="199"/>
    <s v="TKM"/>
    <x v="63"/>
    <n v="7364438"/>
  </r>
  <r>
    <x v="199"/>
    <s v="TKM"/>
    <x v="64"/>
    <n v="7494498"/>
  </r>
  <r>
    <x v="200"/>
    <s v="TCA"/>
    <x v="0"/>
    <n v="5599"/>
  </r>
  <r>
    <x v="200"/>
    <s v="TCA"/>
    <x v="1"/>
    <n v="5622"/>
  </r>
  <r>
    <x v="200"/>
    <s v="TCA"/>
    <x v="2"/>
    <n v="5636"/>
  </r>
  <r>
    <x v="200"/>
    <s v="TCA"/>
    <x v="3"/>
    <n v="5647"/>
  </r>
  <r>
    <x v="200"/>
    <s v="TCA"/>
    <x v="4"/>
    <n v="5657"/>
  </r>
  <r>
    <x v="200"/>
    <s v="TCA"/>
    <x v="5"/>
    <n v="5658"/>
  </r>
  <r>
    <x v="200"/>
    <s v="TCA"/>
    <x v="6"/>
    <n v="5654"/>
  </r>
  <r>
    <x v="200"/>
    <s v="TCA"/>
    <x v="7"/>
    <n v="5657"/>
  </r>
  <r>
    <x v="200"/>
    <s v="TCA"/>
    <x v="8"/>
    <n v="5656"/>
  </r>
  <r>
    <x v="200"/>
    <s v="TCA"/>
    <x v="9"/>
    <n v="5652"/>
  </r>
  <r>
    <x v="200"/>
    <s v="TCA"/>
    <x v="10"/>
    <n v="5667"/>
  </r>
  <r>
    <x v="200"/>
    <s v="TCA"/>
    <x v="11"/>
    <n v="5754"/>
  </r>
  <r>
    <x v="200"/>
    <s v="TCA"/>
    <x v="12"/>
    <n v="5915"/>
  </r>
  <r>
    <x v="200"/>
    <s v="TCA"/>
    <x v="13"/>
    <n v="6090"/>
  </r>
  <r>
    <x v="200"/>
    <s v="TCA"/>
    <x v="14"/>
    <n v="6273"/>
  </r>
  <r>
    <x v="200"/>
    <s v="TCA"/>
    <x v="15"/>
    <n v="6463"/>
  </r>
  <r>
    <x v="200"/>
    <s v="TCA"/>
    <x v="16"/>
    <n v="6660"/>
  </r>
  <r>
    <x v="200"/>
    <s v="TCA"/>
    <x v="17"/>
    <n v="6864"/>
  </r>
  <r>
    <x v="200"/>
    <s v="TCA"/>
    <x v="18"/>
    <n v="7083"/>
  </r>
  <r>
    <x v="200"/>
    <s v="TCA"/>
    <x v="19"/>
    <n v="7306"/>
  </r>
  <r>
    <x v="200"/>
    <s v="TCA"/>
    <x v="20"/>
    <n v="7564"/>
  </r>
  <r>
    <x v="200"/>
    <s v="TCA"/>
    <x v="21"/>
    <n v="7908"/>
  </r>
  <r>
    <x v="200"/>
    <s v="TCA"/>
    <x v="22"/>
    <n v="8297"/>
  </r>
  <r>
    <x v="200"/>
    <s v="TCA"/>
    <x v="23"/>
    <n v="8697"/>
  </r>
  <r>
    <x v="200"/>
    <s v="TCA"/>
    <x v="24"/>
    <n v="9107"/>
  </r>
  <r>
    <x v="200"/>
    <s v="TCA"/>
    <x v="25"/>
    <n v="9521"/>
  </r>
  <r>
    <x v="200"/>
    <s v="TCA"/>
    <x v="26"/>
    <n v="9941"/>
  </r>
  <r>
    <x v="200"/>
    <s v="TCA"/>
    <x v="27"/>
    <n v="10361"/>
  </r>
  <r>
    <x v="200"/>
    <s v="TCA"/>
    <x v="28"/>
    <n v="10775"/>
  </r>
  <r>
    <x v="200"/>
    <s v="TCA"/>
    <x v="29"/>
    <n v="11193"/>
  </r>
  <r>
    <x v="200"/>
    <s v="TCA"/>
    <x v="30"/>
    <n v="11688"/>
  </r>
  <r>
    <x v="200"/>
    <s v="TCA"/>
    <x v="31"/>
    <n v="12305"/>
  </r>
  <r>
    <x v="200"/>
    <s v="TCA"/>
    <x v="32"/>
    <n v="12970"/>
  </r>
  <r>
    <x v="200"/>
    <s v="TCA"/>
    <x v="33"/>
    <n v="13648"/>
  </r>
  <r>
    <x v="200"/>
    <s v="TCA"/>
    <x v="34"/>
    <n v="14344"/>
  </r>
  <r>
    <x v="200"/>
    <s v="TCA"/>
    <x v="35"/>
    <n v="15052"/>
  </r>
  <r>
    <x v="200"/>
    <s v="TCA"/>
    <x v="36"/>
    <n v="15765"/>
  </r>
  <r>
    <x v="200"/>
    <s v="TCA"/>
    <x v="37"/>
    <n v="16482"/>
  </r>
  <r>
    <x v="200"/>
    <s v="TCA"/>
    <x v="38"/>
    <n v="17212"/>
  </r>
  <r>
    <x v="200"/>
    <s v="TCA"/>
    <x v="39"/>
    <n v="17959"/>
  </r>
  <r>
    <x v="200"/>
    <s v="TCA"/>
    <x v="40"/>
    <n v="18730"/>
  </r>
  <r>
    <x v="200"/>
    <s v="TCA"/>
    <x v="41"/>
    <n v="19576"/>
  </r>
  <r>
    <x v="200"/>
    <s v="TCA"/>
    <x v="42"/>
    <n v="20597"/>
  </r>
  <r>
    <x v="200"/>
    <s v="TCA"/>
    <x v="43"/>
    <n v="21727"/>
  </r>
  <r>
    <x v="200"/>
    <s v="TCA"/>
    <x v="44"/>
    <n v="22856"/>
  </r>
  <r>
    <x v="200"/>
    <s v="TCA"/>
    <x v="45"/>
    <n v="23988"/>
  </r>
  <r>
    <x v="200"/>
    <s v="TCA"/>
    <x v="46"/>
    <n v="25123"/>
  </r>
  <r>
    <x v="200"/>
    <s v="TCA"/>
    <x v="47"/>
    <n v="26270"/>
  </r>
  <r>
    <x v="200"/>
    <s v="TCA"/>
    <x v="48"/>
    <n v="27427"/>
  </r>
  <r>
    <x v="200"/>
    <s v="TCA"/>
    <x v="49"/>
    <n v="28588"/>
  </r>
  <r>
    <x v="200"/>
    <s v="TCA"/>
    <x v="50"/>
    <n v="29739"/>
  </r>
  <r>
    <x v="200"/>
    <s v="TCA"/>
    <x v="51"/>
    <n v="30846"/>
  </r>
  <r>
    <x v="200"/>
    <s v="TCA"/>
    <x v="52"/>
    <n v="32127"/>
  </r>
  <r>
    <x v="200"/>
    <s v="TCA"/>
    <x v="53"/>
    <n v="33653"/>
  </r>
  <r>
    <x v="200"/>
    <s v="TCA"/>
    <x v="54"/>
    <n v="35050"/>
  </r>
  <r>
    <x v="200"/>
    <s v="TCA"/>
    <x v="55"/>
    <n v="36605"/>
  </r>
  <r>
    <x v="200"/>
    <s v="TCA"/>
    <x v="56"/>
    <n v="38315"/>
  </r>
  <r>
    <x v="200"/>
    <s v="TCA"/>
    <x v="57"/>
    <n v="39913"/>
  </r>
  <r>
    <x v="200"/>
    <s v="TCA"/>
    <x v="58"/>
    <n v="41559"/>
  </r>
  <r>
    <x v="200"/>
    <s v="TCA"/>
    <x v="59"/>
    <n v="43166"/>
  </r>
  <r>
    <x v="200"/>
    <s v="TCA"/>
    <x v="60"/>
    <n v="44386"/>
  </r>
  <r>
    <x v="200"/>
    <s v="TCA"/>
    <x v="61"/>
    <n v="45243"/>
  </r>
  <r>
    <x v="200"/>
    <s v="TCA"/>
    <x v="62"/>
    <n v="45847"/>
  </r>
  <r>
    <x v="200"/>
    <s v="TCA"/>
    <x v="63"/>
    <n v="46198"/>
  </r>
  <r>
    <x v="200"/>
    <s v="TCA"/>
    <x v="64"/>
    <n v="46535"/>
  </r>
  <r>
    <x v="201"/>
    <s v="TUV"/>
    <x v="0"/>
    <n v="5598"/>
  </r>
  <r>
    <x v="201"/>
    <s v="TUV"/>
    <x v="1"/>
    <n v="5648"/>
  </r>
  <r>
    <x v="201"/>
    <s v="TUV"/>
    <x v="2"/>
    <n v="5699"/>
  </r>
  <r>
    <x v="201"/>
    <s v="TUV"/>
    <x v="3"/>
    <n v="5751"/>
  </r>
  <r>
    <x v="201"/>
    <s v="TUV"/>
    <x v="4"/>
    <n v="5752"/>
  </r>
  <r>
    <x v="201"/>
    <s v="TUV"/>
    <x v="5"/>
    <n v="5715"/>
  </r>
  <r>
    <x v="201"/>
    <s v="TUV"/>
    <x v="6"/>
    <n v="5686"/>
  </r>
  <r>
    <x v="201"/>
    <s v="TUV"/>
    <x v="7"/>
    <n v="5652"/>
  </r>
  <r>
    <x v="201"/>
    <s v="TUV"/>
    <x v="8"/>
    <n v="5624"/>
  </r>
  <r>
    <x v="201"/>
    <s v="TUV"/>
    <x v="9"/>
    <n v="5631"/>
  </r>
  <r>
    <x v="201"/>
    <s v="TUV"/>
    <x v="10"/>
    <n v="5663"/>
  </r>
  <r>
    <x v="201"/>
    <s v="TUV"/>
    <x v="11"/>
    <n v="5685"/>
  </r>
  <r>
    <x v="201"/>
    <s v="TUV"/>
    <x v="12"/>
    <n v="5692"/>
  </r>
  <r>
    <x v="201"/>
    <s v="TUV"/>
    <x v="13"/>
    <n v="5681"/>
  </r>
  <r>
    <x v="201"/>
    <s v="TUV"/>
    <x v="14"/>
    <n v="5822"/>
  </r>
  <r>
    <x v="201"/>
    <s v="TUV"/>
    <x v="15"/>
    <n v="6117"/>
  </r>
  <r>
    <x v="201"/>
    <s v="TUV"/>
    <x v="16"/>
    <n v="6404"/>
  </r>
  <r>
    <x v="201"/>
    <s v="TUV"/>
    <x v="17"/>
    <n v="6686"/>
  </r>
  <r>
    <x v="201"/>
    <s v="TUV"/>
    <x v="18"/>
    <n v="6957"/>
  </r>
  <r>
    <x v="201"/>
    <s v="TUV"/>
    <x v="19"/>
    <n v="7184"/>
  </r>
  <r>
    <x v="201"/>
    <s v="TUV"/>
    <x v="20"/>
    <n v="7366"/>
  </r>
  <r>
    <x v="201"/>
    <s v="TUV"/>
    <x v="21"/>
    <n v="7526"/>
  </r>
  <r>
    <x v="201"/>
    <s v="TUV"/>
    <x v="22"/>
    <n v="7664"/>
  </r>
  <r>
    <x v="201"/>
    <s v="TUV"/>
    <x v="23"/>
    <n v="7789"/>
  </r>
  <r>
    <x v="201"/>
    <s v="TUV"/>
    <x v="24"/>
    <n v="7902"/>
  </r>
  <r>
    <x v="201"/>
    <s v="TUV"/>
    <x v="25"/>
    <n v="8046"/>
  </r>
  <r>
    <x v="201"/>
    <s v="TUV"/>
    <x v="26"/>
    <n v="8217"/>
  </r>
  <r>
    <x v="201"/>
    <s v="TUV"/>
    <x v="27"/>
    <n v="8371"/>
  </r>
  <r>
    <x v="201"/>
    <s v="TUV"/>
    <x v="28"/>
    <n v="8518"/>
  </r>
  <r>
    <x v="201"/>
    <s v="TUV"/>
    <x v="29"/>
    <n v="8662"/>
  </r>
  <r>
    <x v="201"/>
    <s v="TUV"/>
    <x v="30"/>
    <n v="8798"/>
  </r>
  <r>
    <x v="201"/>
    <s v="TUV"/>
    <x v="31"/>
    <n v="8928"/>
  </r>
  <r>
    <x v="201"/>
    <s v="TUV"/>
    <x v="32"/>
    <n v="9038"/>
  </r>
  <r>
    <x v="201"/>
    <s v="TUV"/>
    <x v="33"/>
    <n v="9126"/>
  </r>
  <r>
    <x v="201"/>
    <s v="TUV"/>
    <x v="34"/>
    <n v="9207"/>
  </r>
  <r>
    <x v="201"/>
    <s v="TUV"/>
    <x v="35"/>
    <n v="9280"/>
  </r>
  <r>
    <x v="201"/>
    <s v="TUV"/>
    <x v="36"/>
    <n v="9342"/>
  </r>
  <r>
    <x v="201"/>
    <s v="TUV"/>
    <x v="37"/>
    <n v="9400"/>
  </r>
  <r>
    <x v="201"/>
    <s v="TUV"/>
    <x v="38"/>
    <n v="9451"/>
  </r>
  <r>
    <x v="201"/>
    <s v="TUV"/>
    <x v="39"/>
    <n v="9496"/>
  </r>
  <r>
    <x v="201"/>
    <s v="TUV"/>
    <x v="40"/>
    <n v="9544"/>
  </r>
  <r>
    <x v="201"/>
    <s v="TUV"/>
    <x v="41"/>
    <n v="9586"/>
  </r>
  <r>
    <x v="201"/>
    <s v="TUV"/>
    <x v="42"/>
    <n v="9623"/>
  </r>
  <r>
    <x v="201"/>
    <s v="TUV"/>
    <x v="43"/>
    <n v="9695"/>
  </r>
  <r>
    <x v="201"/>
    <s v="TUV"/>
    <x v="44"/>
    <n v="9816"/>
  </r>
  <r>
    <x v="201"/>
    <s v="TUV"/>
    <x v="45"/>
    <n v="9940"/>
  </r>
  <r>
    <x v="201"/>
    <s v="TUV"/>
    <x v="46"/>
    <n v="10056"/>
  </r>
  <r>
    <x v="201"/>
    <s v="TUV"/>
    <x v="47"/>
    <n v="10182"/>
  </r>
  <r>
    <x v="201"/>
    <s v="TUV"/>
    <x v="48"/>
    <n v="10321"/>
  </r>
  <r>
    <x v="201"/>
    <s v="TUV"/>
    <x v="49"/>
    <n v="10461"/>
  </r>
  <r>
    <x v="201"/>
    <s v="TUV"/>
    <x v="50"/>
    <n v="10614"/>
  </r>
  <r>
    <x v="201"/>
    <s v="TUV"/>
    <x v="51"/>
    <n v="10780"/>
  </r>
  <r>
    <x v="201"/>
    <s v="TUV"/>
    <x v="52"/>
    <n v="10934"/>
  </r>
  <r>
    <x v="201"/>
    <s v="TUV"/>
    <x v="53"/>
    <n v="11001"/>
  </r>
  <r>
    <x v="201"/>
    <s v="TUV"/>
    <x v="54"/>
    <n v="10984"/>
  </r>
  <r>
    <x v="201"/>
    <s v="TUV"/>
    <x v="55"/>
    <n v="10963"/>
  </r>
  <r>
    <x v="201"/>
    <s v="TUV"/>
    <x v="56"/>
    <n v="10930"/>
  </r>
  <r>
    <x v="201"/>
    <s v="TUV"/>
    <x v="57"/>
    <n v="10869"/>
  </r>
  <r>
    <x v="201"/>
    <s v="TUV"/>
    <x v="58"/>
    <n v="10751"/>
  </r>
  <r>
    <x v="201"/>
    <s v="TUV"/>
    <x v="59"/>
    <n v="10581"/>
  </r>
  <r>
    <x v="201"/>
    <s v="TUV"/>
    <x v="60"/>
    <n v="10399"/>
  </r>
  <r>
    <x v="201"/>
    <s v="TUV"/>
    <x v="61"/>
    <n v="10194"/>
  </r>
  <r>
    <x v="201"/>
    <s v="TUV"/>
    <x v="62"/>
    <n v="9992"/>
  </r>
  <r>
    <x v="201"/>
    <s v="TUV"/>
    <x v="63"/>
    <n v="9816"/>
  </r>
  <r>
    <x v="201"/>
    <s v="TUV"/>
    <x v="64"/>
    <n v="9646"/>
  </r>
  <r>
    <x v="202"/>
    <s v="UGA"/>
    <x v="0"/>
    <n v="7640973"/>
  </r>
  <r>
    <x v="202"/>
    <s v="UGA"/>
    <x v="1"/>
    <n v="7862217"/>
  </r>
  <r>
    <x v="202"/>
    <s v="UGA"/>
    <x v="2"/>
    <n v="8092231"/>
  </r>
  <r>
    <x v="202"/>
    <s v="UGA"/>
    <x v="3"/>
    <n v="8333663"/>
  </r>
  <r>
    <x v="202"/>
    <s v="UGA"/>
    <x v="4"/>
    <n v="8586363"/>
  </r>
  <r>
    <x v="202"/>
    <s v="UGA"/>
    <x v="5"/>
    <n v="8849203"/>
  </r>
  <r>
    <x v="202"/>
    <s v="UGA"/>
    <x v="6"/>
    <n v="9122864"/>
  </r>
  <r>
    <x v="202"/>
    <s v="UGA"/>
    <x v="7"/>
    <n v="9408924"/>
  </r>
  <r>
    <x v="202"/>
    <s v="UGA"/>
    <x v="8"/>
    <n v="9708632"/>
  </r>
  <r>
    <x v="202"/>
    <s v="UGA"/>
    <x v="9"/>
    <n v="10014858"/>
  </r>
  <r>
    <x v="202"/>
    <s v="UGA"/>
    <x v="10"/>
    <n v="10321603"/>
  </r>
  <r>
    <x v="202"/>
    <s v="UGA"/>
    <x v="11"/>
    <n v="10618206"/>
  </r>
  <r>
    <x v="202"/>
    <s v="UGA"/>
    <x v="12"/>
    <n v="10885796"/>
  </r>
  <r>
    <x v="202"/>
    <s v="UGA"/>
    <x v="13"/>
    <n v="11144236"/>
  </r>
  <r>
    <x v="202"/>
    <s v="UGA"/>
    <x v="14"/>
    <n v="11424846"/>
  </r>
  <r>
    <x v="202"/>
    <s v="UGA"/>
    <x v="15"/>
    <n v="11725240"/>
  </r>
  <r>
    <x v="202"/>
    <s v="UGA"/>
    <x v="16"/>
    <n v="12037294"/>
  </r>
  <r>
    <x v="202"/>
    <s v="UGA"/>
    <x v="17"/>
    <n v="12359669"/>
  </r>
  <r>
    <x v="202"/>
    <s v="UGA"/>
    <x v="18"/>
    <n v="12692113"/>
  </r>
  <r>
    <x v="202"/>
    <s v="UGA"/>
    <x v="19"/>
    <n v="13002163"/>
  </r>
  <r>
    <x v="202"/>
    <s v="UGA"/>
    <x v="20"/>
    <n v="13275741"/>
  </r>
  <r>
    <x v="202"/>
    <s v="UGA"/>
    <x v="21"/>
    <n v="13556452"/>
  </r>
  <r>
    <x v="202"/>
    <s v="UGA"/>
    <x v="22"/>
    <n v="13873631"/>
  </r>
  <r>
    <x v="202"/>
    <s v="UGA"/>
    <x v="23"/>
    <n v="14221881"/>
  </r>
  <r>
    <x v="202"/>
    <s v="UGA"/>
    <x v="24"/>
    <n v="14607677"/>
  </r>
  <r>
    <x v="202"/>
    <s v="UGA"/>
    <x v="25"/>
    <n v="15023681"/>
  </r>
  <r>
    <x v="202"/>
    <s v="UGA"/>
    <x v="26"/>
    <n v="15467579"/>
  </r>
  <r>
    <x v="202"/>
    <s v="UGA"/>
    <x v="27"/>
    <n v="15954170"/>
  </r>
  <r>
    <x v="202"/>
    <s v="UGA"/>
    <x v="28"/>
    <n v="16470483"/>
  </r>
  <r>
    <x v="202"/>
    <s v="UGA"/>
    <x v="29"/>
    <n v="17010698"/>
  </r>
  <r>
    <x v="202"/>
    <s v="UGA"/>
    <x v="30"/>
    <n v="17569897"/>
  </r>
  <r>
    <x v="202"/>
    <s v="UGA"/>
    <x v="31"/>
    <n v="18155901"/>
  </r>
  <r>
    <x v="202"/>
    <s v="UGA"/>
    <x v="32"/>
    <n v="18785032"/>
  </r>
  <r>
    <x v="202"/>
    <s v="UGA"/>
    <x v="33"/>
    <n v="19445161"/>
  </r>
  <r>
    <x v="202"/>
    <s v="UGA"/>
    <x v="34"/>
    <n v="20108801"/>
  </r>
  <r>
    <x v="202"/>
    <s v="UGA"/>
    <x v="35"/>
    <n v="20665667"/>
  </r>
  <r>
    <x v="202"/>
    <s v="UGA"/>
    <x v="36"/>
    <n v="21231550"/>
  </r>
  <r>
    <x v="202"/>
    <s v="UGA"/>
    <x v="37"/>
    <n v="21856046"/>
  </r>
  <r>
    <x v="202"/>
    <s v="UGA"/>
    <x v="38"/>
    <n v="22515806"/>
  </r>
  <r>
    <x v="202"/>
    <s v="UGA"/>
    <x v="39"/>
    <n v="23257281"/>
  </r>
  <r>
    <x v="202"/>
    <s v="UGA"/>
    <x v="40"/>
    <n v="24000150"/>
  </r>
  <r>
    <x v="202"/>
    <s v="UGA"/>
    <x v="41"/>
    <n v="24745676"/>
  </r>
  <r>
    <x v="202"/>
    <s v="UGA"/>
    <x v="42"/>
    <n v="25532870"/>
  </r>
  <r>
    <x v="202"/>
    <s v="UGA"/>
    <x v="43"/>
    <n v="26352124"/>
  </r>
  <r>
    <x v="202"/>
    <s v="UGA"/>
    <x v="44"/>
    <n v="27154515"/>
  </r>
  <r>
    <x v="202"/>
    <s v="UGA"/>
    <x v="45"/>
    <n v="27963289"/>
  </r>
  <r>
    <x v="202"/>
    <s v="UGA"/>
    <x v="46"/>
    <n v="28794003"/>
  </r>
  <r>
    <x v="202"/>
    <s v="UGA"/>
    <x v="47"/>
    <n v="29653430"/>
  </r>
  <r>
    <x v="202"/>
    <s v="UGA"/>
    <x v="48"/>
    <n v="30539553"/>
  </r>
  <r>
    <x v="202"/>
    <s v="UGA"/>
    <x v="49"/>
    <n v="31451151"/>
  </r>
  <r>
    <x v="202"/>
    <s v="UGA"/>
    <x v="50"/>
    <n v="32390802"/>
  </r>
  <r>
    <x v="202"/>
    <s v="UGA"/>
    <x v="51"/>
    <n v="33354543"/>
  </r>
  <r>
    <x v="202"/>
    <s v="UGA"/>
    <x v="52"/>
    <n v="34337438"/>
  </r>
  <r>
    <x v="202"/>
    <s v="UGA"/>
    <x v="53"/>
    <n v="35337042"/>
  </r>
  <r>
    <x v="202"/>
    <s v="UGA"/>
    <x v="54"/>
    <n v="36395539"/>
  </r>
  <r>
    <x v="202"/>
    <s v="UGA"/>
    <x v="55"/>
    <n v="37531446"/>
  </r>
  <r>
    <x v="202"/>
    <s v="UGA"/>
    <x v="56"/>
    <n v="38799152"/>
  </r>
  <r>
    <x v="202"/>
    <s v="UGA"/>
    <x v="57"/>
    <n v="40177388"/>
  </r>
  <r>
    <x v="202"/>
    <s v="UGA"/>
    <x v="58"/>
    <n v="41565831"/>
  </r>
  <r>
    <x v="202"/>
    <s v="UGA"/>
    <x v="59"/>
    <n v="42999637"/>
  </r>
  <r>
    <x v="202"/>
    <s v="UGA"/>
    <x v="60"/>
    <n v="44457152"/>
  </r>
  <r>
    <x v="202"/>
    <s v="UGA"/>
    <x v="61"/>
    <n v="45910930"/>
  </r>
  <r>
    <x v="202"/>
    <s v="UGA"/>
    <x v="62"/>
    <n v="47312719"/>
  </r>
  <r>
    <x v="202"/>
    <s v="UGA"/>
    <x v="63"/>
    <n v="48656601"/>
  </r>
  <r>
    <x v="202"/>
    <s v="UGA"/>
    <x v="64"/>
    <n v="50015092"/>
  </r>
  <r>
    <x v="203"/>
    <s v="UKR"/>
    <x v="0"/>
    <n v="42824093"/>
  </r>
  <r>
    <x v="203"/>
    <s v="UKR"/>
    <x v="1"/>
    <n v="43399766"/>
  </r>
  <r>
    <x v="203"/>
    <s v="UKR"/>
    <x v="2"/>
    <n v="43943674"/>
  </r>
  <r>
    <x v="203"/>
    <s v="UKR"/>
    <x v="3"/>
    <n v="44462372"/>
  </r>
  <r>
    <x v="203"/>
    <s v="UKR"/>
    <x v="4"/>
    <n v="44951156"/>
  </r>
  <r>
    <x v="203"/>
    <s v="UKR"/>
    <x v="5"/>
    <n v="45386892"/>
  </r>
  <r>
    <x v="203"/>
    <s v="UKR"/>
    <x v="6"/>
    <n v="45802519"/>
  </r>
  <r>
    <x v="203"/>
    <s v="UKR"/>
    <x v="7"/>
    <n v="46215988"/>
  </r>
  <r>
    <x v="203"/>
    <s v="UKR"/>
    <x v="8"/>
    <n v="46614325"/>
  </r>
  <r>
    <x v="203"/>
    <s v="UKR"/>
    <x v="9"/>
    <n v="46976256"/>
  </r>
  <r>
    <x v="203"/>
    <s v="UKR"/>
    <x v="10"/>
    <n v="47261306"/>
  </r>
  <r>
    <x v="203"/>
    <s v="UKR"/>
    <x v="11"/>
    <n v="47573287"/>
  </r>
  <r>
    <x v="203"/>
    <s v="UKR"/>
    <x v="12"/>
    <n v="47946893"/>
  </r>
  <r>
    <x v="203"/>
    <s v="UKR"/>
    <x v="13"/>
    <n v="48277121"/>
  </r>
  <r>
    <x v="203"/>
    <s v="UKR"/>
    <x v="14"/>
    <n v="48576570"/>
  </r>
  <r>
    <x v="203"/>
    <s v="UKR"/>
    <x v="15"/>
    <n v="48865229"/>
  </r>
  <r>
    <x v="203"/>
    <s v="UKR"/>
    <x v="16"/>
    <n v="49120842"/>
  </r>
  <r>
    <x v="203"/>
    <s v="UKR"/>
    <x v="17"/>
    <n v="49336481"/>
  </r>
  <r>
    <x v="203"/>
    <s v="UKR"/>
    <x v="18"/>
    <n v="49521243"/>
  </r>
  <r>
    <x v="203"/>
    <s v="UKR"/>
    <x v="19"/>
    <n v="49721381"/>
  </r>
  <r>
    <x v="203"/>
    <s v="UKR"/>
    <x v="20"/>
    <n v="49955152"/>
  </r>
  <r>
    <x v="203"/>
    <s v="UKR"/>
    <x v="21"/>
    <n v="50189281"/>
  </r>
  <r>
    <x v="203"/>
    <s v="UKR"/>
    <x v="22"/>
    <n v="50402724"/>
  </r>
  <r>
    <x v="203"/>
    <s v="UKR"/>
    <x v="23"/>
    <n v="50637029"/>
  </r>
  <r>
    <x v="203"/>
    <s v="UKR"/>
    <x v="24"/>
    <n v="50887599"/>
  </r>
  <r>
    <x v="203"/>
    <s v="UKR"/>
    <x v="25"/>
    <n v="51108770"/>
  </r>
  <r>
    <x v="203"/>
    <s v="UKR"/>
    <x v="26"/>
    <n v="51318745"/>
  </r>
  <r>
    <x v="203"/>
    <s v="UKR"/>
    <x v="27"/>
    <n v="51515732"/>
  </r>
  <r>
    <x v="203"/>
    <s v="UKR"/>
    <x v="28"/>
    <n v="51724853"/>
  </r>
  <r>
    <x v="203"/>
    <s v="UKR"/>
    <x v="29"/>
    <n v="51917817"/>
  </r>
  <r>
    <x v="203"/>
    <s v="UKR"/>
    <x v="30"/>
    <n v="52054092"/>
  </r>
  <r>
    <x v="203"/>
    <s v="UKR"/>
    <x v="31"/>
    <n v="52170961"/>
  </r>
  <r>
    <x v="203"/>
    <s v="UKR"/>
    <x v="32"/>
    <n v="52323671"/>
  </r>
  <r>
    <x v="203"/>
    <s v="UKR"/>
    <x v="33"/>
    <n v="52350126"/>
  </r>
  <r>
    <x v="203"/>
    <s v="UKR"/>
    <x v="34"/>
    <n v="52075998"/>
  </r>
  <r>
    <x v="203"/>
    <s v="UKR"/>
    <x v="35"/>
    <n v="51665539"/>
  </r>
  <r>
    <x v="203"/>
    <s v="UKR"/>
    <x v="36"/>
    <n v="51226109"/>
  </r>
  <r>
    <x v="203"/>
    <s v="UKR"/>
    <x v="37"/>
    <n v="50786885"/>
  </r>
  <r>
    <x v="203"/>
    <s v="UKR"/>
    <x v="38"/>
    <n v="50379731"/>
  </r>
  <r>
    <x v="203"/>
    <s v="UKR"/>
    <x v="39"/>
    <n v="49976446"/>
  </r>
  <r>
    <x v="203"/>
    <s v="UKR"/>
    <x v="40"/>
    <n v="49556660"/>
  </r>
  <r>
    <x v="203"/>
    <s v="UKR"/>
    <x v="41"/>
    <n v="49106855"/>
  </r>
  <r>
    <x v="203"/>
    <s v="UKR"/>
    <x v="42"/>
    <n v="48677281"/>
  </r>
  <r>
    <x v="203"/>
    <s v="UKR"/>
    <x v="43"/>
    <n v="48315136"/>
  </r>
  <r>
    <x v="203"/>
    <s v="UKR"/>
    <x v="44"/>
    <n v="47979507"/>
  </r>
  <r>
    <x v="203"/>
    <s v="UKR"/>
    <x v="45"/>
    <n v="47585556"/>
  </r>
  <r>
    <x v="203"/>
    <s v="UKR"/>
    <x v="46"/>
    <n v="47278694"/>
  </r>
  <r>
    <x v="203"/>
    <s v="UKR"/>
    <x v="47"/>
    <n v="47062798"/>
  </r>
  <r>
    <x v="203"/>
    <s v="UKR"/>
    <x v="48"/>
    <n v="46819175"/>
  </r>
  <r>
    <x v="203"/>
    <s v="UKR"/>
    <x v="49"/>
    <n v="46623731"/>
  </r>
  <r>
    <x v="203"/>
    <s v="UKR"/>
    <x v="50"/>
    <n v="46456003"/>
  </r>
  <r>
    <x v="203"/>
    <s v="UKR"/>
    <x v="51"/>
    <n v="46307853"/>
  </r>
  <r>
    <x v="203"/>
    <s v="UKR"/>
    <x v="52"/>
    <n v="46210056"/>
  </r>
  <r>
    <x v="203"/>
    <s v="UKR"/>
    <x v="53"/>
    <n v="46126770"/>
  </r>
  <r>
    <x v="203"/>
    <s v="UKR"/>
    <x v="54"/>
    <n v="45972380"/>
  </r>
  <r>
    <x v="203"/>
    <s v="UKR"/>
    <x v="55"/>
    <n v="45784896"/>
  </r>
  <r>
    <x v="203"/>
    <s v="UKR"/>
    <x v="56"/>
    <n v="45616832"/>
  </r>
  <r>
    <x v="203"/>
    <s v="UKR"/>
    <x v="57"/>
    <n v="45436041"/>
  </r>
  <r>
    <x v="203"/>
    <s v="UKR"/>
    <x v="58"/>
    <n v="45208907"/>
  </r>
  <r>
    <x v="203"/>
    <s v="UKR"/>
    <x v="59"/>
    <n v="44957458"/>
  </r>
  <r>
    <x v="203"/>
    <s v="UKR"/>
    <x v="60"/>
    <n v="44680014"/>
  </r>
  <r>
    <x v="203"/>
    <s v="UKR"/>
    <x v="61"/>
    <n v="44298640"/>
  </r>
  <r>
    <x v="203"/>
    <s v="UKR"/>
    <x v="62"/>
    <n v="41048766"/>
  </r>
  <r>
    <x v="203"/>
    <s v="UKR"/>
    <x v="63"/>
    <n v="37732836"/>
  </r>
  <r>
    <x v="203"/>
    <s v="UKR"/>
    <x v="64"/>
    <n v="37860221"/>
  </r>
  <r>
    <x v="204"/>
    <s v="ARE"/>
    <x v="0"/>
    <n v="131334"/>
  </r>
  <r>
    <x v="204"/>
    <s v="ARE"/>
    <x v="1"/>
    <n v="137989"/>
  </r>
  <r>
    <x v="204"/>
    <s v="ARE"/>
    <x v="2"/>
    <n v="144946"/>
  </r>
  <r>
    <x v="204"/>
    <s v="ARE"/>
    <x v="3"/>
    <n v="152211"/>
  </r>
  <r>
    <x v="204"/>
    <s v="ARE"/>
    <x v="4"/>
    <n v="159692"/>
  </r>
  <r>
    <x v="204"/>
    <s v="ARE"/>
    <x v="5"/>
    <n v="167103"/>
  </r>
  <r>
    <x v="204"/>
    <s v="ARE"/>
    <x v="6"/>
    <n v="173976"/>
  </r>
  <r>
    <x v="204"/>
    <s v="ARE"/>
    <x v="7"/>
    <n v="179700"/>
  </r>
  <r>
    <x v="204"/>
    <s v="ARE"/>
    <x v="8"/>
    <n v="199416"/>
  </r>
  <r>
    <x v="204"/>
    <s v="ARE"/>
    <x v="9"/>
    <n v="239660"/>
  </r>
  <r>
    <x v="204"/>
    <s v="ARE"/>
    <x v="10"/>
    <n v="286536"/>
  </r>
  <r>
    <x v="204"/>
    <s v="ARE"/>
    <x v="11"/>
    <n v="335027"/>
  </r>
  <r>
    <x v="204"/>
    <s v="ARE"/>
    <x v="12"/>
    <n v="385014"/>
  </r>
  <r>
    <x v="204"/>
    <s v="ARE"/>
    <x v="13"/>
    <n v="436399"/>
  </r>
  <r>
    <x v="204"/>
    <s v="ARE"/>
    <x v="14"/>
    <n v="489087"/>
  </r>
  <r>
    <x v="204"/>
    <s v="ARE"/>
    <x v="15"/>
    <n v="542856"/>
  </r>
  <r>
    <x v="204"/>
    <s v="ARE"/>
    <x v="16"/>
    <n v="615866"/>
  </r>
  <r>
    <x v="204"/>
    <s v="ARE"/>
    <x v="17"/>
    <n v="710209"/>
  </r>
  <r>
    <x v="204"/>
    <s v="ARE"/>
    <x v="18"/>
    <n v="809274"/>
  </r>
  <r>
    <x v="204"/>
    <s v="ARE"/>
    <x v="19"/>
    <n v="912010"/>
  </r>
  <r>
    <x v="204"/>
    <s v="ARE"/>
    <x v="20"/>
    <n v="1015700"/>
  </r>
  <r>
    <x v="204"/>
    <s v="ARE"/>
    <x v="21"/>
    <n v="1099855"/>
  </r>
  <r>
    <x v="204"/>
    <s v="ARE"/>
    <x v="22"/>
    <n v="1166370"/>
  </r>
  <r>
    <x v="204"/>
    <s v="ARE"/>
    <x v="23"/>
    <n v="1235305"/>
  </r>
  <r>
    <x v="204"/>
    <s v="ARE"/>
    <x v="24"/>
    <n v="1305996"/>
  </r>
  <r>
    <x v="204"/>
    <s v="ARE"/>
    <x v="25"/>
    <n v="1377911"/>
  </r>
  <r>
    <x v="204"/>
    <s v="ARE"/>
    <x v="26"/>
    <n v="1467383"/>
  </r>
  <r>
    <x v="204"/>
    <s v="ARE"/>
    <x v="27"/>
    <n v="1574244"/>
  </r>
  <r>
    <x v="204"/>
    <s v="ARE"/>
    <x v="28"/>
    <n v="1681788"/>
  </r>
  <r>
    <x v="204"/>
    <s v="ARE"/>
    <x v="29"/>
    <n v="1789851"/>
  </r>
  <r>
    <x v="204"/>
    <s v="ARE"/>
    <x v="30"/>
    <n v="1898220"/>
  </r>
  <r>
    <x v="204"/>
    <s v="ARE"/>
    <x v="31"/>
    <n v="2006626"/>
  </r>
  <r>
    <x v="204"/>
    <s v="ARE"/>
    <x v="32"/>
    <n v="2114730"/>
  </r>
  <r>
    <x v="204"/>
    <s v="ARE"/>
    <x v="33"/>
    <n v="2222093"/>
  </r>
  <r>
    <x v="204"/>
    <s v="ARE"/>
    <x v="34"/>
    <n v="2328188"/>
  </r>
  <r>
    <x v="204"/>
    <s v="ARE"/>
    <x v="35"/>
    <n v="2434662"/>
  </r>
  <r>
    <x v="204"/>
    <s v="ARE"/>
    <x v="36"/>
    <n v="2597564"/>
  </r>
  <r>
    <x v="204"/>
    <s v="ARE"/>
    <x v="37"/>
    <n v="2817410"/>
  </r>
  <r>
    <x v="204"/>
    <s v="ARE"/>
    <x v="38"/>
    <n v="3040421"/>
  </r>
  <r>
    <x v="204"/>
    <s v="ARE"/>
    <x v="39"/>
    <n v="3266009"/>
  </r>
  <r>
    <x v="204"/>
    <s v="ARE"/>
    <x v="40"/>
    <n v="3493575"/>
  </r>
  <r>
    <x v="204"/>
    <s v="ARE"/>
    <x v="41"/>
    <n v="3723590"/>
  </r>
  <r>
    <x v="204"/>
    <s v="ARE"/>
    <x v="42"/>
    <n v="3956826"/>
  </r>
  <r>
    <x v="204"/>
    <s v="ARE"/>
    <x v="43"/>
    <n v="4192457"/>
  </r>
  <r>
    <x v="204"/>
    <s v="ARE"/>
    <x v="44"/>
    <n v="4428967"/>
  </r>
  <r>
    <x v="204"/>
    <s v="ARE"/>
    <x v="45"/>
    <n v="4664790"/>
  </r>
  <r>
    <x v="204"/>
    <s v="ARE"/>
    <x v="46"/>
    <n v="5009100"/>
  </r>
  <r>
    <x v="204"/>
    <s v="ARE"/>
    <x v="47"/>
    <n v="5624635"/>
  </r>
  <r>
    <x v="204"/>
    <s v="ARE"/>
    <x v="48"/>
    <n v="6302664"/>
  </r>
  <r>
    <x v="204"/>
    <s v="ARE"/>
    <x v="49"/>
    <n v="6707058"/>
  </r>
  <r>
    <x v="204"/>
    <s v="ARE"/>
    <x v="50"/>
    <n v="6869838"/>
  </r>
  <r>
    <x v="204"/>
    <s v="ARE"/>
    <x v="51"/>
    <n v="7104538"/>
  </r>
  <r>
    <x v="204"/>
    <s v="ARE"/>
    <x v="52"/>
    <n v="7391448"/>
  </r>
  <r>
    <x v="204"/>
    <s v="ARE"/>
    <x v="53"/>
    <n v="7693031"/>
  </r>
  <r>
    <x v="204"/>
    <s v="ARE"/>
    <x v="54"/>
    <n v="8059440"/>
  </r>
  <r>
    <x v="204"/>
    <s v="ARE"/>
    <x v="55"/>
    <n v="8505237"/>
  </r>
  <r>
    <x v="204"/>
    <s v="ARE"/>
    <x v="56"/>
    <n v="8935095"/>
  </r>
  <r>
    <x v="204"/>
    <s v="ARE"/>
    <x v="57"/>
    <n v="9223225"/>
  </r>
  <r>
    <x v="204"/>
    <s v="ARE"/>
    <x v="58"/>
    <n v="9346701"/>
  </r>
  <r>
    <x v="204"/>
    <s v="ARE"/>
    <x v="59"/>
    <n v="9445785"/>
  </r>
  <r>
    <x v="204"/>
    <s v="ARE"/>
    <x v="60"/>
    <n v="9401038"/>
  </r>
  <r>
    <x v="204"/>
    <s v="ARE"/>
    <x v="61"/>
    <n v="9575152"/>
  </r>
  <r>
    <x v="204"/>
    <s v="ARE"/>
    <x v="62"/>
    <n v="10074977"/>
  </r>
  <r>
    <x v="204"/>
    <s v="ARE"/>
    <x v="63"/>
    <n v="10483751"/>
  </r>
  <r>
    <x v="204"/>
    <s v="ARE"/>
    <x v="64"/>
    <n v="10876981"/>
  </r>
  <r>
    <x v="205"/>
    <s v="GBR"/>
    <x v="0"/>
    <n v="52400000"/>
  </r>
  <r>
    <x v="205"/>
    <s v="GBR"/>
    <x v="1"/>
    <n v="52800000"/>
  </r>
  <r>
    <x v="205"/>
    <s v="GBR"/>
    <x v="2"/>
    <n v="53250000"/>
  </r>
  <r>
    <x v="205"/>
    <s v="GBR"/>
    <x v="3"/>
    <n v="53650000"/>
  </r>
  <r>
    <x v="205"/>
    <s v="GBR"/>
    <x v="4"/>
    <n v="54000000"/>
  </r>
  <r>
    <x v="205"/>
    <s v="GBR"/>
    <x v="5"/>
    <n v="54348050"/>
  </r>
  <r>
    <x v="205"/>
    <s v="GBR"/>
    <x v="6"/>
    <n v="54648500"/>
  </r>
  <r>
    <x v="205"/>
    <s v="GBR"/>
    <x v="7"/>
    <n v="54943600"/>
  </r>
  <r>
    <x v="205"/>
    <s v="GBR"/>
    <x v="8"/>
    <n v="55211700"/>
  </r>
  <r>
    <x v="205"/>
    <s v="GBR"/>
    <x v="9"/>
    <n v="55441750"/>
  </r>
  <r>
    <x v="205"/>
    <s v="GBR"/>
    <x v="10"/>
    <n v="55663250"/>
  </r>
  <r>
    <x v="205"/>
    <s v="GBR"/>
    <x v="11"/>
    <n v="55896223"/>
  </r>
  <r>
    <x v="205"/>
    <s v="GBR"/>
    <x v="12"/>
    <n v="56086065"/>
  </r>
  <r>
    <x v="205"/>
    <s v="GBR"/>
    <x v="13"/>
    <n v="56194527"/>
  </r>
  <r>
    <x v="205"/>
    <s v="GBR"/>
    <x v="14"/>
    <n v="56229974"/>
  </r>
  <r>
    <x v="205"/>
    <s v="GBR"/>
    <x v="15"/>
    <n v="56225800"/>
  </r>
  <r>
    <x v="205"/>
    <s v="GBR"/>
    <x v="16"/>
    <n v="56211968"/>
  </r>
  <r>
    <x v="205"/>
    <s v="GBR"/>
    <x v="17"/>
    <n v="56193492"/>
  </r>
  <r>
    <x v="205"/>
    <s v="GBR"/>
    <x v="18"/>
    <n v="56196504"/>
  </r>
  <r>
    <x v="205"/>
    <s v="GBR"/>
    <x v="19"/>
    <n v="56246951"/>
  </r>
  <r>
    <x v="205"/>
    <s v="GBR"/>
    <x v="20"/>
    <n v="56314216"/>
  </r>
  <r>
    <x v="205"/>
    <s v="GBR"/>
    <x v="21"/>
    <n v="56333829"/>
  </r>
  <r>
    <x v="205"/>
    <s v="GBR"/>
    <x v="22"/>
    <n v="56313641"/>
  </r>
  <r>
    <x v="205"/>
    <s v="GBR"/>
    <x v="23"/>
    <n v="56332848"/>
  </r>
  <r>
    <x v="205"/>
    <s v="GBR"/>
    <x v="24"/>
    <n v="56422072"/>
  </r>
  <r>
    <x v="205"/>
    <s v="GBR"/>
    <x v="25"/>
    <n v="56550268"/>
  </r>
  <r>
    <x v="205"/>
    <s v="GBR"/>
    <x v="26"/>
    <n v="56681396"/>
  </r>
  <r>
    <x v="205"/>
    <s v="GBR"/>
    <x v="27"/>
    <n v="56802050"/>
  </r>
  <r>
    <x v="205"/>
    <s v="GBR"/>
    <x v="28"/>
    <n v="56928327"/>
  </r>
  <r>
    <x v="205"/>
    <s v="GBR"/>
    <x v="29"/>
    <n v="57076711"/>
  </r>
  <r>
    <x v="205"/>
    <s v="GBR"/>
    <x v="30"/>
    <n v="57247586"/>
  </r>
  <r>
    <x v="205"/>
    <s v="GBR"/>
    <x v="31"/>
    <n v="57424897"/>
  </r>
  <r>
    <x v="205"/>
    <s v="GBR"/>
    <x v="32"/>
    <n v="57580402"/>
  </r>
  <r>
    <x v="205"/>
    <s v="GBR"/>
    <x v="33"/>
    <n v="57718614"/>
  </r>
  <r>
    <x v="205"/>
    <s v="GBR"/>
    <x v="34"/>
    <n v="57865745"/>
  </r>
  <r>
    <x v="205"/>
    <s v="GBR"/>
    <x v="35"/>
    <n v="58019030"/>
  </r>
  <r>
    <x v="205"/>
    <s v="GBR"/>
    <x v="36"/>
    <n v="58166950"/>
  </r>
  <r>
    <x v="205"/>
    <s v="GBR"/>
    <x v="37"/>
    <n v="58316954"/>
  </r>
  <r>
    <x v="205"/>
    <s v="GBR"/>
    <x v="38"/>
    <n v="58487141"/>
  </r>
  <r>
    <x v="205"/>
    <s v="GBR"/>
    <x v="39"/>
    <n v="58682466"/>
  </r>
  <r>
    <x v="205"/>
    <s v="GBR"/>
    <x v="40"/>
    <n v="58892514"/>
  </r>
  <r>
    <x v="205"/>
    <s v="GBR"/>
    <x v="41"/>
    <n v="59119673"/>
  </r>
  <r>
    <x v="205"/>
    <s v="GBR"/>
    <x v="42"/>
    <n v="59370479"/>
  </r>
  <r>
    <x v="205"/>
    <s v="GBR"/>
    <x v="43"/>
    <n v="59647577"/>
  </r>
  <r>
    <x v="205"/>
    <s v="GBR"/>
    <x v="44"/>
    <n v="59987905"/>
  </r>
  <r>
    <x v="205"/>
    <s v="GBR"/>
    <x v="45"/>
    <n v="60401206"/>
  </r>
  <r>
    <x v="205"/>
    <s v="GBR"/>
    <x v="46"/>
    <n v="60846820"/>
  </r>
  <r>
    <x v="205"/>
    <s v="GBR"/>
    <x v="47"/>
    <n v="61322463"/>
  </r>
  <r>
    <x v="205"/>
    <s v="GBR"/>
    <x v="48"/>
    <n v="61806995"/>
  </r>
  <r>
    <x v="205"/>
    <s v="GBR"/>
    <x v="49"/>
    <n v="62276270"/>
  </r>
  <r>
    <x v="205"/>
    <s v="GBR"/>
    <x v="50"/>
    <n v="62766365"/>
  </r>
  <r>
    <x v="205"/>
    <s v="GBR"/>
    <x v="51"/>
    <n v="63258810"/>
  </r>
  <r>
    <x v="205"/>
    <s v="GBR"/>
    <x v="52"/>
    <n v="63711000"/>
  </r>
  <r>
    <x v="205"/>
    <s v="GBR"/>
    <x v="53"/>
    <n v="64139000"/>
  </r>
  <r>
    <x v="205"/>
    <s v="GBR"/>
    <x v="54"/>
    <n v="64620000"/>
  </r>
  <r>
    <x v="205"/>
    <s v="GBR"/>
    <x v="55"/>
    <n v="65088000"/>
  </r>
  <r>
    <x v="205"/>
    <s v="GBR"/>
    <x v="56"/>
    <n v="65607000"/>
  </r>
  <r>
    <x v="205"/>
    <s v="GBR"/>
    <x v="57"/>
    <n v="65966000"/>
  </r>
  <r>
    <x v="205"/>
    <s v="GBR"/>
    <x v="58"/>
    <n v="66289000"/>
  </r>
  <r>
    <x v="205"/>
    <s v="GBR"/>
    <x v="59"/>
    <n v="66631000"/>
  </r>
  <r>
    <x v="205"/>
    <s v="GBR"/>
    <x v="60"/>
    <n v="66744000"/>
  </r>
  <r>
    <x v="205"/>
    <s v="GBR"/>
    <x v="61"/>
    <n v="66984000"/>
  </r>
  <r>
    <x v="205"/>
    <s v="GBR"/>
    <x v="62"/>
    <n v="67604000"/>
  </r>
  <r>
    <x v="205"/>
    <s v="GBR"/>
    <x v="63"/>
    <n v="68492000"/>
  </r>
  <r>
    <x v="205"/>
    <s v="GBR"/>
    <x v="64"/>
    <n v="69226000"/>
  </r>
  <r>
    <x v="206"/>
    <s v="USA"/>
    <x v="0"/>
    <n v="180671000"/>
  </r>
  <r>
    <x v="206"/>
    <s v="USA"/>
    <x v="1"/>
    <n v="183691000"/>
  </r>
  <r>
    <x v="206"/>
    <s v="USA"/>
    <x v="2"/>
    <n v="186538000"/>
  </r>
  <r>
    <x v="206"/>
    <s v="USA"/>
    <x v="3"/>
    <n v="189242000"/>
  </r>
  <r>
    <x v="206"/>
    <s v="USA"/>
    <x v="4"/>
    <n v="191889000"/>
  </r>
  <r>
    <x v="206"/>
    <s v="USA"/>
    <x v="5"/>
    <n v="194303000"/>
  </r>
  <r>
    <x v="206"/>
    <s v="USA"/>
    <x v="6"/>
    <n v="196560000"/>
  </r>
  <r>
    <x v="206"/>
    <s v="USA"/>
    <x v="7"/>
    <n v="198712000"/>
  </r>
  <r>
    <x v="206"/>
    <s v="USA"/>
    <x v="8"/>
    <n v="200706000"/>
  </r>
  <r>
    <x v="206"/>
    <s v="USA"/>
    <x v="9"/>
    <n v="202677000"/>
  </r>
  <r>
    <x v="206"/>
    <s v="USA"/>
    <x v="10"/>
    <n v="205052000"/>
  </r>
  <r>
    <x v="206"/>
    <s v="USA"/>
    <x v="11"/>
    <n v="207661000"/>
  </r>
  <r>
    <x v="206"/>
    <s v="USA"/>
    <x v="12"/>
    <n v="209896000"/>
  </r>
  <r>
    <x v="206"/>
    <s v="USA"/>
    <x v="13"/>
    <n v="211909000"/>
  </r>
  <r>
    <x v="206"/>
    <s v="USA"/>
    <x v="14"/>
    <n v="213854000"/>
  </r>
  <r>
    <x v="206"/>
    <s v="USA"/>
    <x v="15"/>
    <n v="215973000"/>
  </r>
  <r>
    <x v="206"/>
    <s v="USA"/>
    <x v="16"/>
    <n v="218035000"/>
  </r>
  <r>
    <x v="206"/>
    <s v="USA"/>
    <x v="17"/>
    <n v="220239000"/>
  </r>
  <r>
    <x v="206"/>
    <s v="USA"/>
    <x v="18"/>
    <n v="222585000"/>
  </r>
  <r>
    <x v="206"/>
    <s v="USA"/>
    <x v="19"/>
    <n v="225055000"/>
  </r>
  <r>
    <x v="206"/>
    <s v="USA"/>
    <x v="20"/>
    <n v="227225000"/>
  </r>
  <r>
    <x v="206"/>
    <s v="USA"/>
    <x v="21"/>
    <n v="229466000"/>
  </r>
  <r>
    <x v="206"/>
    <s v="USA"/>
    <x v="22"/>
    <n v="231664000"/>
  </r>
  <r>
    <x v="206"/>
    <s v="USA"/>
    <x v="23"/>
    <n v="233792000"/>
  </r>
  <r>
    <x v="206"/>
    <s v="USA"/>
    <x v="24"/>
    <n v="235825000"/>
  </r>
  <r>
    <x v="206"/>
    <s v="USA"/>
    <x v="25"/>
    <n v="237924000"/>
  </r>
  <r>
    <x v="206"/>
    <s v="USA"/>
    <x v="26"/>
    <n v="240133000"/>
  </r>
  <r>
    <x v="206"/>
    <s v="USA"/>
    <x v="27"/>
    <n v="242289000"/>
  </r>
  <r>
    <x v="206"/>
    <s v="USA"/>
    <x v="28"/>
    <n v="244499000"/>
  </r>
  <r>
    <x v="206"/>
    <s v="USA"/>
    <x v="29"/>
    <n v="246819000"/>
  </r>
  <r>
    <x v="206"/>
    <s v="USA"/>
    <x v="30"/>
    <n v="249623000"/>
  </r>
  <r>
    <x v="206"/>
    <s v="USA"/>
    <x v="31"/>
    <n v="252981000"/>
  </r>
  <r>
    <x v="206"/>
    <s v="USA"/>
    <x v="32"/>
    <n v="256514000"/>
  </r>
  <r>
    <x v="206"/>
    <s v="USA"/>
    <x v="33"/>
    <n v="259919000"/>
  </r>
  <r>
    <x v="206"/>
    <s v="USA"/>
    <x v="34"/>
    <n v="263126000"/>
  </r>
  <r>
    <x v="206"/>
    <s v="USA"/>
    <x v="35"/>
    <n v="266278000"/>
  </r>
  <r>
    <x v="206"/>
    <s v="USA"/>
    <x v="36"/>
    <n v="269394000"/>
  </r>
  <r>
    <x v="206"/>
    <s v="USA"/>
    <x v="37"/>
    <n v="272657000"/>
  </r>
  <r>
    <x v="206"/>
    <s v="USA"/>
    <x v="38"/>
    <n v="275854000"/>
  </r>
  <r>
    <x v="206"/>
    <s v="USA"/>
    <x v="39"/>
    <n v="279040000"/>
  </r>
  <r>
    <x v="206"/>
    <s v="USA"/>
    <x v="40"/>
    <n v="282162411"/>
  </r>
  <r>
    <x v="206"/>
    <s v="USA"/>
    <x v="41"/>
    <n v="284968955"/>
  </r>
  <r>
    <x v="206"/>
    <s v="USA"/>
    <x v="42"/>
    <n v="287625193"/>
  </r>
  <r>
    <x v="206"/>
    <s v="USA"/>
    <x v="43"/>
    <n v="290107933"/>
  </r>
  <r>
    <x v="206"/>
    <s v="USA"/>
    <x v="44"/>
    <n v="292805298"/>
  </r>
  <r>
    <x v="206"/>
    <s v="USA"/>
    <x v="45"/>
    <n v="295516599"/>
  </r>
  <r>
    <x v="206"/>
    <s v="USA"/>
    <x v="46"/>
    <n v="298379912"/>
  </r>
  <r>
    <x v="206"/>
    <s v="USA"/>
    <x v="47"/>
    <n v="301231207"/>
  </r>
  <r>
    <x v="206"/>
    <s v="USA"/>
    <x v="48"/>
    <n v="304093966"/>
  </r>
  <r>
    <x v="206"/>
    <s v="USA"/>
    <x v="49"/>
    <n v="306771529"/>
  </r>
  <r>
    <x v="206"/>
    <s v="USA"/>
    <x v="50"/>
    <n v="309378227"/>
  </r>
  <r>
    <x v="206"/>
    <s v="USA"/>
    <x v="51"/>
    <n v="311839461"/>
  </r>
  <r>
    <x v="206"/>
    <s v="USA"/>
    <x v="52"/>
    <n v="314339099"/>
  </r>
  <r>
    <x v="206"/>
    <s v="USA"/>
    <x v="53"/>
    <n v="316726282"/>
  </r>
  <r>
    <x v="206"/>
    <s v="USA"/>
    <x v="54"/>
    <n v="319257560"/>
  </r>
  <r>
    <x v="206"/>
    <s v="USA"/>
    <x v="55"/>
    <n v="321815121"/>
  </r>
  <r>
    <x v="206"/>
    <s v="USA"/>
    <x v="56"/>
    <n v="324353340"/>
  </r>
  <r>
    <x v="206"/>
    <s v="USA"/>
    <x v="57"/>
    <n v="326608609"/>
  </r>
  <r>
    <x v="206"/>
    <s v="USA"/>
    <x v="58"/>
    <n v="328529577"/>
  </r>
  <r>
    <x v="206"/>
    <s v="USA"/>
    <x v="59"/>
    <n v="330226227"/>
  </r>
  <r>
    <x v="206"/>
    <s v="USA"/>
    <x v="60"/>
    <n v="331577720"/>
  </r>
  <r>
    <x v="206"/>
    <s v="USA"/>
    <x v="61"/>
    <n v="332099760"/>
  </r>
  <r>
    <x v="206"/>
    <s v="USA"/>
    <x v="62"/>
    <n v="334017321"/>
  </r>
  <r>
    <x v="206"/>
    <s v="USA"/>
    <x v="63"/>
    <n v="336806231"/>
  </r>
  <r>
    <x v="206"/>
    <s v="USA"/>
    <x v="64"/>
    <n v="340110988"/>
  </r>
  <r>
    <x v="207"/>
    <s v="URY"/>
    <x v="0"/>
    <n v="2529957"/>
  </r>
  <r>
    <x v="207"/>
    <s v="URY"/>
    <x v="1"/>
    <n v="2562044"/>
  </r>
  <r>
    <x v="207"/>
    <s v="URY"/>
    <x v="2"/>
    <n v="2593298"/>
  </r>
  <r>
    <x v="207"/>
    <s v="URY"/>
    <x v="3"/>
    <n v="2623766"/>
  </r>
  <r>
    <x v="207"/>
    <s v="URY"/>
    <x v="4"/>
    <n v="2653180"/>
  </r>
  <r>
    <x v="207"/>
    <s v="URY"/>
    <x v="5"/>
    <n v="2681169"/>
  </r>
  <r>
    <x v="207"/>
    <s v="URY"/>
    <x v="6"/>
    <n v="2707646"/>
  </r>
  <r>
    <x v="207"/>
    <s v="URY"/>
    <x v="7"/>
    <n v="2732277"/>
  </r>
  <r>
    <x v="207"/>
    <s v="URY"/>
    <x v="8"/>
    <n v="2754606"/>
  </r>
  <r>
    <x v="207"/>
    <s v="URY"/>
    <x v="9"/>
    <n v="2773974"/>
  </r>
  <r>
    <x v="207"/>
    <s v="URY"/>
    <x v="10"/>
    <n v="2790807"/>
  </r>
  <r>
    <x v="207"/>
    <s v="URY"/>
    <x v="11"/>
    <n v="2806462"/>
  </r>
  <r>
    <x v="207"/>
    <s v="URY"/>
    <x v="12"/>
    <n v="2821644"/>
  </r>
  <r>
    <x v="207"/>
    <s v="URY"/>
    <x v="13"/>
    <n v="2837133"/>
  </r>
  <r>
    <x v="207"/>
    <s v="URY"/>
    <x v="14"/>
    <n v="2853944"/>
  </r>
  <r>
    <x v="207"/>
    <s v="URY"/>
    <x v="15"/>
    <n v="2872320"/>
  </r>
  <r>
    <x v="207"/>
    <s v="URY"/>
    <x v="16"/>
    <n v="2891392"/>
  </r>
  <r>
    <x v="207"/>
    <s v="URY"/>
    <x v="17"/>
    <n v="2909461"/>
  </r>
  <r>
    <x v="207"/>
    <s v="URY"/>
    <x v="18"/>
    <n v="2925715"/>
  </r>
  <r>
    <x v="207"/>
    <s v="URY"/>
    <x v="19"/>
    <n v="2939903"/>
  </r>
  <r>
    <x v="207"/>
    <s v="URY"/>
    <x v="20"/>
    <n v="2951953"/>
  </r>
  <r>
    <x v="207"/>
    <s v="URY"/>
    <x v="21"/>
    <n v="2963246"/>
  </r>
  <r>
    <x v="207"/>
    <s v="URY"/>
    <x v="22"/>
    <n v="2975492"/>
  </r>
  <r>
    <x v="207"/>
    <s v="URY"/>
    <x v="23"/>
    <n v="2988778"/>
  </r>
  <r>
    <x v="207"/>
    <s v="URY"/>
    <x v="24"/>
    <n v="3002488"/>
  </r>
  <r>
    <x v="207"/>
    <s v="URY"/>
    <x v="25"/>
    <n v="3017037"/>
  </r>
  <r>
    <x v="207"/>
    <s v="URY"/>
    <x v="26"/>
    <n v="3032845"/>
  </r>
  <r>
    <x v="207"/>
    <s v="URY"/>
    <x v="27"/>
    <n v="3049896"/>
  </r>
  <r>
    <x v="207"/>
    <s v="URY"/>
    <x v="28"/>
    <n v="3067961"/>
  </r>
  <r>
    <x v="207"/>
    <s v="URY"/>
    <x v="29"/>
    <n v="3086255"/>
  </r>
  <r>
    <x v="207"/>
    <s v="URY"/>
    <x v="30"/>
    <n v="3104403"/>
  </r>
  <r>
    <x v="207"/>
    <s v="URY"/>
    <x v="31"/>
    <n v="3122354"/>
  </r>
  <r>
    <x v="207"/>
    <s v="URY"/>
    <x v="32"/>
    <n v="3139702"/>
  </r>
  <r>
    <x v="207"/>
    <s v="URY"/>
    <x v="33"/>
    <n v="3156345"/>
  </r>
  <r>
    <x v="207"/>
    <s v="URY"/>
    <x v="34"/>
    <n v="3172834"/>
  </r>
  <r>
    <x v="207"/>
    <s v="URY"/>
    <x v="35"/>
    <n v="3189440"/>
  </r>
  <r>
    <x v="207"/>
    <s v="URY"/>
    <x v="36"/>
    <n v="3206324"/>
  </r>
  <r>
    <x v="207"/>
    <s v="URY"/>
    <x v="37"/>
    <n v="3223345"/>
  </r>
  <r>
    <x v="207"/>
    <s v="URY"/>
    <x v="38"/>
    <n v="3239280"/>
  </r>
  <r>
    <x v="207"/>
    <s v="URY"/>
    <x v="39"/>
    <n v="3254015"/>
  </r>
  <r>
    <x v="207"/>
    <s v="URY"/>
    <x v="40"/>
    <n v="3266206"/>
  </r>
  <r>
    <x v="207"/>
    <s v="URY"/>
    <x v="41"/>
    <n v="3274251"/>
  </r>
  <r>
    <x v="207"/>
    <s v="URY"/>
    <x v="42"/>
    <n v="3278867"/>
  </r>
  <r>
    <x v="207"/>
    <s v="URY"/>
    <x v="43"/>
    <n v="3281186"/>
  </r>
  <r>
    <x v="207"/>
    <s v="URY"/>
    <x v="44"/>
    <n v="3283148"/>
  </r>
  <r>
    <x v="207"/>
    <s v="URY"/>
    <x v="45"/>
    <n v="3285771"/>
  </r>
  <r>
    <x v="207"/>
    <s v="URY"/>
    <x v="46"/>
    <n v="3289506"/>
  </r>
  <r>
    <x v="207"/>
    <s v="URY"/>
    <x v="47"/>
    <n v="3295153"/>
  </r>
  <r>
    <x v="207"/>
    <s v="URY"/>
    <x v="48"/>
    <n v="3302177"/>
  </r>
  <r>
    <x v="207"/>
    <s v="URY"/>
    <x v="49"/>
    <n v="3310091"/>
  </r>
  <r>
    <x v="207"/>
    <s v="URY"/>
    <x v="50"/>
    <n v="3318580"/>
  </r>
  <r>
    <x v="207"/>
    <s v="URY"/>
    <x v="51"/>
    <n v="3326825"/>
  </r>
  <r>
    <x v="207"/>
    <s v="URY"/>
    <x v="52"/>
    <n v="3335401"/>
  </r>
  <r>
    <x v="207"/>
    <s v="URY"/>
    <x v="53"/>
    <n v="3345337"/>
  </r>
  <r>
    <x v="207"/>
    <s v="URY"/>
    <x v="54"/>
    <n v="3356334"/>
  </r>
  <r>
    <x v="207"/>
    <s v="URY"/>
    <x v="55"/>
    <n v="3368017"/>
  </r>
  <r>
    <x v="207"/>
    <s v="URY"/>
    <x v="56"/>
    <n v="3379283"/>
  </r>
  <r>
    <x v="207"/>
    <s v="URY"/>
    <x v="57"/>
    <n v="3388438"/>
  </r>
  <r>
    <x v="207"/>
    <s v="URY"/>
    <x v="58"/>
    <n v="3394534"/>
  </r>
  <r>
    <x v="207"/>
    <s v="URY"/>
    <x v="59"/>
    <n v="3397206"/>
  </r>
  <r>
    <x v="207"/>
    <s v="URY"/>
    <x v="60"/>
    <n v="3398968"/>
  </r>
  <r>
    <x v="207"/>
    <s v="URY"/>
    <x v="61"/>
    <n v="3396695"/>
  </r>
  <r>
    <x v="207"/>
    <s v="URY"/>
    <x v="62"/>
    <n v="3390913"/>
  </r>
  <r>
    <x v="207"/>
    <s v="URY"/>
    <x v="63"/>
    <n v="3388081"/>
  </r>
  <r>
    <x v="207"/>
    <s v="URY"/>
    <x v="64"/>
    <n v="3386588"/>
  </r>
  <r>
    <x v="208"/>
    <s v="UZB"/>
    <x v="0"/>
    <n v="8209109"/>
  </r>
  <r>
    <x v="208"/>
    <s v="UZB"/>
    <x v="1"/>
    <n v="8517711"/>
  </r>
  <r>
    <x v="208"/>
    <s v="UZB"/>
    <x v="2"/>
    <n v="8854368"/>
  </r>
  <r>
    <x v="208"/>
    <s v="UZB"/>
    <x v="3"/>
    <n v="9202246"/>
  </r>
  <r>
    <x v="208"/>
    <s v="UZB"/>
    <x v="4"/>
    <n v="9557611"/>
  </r>
  <r>
    <x v="208"/>
    <s v="UZB"/>
    <x v="5"/>
    <n v="9921681"/>
  </r>
  <r>
    <x v="208"/>
    <s v="UZB"/>
    <x v="6"/>
    <n v="10289294"/>
  </r>
  <r>
    <x v="208"/>
    <s v="UZB"/>
    <x v="7"/>
    <n v="10659180"/>
  </r>
  <r>
    <x v="208"/>
    <s v="UZB"/>
    <x v="8"/>
    <n v="11032155"/>
  </r>
  <r>
    <x v="208"/>
    <s v="UZB"/>
    <x v="9"/>
    <n v="11403150"/>
  </r>
  <r>
    <x v="208"/>
    <s v="UZB"/>
    <x v="10"/>
    <n v="11762638"/>
  </r>
  <r>
    <x v="208"/>
    <s v="UZB"/>
    <x v="11"/>
    <n v="12111511"/>
  </r>
  <r>
    <x v="208"/>
    <s v="UZB"/>
    <x v="12"/>
    <n v="12465106"/>
  </r>
  <r>
    <x v="208"/>
    <s v="UZB"/>
    <x v="13"/>
    <n v="12831047"/>
  </r>
  <r>
    <x v="208"/>
    <s v="UZB"/>
    <x v="14"/>
    <n v="13209011"/>
  </r>
  <r>
    <x v="208"/>
    <s v="UZB"/>
    <x v="15"/>
    <n v="13598521"/>
  </r>
  <r>
    <x v="208"/>
    <s v="UZB"/>
    <x v="16"/>
    <n v="13998620"/>
  </r>
  <r>
    <x v="208"/>
    <s v="UZB"/>
    <x v="17"/>
    <n v="14408822"/>
  </r>
  <r>
    <x v="208"/>
    <s v="UZB"/>
    <x v="18"/>
    <n v="14816349"/>
  </r>
  <r>
    <x v="208"/>
    <s v="UZB"/>
    <x v="19"/>
    <n v="15215587"/>
  </r>
  <r>
    <x v="208"/>
    <s v="UZB"/>
    <x v="20"/>
    <n v="15619936"/>
  </r>
  <r>
    <x v="208"/>
    <s v="UZB"/>
    <x v="21"/>
    <n v="16035032"/>
  </r>
  <r>
    <x v="208"/>
    <s v="UZB"/>
    <x v="22"/>
    <n v="16462736"/>
  </r>
  <r>
    <x v="208"/>
    <s v="UZB"/>
    <x v="23"/>
    <n v="16908400"/>
  </r>
  <r>
    <x v="208"/>
    <s v="UZB"/>
    <x v="24"/>
    <n v="17378846"/>
  </r>
  <r>
    <x v="208"/>
    <s v="UZB"/>
    <x v="25"/>
    <n v="17875339"/>
  </r>
  <r>
    <x v="208"/>
    <s v="UZB"/>
    <x v="26"/>
    <n v="18395621"/>
  </r>
  <r>
    <x v="208"/>
    <s v="UZB"/>
    <x v="27"/>
    <n v="18930070"/>
  </r>
  <r>
    <x v="208"/>
    <s v="UZB"/>
    <x v="28"/>
    <n v="19460630"/>
  </r>
  <r>
    <x v="208"/>
    <s v="UZB"/>
    <x v="29"/>
    <n v="19977183"/>
  </r>
  <r>
    <x v="208"/>
    <s v="UZB"/>
    <x v="30"/>
    <n v="20464956"/>
  </r>
  <r>
    <x v="208"/>
    <s v="UZB"/>
    <x v="31"/>
    <n v="20962910"/>
  </r>
  <r>
    <x v="208"/>
    <s v="UZB"/>
    <x v="32"/>
    <n v="21485090"/>
  </r>
  <r>
    <x v="208"/>
    <s v="UZB"/>
    <x v="33"/>
    <n v="21987955"/>
  </r>
  <r>
    <x v="208"/>
    <s v="UZB"/>
    <x v="34"/>
    <n v="22463291"/>
  </r>
  <r>
    <x v="208"/>
    <s v="UZB"/>
    <x v="35"/>
    <n v="22917589"/>
  </r>
  <r>
    <x v="208"/>
    <s v="UZB"/>
    <x v="36"/>
    <n v="23351981"/>
  </r>
  <r>
    <x v="208"/>
    <s v="UZB"/>
    <x v="37"/>
    <n v="23758960"/>
  </r>
  <r>
    <x v="208"/>
    <s v="UZB"/>
    <x v="38"/>
    <n v="24134929"/>
  </r>
  <r>
    <x v="208"/>
    <s v="UZB"/>
    <x v="39"/>
    <n v="24476008"/>
  </r>
  <r>
    <x v="208"/>
    <s v="UZB"/>
    <x v="40"/>
    <n v="24787054"/>
  </r>
  <r>
    <x v="208"/>
    <s v="UZB"/>
    <x v="41"/>
    <n v="25090283"/>
  </r>
  <r>
    <x v="208"/>
    <s v="UZB"/>
    <x v="42"/>
    <n v="25399980"/>
  </r>
  <r>
    <x v="208"/>
    <s v="UZB"/>
    <x v="43"/>
    <n v="25711259"/>
  </r>
  <r>
    <x v="208"/>
    <s v="UZB"/>
    <x v="44"/>
    <n v="26029350"/>
  </r>
  <r>
    <x v="208"/>
    <s v="UZB"/>
    <x v="45"/>
    <n v="26356975"/>
  </r>
  <r>
    <x v="208"/>
    <s v="UZB"/>
    <x v="46"/>
    <n v="26699043"/>
  </r>
  <r>
    <x v="208"/>
    <s v="UZB"/>
    <x v="47"/>
    <n v="27076008"/>
  </r>
  <r>
    <x v="208"/>
    <s v="UZB"/>
    <x v="48"/>
    <n v="27494774"/>
  </r>
  <r>
    <x v="208"/>
    <s v="UZB"/>
    <x v="49"/>
    <n v="27939328"/>
  </r>
  <r>
    <x v="208"/>
    <s v="UZB"/>
    <x v="50"/>
    <n v="28385506"/>
  </r>
  <r>
    <x v="208"/>
    <s v="UZB"/>
    <x v="51"/>
    <n v="28823196"/>
  </r>
  <r>
    <x v="208"/>
    <s v="UZB"/>
    <x v="52"/>
    <n v="29261903"/>
  </r>
  <r>
    <x v="208"/>
    <s v="UZB"/>
    <x v="53"/>
    <n v="29724065"/>
  </r>
  <r>
    <x v="208"/>
    <s v="UZB"/>
    <x v="54"/>
    <n v="30222994"/>
  </r>
  <r>
    <x v="208"/>
    <s v="UZB"/>
    <x v="55"/>
    <n v="30749346"/>
  </r>
  <r>
    <x v="208"/>
    <s v="UZB"/>
    <x v="56"/>
    <n v="31284568"/>
  </r>
  <r>
    <x v="208"/>
    <s v="UZB"/>
    <x v="57"/>
    <n v="31819178"/>
  </r>
  <r>
    <x v="208"/>
    <s v="UZB"/>
    <x v="58"/>
    <n v="32373490"/>
  </r>
  <r>
    <x v="208"/>
    <s v="UZB"/>
    <x v="59"/>
    <n v="32964701"/>
  </r>
  <r>
    <x v="208"/>
    <s v="UZB"/>
    <x v="60"/>
    <n v="33586372"/>
  </r>
  <r>
    <x v="208"/>
    <s v="UZB"/>
    <x v="61"/>
    <n v="34243696"/>
  </r>
  <r>
    <x v="208"/>
    <s v="UZB"/>
    <x v="62"/>
    <n v="34938955"/>
  </r>
  <r>
    <x v="208"/>
    <s v="UZB"/>
    <x v="63"/>
    <n v="35652307"/>
  </r>
  <r>
    <x v="208"/>
    <s v="UZB"/>
    <x v="64"/>
    <n v="36361859"/>
  </r>
  <r>
    <x v="209"/>
    <s v="VUT"/>
    <x v="0"/>
    <n v="64431"/>
  </r>
  <r>
    <x v="209"/>
    <s v="VUT"/>
    <x v="1"/>
    <n v="66264"/>
  </r>
  <r>
    <x v="209"/>
    <s v="VUT"/>
    <x v="2"/>
    <n v="68174"/>
  </r>
  <r>
    <x v="209"/>
    <s v="VUT"/>
    <x v="3"/>
    <n v="70159"/>
  </r>
  <r>
    <x v="209"/>
    <s v="VUT"/>
    <x v="4"/>
    <n v="72219"/>
  </r>
  <r>
    <x v="209"/>
    <s v="VUT"/>
    <x v="5"/>
    <n v="74358"/>
  </r>
  <r>
    <x v="209"/>
    <s v="VUT"/>
    <x v="6"/>
    <n v="76590"/>
  </r>
  <r>
    <x v="209"/>
    <s v="VUT"/>
    <x v="7"/>
    <n v="78921"/>
  </r>
  <r>
    <x v="209"/>
    <s v="VUT"/>
    <x v="8"/>
    <n v="81314"/>
  </r>
  <r>
    <x v="209"/>
    <s v="VUT"/>
    <x v="9"/>
    <n v="83755"/>
  </r>
  <r>
    <x v="209"/>
    <s v="VUT"/>
    <x v="10"/>
    <n v="86266"/>
  </r>
  <r>
    <x v="209"/>
    <s v="VUT"/>
    <x v="11"/>
    <n v="88862"/>
  </r>
  <r>
    <x v="209"/>
    <s v="VUT"/>
    <x v="12"/>
    <n v="91562"/>
  </r>
  <r>
    <x v="209"/>
    <s v="VUT"/>
    <x v="13"/>
    <n v="94362"/>
  </r>
  <r>
    <x v="209"/>
    <s v="VUT"/>
    <x v="14"/>
    <n v="97260"/>
  </r>
  <r>
    <x v="209"/>
    <s v="VUT"/>
    <x v="15"/>
    <n v="100269"/>
  </r>
  <r>
    <x v="209"/>
    <s v="VUT"/>
    <x v="16"/>
    <n v="103388"/>
  </r>
  <r>
    <x v="209"/>
    <s v="VUT"/>
    <x v="17"/>
    <n v="106618"/>
  </r>
  <r>
    <x v="209"/>
    <s v="VUT"/>
    <x v="18"/>
    <n v="109963"/>
  </r>
  <r>
    <x v="209"/>
    <s v="VUT"/>
    <x v="19"/>
    <n v="113040"/>
  </r>
  <r>
    <x v="209"/>
    <s v="VUT"/>
    <x v="20"/>
    <n v="115660"/>
  </r>
  <r>
    <x v="209"/>
    <s v="VUT"/>
    <x v="21"/>
    <n v="118249"/>
  </r>
  <r>
    <x v="209"/>
    <s v="VUT"/>
    <x v="22"/>
    <n v="121035"/>
  </r>
  <r>
    <x v="209"/>
    <s v="VUT"/>
    <x v="23"/>
    <n v="123998"/>
  </r>
  <r>
    <x v="209"/>
    <s v="VUT"/>
    <x v="24"/>
    <n v="127109"/>
  </r>
  <r>
    <x v="209"/>
    <s v="VUT"/>
    <x v="25"/>
    <n v="130356"/>
  </r>
  <r>
    <x v="209"/>
    <s v="VUT"/>
    <x v="26"/>
    <n v="133720"/>
  </r>
  <r>
    <x v="209"/>
    <s v="VUT"/>
    <x v="27"/>
    <n v="137187"/>
  </r>
  <r>
    <x v="209"/>
    <s v="VUT"/>
    <x v="28"/>
    <n v="140756"/>
  </r>
  <r>
    <x v="209"/>
    <s v="VUT"/>
    <x v="29"/>
    <n v="144393"/>
  </r>
  <r>
    <x v="209"/>
    <s v="VUT"/>
    <x v="30"/>
    <n v="148063"/>
  </r>
  <r>
    <x v="209"/>
    <s v="VUT"/>
    <x v="31"/>
    <n v="151793"/>
  </r>
  <r>
    <x v="209"/>
    <s v="VUT"/>
    <x v="32"/>
    <n v="155608"/>
  </r>
  <r>
    <x v="209"/>
    <s v="VUT"/>
    <x v="33"/>
    <n v="159463"/>
  </r>
  <r>
    <x v="209"/>
    <s v="VUT"/>
    <x v="34"/>
    <n v="163314"/>
  </r>
  <r>
    <x v="209"/>
    <s v="VUT"/>
    <x v="35"/>
    <n v="167137"/>
  </r>
  <r>
    <x v="209"/>
    <s v="VUT"/>
    <x v="36"/>
    <n v="170911"/>
  </r>
  <r>
    <x v="209"/>
    <s v="VUT"/>
    <x v="37"/>
    <n v="174626"/>
  </r>
  <r>
    <x v="209"/>
    <s v="VUT"/>
    <x v="38"/>
    <n v="178313"/>
  </r>
  <r>
    <x v="209"/>
    <s v="VUT"/>
    <x v="39"/>
    <n v="182048"/>
  </r>
  <r>
    <x v="209"/>
    <s v="VUT"/>
    <x v="40"/>
    <n v="186281"/>
  </r>
  <r>
    <x v="209"/>
    <s v="VUT"/>
    <x v="41"/>
    <n v="191031"/>
  </r>
  <r>
    <x v="209"/>
    <s v="VUT"/>
    <x v="42"/>
    <n v="195863"/>
  </r>
  <r>
    <x v="209"/>
    <s v="VUT"/>
    <x v="43"/>
    <n v="200746"/>
  </r>
  <r>
    <x v="209"/>
    <s v="VUT"/>
    <x v="44"/>
    <n v="205711"/>
  </r>
  <r>
    <x v="209"/>
    <s v="VUT"/>
    <x v="45"/>
    <n v="210760"/>
  </r>
  <r>
    <x v="209"/>
    <s v="VUT"/>
    <x v="46"/>
    <n v="215923"/>
  </r>
  <r>
    <x v="209"/>
    <s v="VUT"/>
    <x v="47"/>
    <n v="221276"/>
  </r>
  <r>
    <x v="209"/>
    <s v="VUT"/>
    <x v="48"/>
    <n v="226896"/>
  </r>
  <r>
    <x v="209"/>
    <s v="VUT"/>
    <x v="49"/>
    <n v="232731"/>
  </r>
  <r>
    <x v="209"/>
    <s v="VUT"/>
    <x v="50"/>
    <n v="238248"/>
  </r>
  <r>
    <x v="209"/>
    <s v="VUT"/>
    <x v="51"/>
    <n v="243474"/>
  </r>
  <r>
    <x v="209"/>
    <s v="VUT"/>
    <x v="52"/>
    <n v="248883"/>
  </r>
  <r>
    <x v="209"/>
    <s v="VUT"/>
    <x v="53"/>
    <n v="254482"/>
  </r>
  <r>
    <x v="209"/>
    <s v="VUT"/>
    <x v="54"/>
    <n v="260240"/>
  </r>
  <r>
    <x v="209"/>
    <s v="VUT"/>
    <x v="55"/>
    <n v="266101"/>
  </r>
  <r>
    <x v="209"/>
    <s v="VUT"/>
    <x v="56"/>
    <n v="272087"/>
  </r>
  <r>
    <x v="209"/>
    <s v="VUT"/>
    <x v="57"/>
    <n v="278507"/>
  </r>
  <r>
    <x v="209"/>
    <s v="VUT"/>
    <x v="58"/>
    <n v="285259"/>
  </r>
  <r>
    <x v="209"/>
    <s v="VUT"/>
    <x v="59"/>
    <n v="291985"/>
  </r>
  <r>
    <x v="209"/>
    <s v="VUT"/>
    <x v="60"/>
    <n v="298858"/>
  </r>
  <r>
    <x v="209"/>
    <s v="VUT"/>
    <x v="61"/>
    <n v="305868"/>
  </r>
  <r>
    <x v="209"/>
    <s v="VUT"/>
    <x v="62"/>
    <n v="313046"/>
  </r>
  <r>
    <x v="209"/>
    <s v="VUT"/>
    <x v="63"/>
    <n v="320409"/>
  </r>
  <r>
    <x v="209"/>
    <s v="VUT"/>
    <x v="64"/>
    <n v="327777"/>
  </r>
  <r>
    <x v="210"/>
    <s v="VEN"/>
    <x v="0"/>
    <n v="8160090"/>
  </r>
  <r>
    <x v="210"/>
    <s v="VEN"/>
    <x v="1"/>
    <n v="8455915"/>
  </r>
  <r>
    <x v="210"/>
    <s v="VEN"/>
    <x v="2"/>
    <n v="8756870"/>
  </r>
  <r>
    <x v="210"/>
    <s v="VEN"/>
    <x v="3"/>
    <n v="9064021"/>
  </r>
  <r>
    <x v="210"/>
    <s v="VEN"/>
    <x v="4"/>
    <n v="9377712"/>
  </r>
  <r>
    <x v="210"/>
    <s v="VEN"/>
    <x v="5"/>
    <n v="9697790"/>
  </r>
  <r>
    <x v="210"/>
    <s v="VEN"/>
    <x v="6"/>
    <n v="10024854"/>
  </r>
  <r>
    <x v="210"/>
    <s v="VEN"/>
    <x v="7"/>
    <n v="10358513"/>
  </r>
  <r>
    <x v="210"/>
    <s v="VEN"/>
    <x v="8"/>
    <n v="10697530"/>
  </r>
  <r>
    <x v="210"/>
    <s v="VEN"/>
    <x v="9"/>
    <n v="11040280"/>
  </r>
  <r>
    <x v="210"/>
    <s v="VEN"/>
    <x v="10"/>
    <n v="11387790"/>
  </r>
  <r>
    <x v="210"/>
    <s v="VEN"/>
    <x v="11"/>
    <n v="11741008"/>
  </r>
  <r>
    <x v="210"/>
    <s v="VEN"/>
    <x v="12"/>
    <n v="12099180"/>
  </r>
  <r>
    <x v="210"/>
    <s v="VEN"/>
    <x v="13"/>
    <n v="12463537"/>
  </r>
  <r>
    <x v="210"/>
    <s v="VEN"/>
    <x v="14"/>
    <n v="12835351"/>
  </r>
  <r>
    <x v="210"/>
    <s v="VEN"/>
    <x v="15"/>
    <n v="13215892"/>
  </r>
  <r>
    <x v="210"/>
    <s v="VEN"/>
    <x v="16"/>
    <n v="13606284"/>
  </r>
  <r>
    <x v="210"/>
    <s v="VEN"/>
    <x v="17"/>
    <n v="14006812"/>
  </r>
  <r>
    <x v="210"/>
    <s v="VEN"/>
    <x v="18"/>
    <n v="14416684"/>
  </r>
  <r>
    <x v="210"/>
    <s v="VEN"/>
    <x v="19"/>
    <n v="14834552"/>
  </r>
  <r>
    <x v="210"/>
    <s v="VEN"/>
    <x v="20"/>
    <n v="15258218"/>
  </r>
  <r>
    <x v="210"/>
    <s v="VEN"/>
    <x v="21"/>
    <n v="15687297"/>
  </r>
  <r>
    <x v="210"/>
    <s v="VEN"/>
    <x v="22"/>
    <n v="16121874"/>
  </r>
  <r>
    <x v="210"/>
    <s v="VEN"/>
    <x v="23"/>
    <n v="16562205"/>
  </r>
  <r>
    <x v="210"/>
    <s v="VEN"/>
    <x v="24"/>
    <n v="17008841"/>
  </r>
  <r>
    <x v="210"/>
    <s v="VEN"/>
    <x v="25"/>
    <n v="17461434"/>
  </r>
  <r>
    <x v="210"/>
    <s v="VEN"/>
    <x v="26"/>
    <n v="17923536"/>
  </r>
  <r>
    <x v="210"/>
    <s v="VEN"/>
    <x v="27"/>
    <n v="18394963"/>
  </r>
  <r>
    <x v="210"/>
    <s v="VEN"/>
    <x v="28"/>
    <n v="18871020"/>
  </r>
  <r>
    <x v="210"/>
    <s v="VEN"/>
    <x v="29"/>
    <n v="19348921"/>
  </r>
  <r>
    <x v="210"/>
    <s v="VEN"/>
    <x v="30"/>
    <n v="19827010"/>
  </r>
  <r>
    <x v="210"/>
    <s v="VEN"/>
    <x v="31"/>
    <n v="20304896"/>
  </r>
  <r>
    <x v="210"/>
    <s v="VEN"/>
    <x v="32"/>
    <n v="20780948"/>
  </r>
  <r>
    <x v="210"/>
    <s v="VEN"/>
    <x v="33"/>
    <n v="21254520"/>
  </r>
  <r>
    <x v="210"/>
    <s v="VEN"/>
    <x v="34"/>
    <n v="21725188"/>
  </r>
  <r>
    <x v="210"/>
    <s v="VEN"/>
    <x v="35"/>
    <n v="22193821"/>
  </r>
  <r>
    <x v="210"/>
    <s v="VEN"/>
    <x v="36"/>
    <n v="22662113"/>
  </r>
  <r>
    <x v="210"/>
    <s v="VEN"/>
    <x v="37"/>
    <n v="23131685"/>
  </r>
  <r>
    <x v="210"/>
    <s v="VEN"/>
    <x v="38"/>
    <n v="23601337"/>
  </r>
  <r>
    <x v="210"/>
    <s v="VEN"/>
    <x v="39"/>
    <n v="24066593"/>
  </r>
  <r>
    <x v="210"/>
    <s v="VEN"/>
    <x v="40"/>
    <n v="24526708"/>
  </r>
  <r>
    <x v="210"/>
    <s v="VEN"/>
    <x v="41"/>
    <n v="24979922"/>
  </r>
  <r>
    <x v="210"/>
    <s v="VEN"/>
    <x v="42"/>
    <n v="25435671"/>
  </r>
  <r>
    <x v="210"/>
    <s v="VEN"/>
    <x v="43"/>
    <n v="25892703"/>
  </r>
  <r>
    <x v="210"/>
    <s v="VEN"/>
    <x v="44"/>
    <n v="26340838"/>
  </r>
  <r>
    <x v="210"/>
    <s v="VEN"/>
    <x v="45"/>
    <n v="26785804"/>
  </r>
  <r>
    <x v="210"/>
    <s v="VEN"/>
    <x v="46"/>
    <n v="27224686"/>
  </r>
  <r>
    <x v="210"/>
    <s v="VEN"/>
    <x v="47"/>
    <n v="27649363"/>
  </r>
  <r>
    <x v="210"/>
    <s v="VEN"/>
    <x v="48"/>
    <n v="28053696"/>
  </r>
  <r>
    <x v="210"/>
    <s v="VEN"/>
    <x v="49"/>
    <n v="28438298"/>
  </r>
  <r>
    <x v="210"/>
    <s v="VEN"/>
    <x v="50"/>
    <n v="28813101"/>
  </r>
  <r>
    <x v="210"/>
    <s v="VEN"/>
    <x v="51"/>
    <n v="29185212"/>
  </r>
  <r>
    <x v="210"/>
    <s v="VEN"/>
    <x v="52"/>
    <n v="29553826"/>
  </r>
  <r>
    <x v="210"/>
    <s v="VEN"/>
    <x v="53"/>
    <n v="29912198"/>
  </r>
  <r>
    <x v="210"/>
    <s v="VEN"/>
    <x v="54"/>
    <n v="30254079"/>
  </r>
  <r>
    <x v="210"/>
    <s v="VEN"/>
    <x v="55"/>
    <n v="30573972"/>
  </r>
  <r>
    <x v="210"/>
    <s v="VEN"/>
    <x v="56"/>
    <n v="30765720"/>
  </r>
  <r>
    <x v="210"/>
    <s v="VEN"/>
    <x v="57"/>
    <n v="30565323"/>
  </r>
  <r>
    <x v="210"/>
    <s v="VEN"/>
    <x v="58"/>
    <n v="29807592"/>
  </r>
  <r>
    <x v="210"/>
    <s v="VEN"/>
    <x v="59"/>
    <n v="28938098"/>
  </r>
  <r>
    <x v="210"/>
    <s v="VEN"/>
    <x v="60"/>
    <n v="28444077"/>
  </r>
  <r>
    <x v="210"/>
    <s v="VEN"/>
    <x v="61"/>
    <n v="28237826"/>
  </r>
  <r>
    <x v="210"/>
    <s v="VEN"/>
    <x v="62"/>
    <n v="28213017"/>
  </r>
  <r>
    <x v="210"/>
    <s v="VEN"/>
    <x v="63"/>
    <n v="28300854"/>
  </r>
  <r>
    <x v="210"/>
    <s v="VEN"/>
    <x v="64"/>
    <n v="28405543"/>
  </r>
  <r>
    <x v="211"/>
    <s v="VNM"/>
    <x v="0"/>
    <n v="32531933"/>
  </r>
  <r>
    <x v="211"/>
    <s v="VNM"/>
    <x v="1"/>
    <n v="33409059"/>
  </r>
  <r>
    <x v="211"/>
    <s v="VNM"/>
    <x v="2"/>
    <n v="34288560"/>
  </r>
  <r>
    <x v="211"/>
    <s v="VNM"/>
    <x v="3"/>
    <n v="35249101"/>
  </r>
  <r>
    <x v="211"/>
    <s v="VNM"/>
    <x v="4"/>
    <n v="36201563"/>
  </r>
  <r>
    <x v="211"/>
    <s v="VNM"/>
    <x v="5"/>
    <n v="37129656"/>
  </r>
  <r>
    <x v="211"/>
    <s v="VNM"/>
    <x v="6"/>
    <n v="38024836"/>
  </r>
  <r>
    <x v="211"/>
    <s v="VNM"/>
    <x v="7"/>
    <n v="38895080"/>
  </r>
  <r>
    <x v="211"/>
    <s v="VNM"/>
    <x v="8"/>
    <n v="39734609"/>
  </r>
  <r>
    <x v="211"/>
    <s v="VNM"/>
    <x v="9"/>
    <n v="40582096"/>
  </r>
  <r>
    <x v="211"/>
    <s v="VNM"/>
    <x v="10"/>
    <n v="41475230"/>
  </r>
  <r>
    <x v="211"/>
    <s v="VNM"/>
    <x v="11"/>
    <n v="42449276"/>
  </r>
  <r>
    <x v="211"/>
    <s v="VNM"/>
    <x v="12"/>
    <n v="43429168"/>
  </r>
  <r>
    <x v="211"/>
    <s v="VNM"/>
    <x v="13"/>
    <n v="44409861"/>
  </r>
  <r>
    <x v="211"/>
    <s v="VNM"/>
    <x v="14"/>
    <n v="45413537"/>
  </r>
  <r>
    <x v="211"/>
    <s v="VNM"/>
    <x v="15"/>
    <n v="46482903"/>
  </r>
  <r>
    <x v="211"/>
    <s v="VNM"/>
    <x v="16"/>
    <n v="47684931"/>
  </r>
  <r>
    <x v="211"/>
    <s v="VNM"/>
    <x v="17"/>
    <n v="48954872"/>
  </r>
  <r>
    <x v="211"/>
    <s v="VNM"/>
    <x v="18"/>
    <n v="50249552"/>
  </r>
  <r>
    <x v="211"/>
    <s v="VNM"/>
    <x v="19"/>
    <n v="51378211"/>
  </r>
  <r>
    <x v="211"/>
    <s v="VNM"/>
    <x v="20"/>
    <n v="52490101"/>
  </r>
  <r>
    <x v="211"/>
    <s v="VNM"/>
    <x v="21"/>
    <n v="53738141"/>
  </r>
  <r>
    <x v="211"/>
    <s v="VNM"/>
    <x v="22"/>
    <n v="55011289"/>
  </r>
  <r>
    <x v="211"/>
    <s v="VNM"/>
    <x v="23"/>
    <n v="56337921"/>
  </r>
  <r>
    <x v="211"/>
    <s v="VNM"/>
    <x v="24"/>
    <n v="57706067"/>
  </r>
  <r>
    <x v="211"/>
    <s v="VNM"/>
    <x v="25"/>
    <n v="59060622"/>
  </r>
  <r>
    <x v="211"/>
    <s v="VNM"/>
    <x v="26"/>
    <n v="60347048"/>
  </r>
  <r>
    <x v="211"/>
    <s v="VNM"/>
    <x v="27"/>
    <n v="61584651"/>
  </r>
  <r>
    <x v="211"/>
    <s v="VNM"/>
    <x v="28"/>
    <n v="62843228"/>
  </r>
  <r>
    <x v="211"/>
    <s v="VNM"/>
    <x v="29"/>
    <n v="64147348"/>
  </r>
  <r>
    <x v="211"/>
    <s v="VNM"/>
    <x v="30"/>
    <n v="65504552"/>
  </r>
  <r>
    <x v="211"/>
    <s v="VNM"/>
    <x v="31"/>
    <n v="66891775"/>
  </r>
  <r>
    <x v="211"/>
    <s v="VNM"/>
    <x v="32"/>
    <n v="68260337"/>
  </r>
  <r>
    <x v="211"/>
    <s v="VNM"/>
    <x v="33"/>
    <n v="69586384"/>
  </r>
  <r>
    <x v="211"/>
    <s v="VNM"/>
    <x v="34"/>
    <n v="70854391"/>
  </r>
  <r>
    <x v="211"/>
    <s v="VNM"/>
    <x v="35"/>
    <n v="72049940"/>
  </r>
  <r>
    <x v="211"/>
    <s v="VNM"/>
    <x v="36"/>
    <n v="73156447"/>
  </r>
  <r>
    <x v="211"/>
    <s v="VNM"/>
    <x v="37"/>
    <n v="74226889"/>
  </r>
  <r>
    <x v="211"/>
    <s v="VNM"/>
    <x v="38"/>
    <n v="75299660"/>
  </r>
  <r>
    <x v="211"/>
    <s v="VNM"/>
    <x v="39"/>
    <n v="76287452"/>
  </r>
  <r>
    <x v="211"/>
    <s v="VNM"/>
    <x v="40"/>
    <n v="77154011"/>
  </r>
  <r>
    <x v="211"/>
    <s v="VNM"/>
    <x v="41"/>
    <n v="77969361"/>
  </r>
  <r>
    <x v="211"/>
    <s v="VNM"/>
    <x v="42"/>
    <n v="78772224"/>
  </r>
  <r>
    <x v="211"/>
    <s v="VNM"/>
    <x v="43"/>
    <n v="79563777"/>
  </r>
  <r>
    <x v="211"/>
    <s v="VNM"/>
    <x v="44"/>
    <n v="80338971"/>
  </r>
  <r>
    <x v="211"/>
    <s v="VNM"/>
    <x v="45"/>
    <n v="81088313"/>
  </r>
  <r>
    <x v="211"/>
    <s v="VNM"/>
    <x v="46"/>
    <n v="82167897"/>
  </r>
  <r>
    <x v="211"/>
    <s v="VNM"/>
    <x v="47"/>
    <n v="83633375"/>
  </r>
  <r>
    <x v="211"/>
    <s v="VNM"/>
    <x v="48"/>
    <n v="85175788"/>
  </r>
  <r>
    <x v="211"/>
    <s v="VNM"/>
    <x v="49"/>
    <n v="86460018"/>
  </r>
  <r>
    <x v="211"/>
    <s v="VNM"/>
    <x v="50"/>
    <n v="87455152"/>
  </r>
  <r>
    <x v="211"/>
    <s v="VNM"/>
    <x v="51"/>
    <n v="88468314"/>
  </r>
  <r>
    <x v="211"/>
    <s v="VNM"/>
    <x v="52"/>
    <n v="89510356"/>
  </r>
  <r>
    <x v="211"/>
    <s v="VNM"/>
    <x v="53"/>
    <n v="90573104"/>
  </r>
  <r>
    <x v="211"/>
    <s v="VNM"/>
    <x v="54"/>
    <n v="91679578"/>
  </r>
  <r>
    <x v="211"/>
    <s v="VNM"/>
    <x v="55"/>
    <n v="92823254"/>
  </r>
  <r>
    <x v="211"/>
    <s v="VNM"/>
    <x v="56"/>
    <n v="94000117"/>
  </r>
  <r>
    <x v="211"/>
    <s v="VNM"/>
    <x v="57"/>
    <n v="95176977"/>
  </r>
  <r>
    <x v="211"/>
    <s v="VNM"/>
    <x v="58"/>
    <n v="96237319"/>
  </r>
  <r>
    <x v="211"/>
    <s v="VNM"/>
    <x v="59"/>
    <n v="97173776"/>
  </r>
  <r>
    <x v="211"/>
    <s v="VNM"/>
    <x v="60"/>
    <n v="98079191"/>
  </r>
  <r>
    <x v="211"/>
    <s v="VNM"/>
    <x v="61"/>
    <n v="98935098"/>
  </r>
  <r>
    <x v="211"/>
    <s v="VNM"/>
    <x v="62"/>
    <n v="99680655"/>
  </r>
  <r>
    <x v="211"/>
    <s v="VNM"/>
    <x v="63"/>
    <n v="100352192"/>
  </r>
  <r>
    <x v="211"/>
    <s v="VNM"/>
    <x v="64"/>
    <n v="100987686"/>
  </r>
  <r>
    <x v="212"/>
    <s v="VIR"/>
    <x v="0"/>
    <n v="32500"/>
  </r>
  <r>
    <x v="212"/>
    <s v="VIR"/>
    <x v="1"/>
    <n v="34300"/>
  </r>
  <r>
    <x v="212"/>
    <s v="VIR"/>
    <x v="2"/>
    <n v="35000"/>
  </r>
  <r>
    <x v="212"/>
    <s v="VIR"/>
    <x v="3"/>
    <n v="39800"/>
  </r>
  <r>
    <x v="212"/>
    <s v="VIR"/>
    <x v="4"/>
    <n v="40800"/>
  </r>
  <r>
    <x v="212"/>
    <s v="VIR"/>
    <x v="5"/>
    <n v="43500"/>
  </r>
  <r>
    <x v="212"/>
    <s v="VIR"/>
    <x v="6"/>
    <n v="46200"/>
  </r>
  <r>
    <x v="212"/>
    <s v="VIR"/>
    <x v="7"/>
    <n v="49100"/>
  </r>
  <r>
    <x v="212"/>
    <s v="VIR"/>
    <x v="8"/>
    <n v="55700"/>
  </r>
  <r>
    <x v="212"/>
    <s v="VIR"/>
    <x v="9"/>
    <n v="60300"/>
  </r>
  <r>
    <x v="212"/>
    <s v="VIR"/>
    <x v="10"/>
    <n v="63476"/>
  </r>
  <r>
    <x v="212"/>
    <s v="VIR"/>
    <x v="11"/>
    <n v="70937"/>
  </r>
  <r>
    <x v="212"/>
    <s v="VIR"/>
    <x v="12"/>
    <n v="76319"/>
  </r>
  <r>
    <x v="212"/>
    <s v="VIR"/>
    <x v="13"/>
    <n v="84121"/>
  </r>
  <r>
    <x v="212"/>
    <s v="VIR"/>
    <x v="14"/>
    <n v="89941"/>
  </r>
  <r>
    <x v="212"/>
    <s v="VIR"/>
    <x v="15"/>
    <n v="94484"/>
  </r>
  <r>
    <x v="212"/>
    <s v="VIR"/>
    <x v="16"/>
    <n v="96166"/>
  </r>
  <r>
    <x v="212"/>
    <s v="VIR"/>
    <x v="17"/>
    <n v="93203"/>
  </r>
  <r>
    <x v="212"/>
    <s v="VIR"/>
    <x v="18"/>
    <n v="95929"/>
  </r>
  <r>
    <x v="212"/>
    <s v="VIR"/>
    <x v="19"/>
    <n v="96183"/>
  </r>
  <r>
    <x v="212"/>
    <s v="VIR"/>
    <x v="20"/>
    <n v="99636"/>
  </r>
  <r>
    <x v="212"/>
    <s v="VIR"/>
    <x v="21"/>
    <n v="99853"/>
  </r>
  <r>
    <x v="212"/>
    <s v="VIR"/>
    <x v="22"/>
    <n v="100068"/>
  </r>
  <r>
    <x v="212"/>
    <s v="VIR"/>
    <x v="23"/>
    <n v="100348"/>
  </r>
  <r>
    <x v="212"/>
    <s v="VIR"/>
    <x v="24"/>
    <n v="100600"/>
  </r>
  <r>
    <x v="212"/>
    <s v="VIR"/>
    <x v="25"/>
    <n v="100760"/>
  </r>
  <r>
    <x v="212"/>
    <s v="VIR"/>
    <x v="26"/>
    <n v="100842"/>
  </r>
  <r>
    <x v="212"/>
    <s v="VIR"/>
    <x v="27"/>
    <n v="100901"/>
  </r>
  <r>
    <x v="212"/>
    <s v="VIR"/>
    <x v="28"/>
    <n v="100952"/>
  </r>
  <r>
    <x v="212"/>
    <s v="VIR"/>
    <x v="29"/>
    <n v="101041"/>
  </r>
  <r>
    <x v="212"/>
    <s v="VIR"/>
    <x v="30"/>
    <n v="103963"/>
  </r>
  <r>
    <x v="212"/>
    <s v="VIR"/>
    <x v="31"/>
    <n v="104807"/>
  </r>
  <r>
    <x v="212"/>
    <s v="VIR"/>
    <x v="32"/>
    <n v="105712"/>
  </r>
  <r>
    <x v="212"/>
    <s v="VIR"/>
    <x v="33"/>
    <n v="106578"/>
  </r>
  <r>
    <x v="212"/>
    <s v="VIR"/>
    <x v="34"/>
    <n v="107318"/>
  </r>
  <r>
    <x v="212"/>
    <s v="VIR"/>
    <x v="35"/>
    <n v="107818"/>
  </r>
  <r>
    <x v="212"/>
    <s v="VIR"/>
    <x v="36"/>
    <n v="108095"/>
  </r>
  <r>
    <x v="212"/>
    <s v="VIR"/>
    <x v="37"/>
    <n v="108357"/>
  </r>
  <r>
    <x v="212"/>
    <s v="VIR"/>
    <x v="38"/>
    <n v="108537"/>
  </r>
  <r>
    <x v="212"/>
    <s v="VIR"/>
    <x v="39"/>
    <n v="108599"/>
  </r>
  <r>
    <x v="212"/>
    <s v="VIR"/>
    <x v="40"/>
    <n v="108642"/>
  </r>
  <r>
    <x v="212"/>
    <s v="VIR"/>
    <x v="41"/>
    <n v="108549"/>
  </r>
  <r>
    <x v="212"/>
    <s v="VIR"/>
    <x v="42"/>
    <n v="108509"/>
  </r>
  <r>
    <x v="212"/>
    <s v="VIR"/>
    <x v="43"/>
    <n v="108505"/>
  </r>
  <r>
    <x v="212"/>
    <s v="VIR"/>
    <x v="44"/>
    <n v="108466"/>
  </r>
  <r>
    <x v="212"/>
    <s v="VIR"/>
    <x v="45"/>
    <n v="108453"/>
  </r>
  <r>
    <x v="212"/>
    <s v="VIR"/>
    <x v="46"/>
    <n v="108369"/>
  </r>
  <r>
    <x v="212"/>
    <s v="VIR"/>
    <x v="47"/>
    <n v="108337"/>
  </r>
  <r>
    <x v="212"/>
    <s v="VIR"/>
    <x v="48"/>
    <n v="108397"/>
  </r>
  <r>
    <x v="212"/>
    <s v="VIR"/>
    <x v="49"/>
    <n v="108404"/>
  </r>
  <r>
    <x v="212"/>
    <s v="VIR"/>
    <x v="50"/>
    <n v="108357"/>
  </r>
  <r>
    <x v="212"/>
    <s v="VIR"/>
    <x v="51"/>
    <n v="108290"/>
  </r>
  <r>
    <x v="212"/>
    <s v="VIR"/>
    <x v="52"/>
    <n v="108188"/>
  </r>
  <r>
    <x v="212"/>
    <s v="VIR"/>
    <x v="53"/>
    <n v="108041"/>
  </r>
  <r>
    <x v="212"/>
    <s v="VIR"/>
    <x v="54"/>
    <n v="107882"/>
  </r>
  <r>
    <x v="212"/>
    <s v="VIR"/>
    <x v="55"/>
    <n v="107712"/>
  </r>
  <r>
    <x v="212"/>
    <s v="VIR"/>
    <x v="56"/>
    <n v="107516"/>
  </r>
  <r>
    <x v="212"/>
    <s v="VIR"/>
    <x v="57"/>
    <n v="107281"/>
  </r>
  <r>
    <x v="212"/>
    <s v="VIR"/>
    <x v="58"/>
    <n v="107001"/>
  </r>
  <r>
    <x v="212"/>
    <s v="VIR"/>
    <x v="59"/>
    <n v="106669"/>
  </r>
  <r>
    <x v="212"/>
    <s v="VIR"/>
    <x v="60"/>
    <n v="106290"/>
  </r>
  <r>
    <x v="212"/>
    <s v="VIR"/>
    <x v="61"/>
    <n v="105870"/>
  </r>
  <r>
    <x v="212"/>
    <s v="VIR"/>
    <x v="62"/>
    <n v="105413"/>
  </r>
  <r>
    <x v="212"/>
    <s v="VIR"/>
    <x v="63"/>
    <n v="104917"/>
  </r>
  <r>
    <x v="212"/>
    <s v="VIR"/>
    <x v="64"/>
    <n v="104377"/>
  </r>
  <r>
    <x v="213"/>
    <s v="PSE"/>
    <x v="30"/>
    <n v="1978248"/>
  </r>
  <r>
    <x v="213"/>
    <s v="PSE"/>
    <x v="31"/>
    <n v="2068845"/>
  </r>
  <r>
    <x v="213"/>
    <s v="PSE"/>
    <x v="32"/>
    <n v="2163591"/>
  </r>
  <r>
    <x v="213"/>
    <s v="PSE"/>
    <x v="33"/>
    <n v="2262676"/>
  </r>
  <r>
    <x v="213"/>
    <s v="PSE"/>
    <x v="34"/>
    <n v="2366298"/>
  </r>
  <r>
    <x v="213"/>
    <s v="PSE"/>
    <x v="35"/>
    <n v="2474666"/>
  </r>
  <r>
    <x v="213"/>
    <s v="PSE"/>
    <x v="36"/>
    <n v="2587997"/>
  </r>
  <r>
    <x v="213"/>
    <s v="PSE"/>
    <x v="37"/>
    <n v="2706518"/>
  </r>
  <r>
    <x v="213"/>
    <s v="PSE"/>
    <x v="38"/>
    <n v="2776568"/>
  </r>
  <r>
    <x v="213"/>
    <s v="PSE"/>
    <x v="39"/>
    <n v="2848431"/>
  </r>
  <r>
    <x v="213"/>
    <s v="PSE"/>
    <x v="40"/>
    <n v="2922153"/>
  </r>
  <r>
    <x v="213"/>
    <s v="PSE"/>
    <x v="41"/>
    <n v="2997784"/>
  </r>
  <r>
    <x v="213"/>
    <s v="PSE"/>
    <x v="42"/>
    <n v="3075373"/>
  </r>
  <r>
    <x v="213"/>
    <s v="PSE"/>
    <x v="43"/>
    <n v="3154969"/>
  </r>
  <r>
    <x v="213"/>
    <s v="PSE"/>
    <x v="44"/>
    <n v="3236626"/>
  </r>
  <r>
    <x v="213"/>
    <s v="PSE"/>
    <x v="45"/>
    <n v="3320396"/>
  </r>
  <r>
    <x v="213"/>
    <s v="PSE"/>
    <x v="46"/>
    <n v="3406334"/>
  </r>
  <r>
    <x v="213"/>
    <s v="PSE"/>
    <x v="47"/>
    <n v="3494496"/>
  </r>
  <r>
    <x v="213"/>
    <s v="PSE"/>
    <x v="48"/>
    <n v="3591977"/>
  </r>
  <r>
    <x v="213"/>
    <s v="PSE"/>
    <x v="49"/>
    <n v="3689099"/>
  </r>
  <r>
    <x v="213"/>
    <s v="PSE"/>
    <x v="50"/>
    <n v="3786161"/>
  </r>
  <r>
    <x v="213"/>
    <s v="PSE"/>
    <x v="51"/>
    <n v="3882986"/>
  </r>
  <r>
    <x v="213"/>
    <s v="PSE"/>
    <x v="52"/>
    <n v="3979998"/>
  </r>
  <r>
    <x v="213"/>
    <s v="PSE"/>
    <x v="53"/>
    <n v="4076708"/>
  </r>
  <r>
    <x v="213"/>
    <s v="PSE"/>
    <x v="54"/>
    <n v="4173398"/>
  </r>
  <r>
    <x v="213"/>
    <s v="PSE"/>
    <x v="55"/>
    <n v="4270092"/>
  </r>
  <r>
    <x v="213"/>
    <s v="PSE"/>
    <x v="56"/>
    <n v="4367088"/>
  </r>
  <r>
    <x v="213"/>
    <s v="PSE"/>
    <x v="57"/>
    <n v="4454805"/>
  </r>
  <r>
    <x v="213"/>
    <s v="PSE"/>
    <x v="58"/>
    <n v="4569087"/>
  </r>
  <r>
    <x v="213"/>
    <s v="PSE"/>
    <x v="59"/>
    <n v="4685306"/>
  </r>
  <r>
    <x v="213"/>
    <s v="PSE"/>
    <x v="60"/>
    <n v="4803269"/>
  </r>
  <r>
    <x v="213"/>
    <s v="PSE"/>
    <x v="61"/>
    <n v="4922749"/>
  </r>
  <r>
    <x v="213"/>
    <s v="PSE"/>
    <x v="62"/>
    <n v="5043612"/>
  </r>
  <r>
    <x v="213"/>
    <s v="PSE"/>
    <x v="63"/>
    <n v="5165775"/>
  </r>
  <r>
    <x v="213"/>
    <s v="PSE"/>
    <x v="64"/>
    <n v="5289152"/>
  </r>
  <r>
    <x v="214"/>
    <s v="YEM"/>
    <x v="0"/>
    <n v="5532301"/>
  </r>
  <r>
    <x v="214"/>
    <s v="YEM"/>
    <x v="1"/>
    <n v="5655232"/>
  </r>
  <r>
    <x v="214"/>
    <s v="YEM"/>
    <x v="2"/>
    <n v="5782221"/>
  </r>
  <r>
    <x v="214"/>
    <s v="YEM"/>
    <x v="3"/>
    <n v="5911135"/>
  </r>
  <r>
    <x v="214"/>
    <s v="YEM"/>
    <x v="4"/>
    <n v="6048006"/>
  </r>
  <r>
    <x v="214"/>
    <s v="YEM"/>
    <x v="5"/>
    <n v="6195593"/>
  </r>
  <r>
    <x v="214"/>
    <s v="YEM"/>
    <x v="6"/>
    <n v="6351494"/>
  </r>
  <r>
    <x v="214"/>
    <s v="YEM"/>
    <x v="7"/>
    <n v="6516444"/>
  </r>
  <r>
    <x v="214"/>
    <s v="YEM"/>
    <x v="8"/>
    <n v="6690524"/>
  </r>
  <r>
    <x v="214"/>
    <s v="YEM"/>
    <x v="9"/>
    <n v="6875859"/>
  </r>
  <r>
    <x v="214"/>
    <s v="YEM"/>
    <x v="10"/>
    <n v="7065279"/>
  </r>
  <r>
    <x v="214"/>
    <s v="YEM"/>
    <x v="11"/>
    <n v="7257462"/>
  </r>
  <r>
    <x v="214"/>
    <s v="YEM"/>
    <x v="12"/>
    <n v="7460068"/>
  </r>
  <r>
    <x v="214"/>
    <s v="YEM"/>
    <x v="13"/>
    <n v="7672796"/>
  </r>
  <r>
    <x v="214"/>
    <s v="YEM"/>
    <x v="14"/>
    <n v="7896783"/>
  </r>
  <r>
    <x v="214"/>
    <s v="YEM"/>
    <x v="15"/>
    <n v="8133598"/>
  </r>
  <r>
    <x v="214"/>
    <s v="YEM"/>
    <x v="16"/>
    <n v="8384113"/>
  </r>
  <r>
    <x v="214"/>
    <s v="YEM"/>
    <x v="17"/>
    <n v="8648222"/>
  </r>
  <r>
    <x v="214"/>
    <s v="YEM"/>
    <x v="18"/>
    <n v="8926586"/>
  </r>
  <r>
    <x v="214"/>
    <s v="YEM"/>
    <x v="19"/>
    <n v="9224194"/>
  </r>
  <r>
    <x v="214"/>
    <s v="YEM"/>
    <x v="20"/>
    <n v="9543358"/>
  </r>
  <r>
    <x v="214"/>
    <s v="YEM"/>
    <x v="21"/>
    <n v="9882362"/>
  </r>
  <r>
    <x v="214"/>
    <s v="YEM"/>
    <x v="22"/>
    <n v="10241006"/>
  </r>
  <r>
    <x v="214"/>
    <s v="YEM"/>
    <x v="23"/>
    <n v="10621499"/>
  </r>
  <r>
    <x v="214"/>
    <s v="YEM"/>
    <x v="24"/>
    <n v="11025597"/>
  </r>
  <r>
    <x v="214"/>
    <s v="YEM"/>
    <x v="25"/>
    <n v="11453825"/>
  </r>
  <r>
    <x v="214"/>
    <s v="YEM"/>
    <x v="26"/>
    <n v="11901040"/>
  </r>
  <r>
    <x v="214"/>
    <s v="YEM"/>
    <x v="27"/>
    <n v="12369912"/>
  </r>
  <r>
    <x v="214"/>
    <s v="YEM"/>
    <x v="28"/>
    <n v="12859708"/>
  </r>
  <r>
    <x v="214"/>
    <s v="YEM"/>
    <x v="29"/>
    <n v="13364174"/>
  </r>
  <r>
    <x v="214"/>
    <s v="YEM"/>
    <x v="30"/>
    <n v="13887862"/>
  </r>
  <r>
    <x v="214"/>
    <s v="YEM"/>
    <x v="31"/>
    <n v="14430201"/>
  </r>
  <r>
    <x v="214"/>
    <s v="YEM"/>
    <x v="32"/>
    <n v="14989494"/>
  </r>
  <r>
    <x v="214"/>
    <s v="YEM"/>
    <x v="33"/>
    <n v="15563914"/>
  </r>
  <r>
    <x v="214"/>
    <s v="YEM"/>
    <x v="34"/>
    <n v="16149147"/>
  </r>
  <r>
    <x v="214"/>
    <s v="YEM"/>
    <x v="35"/>
    <n v="16740058"/>
  </r>
  <r>
    <x v="214"/>
    <s v="YEM"/>
    <x v="36"/>
    <n v="17313177"/>
  </r>
  <r>
    <x v="214"/>
    <s v="YEM"/>
    <x v="37"/>
    <n v="17873936"/>
  </r>
  <r>
    <x v="214"/>
    <s v="YEM"/>
    <x v="38"/>
    <n v="18446013"/>
  </r>
  <r>
    <x v="214"/>
    <s v="YEM"/>
    <x v="39"/>
    <n v="19029420"/>
  </r>
  <r>
    <x v="214"/>
    <s v="YEM"/>
    <x v="40"/>
    <n v="19624141"/>
  </r>
  <r>
    <x v="214"/>
    <s v="YEM"/>
    <x v="41"/>
    <n v="20226147"/>
  </r>
  <r>
    <x v="214"/>
    <s v="YEM"/>
    <x v="42"/>
    <n v="20835086"/>
  </r>
  <r>
    <x v="214"/>
    <s v="YEM"/>
    <x v="43"/>
    <n v="21456379"/>
  </r>
  <r>
    <x v="214"/>
    <s v="YEM"/>
    <x v="44"/>
    <n v="22095167"/>
  </r>
  <r>
    <x v="214"/>
    <s v="YEM"/>
    <x v="45"/>
    <n v="22790085"/>
  </r>
  <r>
    <x v="214"/>
    <s v="YEM"/>
    <x v="46"/>
    <n v="23543083"/>
  </r>
  <r>
    <x v="214"/>
    <s v="YEM"/>
    <x v="47"/>
    <n v="24318082"/>
  </r>
  <r>
    <x v="214"/>
    <s v="YEM"/>
    <x v="48"/>
    <n v="25111941"/>
  </r>
  <r>
    <x v="214"/>
    <s v="YEM"/>
    <x v="49"/>
    <n v="25927724"/>
  </r>
  <r>
    <x v="214"/>
    <s v="YEM"/>
    <x v="50"/>
    <n v="26754387"/>
  </r>
  <r>
    <x v="214"/>
    <s v="YEM"/>
    <x v="51"/>
    <n v="27582897"/>
  </r>
  <r>
    <x v="214"/>
    <s v="YEM"/>
    <x v="52"/>
    <n v="28433647"/>
  </r>
  <r>
    <x v="214"/>
    <s v="YEM"/>
    <x v="53"/>
    <n v="29312952"/>
  </r>
  <r>
    <x v="214"/>
    <s v="YEM"/>
    <x v="54"/>
    <n v="30226309"/>
  </r>
  <r>
    <x v="214"/>
    <s v="YEM"/>
    <x v="55"/>
    <n v="31159379"/>
  </r>
  <r>
    <x v="214"/>
    <s v="YEM"/>
    <x v="56"/>
    <n v="32109010"/>
  </r>
  <r>
    <x v="214"/>
    <s v="YEM"/>
    <x v="57"/>
    <n v="33090921"/>
  </r>
  <r>
    <x v="214"/>
    <s v="YEM"/>
    <x v="58"/>
    <n v="34085182"/>
  </r>
  <r>
    <x v="214"/>
    <s v="YEM"/>
    <x v="59"/>
    <n v="35111408"/>
  </r>
  <r>
    <x v="214"/>
    <s v="YEM"/>
    <x v="60"/>
    <n v="36134863"/>
  </r>
  <r>
    <x v="214"/>
    <s v="YEM"/>
    <x v="61"/>
    <n v="37140230"/>
  </r>
  <r>
    <x v="214"/>
    <s v="YEM"/>
    <x v="62"/>
    <n v="38222876"/>
  </r>
  <r>
    <x v="214"/>
    <s v="YEM"/>
    <x v="63"/>
    <n v="39390799"/>
  </r>
  <r>
    <x v="214"/>
    <s v="YEM"/>
    <x v="64"/>
    <n v="40583164"/>
  </r>
  <r>
    <x v="215"/>
    <s v="ZMB"/>
    <x v="0"/>
    <n v="3153729"/>
  </r>
  <r>
    <x v="215"/>
    <s v="ZMB"/>
    <x v="1"/>
    <n v="3254086"/>
  </r>
  <r>
    <x v="215"/>
    <s v="ZMB"/>
    <x v="2"/>
    <n v="3358099"/>
  </r>
  <r>
    <x v="215"/>
    <s v="ZMB"/>
    <x v="3"/>
    <n v="3465907"/>
  </r>
  <r>
    <x v="215"/>
    <s v="ZMB"/>
    <x v="4"/>
    <n v="3577017"/>
  </r>
  <r>
    <x v="215"/>
    <s v="ZMB"/>
    <x v="5"/>
    <n v="3692086"/>
  </r>
  <r>
    <x v="215"/>
    <s v="ZMB"/>
    <x v="6"/>
    <n v="3812003"/>
  </r>
  <r>
    <x v="215"/>
    <s v="ZMB"/>
    <x v="7"/>
    <n v="3936343"/>
  </r>
  <r>
    <x v="215"/>
    <s v="ZMB"/>
    <x v="8"/>
    <n v="4065593"/>
  </r>
  <r>
    <x v="215"/>
    <s v="ZMB"/>
    <x v="9"/>
    <n v="4197116"/>
  </r>
  <r>
    <x v="215"/>
    <s v="ZMB"/>
    <x v="10"/>
    <n v="4321718"/>
  </r>
  <r>
    <x v="215"/>
    <s v="ZMB"/>
    <x v="11"/>
    <n v="4442525"/>
  </r>
  <r>
    <x v="215"/>
    <s v="ZMB"/>
    <x v="12"/>
    <n v="4569309"/>
  </r>
  <r>
    <x v="215"/>
    <s v="ZMB"/>
    <x v="13"/>
    <n v="4702693"/>
  </r>
  <r>
    <x v="215"/>
    <s v="ZMB"/>
    <x v="14"/>
    <n v="4842746"/>
  </r>
  <r>
    <x v="215"/>
    <s v="ZMB"/>
    <x v="15"/>
    <n v="4990086"/>
  </r>
  <r>
    <x v="215"/>
    <s v="ZMB"/>
    <x v="16"/>
    <n v="5143842"/>
  </r>
  <r>
    <x v="215"/>
    <s v="ZMB"/>
    <x v="17"/>
    <n v="5302480"/>
  </r>
  <r>
    <x v="215"/>
    <s v="ZMB"/>
    <x v="18"/>
    <n v="5465374"/>
  </r>
  <r>
    <x v="215"/>
    <s v="ZMB"/>
    <x v="19"/>
    <n v="5631728"/>
  </r>
  <r>
    <x v="215"/>
    <s v="ZMB"/>
    <x v="20"/>
    <n v="5802833"/>
  </r>
  <r>
    <x v="215"/>
    <s v="ZMB"/>
    <x v="21"/>
    <n v="5983289"/>
  </r>
  <r>
    <x v="215"/>
    <s v="ZMB"/>
    <x v="22"/>
    <n v="6178637"/>
  </r>
  <r>
    <x v="215"/>
    <s v="ZMB"/>
    <x v="23"/>
    <n v="6381038"/>
  </r>
  <r>
    <x v="215"/>
    <s v="ZMB"/>
    <x v="24"/>
    <n v="6580490"/>
  </r>
  <r>
    <x v="215"/>
    <s v="ZMB"/>
    <x v="25"/>
    <n v="6780953"/>
  </r>
  <r>
    <x v="215"/>
    <s v="ZMB"/>
    <x v="26"/>
    <n v="6986471"/>
  </r>
  <r>
    <x v="215"/>
    <s v="ZMB"/>
    <x v="27"/>
    <n v="7191282"/>
  </r>
  <r>
    <x v="215"/>
    <s v="ZMB"/>
    <x v="28"/>
    <n v="7391440"/>
  </r>
  <r>
    <x v="215"/>
    <s v="ZMB"/>
    <x v="29"/>
    <n v="7589216"/>
  </r>
  <r>
    <x v="215"/>
    <s v="ZMB"/>
    <x v="30"/>
    <n v="7786169"/>
  </r>
  <r>
    <x v="215"/>
    <s v="ZMB"/>
    <x v="31"/>
    <n v="7981650"/>
  </r>
  <r>
    <x v="215"/>
    <s v="ZMB"/>
    <x v="32"/>
    <n v="8176680"/>
  </r>
  <r>
    <x v="215"/>
    <s v="ZMB"/>
    <x v="33"/>
    <n v="8373921"/>
  </r>
  <r>
    <x v="215"/>
    <s v="ZMB"/>
    <x v="34"/>
    <n v="8576269"/>
  </r>
  <r>
    <x v="215"/>
    <s v="ZMB"/>
    <x v="35"/>
    <n v="8785763"/>
  </r>
  <r>
    <x v="215"/>
    <s v="ZMB"/>
    <x v="36"/>
    <n v="9004053"/>
  </r>
  <r>
    <x v="215"/>
    <s v="ZMB"/>
    <x v="37"/>
    <n v="9237063"/>
  </r>
  <r>
    <x v="215"/>
    <s v="ZMB"/>
    <x v="38"/>
    <n v="9482408"/>
  </r>
  <r>
    <x v="215"/>
    <s v="ZMB"/>
    <x v="39"/>
    <n v="9740005"/>
  </r>
  <r>
    <x v="215"/>
    <s v="ZMB"/>
    <x v="40"/>
    <n v="10017631"/>
  </r>
  <r>
    <x v="215"/>
    <s v="ZMB"/>
    <x v="41"/>
    <n v="10325185"/>
  </r>
  <r>
    <x v="215"/>
    <s v="ZMB"/>
    <x v="42"/>
    <n v="10647949"/>
  </r>
  <r>
    <x v="215"/>
    <s v="ZMB"/>
    <x v="43"/>
    <n v="10983595"/>
  </r>
  <r>
    <x v="215"/>
    <s v="ZMB"/>
    <x v="44"/>
    <n v="11338198"/>
  </r>
  <r>
    <x v="215"/>
    <s v="ZMB"/>
    <x v="45"/>
    <n v="11718819"/>
  </r>
  <r>
    <x v="215"/>
    <s v="ZMB"/>
    <x v="46"/>
    <n v="12129553"/>
  </r>
  <r>
    <x v="215"/>
    <s v="ZMB"/>
    <x v="47"/>
    <n v="12565085"/>
  </r>
  <r>
    <x v="215"/>
    <s v="ZMB"/>
    <x v="48"/>
    <n v="13021324"/>
  </r>
  <r>
    <x v="215"/>
    <s v="ZMB"/>
    <x v="49"/>
    <n v="13490389"/>
  </r>
  <r>
    <x v="215"/>
    <s v="ZMB"/>
    <x v="50"/>
    <n v="13965594"/>
  </r>
  <r>
    <x v="215"/>
    <s v="ZMB"/>
    <x v="51"/>
    <n v="14437796"/>
  </r>
  <r>
    <x v="215"/>
    <s v="ZMB"/>
    <x v="52"/>
    <n v="14913629"/>
  </r>
  <r>
    <x v="215"/>
    <s v="ZMB"/>
    <x v="53"/>
    <n v="15398997"/>
  </r>
  <r>
    <x v="215"/>
    <s v="ZMB"/>
    <x v="54"/>
    <n v="15895315"/>
  </r>
  <r>
    <x v="215"/>
    <s v="ZMB"/>
    <x v="55"/>
    <n v="16399089"/>
  </r>
  <r>
    <x v="215"/>
    <s v="ZMB"/>
    <x v="56"/>
    <n v="16914423"/>
  </r>
  <r>
    <x v="215"/>
    <s v="ZMB"/>
    <x v="57"/>
    <n v="17441320"/>
  </r>
  <r>
    <x v="215"/>
    <s v="ZMB"/>
    <x v="58"/>
    <n v="17973569"/>
  </r>
  <r>
    <x v="215"/>
    <s v="ZMB"/>
    <x v="59"/>
    <n v="18513839"/>
  </r>
  <r>
    <x v="215"/>
    <s v="ZMB"/>
    <x v="60"/>
    <n v="19059395"/>
  </r>
  <r>
    <x v="215"/>
    <s v="ZMB"/>
    <x v="61"/>
    <n v="19603607"/>
  </r>
  <r>
    <x v="215"/>
    <s v="ZMB"/>
    <x v="62"/>
    <n v="20152938"/>
  </r>
  <r>
    <x v="215"/>
    <s v="ZMB"/>
    <x v="63"/>
    <n v="20723965"/>
  </r>
  <r>
    <x v="215"/>
    <s v="ZMB"/>
    <x v="64"/>
    <n v="21314956"/>
  </r>
  <r>
    <x v="216"/>
    <s v="ZWE"/>
    <x v="0"/>
    <n v="3809389"/>
  </r>
  <r>
    <x v="216"/>
    <s v="ZWE"/>
    <x v="1"/>
    <n v="3930401"/>
  </r>
  <r>
    <x v="216"/>
    <s v="ZWE"/>
    <x v="2"/>
    <n v="4055959"/>
  </r>
  <r>
    <x v="216"/>
    <s v="ZWE"/>
    <x v="3"/>
    <n v="4185877"/>
  </r>
  <r>
    <x v="216"/>
    <s v="ZWE"/>
    <x v="4"/>
    <n v="4320006"/>
  </r>
  <r>
    <x v="216"/>
    <s v="ZWE"/>
    <x v="5"/>
    <n v="4458462"/>
  </r>
  <r>
    <x v="216"/>
    <s v="ZWE"/>
    <x v="6"/>
    <n v="4601217"/>
  </r>
  <r>
    <x v="216"/>
    <s v="ZWE"/>
    <x v="7"/>
    <n v="4748307"/>
  </r>
  <r>
    <x v="216"/>
    <s v="ZWE"/>
    <x v="8"/>
    <n v="4900440"/>
  </r>
  <r>
    <x v="216"/>
    <s v="ZWE"/>
    <x v="9"/>
    <n v="5058181"/>
  </r>
  <r>
    <x v="216"/>
    <s v="ZWE"/>
    <x v="10"/>
    <n v="5215918"/>
  </r>
  <r>
    <x v="216"/>
    <s v="ZWE"/>
    <x v="11"/>
    <n v="5374712"/>
  </r>
  <r>
    <x v="216"/>
    <s v="ZWE"/>
    <x v="12"/>
    <n v="5542445"/>
  </r>
  <r>
    <x v="216"/>
    <s v="ZWE"/>
    <x v="13"/>
    <n v="5720404"/>
  </r>
  <r>
    <x v="216"/>
    <s v="ZWE"/>
    <x v="14"/>
    <n v="5908328"/>
  </r>
  <r>
    <x v="216"/>
    <s v="ZWE"/>
    <x v="15"/>
    <n v="6098658"/>
  </r>
  <r>
    <x v="216"/>
    <s v="ZWE"/>
    <x v="16"/>
    <n v="6287105"/>
  </r>
  <r>
    <x v="216"/>
    <s v="ZWE"/>
    <x v="17"/>
    <n v="6449512"/>
  </r>
  <r>
    <x v="216"/>
    <s v="ZWE"/>
    <x v="18"/>
    <n v="6543575"/>
  </r>
  <r>
    <x v="216"/>
    <s v="ZWE"/>
    <x v="19"/>
    <n v="6647556"/>
  </r>
  <r>
    <x v="216"/>
    <s v="ZWE"/>
    <x v="20"/>
    <n v="7041303"/>
  </r>
  <r>
    <x v="216"/>
    <s v="ZWE"/>
    <x v="21"/>
    <n v="7498635"/>
  </r>
  <r>
    <x v="216"/>
    <s v="ZWE"/>
    <x v="22"/>
    <n v="7796496"/>
  </r>
  <r>
    <x v="216"/>
    <s v="ZWE"/>
    <x v="23"/>
    <n v="8098404"/>
  </r>
  <r>
    <x v="216"/>
    <s v="ZWE"/>
    <x v="24"/>
    <n v="8391488"/>
  </r>
  <r>
    <x v="216"/>
    <s v="ZWE"/>
    <x v="25"/>
    <n v="8686813"/>
  </r>
  <r>
    <x v="216"/>
    <s v="ZWE"/>
    <x v="26"/>
    <n v="8982578"/>
  </r>
  <r>
    <x v="216"/>
    <s v="ZWE"/>
    <x v="27"/>
    <n v="9284644"/>
  </r>
  <r>
    <x v="216"/>
    <s v="ZWE"/>
    <x v="28"/>
    <n v="9583094"/>
  </r>
  <r>
    <x v="216"/>
    <s v="ZWE"/>
    <x v="29"/>
    <n v="9864798"/>
  </r>
  <r>
    <x v="216"/>
    <s v="ZWE"/>
    <x v="30"/>
    <n v="10137281"/>
  </r>
  <r>
    <x v="216"/>
    <s v="ZWE"/>
    <x v="31"/>
    <n v="10404816"/>
  </r>
  <r>
    <x v="216"/>
    <s v="ZWE"/>
    <x v="32"/>
    <n v="10702700"/>
  </r>
  <r>
    <x v="216"/>
    <s v="ZWE"/>
    <x v="33"/>
    <n v="10860288"/>
  </r>
  <r>
    <x v="216"/>
    <s v="ZWE"/>
    <x v="34"/>
    <n v="10873148"/>
  </r>
  <r>
    <x v="216"/>
    <s v="ZWE"/>
    <x v="35"/>
    <n v="10974599"/>
  </r>
  <r>
    <x v="216"/>
    <s v="ZWE"/>
    <x v="36"/>
    <n v="11158360"/>
  </r>
  <r>
    <x v="216"/>
    <s v="ZWE"/>
    <x v="37"/>
    <n v="11369827"/>
  </r>
  <r>
    <x v="216"/>
    <s v="ZWE"/>
    <x v="38"/>
    <n v="11594297"/>
  </r>
  <r>
    <x v="216"/>
    <s v="ZWE"/>
    <x v="39"/>
    <n v="11783458"/>
  </r>
  <r>
    <x v="216"/>
    <s v="ZWE"/>
    <x v="40"/>
    <n v="11892055"/>
  </r>
  <r>
    <x v="216"/>
    <s v="ZWE"/>
    <x v="41"/>
    <n v="11971901"/>
  </r>
  <r>
    <x v="216"/>
    <s v="ZWE"/>
    <x v="42"/>
    <n v="12087653"/>
  </r>
  <r>
    <x v="216"/>
    <s v="ZWE"/>
    <x v="43"/>
    <n v="12232323"/>
  </r>
  <r>
    <x v="216"/>
    <s v="ZWE"/>
    <x v="44"/>
    <n v="12365896"/>
  </r>
  <r>
    <x v="216"/>
    <s v="ZWE"/>
    <x v="45"/>
    <n v="12483432"/>
  </r>
  <r>
    <x v="216"/>
    <s v="ZWE"/>
    <x v="46"/>
    <n v="12636445"/>
  </r>
  <r>
    <x v="216"/>
    <s v="ZWE"/>
    <x v="47"/>
    <n v="12804058"/>
  </r>
  <r>
    <x v="216"/>
    <s v="ZWE"/>
    <x v="48"/>
    <n v="12959149"/>
  </r>
  <r>
    <x v="216"/>
    <s v="ZWE"/>
    <x v="49"/>
    <n v="13142790"/>
  </r>
  <r>
    <x v="216"/>
    <s v="ZWE"/>
    <x v="50"/>
    <n v="13356548"/>
  </r>
  <r>
    <x v="216"/>
    <s v="ZWE"/>
    <x v="51"/>
    <n v="13595424"/>
  </r>
  <r>
    <x v="216"/>
    <s v="ZWE"/>
    <x v="52"/>
    <n v="13817887"/>
  </r>
  <r>
    <x v="216"/>
    <s v="ZWE"/>
    <x v="53"/>
    <n v="14013808"/>
  </r>
  <r>
    <x v="216"/>
    <s v="ZWE"/>
    <x v="54"/>
    <n v="14207359"/>
  </r>
  <r>
    <x v="216"/>
    <s v="ZWE"/>
    <x v="55"/>
    <n v="14399013"/>
  </r>
  <r>
    <x v="216"/>
    <s v="ZWE"/>
    <x v="56"/>
    <n v="14600294"/>
  </r>
  <r>
    <x v="216"/>
    <s v="ZWE"/>
    <x v="57"/>
    <n v="14812482"/>
  </r>
  <r>
    <x v="216"/>
    <s v="ZWE"/>
    <x v="58"/>
    <n v="15034452"/>
  </r>
  <r>
    <x v="216"/>
    <s v="ZWE"/>
    <x v="59"/>
    <n v="15271368"/>
  </r>
  <r>
    <x v="216"/>
    <s v="ZWE"/>
    <x v="60"/>
    <n v="15526888"/>
  </r>
  <r>
    <x v="216"/>
    <s v="ZWE"/>
    <x v="61"/>
    <n v="15797210"/>
  </r>
  <r>
    <x v="216"/>
    <s v="ZWE"/>
    <x v="62"/>
    <n v="16069056"/>
  </r>
  <r>
    <x v="216"/>
    <s v="ZWE"/>
    <x v="63"/>
    <n v="16340822"/>
  </r>
  <r>
    <x v="216"/>
    <s v="ZWE"/>
    <x v="64"/>
    <n v="166343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976C36-B2EE-481B-ACDF-B5ADCD14CC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rowPageCount="1" colPageCount="1"/>
  <pivotFields count="4">
    <pivotField axis="axisRow" showAll="0" measureFilter="1" sortType="descending">
      <items count="2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autoSortScope>
        <pivotArea dataOnly="0" outline="0" fieldPosition="0">
          <references count="1">
            <reference field="4294967294" count="1" selected="0">
              <x v="0"/>
            </reference>
          </references>
        </pivotArea>
      </autoSortScope>
    </pivotField>
    <pivotField showAll="0"/>
    <pivotField axis="axisPage"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dataField="1" numFmtId="3" showAll="0"/>
  </pivotFields>
  <rowFields count="1">
    <field x="0"/>
  </rowFields>
  <rowItems count="11">
    <i>
      <x v="41"/>
    </i>
    <i>
      <x v="89"/>
    </i>
    <i>
      <x v="206"/>
    </i>
    <i>
      <x v="161"/>
    </i>
    <i>
      <x v="98"/>
    </i>
    <i>
      <x v="90"/>
    </i>
    <i>
      <x v="73"/>
    </i>
    <i>
      <x v="26"/>
    </i>
    <i>
      <x v="205"/>
    </i>
    <i>
      <x v="15"/>
    </i>
    <i t="grand">
      <x/>
    </i>
  </rowItems>
  <colItems count="1">
    <i/>
  </colItems>
  <pageFields count="1">
    <pageField fld="2" item="0" hier="-1"/>
  </pageFields>
  <dataFields count="1">
    <dataField name="Sum of Population" fld="3" baseField="0" baseItem="0" numFmtId="3"/>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4B5B1C-F913-4D0D-B6C4-EFA0465AC68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rowPageCount="1" colPageCount="1"/>
  <pivotFields count="4">
    <pivotField axis="axisRow" showAll="0" measureFilter="1" sortType="ascending">
      <items count="2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autoSortScope>
        <pivotArea dataOnly="0" outline="0" fieldPosition="0">
          <references count="1">
            <reference field="4294967294" count="1" selected="0">
              <x v="0"/>
            </reference>
          </references>
        </pivotArea>
      </autoSortScope>
    </pivotField>
    <pivotField showAll="0"/>
    <pivotField axis="axisPage"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dataField="1" numFmtId="3" showAll="0"/>
  </pivotFields>
  <rowFields count="1">
    <field x="0"/>
  </rowFields>
  <rowItems count="11">
    <i>
      <x v="172"/>
    </i>
    <i>
      <x v="183"/>
    </i>
    <i>
      <x v="137"/>
    </i>
    <i>
      <x v="201"/>
    </i>
    <i>
      <x v="200"/>
    </i>
    <i>
      <x v="27"/>
    </i>
    <i>
      <x v="36"/>
    </i>
    <i>
      <x v="146"/>
    </i>
    <i>
      <x v="150"/>
    </i>
    <i>
      <x v="4"/>
    </i>
    <i t="grand">
      <x/>
    </i>
  </rowItems>
  <colItems count="1">
    <i/>
  </colItems>
  <pageFields count="1">
    <pageField fld="2" item="0" hier="-1"/>
  </pageFields>
  <dataFields count="1">
    <dataField name="Sum of Population" fld="3" baseField="0" baseItem="0" numFmtId="3"/>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540B582-E13F-40B1-B368-49A77C0BD6E0}" sourceName="Year">
  <pivotTables>
    <pivotTable tabId="3" name="PivotTable1"/>
    <pivotTable tabId="4" name="PivotTable2"/>
  </pivotTables>
  <data>
    <tabular pivotCacheId="1013832466" crossFilter="showItemsWithNoData">
      <items count="65">
        <i x="0" s="1"/>
        <i x="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5EABC94-342E-4F15-B06B-443CACFA5621}" cache="Slicer_Year" caption="Year" columnCount="2" style="SlicerStyleDark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93A94F-2707-4F0E-AF91-54C19615B301}" name="Table3" displayName="Table3" ref="I1:K9" totalsRowShown="0" headerRowDxfId="12">
  <autoFilter ref="I1:K9" xr:uid="{9093A94F-2707-4F0E-AF91-54C19615B301}">
    <filterColumn colId="0" hiddenButton="1"/>
    <filterColumn colId="1" hiddenButton="1"/>
    <filterColumn colId="2" hiddenButton="1"/>
  </autoFilter>
  <tableColumns count="3">
    <tableColumn id="1" xr3:uid="{5C8028A4-B845-4485-8AC7-2DD9987A40EC}" name="Select year"/>
    <tableColumn id="2" xr3:uid="{41E3ADDD-790B-4BA8-BDCD-C1116DF2DB12}" name="population range" dataDxfId="11"/>
    <tableColumn id="3" xr3:uid="{40F5BC6F-50F8-49FB-AAE3-A78E362EEB9A}" name="1971" dataDxfId="1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22AC24-15AA-42FE-9869-F8B5CF4CFDD9}" name="Table1" displayName="Table1" ref="A1:D218" totalsRowShown="0" headerRowDxfId="9">
  <autoFilter ref="A1:D218" xr:uid="{6E22AC24-15AA-42FE-9869-F8B5CF4CFDD9}"/>
  <sortState xmlns:xlrd2="http://schemas.microsoft.com/office/spreadsheetml/2017/richdata2" ref="A2:D218">
    <sortCondition descending="1" ref="B3:B218"/>
  </sortState>
  <tableColumns count="4">
    <tableColumn id="1" xr3:uid="{0B024A76-744D-44EC-B84C-F928685EB68D}" name="Country Name" dataDxfId="8"/>
    <tableColumn id="4" xr3:uid="{D02BCDB1-025E-495E-86FA-CC1B823E1E4F}" name="growth(times)" dataDxfId="7">
      <calculatedColumnFormula>IFERROR(D2/C2,"No Data")</calculatedColumnFormula>
    </tableColumn>
    <tableColumn id="5" xr3:uid="{20CB869C-0436-4DAA-A2B0-4E099B0E4FD9}" name="Population 1960" dataDxfId="6"/>
    <tableColumn id="6" xr3:uid="{0BB69DD1-9686-4C59-967A-E764CBA11235}" name="Population 2024" dataDxfId="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0EADA7-472D-4B85-80AD-1CD894364868}" name="Table13" displayName="Table13" ref="N1:Q218" totalsRowShown="0" headerRowDxfId="4">
  <autoFilter ref="N1:Q218" xr:uid="{540EADA7-472D-4B85-80AD-1CD894364868}"/>
  <sortState xmlns:xlrd2="http://schemas.microsoft.com/office/spreadsheetml/2017/richdata2" ref="N2:Q218">
    <sortCondition ref="O6:O218"/>
  </sortState>
  <tableColumns count="4">
    <tableColumn id="1" xr3:uid="{FFEA3ABC-0FE6-4333-8846-433756AC1999}" name="Country Name" dataDxfId="3"/>
    <tableColumn id="4" xr3:uid="{6B65C510-745F-42E7-94C2-FFD0D13BB8D8}" name="growth(times)" dataDxfId="2">
      <calculatedColumnFormula>IFERROR(Q2/P2,"No Data")</calculatedColumnFormula>
    </tableColumn>
    <tableColumn id="5" xr3:uid="{B79A9884-D628-4DD0-BBC8-A88A3F7BBD8C}" name="Population 1960" dataDxfId="1"/>
    <tableColumn id="6" xr3:uid="{93C00DAB-BB39-4133-8BD0-B0D8AC9DD531}" name="Population 2024"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076"/>
  <sheetViews>
    <sheetView zoomScale="96" workbookViewId="0">
      <pane ySplit="1" topLeftCell="A2" activePane="bottomLeft" state="frozen"/>
      <selection pane="bottomLeft" activeCell="A66" sqref="A66"/>
    </sheetView>
  </sheetViews>
  <sheetFormatPr defaultRowHeight="14.4" x14ac:dyDescent="0.3"/>
  <cols>
    <col min="1" max="1" width="28" customWidth="1"/>
    <col min="2" max="2" width="14" customWidth="1"/>
    <col min="3" max="3" width="10" customWidth="1"/>
    <col min="4" max="4" width="18" customWidth="1"/>
    <col min="6" max="6" width="17.77734375" customWidth="1"/>
    <col min="7" max="7" width="27.109375" customWidth="1"/>
    <col min="9" max="9" width="11.44140625" customWidth="1"/>
    <col min="10" max="10" width="20" customWidth="1"/>
    <col min="11" max="11" width="21.33203125" customWidth="1"/>
  </cols>
  <sheetData>
    <row r="1" spans="1:11" ht="19.95" customHeight="1" x14ac:dyDescent="0.3">
      <c r="A1" s="1" t="s">
        <v>0</v>
      </c>
      <c r="B1" s="1" t="s">
        <v>1</v>
      </c>
      <c r="C1" s="1" t="s">
        <v>2</v>
      </c>
      <c r="D1" s="1" t="s">
        <v>3</v>
      </c>
      <c r="J1" s="10" t="s">
        <v>442</v>
      </c>
      <c r="K1" s="10" t="s">
        <v>444</v>
      </c>
    </row>
    <row r="2" spans="1:11" x14ac:dyDescent="0.3">
      <c r="A2" s="2" t="s">
        <v>4</v>
      </c>
      <c r="B2" s="2" t="s">
        <v>5</v>
      </c>
      <c r="C2" s="3">
        <v>1960</v>
      </c>
      <c r="D2" s="4">
        <v>9035043</v>
      </c>
      <c r="J2" s="14" t="s">
        <v>446</v>
      </c>
      <c r="K2" s="14">
        <f>COUNTIFS(C:C,$K$1,D:D,"&lt;5000000")</f>
        <v>0</v>
      </c>
    </row>
    <row r="3" spans="1:11" x14ac:dyDescent="0.3">
      <c r="A3" s="5" t="s">
        <v>4</v>
      </c>
      <c r="B3" s="5" t="s">
        <v>5</v>
      </c>
      <c r="C3" s="6">
        <v>1961</v>
      </c>
      <c r="D3" s="7">
        <v>9214083</v>
      </c>
      <c r="G3" s="8" t="s">
        <v>441</v>
      </c>
      <c r="J3" s="14" t="s">
        <v>447</v>
      </c>
      <c r="K3" s="14"/>
    </row>
    <row r="4" spans="1:11" x14ac:dyDescent="0.3">
      <c r="A4" s="2" t="s">
        <v>4</v>
      </c>
      <c r="B4" s="2" t="s">
        <v>5</v>
      </c>
      <c r="C4" s="3">
        <v>1962</v>
      </c>
      <c r="D4" s="4">
        <v>9404406</v>
      </c>
      <c r="J4" t="s">
        <v>447</v>
      </c>
      <c r="K4" s="14">
        <f>COUNTIFS(C:C,$K$1,D:D,"&gt;=5000000",D:D,"&lt;20000000")</f>
        <v>0</v>
      </c>
    </row>
    <row r="5" spans="1:11" x14ac:dyDescent="0.3">
      <c r="A5" s="5" t="s">
        <v>4</v>
      </c>
      <c r="B5" s="5" t="s">
        <v>5</v>
      </c>
      <c r="C5" s="6">
        <v>1963</v>
      </c>
      <c r="D5" s="7">
        <v>9604487</v>
      </c>
      <c r="G5" s="8" t="s">
        <v>439</v>
      </c>
      <c r="J5" s="14" t="s">
        <v>448</v>
      </c>
      <c r="K5" s="14">
        <f>COUNTIFS(C:C,$K$1,D:D,"&gt;=20000000",D:D,"&lt;50000000")</f>
        <v>0</v>
      </c>
    </row>
    <row r="6" spans="1:11" x14ac:dyDescent="0.3">
      <c r="A6" s="2" t="s">
        <v>4</v>
      </c>
      <c r="B6" s="2" t="s">
        <v>5</v>
      </c>
      <c r="C6" s="3">
        <v>1964</v>
      </c>
      <c r="D6" s="4">
        <v>9814318</v>
      </c>
      <c r="J6" s="14" t="s">
        <v>443</v>
      </c>
      <c r="K6" s="14">
        <f>COUNTIFS(C:C,$K$1,D:D,"&gt;=50000000",D:D,"&lt;100000000")</f>
        <v>0</v>
      </c>
    </row>
    <row r="7" spans="1:11" x14ac:dyDescent="0.3">
      <c r="A7" s="5" t="s">
        <v>4</v>
      </c>
      <c r="B7" s="5" t="s">
        <v>5</v>
      </c>
      <c r="C7" s="6">
        <v>1965</v>
      </c>
      <c r="D7" s="7">
        <v>10036008</v>
      </c>
      <c r="G7" s="8" t="s">
        <v>440</v>
      </c>
      <c r="J7" s="14" t="s">
        <v>445</v>
      </c>
      <c r="K7" s="14">
        <f>COUNTIFS(C:C,$K$1,D:D,"&gt;=100000000",D:D,"&lt;200000000")</f>
        <v>0</v>
      </c>
    </row>
    <row r="8" spans="1:11" x14ac:dyDescent="0.3">
      <c r="A8" s="2" t="s">
        <v>4</v>
      </c>
      <c r="B8" s="2" t="s">
        <v>5</v>
      </c>
      <c r="C8" s="3">
        <v>1966</v>
      </c>
      <c r="D8" s="4">
        <v>10266395</v>
      </c>
      <c r="J8" s="14" t="s">
        <v>449</v>
      </c>
      <c r="K8" s="14">
        <f>COUNTIFS(C:C,$K$1,D:D,"&gt;=200000000",D:D,"&lt;500000000")</f>
        <v>0</v>
      </c>
    </row>
    <row r="9" spans="1:11" x14ac:dyDescent="0.3">
      <c r="A9" s="5" t="s">
        <v>4</v>
      </c>
      <c r="B9" s="5" t="s">
        <v>5</v>
      </c>
      <c r="C9" s="6">
        <v>1967</v>
      </c>
      <c r="D9" s="7">
        <v>10505959</v>
      </c>
      <c r="G9" s="8" t="s">
        <v>442</v>
      </c>
      <c r="J9" s="14" t="s">
        <v>454</v>
      </c>
      <c r="K9" s="14">
        <f>COUNTIFS(C:C,$K$1,D:D,"&gt;=500000000",D:D,"&lt;1000000000")</f>
        <v>0</v>
      </c>
    </row>
    <row r="10" spans="1:11" x14ac:dyDescent="0.3">
      <c r="A10" s="2" t="s">
        <v>4</v>
      </c>
      <c r="B10" s="2" t="s">
        <v>5</v>
      </c>
      <c r="C10" s="3">
        <v>1968</v>
      </c>
      <c r="D10" s="4">
        <v>10756922</v>
      </c>
      <c r="J10" s="14" t="s">
        <v>455</v>
      </c>
      <c r="K10">
        <f>COUNTIFS(C:C,$K$1,D:D,"&gt;=1000000000")</f>
        <v>0</v>
      </c>
    </row>
    <row r="11" spans="1:11" x14ac:dyDescent="0.3">
      <c r="A11" s="5" t="s">
        <v>4</v>
      </c>
      <c r="B11" s="5" t="s">
        <v>5</v>
      </c>
      <c r="C11" s="6">
        <v>1969</v>
      </c>
      <c r="D11" s="7">
        <v>11017409</v>
      </c>
      <c r="G11" s="8" t="s">
        <v>438</v>
      </c>
    </row>
    <row r="12" spans="1:11" x14ac:dyDescent="0.3">
      <c r="A12" s="2" t="s">
        <v>4</v>
      </c>
      <c r="B12" s="2" t="s">
        <v>5</v>
      </c>
      <c r="C12" s="3">
        <v>1970</v>
      </c>
      <c r="D12" s="4">
        <v>11290128</v>
      </c>
    </row>
    <row r="13" spans="1:11" x14ac:dyDescent="0.3">
      <c r="A13" s="5" t="s">
        <v>4</v>
      </c>
      <c r="B13" s="5" t="s">
        <v>5</v>
      </c>
      <c r="C13" s="6">
        <v>1971</v>
      </c>
      <c r="D13" s="7">
        <v>11567667</v>
      </c>
    </row>
    <row r="14" spans="1:11" x14ac:dyDescent="0.3">
      <c r="A14" s="2" t="s">
        <v>4</v>
      </c>
      <c r="B14" s="2" t="s">
        <v>5</v>
      </c>
      <c r="C14" s="3">
        <v>1972</v>
      </c>
      <c r="D14" s="4">
        <v>11853696</v>
      </c>
    </row>
    <row r="15" spans="1:11" x14ac:dyDescent="0.3">
      <c r="A15" s="5" t="s">
        <v>4</v>
      </c>
      <c r="B15" s="5" t="s">
        <v>5</v>
      </c>
      <c r="C15" s="6">
        <v>1973</v>
      </c>
      <c r="D15" s="7">
        <v>12157999</v>
      </c>
    </row>
    <row r="16" spans="1:11" x14ac:dyDescent="0.3">
      <c r="A16" s="2" t="s">
        <v>4</v>
      </c>
      <c r="B16" s="2" t="s">
        <v>5</v>
      </c>
      <c r="C16" s="3">
        <v>1974</v>
      </c>
      <c r="D16" s="4">
        <v>12469127</v>
      </c>
    </row>
    <row r="17" spans="1:4" x14ac:dyDescent="0.3">
      <c r="A17" s="5" t="s">
        <v>4</v>
      </c>
      <c r="B17" s="5" t="s">
        <v>5</v>
      </c>
      <c r="C17" s="6">
        <v>1975</v>
      </c>
      <c r="D17" s="7">
        <v>12773954</v>
      </c>
    </row>
    <row r="18" spans="1:4" x14ac:dyDescent="0.3">
      <c r="A18" s="2" t="s">
        <v>4</v>
      </c>
      <c r="B18" s="2" t="s">
        <v>5</v>
      </c>
      <c r="C18" s="3">
        <v>1976</v>
      </c>
      <c r="D18" s="4">
        <v>13059851</v>
      </c>
    </row>
    <row r="19" spans="1:4" x14ac:dyDescent="0.3">
      <c r="A19" s="5" t="s">
        <v>4</v>
      </c>
      <c r="B19" s="5" t="s">
        <v>5</v>
      </c>
      <c r="C19" s="6">
        <v>1977</v>
      </c>
      <c r="D19" s="7">
        <v>13340756</v>
      </c>
    </row>
    <row r="20" spans="1:4" x14ac:dyDescent="0.3">
      <c r="A20" s="2" t="s">
        <v>4</v>
      </c>
      <c r="B20" s="2" t="s">
        <v>5</v>
      </c>
      <c r="C20" s="3">
        <v>1978</v>
      </c>
      <c r="D20" s="4">
        <v>13611441</v>
      </c>
    </row>
    <row r="21" spans="1:4" x14ac:dyDescent="0.3">
      <c r="A21" s="5" t="s">
        <v>4</v>
      </c>
      <c r="B21" s="5" t="s">
        <v>5</v>
      </c>
      <c r="C21" s="6">
        <v>1979</v>
      </c>
      <c r="D21" s="7">
        <v>13655567</v>
      </c>
    </row>
    <row r="22" spans="1:4" x14ac:dyDescent="0.3">
      <c r="A22" s="2" t="s">
        <v>4</v>
      </c>
      <c r="B22" s="2" t="s">
        <v>5</v>
      </c>
      <c r="C22" s="3">
        <v>1980</v>
      </c>
      <c r="D22" s="4">
        <v>13169311</v>
      </c>
    </row>
    <row r="23" spans="1:4" x14ac:dyDescent="0.3">
      <c r="A23" s="5" t="s">
        <v>4</v>
      </c>
      <c r="B23" s="5" t="s">
        <v>5</v>
      </c>
      <c r="C23" s="6">
        <v>1981</v>
      </c>
      <c r="D23" s="7">
        <v>11937581</v>
      </c>
    </row>
    <row r="24" spans="1:4" x14ac:dyDescent="0.3">
      <c r="A24" s="2" t="s">
        <v>4</v>
      </c>
      <c r="B24" s="2" t="s">
        <v>5</v>
      </c>
      <c r="C24" s="3">
        <v>1982</v>
      </c>
      <c r="D24" s="4">
        <v>10991378</v>
      </c>
    </row>
    <row r="25" spans="1:4" x14ac:dyDescent="0.3">
      <c r="A25" s="5" t="s">
        <v>4</v>
      </c>
      <c r="B25" s="5" t="s">
        <v>5</v>
      </c>
      <c r="C25" s="6">
        <v>1983</v>
      </c>
      <c r="D25" s="7">
        <v>10917982</v>
      </c>
    </row>
    <row r="26" spans="1:4" x14ac:dyDescent="0.3">
      <c r="A26" s="2" t="s">
        <v>4</v>
      </c>
      <c r="B26" s="2" t="s">
        <v>5</v>
      </c>
      <c r="C26" s="3">
        <v>1984</v>
      </c>
      <c r="D26" s="4">
        <v>11190221</v>
      </c>
    </row>
    <row r="27" spans="1:4" x14ac:dyDescent="0.3">
      <c r="A27" s="5" t="s">
        <v>4</v>
      </c>
      <c r="B27" s="5" t="s">
        <v>5</v>
      </c>
      <c r="C27" s="6">
        <v>1985</v>
      </c>
      <c r="D27" s="7">
        <v>11426852</v>
      </c>
    </row>
    <row r="28" spans="1:4" x14ac:dyDescent="0.3">
      <c r="A28" s="2" t="s">
        <v>4</v>
      </c>
      <c r="B28" s="2" t="s">
        <v>5</v>
      </c>
      <c r="C28" s="3">
        <v>1986</v>
      </c>
      <c r="D28" s="4">
        <v>11420074</v>
      </c>
    </row>
    <row r="29" spans="1:4" x14ac:dyDescent="0.3">
      <c r="A29" s="5" t="s">
        <v>4</v>
      </c>
      <c r="B29" s="5" t="s">
        <v>5</v>
      </c>
      <c r="C29" s="6">
        <v>1987</v>
      </c>
      <c r="D29" s="7">
        <v>11387818</v>
      </c>
    </row>
    <row r="30" spans="1:4" x14ac:dyDescent="0.3">
      <c r="A30" s="2" t="s">
        <v>4</v>
      </c>
      <c r="B30" s="2" t="s">
        <v>5</v>
      </c>
      <c r="C30" s="3">
        <v>1988</v>
      </c>
      <c r="D30" s="4">
        <v>11523298</v>
      </c>
    </row>
    <row r="31" spans="1:4" x14ac:dyDescent="0.3">
      <c r="A31" s="5" t="s">
        <v>4</v>
      </c>
      <c r="B31" s="5" t="s">
        <v>5</v>
      </c>
      <c r="C31" s="6">
        <v>1989</v>
      </c>
      <c r="D31" s="7">
        <v>11874088</v>
      </c>
    </row>
    <row r="32" spans="1:4" x14ac:dyDescent="0.3">
      <c r="A32" s="2" t="s">
        <v>4</v>
      </c>
      <c r="B32" s="2" t="s">
        <v>5</v>
      </c>
      <c r="C32" s="3">
        <v>1990</v>
      </c>
      <c r="D32" s="4">
        <v>12045660</v>
      </c>
    </row>
    <row r="33" spans="1:4" x14ac:dyDescent="0.3">
      <c r="A33" s="5" t="s">
        <v>4</v>
      </c>
      <c r="B33" s="5" t="s">
        <v>5</v>
      </c>
      <c r="C33" s="6">
        <v>1991</v>
      </c>
      <c r="D33" s="7">
        <v>12238879</v>
      </c>
    </row>
    <row r="34" spans="1:4" x14ac:dyDescent="0.3">
      <c r="A34" s="2" t="s">
        <v>4</v>
      </c>
      <c r="B34" s="2" t="s">
        <v>5</v>
      </c>
      <c r="C34" s="3">
        <v>1992</v>
      </c>
      <c r="D34" s="4">
        <v>13278974</v>
      </c>
    </row>
    <row r="35" spans="1:4" x14ac:dyDescent="0.3">
      <c r="A35" s="5" t="s">
        <v>4</v>
      </c>
      <c r="B35" s="5" t="s">
        <v>5</v>
      </c>
      <c r="C35" s="6">
        <v>1993</v>
      </c>
      <c r="D35" s="7">
        <v>14943172</v>
      </c>
    </row>
    <row r="36" spans="1:4" x14ac:dyDescent="0.3">
      <c r="A36" s="2" t="s">
        <v>4</v>
      </c>
      <c r="B36" s="2" t="s">
        <v>5</v>
      </c>
      <c r="C36" s="3">
        <v>1994</v>
      </c>
      <c r="D36" s="4">
        <v>16250794</v>
      </c>
    </row>
    <row r="37" spans="1:4" x14ac:dyDescent="0.3">
      <c r="A37" s="5" t="s">
        <v>4</v>
      </c>
      <c r="B37" s="5" t="s">
        <v>5</v>
      </c>
      <c r="C37" s="6">
        <v>1995</v>
      </c>
      <c r="D37" s="7">
        <v>17065836</v>
      </c>
    </row>
    <row r="38" spans="1:4" x14ac:dyDescent="0.3">
      <c r="A38" s="2" t="s">
        <v>4</v>
      </c>
      <c r="B38" s="2" t="s">
        <v>5</v>
      </c>
      <c r="C38" s="3">
        <v>1996</v>
      </c>
      <c r="D38" s="4">
        <v>17763266</v>
      </c>
    </row>
    <row r="39" spans="1:4" x14ac:dyDescent="0.3">
      <c r="A39" s="5" t="s">
        <v>4</v>
      </c>
      <c r="B39" s="5" t="s">
        <v>5</v>
      </c>
      <c r="C39" s="6">
        <v>1997</v>
      </c>
      <c r="D39" s="7">
        <v>18452091</v>
      </c>
    </row>
    <row r="40" spans="1:4" x14ac:dyDescent="0.3">
      <c r="A40" s="2" t="s">
        <v>4</v>
      </c>
      <c r="B40" s="2" t="s">
        <v>5</v>
      </c>
      <c r="C40" s="3">
        <v>1998</v>
      </c>
      <c r="D40" s="4">
        <v>19159996</v>
      </c>
    </row>
    <row r="41" spans="1:4" x14ac:dyDescent="0.3">
      <c r="A41" s="5" t="s">
        <v>4</v>
      </c>
      <c r="B41" s="5" t="s">
        <v>5</v>
      </c>
      <c r="C41" s="6">
        <v>1999</v>
      </c>
      <c r="D41" s="7">
        <v>19887785</v>
      </c>
    </row>
    <row r="42" spans="1:4" x14ac:dyDescent="0.3">
      <c r="A42" s="2" t="s">
        <v>4</v>
      </c>
      <c r="B42" s="2" t="s">
        <v>5</v>
      </c>
      <c r="C42" s="3">
        <v>2000</v>
      </c>
      <c r="D42" s="4">
        <v>20130327</v>
      </c>
    </row>
    <row r="43" spans="1:4" x14ac:dyDescent="0.3">
      <c r="A43" s="5" t="s">
        <v>4</v>
      </c>
      <c r="B43" s="5" t="s">
        <v>5</v>
      </c>
      <c r="C43" s="6">
        <v>2001</v>
      </c>
      <c r="D43" s="7">
        <v>20284307</v>
      </c>
    </row>
    <row r="44" spans="1:4" x14ac:dyDescent="0.3">
      <c r="A44" s="2" t="s">
        <v>4</v>
      </c>
      <c r="B44" s="2" t="s">
        <v>5</v>
      </c>
      <c r="C44" s="3">
        <v>2002</v>
      </c>
      <c r="D44" s="4">
        <v>21378117</v>
      </c>
    </row>
    <row r="45" spans="1:4" x14ac:dyDescent="0.3">
      <c r="A45" s="5" t="s">
        <v>4</v>
      </c>
      <c r="B45" s="5" t="s">
        <v>5</v>
      </c>
      <c r="C45" s="6">
        <v>2003</v>
      </c>
      <c r="D45" s="7">
        <v>22733049</v>
      </c>
    </row>
    <row r="46" spans="1:4" x14ac:dyDescent="0.3">
      <c r="A46" s="2" t="s">
        <v>4</v>
      </c>
      <c r="B46" s="2" t="s">
        <v>5</v>
      </c>
      <c r="C46" s="3">
        <v>2004</v>
      </c>
      <c r="D46" s="4">
        <v>23560654</v>
      </c>
    </row>
    <row r="47" spans="1:4" x14ac:dyDescent="0.3">
      <c r="A47" s="5" t="s">
        <v>4</v>
      </c>
      <c r="B47" s="5" t="s">
        <v>5</v>
      </c>
      <c r="C47" s="6">
        <v>2005</v>
      </c>
      <c r="D47" s="7">
        <v>24404567</v>
      </c>
    </row>
    <row r="48" spans="1:4" x14ac:dyDescent="0.3">
      <c r="A48" s="2" t="s">
        <v>4</v>
      </c>
      <c r="B48" s="2" t="s">
        <v>5</v>
      </c>
      <c r="C48" s="3">
        <v>2006</v>
      </c>
      <c r="D48" s="4">
        <v>25424094</v>
      </c>
    </row>
    <row r="49" spans="1:4" x14ac:dyDescent="0.3">
      <c r="A49" s="5" t="s">
        <v>4</v>
      </c>
      <c r="B49" s="5" t="s">
        <v>5</v>
      </c>
      <c r="C49" s="6">
        <v>2007</v>
      </c>
      <c r="D49" s="7">
        <v>25909852</v>
      </c>
    </row>
    <row r="50" spans="1:4" x14ac:dyDescent="0.3">
      <c r="A50" s="2" t="s">
        <v>4</v>
      </c>
      <c r="B50" s="2" t="s">
        <v>5</v>
      </c>
      <c r="C50" s="3">
        <v>2008</v>
      </c>
      <c r="D50" s="4">
        <v>26482622</v>
      </c>
    </row>
    <row r="51" spans="1:4" x14ac:dyDescent="0.3">
      <c r="A51" s="5" t="s">
        <v>4</v>
      </c>
      <c r="B51" s="5" t="s">
        <v>5</v>
      </c>
      <c r="C51" s="6">
        <v>2009</v>
      </c>
      <c r="D51" s="7">
        <v>27466101</v>
      </c>
    </row>
    <row r="52" spans="1:4" x14ac:dyDescent="0.3">
      <c r="A52" s="2" t="s">
        <v>4</v>
      </c>
      <c r="B52" s="2" t="s">
        <v>5</v>
      </c>
      <c r="C52" s="3">
        <v>2010</v>
      </c>
      <c r="D52" s="4">
        <v>28284089</v>
      </c>
    </row>
    <row r="53" spans="1:4" x14ac:dyDescent="0.3">
      <c r="A53" s="5" t="s">
        <v>4</v>
      </c>
      <c r="B53" s="5" t="s">
        <v>5</v>
      </c>
      <c r="C53" s="6">
        <v>2011</v>
      </c>
      <c r="D53" s="7">
        <v>29347708</v>
      </c>
    </row>
    <row r="54" spans="1:4" x14ac:dyDescent="0.3">
      <c r="A54" s="2" t="s">
        <v>4</v>
      </c>
      <c r="B54" s="2" t="s">
        <v>5</v>
      </c>
      <c r="C54" s="3">
        <v>2012</v>
      </c>
      <c r="D54" s="4">
        <v>30560034</v>
      </c>
    </row>
    <row r="55" spans="1:4" x14ac:dyDescent="0.3">
      <c r="A55" s="5" t="s">
        <v>4</v>
      </c>
      <c r="B55" s="5" t="s">
        <v>5</v>
      </c>
      <c r="C55" s="6">
        <v>2013</v>
      </c>
      <c r="D55" s="7">
        <v>31622704</v>
      </c>
    </row>
    <row r="56" spans="1:4" x14ac:dyDescent="0.3">
      <c r="A56" s="2" t="s">
        <v>4</v>
      </c>
      <c r="B56" s="2" t="s">
        <v>5</v>
      </c>
      <c r="C56" s="3">
        <v>2014</v>
      </c>
      <c r="D56" s="4">
        <v>32792523</v>
      </c>
    </row>
    <row r="57" spans="1:4" x14ac:dyDescent="0.3">
      <c r="A57" s="5" t="s">
        <v>4</v>
      </c>
      <c r="B57" s="5" t="s">
        <v>5</v>
      </c>
      <c r="C57" s="6">
        <v>2015</v>
      </c>
      <c r="D57" s="7">
        <v>33831764</v>
      </c>
    </row>
    <row r="58" spans="1:4" x14ac:dyDescent="0.3">
      <c r="A58" s="2" t="s">
        <v>4</v>
      </c>
      <c r="B58" s="2" t="s">
        <v>5</v>
      </c>
      <c r="C58" s="3">
        <v>2016</v>
      </c>
      <c r="D58" s="4">
        <v>34700612</v>
      </c>
    </row>
    <row r="59" spans="1:4" x14ac:dyDescent="0.3">
      <c r="A59" s="5" t="s">
        <v>4</v>
      </c>
      <c r="B59" s="5" t="s">
        <v>5</v>
      </c>
      <c r="C59" s="6">
        <v>2017</v>
      </c>
      <c r="D59" s="7">
        <v>35688935</v>
      </c>
    </row>
    <row r="60" spans="1:4" x14ac:dyDescent="0.3">
      <c r="A60" s="2" t="s">
        <v>4</v>
      </c>
      <c r="B60" s="2" t="s">
        <v>5</v>
      </c>
      <c r="C60" s="3">
        <v>2018</v>
      </c>
      <c r="D60" s="4">
        <v>36743039</v>
      </c>
    </row>
    <row r="61" spans="1:4" x14ac:dyDescent="0.3">
      <c r="A61" s="5" t="s">
        <v>4</v>
      </c>
      <c r="B61" s="5" t="s">
        <v>5</v>
      </c>
      <c r="C61" s="6">
        <v>2019</v>
      </c>
      <c r="D61" s="7">
        <v>37856121</v>
      </c>
    </row>
    <row r="62" spans="1:4" x14ac:dyDescent="0.3">
      <c r="A62" s="2" t="s">
        <v>4</v>
      </c>
      <c r="B62" s="2" t="s">
        <v>5</v>
      </c>
      <c r="C62" s="3">
        <v>2020</v>
      </c>
      <c r="D62" s="4">
        <v>39068979</v>
      </c>
    </row>
    <row r="63" spans="1:4" x14ac:dyDescent="0.3">
      <c r="A63" s="5" t="s">
        <v>4</v>
      </c>
      <c r="B63" s="5" t="s">
        <v>5</v>
      </c>
      <c r="C63" s="6">
        <v>2021</v>
      </c>
      <c r="D63" s="7">
        <v>40000412</v>
      </c>
    </row>
    <row r="64" spans="1:4" x14ac:dyDescent="0.3">
      <c r="A64" s="2" t="s">
        <v>4</v>
      </c>
      <c r="B64" s="2" t="s">
        <v>5</v>
      </c>
      <c r="C64" s="3">
        <v>2022</v>
      </c>
      <c r="D64" s="4">
        <v>40578842</v>
      </c>
    </row>
    <row r="65" spans="1:4" x14ac:dyDescent="0.3">
      <c r="A65" s="5" t="s">
        <v>4</v>
      </c>
      <c r="B65" s="5" t="s">
        <v>5</v>
      </c>
      <c r="C65" s="6">
        <v>2023</v>
      </c>
      <c r="D65" s="7">
        <v>41454761</v>
      </c>
    </row>
    <row r="66" spans="1:4" x14ac:dyDescent="0.3">
      <c r="A66" s="2" t="s">
        <v>4</v>
      </c>
      <c r="B66" s="2" t="s">
        <v>5</v>
      </c>
      <c r="C66" s="3">
        <v>2024</v>
      </c>
      <c r="D66" s="4">
        <v>42647492</v>
      </c>
    </row>
    <row r="67" spans="1:4" x14ac:dyDescent="0.3">
      <c r="A67" s="5" t="s">
        <v>6</v>
      </c>
      <c r="B67" s="5" t="s">
        <v>7</v>
      </c>
      <c r="C67" s="6">
        <v>1960</v>
      </c>
      <c r="D67" s="7">
        <v>1608800</v>
      </c>
    </row>
    <row r="68" spans="1:4" x14ac:dyDescent="0.3">
      <c r="A68" s="2" t="s">
        <v>6</v>
      </c>
      <c r="B68" s="2" t="s">
        <v>7</v>
      </c>
      <c r="C68" s="3">
        <v>1961</v>
      </c>
      <c r="D68" s="4">
        <v>1659800</v>
      </c>
    </row>
    <row r="69" spans="1:4" x14ac:dyDescent="0.3">
      <c r="A69" s="5" t="s">
        <v>6</v>
      </c>
      <c r="B69" s="5" t="s">
        <v>7</v>
      </c>
      <c r="C69" s="6">
        <v>1962</v>
      </c>
      <c r="D69" s="7">
        <v>1711319</v>
      </c>
    </row>
    <row r="70" spans="1:4" x14ac:dyDescent="0.3">
      <c r="A70" s="2" t="s">
        <v>6</v>
      </c>
      <c r="B70" s="2" t="s">
        <v>7</v>
      </c>
      <c r="C70" s="3">
        <v>1963</v>
      </c>
      <c r="D70" s="4">
        <v>1762621</v>
      </c>
    </row>
    <row r="71" spans="1:4" x14ac:dyDescent="0.3">
      <c r="A71" s="5" t="s">
        <v>6</v>
      </c>
      <c r="B71" s="5" t="s">
        <v>7</v>
      </c>
      <c r="C71" s="6">
        <v>1964</v>
      </c>
      <c r="D71" s="7">
        <v>1814135</v>
      </c>
    </row>
    <row r="72" spans="1:4" x14ac:dyDescent="0.3">
      <c r="A72" s="2" t="s">
        <v>6</v>
      </c>
      <c r="B72" s="2" t="s">
        <v>7</v>
      </c>
      <c r="C72" s="3">
        <v>1965</v>
      </c>
      <c r="D72" s="4">
        <v>1864791</v>
      </c>
    </row>
    <row r="73" spans="1:4" x14ac:dyDescent="0.3">
      <c r="A73" s="5" t="s">
        <v>6</v>
      </c>
      <c r="B73" s="5" t="s">
        <v>7</v>
      </c>
      <c r="C73" s="6">
        <v>1966</v>
      </c>
      <c r="D73" s="7">
        <v>1914573</v>
      </c>
    </row>
    <row r="74" spans="1:4" x14ac:dyDescent="0.3">
      <c r="A74" s="2" t="s">
        <v>6</v>
      </c>
      <c r="B74" s="2" t="s">
        <v>7</v>
      </c>
      <c r="C74" s="3">
        <v>1967</v>
      </c>
      <c r="D74" s="4">
        <v>1965598</v>
      </c>
    </row>
    <row r="75" spans="1:4" x14ac:dyDescent="0.3">
      <c r="A75" s="5" t="s">
        <v>6</v>
      </c>
      <c r="B75" s="5" t="s">
        <v>7</v>
      </c>
      <c r="C75" s="6">
        <v>1968</v>
      </c>
      <c r="D75" s="7">
        <v>2022272</v>
      </c>
    </row>
    <row r="76" spans="1:4" x14ac:dyDescent="0.3">
      <c r="A76" s="2" t="s">
        <v>6</v>
      </c>
      <c r="B76" s="2" t="s">
        <v>7</v>
      </c>
      <c r="C76" s="3">
        <v>1969</v>
      </c>
      <c r="D76" s="4">
        <v>2081695</v>
      </c>
    </row>
    <row r="77" spans="1:4" x14ac:dyDescent="0.3">
      <c r="A77" s="5" t="s">
        <v>6</v>
      </c>
      <c r="B77" s="5" t="s">
        <v>7</v>
      </c>
      <c r="C77" s="6">
        <v>1970</v>
      </c>
      <c r="D77" s="7">
        <v>2135479</v>
      </c>
    </row>
    <row r="78" spans="1:4" x14ac:dyDescent="0.3">
      <c r="A78" s="2" t="s">
        <v>6</v>
      </c>
      <c r="B78" s="2" t="s">
        <v>7</v>
      </c>
      <c r="C78" s="3">
        <v>1971</v>
      </c>
      <c r="D78" s="4">
        <v>2187853</v>
      </c>
    </row>
    <row r="79" spans="1:4" x14ac:dyDescent="0.3">
      <c r="A79" s="5" t="s">
        <v>6</v>
      </c>
      <c r="B79" s="5" t="s">
        <v>7</v>
      </c>
      <c r="C79" s="6">
        <v>1972</v>
      </c>
      <c r="D79" s="7">
        <v>2243126</v>
      </c>
    </row>
    <row r="80" spans="1:4" x14ac:dyDescent="0.3">
      <c r="A80" s="2" t="s">
        <v>6</v>
      </c>
      <c r="B80" s="2" t="s">
        <v>7</v>
      </c>
      <c r="C80" s="3">
        <v>1973</v>
      </c>
      <c r="D80" s="4">
        <v>2296752</v>
      </c>
    </row>
    <row r="81" spans="1:4" x14ac:dyDescent="0.3">
      <c r="A81" s="5" t="s">
        <v>6</v>
      </c>
      <c r="B81" s="5" t="s">
        <v>7</v>
      </c>
      <c r="C81" s="6">
        <v>1974</v>
      </c>
      <c r="D81" s="7">
        <v>2350124</v>
      </c>
    </row>
    <row r="82" spans="1:4" x14ac:dyDescent="0.3">
      <c r="A82" s="2" t="s">
        <v>6</v>
      </c>
      <c r="B82" s="2" t="s">
        <v>7</v>
      </c>
      <c r="C82" s="3">
        <v>1975</v>
      </c>
      <c r="D82" s="4">
        <v>2404831</v>
      </c>
    </row>
    <row r="83" spans="1:4" x14ac:dyDescent="0.3">
      <c r="A83" s="5" t="s">
        <v>6</v>
      </c>
      <c r="B83" s="5" t="s">
        <v>7</v>
      </c>
      <c r="C83" s="6">
        <v>1976</v>
      </c>
      <c r="D83" s="7">
        <v>2458526</v>
      </c>
    </row>
    <row r="84" spans="1:4" x14ac:dyDescent="0.3">
      <c r="A84" s="2" t="s">
        <v>6</v>
      </c>
      <c r="B84" s="2" t="s">
        <v>7</v>
      </c>
      <c r="C84" s="3">
        <v>1977</v>
      </c>
      <c r="D84" s="4">
        <v>2513546</v>
      </c>
    </row>
    <row r="85" spans="1:4" x14ac:dyDescent="0.3">
      <c r="A85" s="5" t="s">
        <v>6</v>
      </c>
      <c r="B85" s="5" t="s">
        <v>7</v>
      </c>
      <c r="C85" s="6">
        <v>1978</v>
      </c>
      <c r="D85" s="7">
        <v>2566266</v>
      </c>
    </row>
    <row r="86" spans="1:4" x14ac:dyDescent="0.3">
      <c r="A86" s="2" t="s">
        <v>6</v>
      </c>
      <c r="B86" s="2" t="s">
        <v>7</v>
      </c>
      <c r="C86" s="3">
        <v>1979</v>
      </c>
      <c r="D86" s="4">
        <v>2617832</v>
      </c>
    </row>
    <row r="87" spans="1:4" x14ac:dyDescent="0.3">
      <c r="A87" s="5" t="s">
        <v>6</v>
      </c>
      <c r="B87" s="5" t="s">
        <v>7</v>
      </c>
      <c r="C87" s="6">
        <v>1980</v>
      </c>
      <c r="D87" s="7">
        <v>2671997</v>
      </c>
    </row>
    <row r="88" spans="1:4" x14ac:dyDescent="0.3">
      <c r="A88" s="2" t="s">
        <v>6</v>
      </c>
      <c r="B88" s="2" t="s">
        <v>7</v>
      </c>
      <c r="C88" s="3">
        <v>1981</v>
      </c>
      <c r="D88" s="4">
        <v>2726056</v>
      </c>
    </row>
    <row r="89" spans="1:4" x14ac:dyDescent="0.3">
      <c r="A89" s="5" t="s">
        <v>6</v>
      </c>
      <c r="B89" s="5" t="s">
        <v>7</v>
      </c>
      <c r="C89" s="6">
        <v>1982</v>
      </c>
      <c r="D89" s="7">
        <v>2784278</v>
      </c>
    </row>
    <row r="90" spans="1:4" x14ac:dyDescent="0.3">
      <c r="A90" s="2" t="s">
        <v>6</v>
      </c>
      <c r="B90" s="2" t="s">
        <v>7</v>
      </c>
      <c r="C90" s="3">
        <v>1983</v>
      </c>
      <c r="D90" s="4">
        <v>2843960</v>
      </c>
    </row>
    <row r="91" spans="1:4" x14ac:dyDescent="0.3">
      <c r="A91" s="5" t="s">
        <v>6</v>
      </c>
      <c r="B91" s="5" t="s">
        <v>7</v>
      </c>
      <c r="C91" s="6">
        <v>1984</v>
      </c>
      <c r="D91" s="7">
        <v>2904429</v>
      </c>
    </row>
    <row r="92" spans="1:4" x14ac:dyDescent="0.3">
      <c r="A92" s="2" t="s">
        <v>6</v>
      </c>
      <c r="B92" s="2" t="s">
        <v>7</v>
      </c>
      <c r="C92" s="3">
        <v>1985</v>
      </c>
      <c r="D92" s="4">
        <v>2964762</v>
      </c>
    </row>
    <row r="93" spans="1:4" x14ac:dyDescent="0.3">
      <c r="A93" s="5" t="s">
        <v>6</v>
      </c>
      <c r="B93" s="5" t="s">
        <v>7</v>
      </c>
      <c r="C93" s="6">
        <v>1986</v>
      </c>
      <c r="D93" s="7">
        <v>3022635</v>
      </c>
    </row>
    <row r="94" spans="1:4" x14ac:dyDescent="0.3">
      <c r="A94" s="2" t="s">
        <v>6</v>
      </c>
      <c r="B94" s="2" t="s">
        <v>7</v>
      </c>
      <c r="C94" s="3">
        <v>1987</v>
      </c>
      <c r="D94" s="4">
        <v>3083605</v>
      </c>
    </row>
    <row r="95" spans="1:4" x14ac:dyDescent="0.3">
      <c r="A95" s="5" t="s">
        <v>6</v>
      </c>
      <c r="B95" s="5" t="s">
        <v>7</v>
      </c>
      <c r="C95" s="6">
        <v>1988</v>
      </c>
      <c r="D95" s="7">
        <v>3142336</v>
      </c>
    </row>
    <row r="96" spans="1:4" x14ac:dyDescent="0.3">
      <c r="A96" s="2" t="s">
        <v>6</v>
      </c>
      <c r="B96" s="2" t="s">
        <v>7</v>
      </c>
      <c r="C96" s="3">
        <v>1989</v>
      </c>
      <c r="D96" s="4">
        <v>3227943</v>
      </c>
    </row>
    <row r="97" spans="1:4" x14ac:dyDescent="0.3">
      <c r="A97" s="5" t="s">
        <v>6</v>
      </c>
      <c r="B97" s="5" t="s">
        <v>7</v>
      </c>
      <c r="C97" s="6">
        <v>1990</v>
      </c>
      <c r="D97" s="7">
        <v>3286542</v>
      </c>
    </row>
    <row r="98" spans="1:4" x14ac:dyDescent="0.3">
      <c r="A98" s="2" t="s">
        <v>6</v>
      </c>
      <c r="B98" s="2" t="s">
        <v>7</v>
      </c>
      <c r="C98" s="3">
        <v>1991</v>
      </c>
      <c r="D98" s="4">
        <v>3266790</v>
      </c>
    </row>
    <row r="99" spans="1:4" x14ac:dyDescent="0.3">
      <c r="A99" s="5" t="s">
        <v>6</v>
      </c>
      <c r="B99" s="5" t="s">
        <v>7</v>
      </c>
      <c r="C99" s="6">
        <v>1992</v>
      </c>
      <c r="D99" s="7">
        <v>3247039</v>
      </c>
    </row>
    <row r="100" spans="1:4" x14ac:dyDescent="0.3">
      <c r="A100" s="2" t="s">
        <v>6</v>
      </c>
      <c r="B100" s="2" t="s">
        <v>7</v>
      </c>
      <c r="C100" s="3">
        <v>1993</v>
      </c>
      <c r="D100" s="4">
        <v>3227287</v>
      </c>
    </row>
    <row r="101" spans="1:4" x14ac:dyDescent="0.3">
      <c r="A101" s="5" t="s">
        <v>6</v>
      </c>
      <c r="B101" s="5" t="s">
        <v>7</v>
      </c>
      <c r="C101" s="6">
        <v>1994</v>
      </c>
      <c r="D101" s="7">
        <v>3207536</v>
      </c>
    </row>
    <row r="102" spans="1:4" x14ac:dyDescent="0.3">
      <c r="A102" s="2" t="s">
        <v>6</v>
      </c>
      <c r="B102" s="2" t="s">
        <v>7</v>
      </c>
      <c r="C102" s="3">
        <v>1995</v>
      </c>
      <c r="D102" s="4">
        <v>3187784</v>
      </c>
    </row>
    <row r="103" spans="1:4" x14ac:dyDescent="0.3">
      <c r="A103" s="5" t="s">
        <v>6</v>
      </c>
      <c r="B103" s="5" t="s">
        <v>7</v>
      </c>
      <c r="C103" s="6">
        <v>1996</v>
      </c>
      <c r="D103" s="7">
        <v>3168033</v>
      </c>
    </row>
    <row r="104" spans="1:4" x14ac:dyDescent="0.3">
      <c r="A104" s="2" t="s">
        <v>6</v>
      </c>
      <c r="B104" s="2" t="s">
        <v>7</v>
      </c>
      <c r="C104" s="3">
        <v>1997</v>
      </c>
      <c r="D104" s="4">
        <v>3148281</v>
      </c>
    </row>
    <row r="105" spans="1:4" x14ac:dyDescent="0.3">
      <c r="A105" s="5" t="s">
        <v>6</v>
      </c>
      <c r="B105" s="5" t="s">
        <v>7</v>
      </c>
      <c r="C105" s="6">
        <v>1998</v>
      </c>
      <c r="D105" s="7">
        <v>3128530</v>
      </c>
    </row>
    <row r="106" spans="1:4" x14ac:dyDescent="0.3">
      <c r="A106" s="2" t="s">
        <v>6</v>
      </c>
      <c r="B106" s="2" t="s">
        <v>7</v>
      </c>
      <c r="C106" s="3">
        <v>1999</v>
      </c>
      <c r="D106" s="4">
        <v>3108778</v>
      </c>
    </row>
    <row r="107" spans="1:4" x14ac:dyDescent="0.3">
      <c r="A107" s="5" t="s">
        <v>6</v>
      </c>
      <c r="B107" s="5" t="s">
        <v>7</v>
      </c>
      <c r="C107" s="6">
        <v>2000</v>
      </c>
      <c r="D107" s="7">
        <v>3089027</v>
      </c>
    </row>
    <row r="108" spans="1:4" x14ac:dyDescent="0.3">
      <c r="A108" s="2" t="s">
        <v>6</v>
      </c>
      <c r="B108" s="2" t="s">
        <v>7</v>
      </c>
      <c r="C108" s="3">
        <v>2001</v>
      </c>
      <c r="D108" s="4">
        <v>3060173</v>
      </c>
    </row>
    <row r="109" spans="1:4" x14ac:dyDescent="0.3">
      <c r="A109" s="5" t="s">
        <v>6</v>
      </c>
      <c r="B109" s="5" t="s">
        <v>7</v>
      </c>
      <c r="C109" s="6">
        <v>2002</v>
      </c>
      <c r="D109" s="7">
        <v>3051010</v>
      </c>
    </row>
    <row r="110" spans="1:4" x14ac:dyDescent="0.3">
      <c r="A110" s="2" t="s">
        <v>6</v>
      </c>
      <c r="B110" s="2" t="s">
        <v>7</v>
      </c>
      <c r="C110" s="3">
        <v>2003</v>
      </c>
      <c r="D110" s="4">
        <v>3039616</v>
      </c>
    </row>
    <row r="111" spans="1:4" x14ac:dyDescent="0.3">
      <c r="A111" s="5" t="s">
        <v>6</v>
      </c>
      <c r="B111" s="5" t="s">
        <v>7</v>
      </c>
      <c r="C111" s="6">
        <v>2004</v>
      </c>
      <c r="D111" s="7">
        <v>3026939</v>
      </c>
    </row>
    <row r="112" spans="1:4" x14ac:dyDescent="0.3">
      <c r="A112" s="2" t="s">
        <v>6</v>
      </c>
      <c r="B112" s="2" t="s">
        <v>7</v>
      </c>
      <c r="C112" s="3">
        <v>2005</v>
      </c>
      <c r="D112" s="4">
        <v>3011487</v>
      </c>
    </row>
    <row r="113" spans="1:4" x14ac:dyDescent="0.3">
      <c r="A113" s="5" t="s">
        <v>6</v>
      </c>
      <c r="B113" s="5" t="s">
        <v>7</v>
      </c>
      <c r="C113" s="6">
        <v>2006</v>
      </c>
      <c r="D113" s="7">
        <v>2992547</v>
      </c>
    </row>
    <row r="114" spans="1:4" x14ac:dyDescent="0.3">
      <c r="A114" s="2" t="s">
        <v>6</v>
      </c>
      <c r="B114" s="2" t="s">
        <v>7</v>
      </c>
      <c r="C114" s="3">
        <v>2007</v>
      </c>
      <c r="D114" s="4">
        <v>2970017</v>
      </c>
    </row>
    <row r="115" spans="1:4" x14ac:dyDescent="0.3">
      <c r="A115" s="5" t="s">
        <v>6</v>
      </c>
      <c r="B115" s="5" t="s">
        <v>7</v>
      </c>
      <c r="C115" s="6">
        <v>2008</v>
      </c>
      <c r="D115" s="7">
        <v>2947314</v>
      </c>
    </row>
    <row r="116" spans="1:4" x14ac:dyDescent="0.3">
      <c r="A116" s="2" t="s">
        <v>6</v>
      </c>
      <c r="B116" s="2" t="s">
        <v>7</v>
      </c>
      <c r="C116" s="3">
        <v>2009</v>
      </c>
      <c r="D116" s="4">
        <v>2927519</v>
      </c>
    </row>
    <row r="117" spans="1:4" x14ac:dyDescent="0.3">
      <c r="A117" s="5" t="s">
        <v>6</v>
      </c>
      <c r="B117" s="5" t="s">
        <v>7</v>
      </c>
      <c r="C117" s="6">
        <v>2010</v>
      </c>
      <c r="D117" s="7">
        <v>2913021</v>
      </c>
    </row>
    <row r="118" spans="1:4" x14ac:dyDescent="0.3">
      <c r="A118" s="2" t="s">
        <v>6</v>
      </c>
      <c r="B118" s="2" t="s">
        <v>7</v>
      </c>
      <c r="C118" s="3">
        <v>2011</v>
      </c>
      <c r="D118" s="4">
        <v>2905195</v>
      </c>
    </row>
    <row r="119" spans="1:4" x14ac:dyDescent="0.3">
      <c r="A119" s="5" t="s">
        <v>6</v>
      </c>
      <c r="B119" s="5" t="s">
        <v>7</v>
      </c>
      <c r="C119" s="6">
        <v>2012</v>
      </c>
      <c r="D119" s="7">
        <v>2900401</v>
      </c>
    </row>
    <row r="120" spans="1:4" x14ac:dyDescent="0.3">
      <c r="A120" s="2" t="s">
        <v>6</v>
      </c>
      <c r="B120" s="2" t="s">
        <v>7</v>
      </c>
      <c r="C120" s="3">
        <v>2013</v>
      </c>
      <c r="D120" s="4">
        <v>2895092</v>
      </c>
    </row>
    <row r="121" spans="1:4" x14ac:dyDescent="0.3">
      <c r="A121" s="5" t="s">
        <v>6</v>
      </c>
      <c r="B121" s="5" t="s">
        <v>7</v>
      </c>
      <c r="C121" s="6">
        <v>2014</v>
      </c>
      <c r="D121" s="7">
        <v>2889104</v>
      </c>
    </row>
    <row r="122" spans="1:4" x14ac:dyDescent="0.3">
      <c r="A122" s="2" t="s">
        <v>6</v>
      </c>
      <c r="B122" s="2" t="s">
        <v>7</v>
      </c>
      <c r="C122" s="3">
        <v>2015</v>
      </c>
      <c r="D122" s="4">
        <v>2880703</v>
      </c>
    </row>
    <row r="123" spans="1:4" x14ac:dyDescent="0.3">
      <c r="A123" s="5" t="s">
        <v>6</v>
      </c>
      <c r="B123" s="5" t="s">
        <v>7</v>
      </c>
      <c r="C123" s="6">
        <v>2016</v>
      </c>
      <c r="D123" s="7">
        <v>2876101</v>
      </c>
    </row>
    <row r="124" spans="1:4" x14ac:dyDescent="0.3">
      <c r="A124" s="2" t="s">
        <v>6</v>
      </c>
      <c r="B124" s="2" t="s">
        <v>7</v>
      </c>
      <c r="C124" s="3">
        <v>2017</v>
      </c>
      <c r="D124" s="4">
        <v>2873457</v>
      </c>
    </row>
    <row r="125" spans="1:4" x14ac:dyDescent="0.3">
      <c r="A125" s="5" t="s">
        <v>6</v>
      </c>
      <c r="B125" s="5" t="s">
        <v>7</v>
      </c>
      <c r="C125" s="6">
        <v>2018</v>
      </c>
      <c r="D125" s="7">
        <v>2866376</v>
      </c>
    </row>
    <row r="126" spans="1:4" x14ac:dyDescent="0.3">
      <c r="A126" s="2" t="s">
        <v>6</v>
      </c>
      <c r="B126" s="2" t="s">
        <v>7</v>
      </c>
      <c r="C126" s="3">
        <v>2019</v>
      </c>
      <c r="D126" s="4">
        <v>2854191</v>
      </c>
    </row>
    <row r="127" spans="1:4" x14ac:dyDescent="0.3">
      <c r="A127" s="5" t="s">
        <v>6</v>
      </c>
      <c r="B127" s="5" t="s">
        <v>7</v>
      </c>
      <c r="C127" s="6">
        <v>2020</v>
      </c>
      <c r="D127" s="7">
        <v>2837849</v>
      </c>
    </row>
    <row r="128" spans="1:4" x14ac:dyDescent="0.3">
      <c r="A128" s="2" t="s">
        <v>6</v>
      </c>
      <c r="B128" s="2" t="s">
        <v>7</v>
      </c>
      <c r="C128" s="3">
        <v>2021</v>
      </c>
      <c r="D128" s="4">
        <v>2811666</v>
      </c>
    </row>
    <row r="129" spans="1:4" x14ac:dyDescent="0.3">
      <c r="A129" s="5" t="s">
        <v>6</v>
      </c>
      <c r="B129" s="5" t="s">
        <v>7</v>
      </c>
      <c r="C129" s="6">
        <v>2022</v>
      </c>
      <c r="D129" s="7">
        <v>2777689</v>
      </c>
    </row>
    <row r="130" spans="1:4" x14ac:dyDescent="0.3">
      <c r="A130" s="2" t="s">
        <v>6</v>
      </c>
      <c r="B130" s="2" t="s">
        <v>7</v>
      </c>
      <c r="C130" s="3">
        <v>2023</v>
      </c>
      <c r="D130" s="4">
        <v>2745972</v>
      </c>
    </row>
    <row r="131" spans="1:4" x14ac:dyDescent="0.3">
      <c r="A131" s="5" t="s">
        <v>6</v>
      </c>
      <c r="B131" s="5" t="s">
        <v>7</v>
      </c>
      <c r="C131" s="6">
        <v>2024</v>
      </c>
      <c r="D131" s="7">
        <v>2714617</v>
      </c>
    </row>
    <row r="132" spans="1:4" x14ac:dyDescent="0.3">
      <c r="A132" s="2" t="s">
        <v>8</v>
      </c>
      <c r="B132" s="2" t="s">
        <v>9</v>
      </c>
      <c r="C132" s="3">
        <v>1960</v>
      </c>
      <c r="D132" s="4">
        <v>11424922</v>
      </c>
    </row>
    <row r="133" spans="1:4" x14ac:dyDescent="0.3">
      <c r="A133" s="5" t="s">
        <v>8</v>
      </c>
      <c r="B133" s="5" t="s">
        <v>9</v>
      </c>
      <c r="C133" s="6">
        <v>1961</v>
      </c>
      <c r="D133" s="7">
        <v>11628883</v>
      </c>
    </row>
    <row r="134" spans="1:4" x14ac:dyDescent="0.3">
      <c r="A134" s="2" t="s">
        <v>8</v>
      </c>
      <c r="B134" s="2" t="s">
        <v>9</v>
      </c>
      <c r="C134" s="3">
        <v>1962</v>
      </c>
      <c r="D134" s="4">
        <v>11800771</v>
      </c>
    </row>
    <row r="135" spans="1:4" x14ac:dyDescent="0.3">
      <c r="A135" s="5" t="s">
        <v>8</v>
      </c>
      <c r="B135" s="5" t="s">
        <v>9</v>
      </c>
      <c r="C135" s="6">
        <v>1963</v>
      </c>
      <c r="D135" s="7">
        <v>11982118</v>
      </c>
    </row>
    <row r="136" spans="1:4" x14ac:dyDescent="0.3">
      <c r="A136" s="2" t="s">
        <v>8</v>
      </c>
      <c r="B136" s="2" t="s">
        <v>9</v>
      </c>
      <c r="C136" s="3">
        <v>1964</v>
      </c>
      <c r="D136" s="4">
        <v>12179813</v>
      </c>
    </row>
    <row r="137" spans="1:4" x14ac:dyDescent="0.3">
      <c r="A137" s="5" t="s">
        <v>8</v>
      </c>
      <c r="B137" s="5" t="s">
        <v>9</v>
      </c>
      <c r="C137" s="6">
        <v>1965</v>
      </c>
      <c r="D137" s="7">
        <v>12365976</v>
      </c>
    </row>
    <row r="138" spans="1:4" x14ac:dyDescent="0.3">
      <c r="A138" s="2" t="s">
        <v>8</v>
      </c>
      <c r="B138" s="2" t="s">
        <v>9</v>
      </c>
      <c r="C138" s="3">
        <v>1966</v>
      </c>
      <c r="D138" s="4">
        <v>12590069</v>
      </c>
    </row>
    <row r="139" spans="1:4" x14ac:dyDescent="0.3">
      <c r="A139" s="5" t="s">
        <v>8</v>
      </c>
      <c r="B139" s="5" t="s">
        <v>9</v>
      </c>
      <c r="C139" s="6">
        <v>1967</v>
      </c>
      <c r="D139" s="7">
        <v>12876118</v>
      </c>
    </row>
    <row r="140" spans="1:4" x14ac:dyDescent="0.3">
      <c r="A140" s="2" t="s">
        <v>8</v>
      </c>
      <c r="B140" s="2" t="s">
        <v>9</v>
      </c>
      <c r="C140" s="3">
        <v>1968</v>
      </c>
      <c r="D140" s="4">
        <v>13172614</v>
      </c>
    </row>
    <row r="141" spans="1:4" x14ac:dyDescent="0.3">
      <c r="A141" s="5" t="s">
        <v>8</v>
      </c>
      <c r="B141" s="5" t="s">
        <v>9</v>
      </c>
      <c r="C141" s="6">
        <v>1969</v>
      </c>
      <c r="D141" s="7">
        <v>13475960</v>
      </c>
    </row>
    <row r="142" spans="1:4" x14ac:dyDescent="0.3">
      <c r="A142" s="2" t="s">
        <v>8</v>
      </c>
      <c r="B142" s="2" t="s">
        <v>9</v>
      </c>
      <c r="C142" s="3">
        <v>1970</v>
      </c>
      <c r="D142" s="4">
        <v>13783719</v>
      </c>
    </row>
    <row r="143" spans="1:4" x14ac:dyDescent="0.3">
      <c r="A143" s="5" t="s">
        <v>8</v>
      </c>
      <c r="B143" s="5" t="s">
        <v>9</v>
      </c>
      <c r="C143" s="6">
        <v>1971</v>
      </c>
      <c r="D143" s="7">
        <v>14098936</v>
      </c>
    </row>
    <row r="144" spans="1:4" x14ac:dyDescent="0.3">
      <c r="A144" s="2" t="s">
        <v>8</v>
      </c>
      <c r="B144" s="2" t="s">
        <v>9</v>
      </c>
      <c r="C144" s="3">
        <v>1972</v>
      </c>
      <c r="D144" s="4">
        <v>14427072</v>
      </c>
    </row>
    <row r="145" spans="1:4" x14ac:dyDescent="0.3">
      <c r="A145" s="5" t="s">
        <v>8</v>
      </c>
      <c r="B145" s="5" t="s">
        <v>9</v>
      </c>
      <c r="C145" s="6">
        <v>1973</v>
      </c>
      <c r="D145" s="7">
        <v>14771147</v>
      </c>
    </row>
    <row r="146" spans="1:4" x14ac:dyDescent="0.3">
      <c r="A146" s="2" t="s">
        <v>8</v>
      </c>
      <c r="B146" s="2" t="s">
        <v>9</v>
      </c>
      <c r="C146" s="3">
        <v>1974</v>
      </c>
      <c r="D146" s="4">
        <v>15133502</v>
      </c>
    </row>
    <row r="147" spans="1:4" x14ac:dyDescent="0.3">
      <c r="A147" s="5" t="s">
        <v>8</v>
      </c>
      <c r="B147" s="5" t="s">
        <v>9</v>
      </c>
      <c r="C147" s="6">
        <v>1975</v>
      </c>
      <c r="D147" s="7">
        <v>15678596</v>
      </c>
    </row>
    <row r="148" spans="1:4" x14ac:dyDescent="0.3">
      <c r="A148" s="2" t="s">
        <v>8</v>
      </c>
      <c r="B148" s="2" t="s">
        <v>9</v>
      </c>
      <c r="C148" s="3">
        <v>1976</v>
      </c>
      <c r="D148" s="4">
        <v>16409170</v>
      </c>
    </row>
    <row r="149" spans="1:4" x14ac:dyDescent="0.3">
      <c r="A149" s="5" t="s">
        <v>8</v>
      </c>
      <c r="B149" s="5" t="s">
        <v>9</v>
      </c>
      <c r="C149" s="6">
        <v>1977</v>
      </c>
      <c r="D149" s="7">
        <v>17015994</v>
      </c>
    </row>
    <row r="150" spans="1:4" x14ac:dyDescent="0.3">
      <c r="A150" s="2" t="s">
        <v>8</v>
      </c>
      <c r="B150" s="2" t="s">
        <v>9</v>
      </c>
      <c r="C150" s="3">
        <v>1978</v>
      </c>
      <c r="D150" s="4">
        <v>17506974</v>
      </c>
    </row>
    <row r="151" spans="1:4" x14ac:dyDescent="0.3">
      <c r="A151" s="5" t="s">
        <v>8</v>
      </c>
      <c r="B151" s="5" t="s">
        <v>9</v>
      </c>
      <c r="C151" s="6">
        <v>1979</v>
      </c>
      <c r="D151" s="7">
        <v>18036655</v>
      </c>
    </row>
    <row r="152" spans="1:4" x14ac:dyDescent="0.3">
      <c r="A152" s="2" t="s">
        <v>8</v>
      </c>
      <c r="B152" s="2" t="s">
        <v>9</v>
      </c>
      <c r="C152" s="3">
        <v>1980</v>
      </c>
      <c r="D152" s="4">
        <v>18607174</v>
      </c>
    </row>
    <row r="153" spans="1:4" x14ac:dyDescent="0.3">
      <c r="A153" s="5" t="s">
        <v>8</v>
      </c>
      <c r="B153" s="5" t="s">
        <v>9</v>
      </c>
      <c r="C153" s="6">
        <v>1981</v>
      </c>
      <c r="D153" s="7">
        <v>19220704</v>
      </c>
    </row>
    <row r="154" spans="1:4" x14ac:dyDescent="0.3">
      <c r="A154" s="2" t="s">
        <v>8</v>
      </c>
      <c r="B154" s="2" t="s">
        <v>9</v>
      </c>
      <c r="C154" s="3">
        <v>1982</v>
      </c>
      <c r="D154" s="4">
        <v>19872348</v>
      </c>
    </row>
    <row r="155" spans="1:4" x14ac:dyDescent="0.3">
      <c r="A155" s="5" t="s">
        <v>8</v>
      </c>
      <c r="B155" s="5" t="s">
        <v>9</v>
      </c>
      <c r="C155" s="6">
        <v>1983</v>
      </c>
      <c r="D155" s="7">
        <v>20558115</v>
      </c>
    </row>
    <row r="156" spans="1:4" x14ac:dyDescent="0.3">
      <c r="A156" s="2" t="s">
        <v>8</v>
      </c>
      <c r="B156" s="2" t="s">
        <v>9</v>
      </c>
      <c r="C156" s="3">
        <v>1984</v>
      </c>
      <c r="D156" s="4">
        <v>21271969</v>
      </c>
    </row>
    <row r="157" spans="1:4" x14ac:dyDescent="0.3">
      <c r="A157" s="5" t="s">
        <v>8</v>
      </c>
      <c r="B157" s="5" t="s">
        <v>9</v>
      </c>
      <c r="C157" s="6">
        <v>1985</v>
      </c>
      <c r="D157" s="7">
        <v>22008544</v>
      </c>
    </row>
    <row r="158" spans="1:4" x14ac:dyDescent="0.3">
      <c r="A158" s="2" t="s">
        <v>8</v>
      </c>
      <c r="B158" s="2" t="s">
        <v>9</v>
      </c>
      <c r="C158" s="3">
        <v>1986</v>
      </c>
      <c r="D158" s="4">
        <v>22745499</v>
      </c>
    </row>
    <row r="159" spans="1:4" x14ac:dyDescent="0.3">
      <c r="A159" s="5" t="s">
        <v>8</v>
      </c>
      <c r="B159" s="5" t="s">
        <v>9</v>
      </c>
      <c r="C159" s="6">
        <v>1987</v>
      </c>
      <c r="D159" s="7">
        <v>23443624</v>
      </c>
    </row>
    <row r="160" spans="1:4" x14ac:dyDescent="0.3">
      <c r="A160" s="2" t="s">
        <v>8</v>
      </c>
      <c r="B160" s="2" t="s">
        <v>9</v>
      </c>
      <c r="C160" s="3">
        <v>1988</v>
      </c>
      <c r="D160" s="4">
        <v>24109536</v>
      </c>
    </row>
    <row r="161" spans="1:4" x14ac:dyDescent="0.3">
      <c r="A161" s="5" t="s">
        <v>8</v>
      </c>
      <c r="B161" s="5" t="s">
        <v>9</v>
      </c>
      <c r="C161" s="6">
        <v>1989</v>
      </c>
      <c r="D161" s="7">
        <v>24754485</v>
      </c>
    </row>
    <row r="162" spans="1:4" x14ac:dyDescent="0.3">
      <c r="A162" s="2" t="s">
        <v>8</v>
      </c>
      <c r="B162" s="2" t="s">
        <v>9</v>
      </c>
      <c r="C162" s="3">
        <v>1990</v>
      </c>
      <c r="D162" s="4">
        <v>25375810</v>
      </c>
    </row>
    <row r="163" spans="1:4" x14ac:dyDescent="0.3">
      <c r="A163" s="5" t="s">
        <v>8</v>
      </c>
      <c r="B163" s="5" t="s">
        <v>9</v>
      </c>
      <c r="C163" s="6">
        <v>1991</v>
      </c>
      <c r="D163" s="7">
        <v>25987928</v>
      </c>
    </row>
    <row r="164" spans="1:4" x14ac:dyDescent="0.3">
      <c r="A164" s="2" t="s">
        <v>8</v>
      </c>
      <c r="B164" s="2" t="s">
        <v>9</v>
      </c>
      <c r="C164" s="3">
        <v>1992</v>
      </c>
      <c r="D164" s="4">
        <v>26628568</v>
      </c>
    </row>
    <row r="165" spans="1:4" x14ac:dyDescent="0.3">
      <c r="A165" s="5" t="s">
        <v>8</v>
      </c>
      <c r="B165" s="5" t="s">
        <v>9</v>
      </c>
      <c r="C165" s="6">
        <v>1993</v>
      </c>
      <c r="D165" s="7">
        <v>27277048</v>
      </c>
    </row>
    <row r="166" spans="1:4" x14ac:dyDescent="0.3">
      <c r="A166" s="2" t="s">
        <v>8</v>
      </c>
      <c r="B166" s="2" t="s">
        <v>9</v>
      </c>
      <c r="C166" s="3">
        <v>1994</v>
      </c>
      <c r="D166" s="4">
        <v>27887279</v>
      </c>
    </row>
    <row r="167" spans="1:4" x14ac:dyDescent="0.3">
      <c r="A167" s="5" t="s">
        <v>8</v>
      </c>
      <c r="B167" s="5" t="s">
        <v>9</v>
      </c>
      <c r="C167" s="6">
        <v>1995</v>
      </c>
      <c r="D167" s="7">
        <v>28470191</v>
      </c>
    </row>
    <row r="168" spans="1:4" x14ac:dyDescent="0.3">
      <c r="A168" s="2" t="s">
        <v>8</v>
      </c>
      <c r="B168" s="2" t="s">
        <v>9</v>
      </c>
      <c r="C168" s="3">
        <v>1996</v>
      </c>
      <c r="D168" s="4">
        <v>29033044</v>
      </c>
    </row>
    <row r="169" spans="1:4" x14ac:dyDescent="0.3">
      <c r="A169" s="5" t="s">
        <v>8</v>
      </c>
      <c r="B169" s="5" t="s">
        <v>9</v>
      </c>
      <c r="C169" s="6">
        <v>1997</v>
      </c>
      <c r="D169" s="7">
        <v>29579301</v>
      </c>
    </row>
    <row r="170" spans="1:4" x14ac:dyDescent="0.3">
      <c r="A170" s="2" t="s">
        <v>8</v>
      </c>
      <c r="B170" s="2" t="s">
        <v>9</v>
      </c>
      <c r="C170" s="3">
        <v>1998</v>
      </c>
      <c r="D170" s="4">
        <v>30054133</v>
      </c>
    </row>
    <row r="171" spans="1:4" x14ac:dyDescent="0.3">
      <c r="A171" s="5" t="s">
        <v>8</v>
      </c>
      <c r="B171" s="5" t="s">
        <v>9</v>
      </c>
      <c r="C171" s="6">
        <v>1999</v>
      </c>
      <c r="D171" s="7">
        <v>30474354</v>
      </c>
    </row>
    <row r="172" spans="1:4" x14ac:dyDescent="0.3">
      <c r="A172" s="2" t="s">
        <v>8</v>
      </c>
      <c r="B172" s="2" t="s">
        <v>9</v>
      </c>
      <c r="C172" s="3">
        <v>2000</v>
      </c>
      <c r="D172" s="4">
        <v>30903893</v>
      </c>
    </row>
    <row r="173" spans="1:4" x14ac:dyDescent="0.3">
      <c r="A173" s="5" t="s">
        <v>8</v>
      </c>
      <c r="B173" s="5" t="s">
        <v>9</v>
      </c>
      <c r="C173" s="6">
        <v>2001</v>
      </c>
      <c r="D173" s="7">
        <v>31331221</v>
      </c>
    </row>
    <row r="174" spans="1:4" x14ac:dyDescent="0.3">
      <c r="A174" s="2" t="s">
        <v>8</v>
      </c>
      <c r="B174" s="2" t="s">
        <v>9</v>
      </c>
      <c r="C174" s="3">
        <v>2002</v>
      </c>
      <c r="D174" s="4">
        <v>31750835</v>
      </c>
    </row>
    <row r="175" spans="1:4" x14ac:dyDescent="0.3">
      <c r="A175" s="5" t="s">
        <v>8</v>
      </c>
      <c r="B175" s="5" t="s">
        <v>9</v>
      </c>
      <c r="C175" s="6">
        <v>2003</v>
      </c>
      <c r="D175" s="7">
        <v>32175818</v>
      </c>
    </row>
    <row r="176" spans="1:4" x14ac:dyDescent="0.3">
      <c r="A176" s="2" t="s">
        <v>8</v>
      </c>
      <c r="B176" s="2" t="s">
        <v>9</v>
      </c>
      <c r="C176" s="3">
        <v>2004</v>
      </c>
      <c r="D176" s="4">
        <v>32628286</v>
      </c>
    </row>
    <row r="177" spans="1:4" x14ac:dyDescent="0.3">
      <c r="A177" s="5" t="s">
        <v>8</v>
      </c>
      <c r="B177" s="5" t="s">
        <v>9</v>
      </c>
      <c r="C177" s="6">
        <v>2005</v>
      </c>
      <c r="D177" s="7">
        <v>33109249</v>
      </c>
    </row>
    <row r="178" spans="1:4" x14ac:dyDescent="0.3">
      <c r="A178" s="2" t="s">
        <v>8</v>
      </c>
      <c r="B178" s="2" t="s">
        <v>9</v>
      </c>
      <c r="C178" s="3">
        <v>2006</v>
      </c>
      <c r="D178" s="4">
        <v>33623506</v>
      </c>
    </row>
    <row r="179" spans="1:4" x14ac:dyDescent="0.3">
      <c r="A179" s="5" t="s">
        <v>8</v>
      </c>
      <c r="B179" s="5" t="s">
        <v>9</v>
      </c>
      <c r="C179" s="6">
        <v>2007</v>
      </c>
      <c r="D179" s="7">
        <v>34189416</v>
      </c>
    </row>
    <row r="180" spans="1:4" x14ac:dyDescent="0.3">
      <c r="A180" s="2" t="s">
        <v>8</v>
      </c>
      <c r="B180" s="2" t="s">
        <v>9</v>
      </c>
      <c r="C180" s="3">
        <v>2008</v>
      </c>
      <c r="D180" s="4">
        <v>34816961</v>
      </c>
    </row>
    <row r="181" spans="1:4" x14ac:dyDescent="0.3">
      <c r="A181" s="5" t="s">
        <v>8</v>
      </c>
      <c r="B181" s="5" t="s">
        <v>9</v>
      </c>
      <c r="C181" s="6">
        <v>2009</v>
      </c>
      <c r="D181" s="7">
        <v>35490445</v>
      </c>
    </row>
    <row r="182" spans="1:4" x14ac:dyDescent="0.3">
      <c r="A182" s="2" t="s">
        <v>8</v>
      </c>
      <c r="B182" s="2" t="s">
        <v>9</v>
      </c>
      <c r="C182" s="3">
        <v>2010</v>
      </c>
      <c r="D182" s="4">
        <v>36188236</v>
      </c>
    </row>
    <row r="183" spans="1:4" x14ac:dyDescent="0.3">
      <c r="A183" s="5" t="s">
        <v>8</v>
      </c>
      <c r="B183" s="5" t="s">
        <v>9</v>
      </c>
      <c r="C183" s="6">
        <v>2011</v>
      </c>
      <c r="D183" s="7">
        <v>36903376</v>
      </c>
    </row>
    <row r="184" spans="1:4" x14ac:dyDescent="0.3">
      <c r="A184" s="2" t="s">
        <v>8</v>
      </c>
      <c r="B184" s="2" t="s">
        <v>9</v>
      </c>
      <c r="C184" s="3">
        <v>2012</v>
      </c>
      <c r="D184" s="4">
        <v>37646166</v>
      </c>
    </row>
    <row r="185" spans="1:4" x14ac:dyDescent="0.3">
      <c r="A185" s="5" t="s">
        <v>8</v>
      </c>
      <c r="B185" s="5" t="s">
        <v>9</v>
      </c>
      <c r="C185" s="6">
        <v>2013</v>
      </c>
      <c r="D185" s="7">
        <v>38414171</v>
      </c>
    </row>
    <row r="186" spans="1:4" x14ac:dyDescent="0.3">
      <c r="A186" s="2" t="s">
        <v>8</v>
      </c>
      <c r="B186" s="2" t="s">
        <v>9</v>
      </c>
      <c r="C186" s="3">
        <v>2014</v>
      </c>
      <c r="D186" s="4">
        <v>39205031</v>
      </c>
    </row>
    <row r="187" spans="1:4" x14ac:dyDescent="0.3">
      <c r="A187" s="5" t="s">
        <v>8</v>
      </c>
      <c r="B187" s="5" t="s">
        <v>9</v>
      </c>
      <c r="C187" s="6">
        <v>2015</v>
      </c>
      <c r="D187" s="7">
        <v>40019529</v>
      </c>
    </row>
    <row r="188" spans="1:4" x14ac:dyDescent="0.3">
      <c r="A188" s="2" t="s">
        <v>8</v>
      </c>
      <c r="B188" s="2" t="s">
        <v>9</v>
      </c>
      <c r="C188" s="3">
        <v>2016</v>
      </c>
      <c r="D188" s="4">
        <v>40850721</v>
      </c>
    </row>
    <row r="189" spans="1:4" x14ac:dyDescent="0.3">
      <c r="A189" s="5" t="s">
        <v>8</v>
      </c>
      <c r="B189" s="5" t="s">
        <v>9</v>
      </c>
      <c r="C189" s="6">
        <v>2017</v>
      </c>
      <c r="D189" s="7">
        <v>41689299</v>
      </c>
    </row>
    <row r="190" spans="1:4" x14ac:dyDescent="0.3">
      <c r="A190" s="2" t="s">
        <v>8</v>
      </c>
      <c r="B190" s="2" t="s">
        <v>9</v>
      </c>
      <c r="C190" s="3">
        <v>2018</v>
      </c>
      <c r="D190" s="4">
        <v>42505035</v>
      </c>
    </row>
    <row r="191" spans="1:4" x14ac:dyDescent="0.3">
      <c r="A191" s="5" t="s">
        <v>8</v>
      </c>
      <c r="B191" s="5" t="s">
        <v>9</v>
      </c>
      <c r="C191" s="6">
        <v>2019</v>
      </c>
      <c r="D191" s="7">
        <v>43294546</v>
      </c>
    </row>
    <row r="192" spans="1:4" x14ac:dyDescent="0.3">
      <c r="A192" s="2" t="s">
        <v>8</v>
      </c>
      <c r="B192" s="2" t="s">
        <v>9</v>
      </c>
      <c r="C192" s="3">
        <v>2020</v>
      </c>
      <c r="D192" s="4">
        <v>44042091</v>
      </c>
    </row>
    <row r="193" spans="1:4" x14ac:dyDescent="0.3">
      <c r="A193" s="5" t="s">
        <v>8</v>
      </c>
      <c r="B193" s="5" t="s">
        <v>9</v>
      </c>
      <c r="C193" s="6">
        <v>2021</v>
      </c>
      <c r="D193" s="7">
        <v>44761099</v>
      </c>
    </row>
    <row r="194" spans="1:4" x14ac:dyDescent="0.3">
      <c r="A194" s="2" t="s">
        <v>8</v>
      </c>
      <c r="B194" s="2" t="s">
        <v>9</v>
      </c>
      <c r="C194" s="3">
        <v>2022</v>
      </c>
      <c r="D194" s="4">
        <v>45477389</v>
      </c>
    </row>
    <row r="195" spans="1:4" x14ac:dyDescent="0.3">
      <c r="A195" s="5" t="s">
        <v>8</v>
      </c>
      <c r="B195" s="5" t="s">
        <v>9</v>
      </c>
      <c r="C195" s="6">
        <v>2023</v>
      </c>
      <c r="D195" s="7">
        <v>46164219</v>
      </c>
    </row>
    <row r="196" spans="1:4" x14ac:dyDescent="0.3">
      <c r="A196" s="2" t="s">
        <v>8</v>
      </c>
      <c r="B196" s="2" t="s">
        <v>9</v>
      </c>
      <c r="C196" s="3">
        <v>2024</v>
      </c>
      <c r="D196" s="4">
        <v>46814308</v>
      </c>
    </row>
    <row r="197" spans="1:4" x14ac:dyDescent="0.3">
      <c r="A197" s="5" t="s">
        <v>10</v>
      </c>
      <c r="B197" s="5" t="s">
        <v>11</v>
      </c>
      <c r="C197" s="6">
        <v>1960</v>
      </c>
      <c r="D197" s="7">
        <v>20133</v>
      </c>
    </row>
    <row r="198" spans="1:4" x14ac:dyDescent="0.3">
      <c r="A198" s="2" t="s">
        <v>10</v>
      </c>
      <c r="B198" s="2" t="s">
        <v>11</v>
      </c>
      <c r="C198" s="3">
        <v>1961</v>
      </c>
      <c r="D198" s="4">
        <v>20666</v>
      </c>
    </row>
    <row r="199" spans="1:4" x14ac:dyDescent="0.3">
      <c r="A199" s="5" t="s">
        <v>10</v>
      </c>
      <c r="B199" s="5" t="s">
        <v>11</v>
      </c>
      <c r="C199" s="6">
        <v>1962</v>
      </c>
      <c r="D199" s="7">
        <v>21298</v>
      </c>
    </row>
    <row r="200" spans="1:4" x14ac:dyDescent="0.3">
      <c r="A200" s="2" t="s">
        <v>10</v>
      </c>
      <c r="B200" s="2" t="s">
        <v>11</v>
      </c>
      <c r="C200" s="3">
        <v>1963</v>
      </c>
      <c r="D200" s="4">
        <v>21966</v>
      </c>
    </row>
    <row r="201" spans="1:4" x14ac:dyDescent="0.3">
      <c r="A201" s="5" t="s">
        <v>10</v>
      </c>
      <c r="B201" s="5" t="s">
        <v>11</v>
      </c>
      <c r="C201" s="6">
        <v>1964</v>
      </c>
      <c r="D201" s="7">
        <v>22673</v>
      </c>
    </row>
    <row r="202" spans="1:4" x14ac:dyDescent="0.3">
      <c r="A202" s="2" t="s">
        <v>10</v>
      </c>
      <c r="B202" s="2" t="s">
        <v>11</v>
      </c>
      <c r="C202" s="3">
        <v>1965</v>
      </c>
      <c r="D202" s="4">
        <v>23406</v>
      </c>
    </row>
    <row r="203" spans="1:4" x14ac:dyDescent="0.3">
      <c r="A203" s="5" t="s">
        <v>10</v>
      </c>
      <c r="B203" s="5" t="s">
        <v>11</v>
      </c>
      <c r="C203" s="6">
        <v>1966</v>
      </c>
      <c r="D203" s="7">
        <v>24136</v>
      </c>
    </row>
    <row r="204" spans="1:4" x14ac:dyDescent="0.3">
      <c r="A204" s="2" t="s">
        <v>10</v>
      </c>
      <c r="B204" s="2" t="s">
        <v>11</v>
      </c>
      <c r="C204" s="3">
        <v>1967</v>
      </c>
      <c r="D204" s="4">
        <v>24863</v>
      </c>
    </row>
    <row r="205" spans="1:4" x14ac:dyDescent="0.3">
      <c r="A205" s="5" t="s">
        <v>10</v>
      </c>
      <c r="B205" s="5" t="s">
        <v>11</v>
      </c>
      <c r="C205" s="6">
        <v>1968</v>
      </c>
      <c r="D205" s="7">
        <v>25614</v>
      </c>
    </row>
    <row r="206" spans="1:4" x14ac:dyDescent="0.3">
      <c r="A206" s="2" t="s">
        <v>10</v>
      </c>
      <c r="B206" s="2" t="s">
        <v>11</v>
      </c>
      <c r="C206" s="3">
        <v>1969</v>
      </c>
      <c r="D206" s="4">
        <v>26375</v>
      </c>
    </row>
    <row r="207" spans="1:4" x14ac:dyDescent="0.3">
      <c r="A207" s="5" t="s">
        <v>10</v>
      </c>
      <c r="B207" s="5" t="s">
        <v>11</v>
      </c>
      <c r="C207" s="6">
        <v>1970</v>
      </c>
      <c r="D207" s="7">
        <v>27026</v>
      </c>
    </row>
    <row r="208" spans="1:4" x14ac:dyDescent="0.3">
      <c r="A208" s="2" t="s">
        <v>10</v>
      </c>
      <c r="B208" s="2" t="s">
        <v>11</v>
      </c>
      <c r="C208" s="3">
        <v>1971</v>
      </c>
      <c r="D208" s="4">
        <v>27533</v>
      </c>
    </row>
    <row r="209" spans="1:4" x14ac:dyDescent="0.3">
      <c r="A209" s="5" t="s">
        <v>10</v>
      </c>
      <c r="B209" s="5" t="s">
        <v>11</v>
      </c>
      <c r="C209" s="6">
        <v>1972</v>
      </c>
      <c r="D209" s="7">
        <v>27995</v>
      </c>
    </row>
    <row r="210" spans="1:4" x14ac:dyDescent="0.3">
      <c r="A210" s="2" t="s">
        <v>10</v>
      </c>
      <c r="B210" s="2" t="s">
        <v>11</v>
      </c>
      <c r="C210" s="3">
        <v>1973</v>
      </c>
      <c r="D210" s="4">
        <v>28436</v>
      </c>
    </row>
    <row r="211" spans="1:4" x14ac:dyDescent="0.3">
      <c r="A211" s="5" t="s">
        <v>10</v>
      </c>
      <c r="B211" s="5" t="s">
        <v>11</v>
      </c>
      <c r="C211" s="6">
        <v>1974</v>
      </c>
      <c r="D211" s="7">
        <v>28875</v>
      </c>
    </row>
    <row r="212" spans="1:4" x14ac:dyDescent="0.3">
      <c r="A212" s="2" t="s">
        <v>10</v>
      </c>
      <c r="B212" s="2" t="s">
        <v>11</v>
      </c>
      <c r="C212" s="3">
        <v>1975</v>
      </c>
      <c r="D212" s="4">
        <v>29390</v>
      </c>
    </row>
    <row r="213" spans="1:4" x14ac:dyDescent="0.3">
      <c r="A213" s="5" t="s">
        <v>10</v>
      </c>
      <c r="B213" s="5" t="s">
        <v>11</v>
      </c>
      <c r="C213" s="6">
        <v>1976</v>
      </c>
      <c r="D213" s="7">
        <v>29959</v>
      </c>
    </row>
    <row r="214" spans="1:4" x14ac:dyDescent="0.3">
      <c r="A214" s="2" t="s">
        <v>10</v>
      </c>
      <c r="B214" s="2" t="s">
        <v>11</v>
      </c>
      <c r="C214" s="3">
        <v>1977</v>
      </c>
      <c r="D214" s="4">
        <v>30521</v>
      </c>
    </row>
    <row r="215" spans="1:4" x14ac:dyDescent="0.3">
      <c r="A215" s="5" t="s">
        <v>10</v>
      </c>
      <c r="B215" s="5" t="s">
        <v>11</v>
      </c>
      <c r="C215" s="6">
        <v>1978</v>
      </c>
      <c r="D215" s="7">
        <v>31076</v>
      </c>
    </row>
    <row r="216" spans="1:4" x14ac:dyDescent="0.3">
      <c r="A216" s="2" t="s">
        <v>10</v>
      </c>
      <c r="B216" s="2" t="s">
        <v>11</v>
      </c>
      <c r="C216" s="3">
        <v>1979</v>
      </c>
      <c r="D216" s="4">
        <v>31611</v>
      </c>
    </row>
    <row r="217" spans="1:4" x14ac:dyDescent="0.3">
      <c r="A217" s="5" t="s">
        <v>10</v>
      </c>
      <c r="B217" s="5" t="s">
        <v>11</v>
      </c>
      <c r="C217" s="6">
        <v>1980</v>
      </c>
      <c r="D217" s="7">
        <v>32403</v>
      </c>
    </row>
    <row r="218" spans="1:4" x14ac:dyDescent="0.3">
      <c r="A218" s="2" t="s">
        <v>10</v>
      </c>
      <c r="B218" s="2" t="s">
        <v>11</v>
      </c>
      <c r="C218" s="3">
        <v>1981</v>
      </c>
      <c r="D218" s="4">
        <v>33584</v>
      </c>
    </row>
    <row r="219" spans="1:4" x14ac:dyDescent="0.3">
      <c r="A219" s="5" t="s">
        <v>10</v>
      </c>
      <c r="B219" s="5" t="s">
        <v>11</v>
      </c>
      <c r="C219" s="6">
        <v>1982</v>
      </c>
      <c r="D219" s="7">
        <v>34909</v>
      </c>
    </row>
    <row r="220" spans="1:4" x14ac:dyDescent="0.3">
      <c r="A220" s="2" t="s">
        <v>10</v>
      </c>
      <c r="B220" s="2" t="s">
        <v>11</v>
      </c>
      <c r="C220" s="3">
        <v>1983</v>
      </c>
      <c r="D220" s="4">
        <v>36271</v>
      </c>
    </row>
    <row r="221" spans="1:4" x14ac:dyDescent="0.3">
      <c r="A221" s="5" t="s">
        <v>10</v>
      </c>
      <c r="B221" s="5" t="s">
        <v>11</v>
      </c>
      <c r="C221" s="6">
        <v>1984</v>
      </c>
      <c r="D221" s="7">
        <v>37667</v>
      </c>
    </row>
    <row r="222" spans="1:4" x14ac:dyDescent="0.3">
      <c r="A222" s="2" t="s">
        <v>10</v>
      </c>
      <c r="B222" s="2" t="s">
        <v>11</v>
      </c>
      <c r="C222" s="3">
        <v>1985</v>
      </c>
      <c r="D222" s="4">
        <v>39103</v>
      </c>
    </row>
    <row r="223" spans="1:4" x14ac:dyDescent="0.3">
      <c r="A223" s="5" t="s">
        <v>10</v>
      </c>
      <c r="B223" s="5" t="s">
        <v>11</v>
      </c>
      <c r="C223" s="6">
        <v>1986</v>
      </c>
      <c r="D223" s="7">
        <v>40571</v>
      </c>
    </row>
    <row r="224" spans="1:4" x14ac:dyDescent="0.3">
      <c r="A224" s="2" t="s">
        <v>10</v>
      </c>
      <c r="B224" s="2" t="s">
        <v>11</v>
      </c>
      <c r="C224" s="3">
        <v>1987</v>
      </c>
      <c r="D224" s="4">
        <v>42072</v>
      </c>
    </row>
    <row r="225" spans="1:4" x14ac:dyDescent="0.3">
      <c r="A225" s="5" t="s">
        <v>10</v>
      </c>
      <c r="B225" s="5" t="s">
        <v>11</v>
      </c>
      <c r="C225" s="6">
        <v>1988</v>
      </c>
      <c r="D225" s="7">
        <v>43615</v>
      </c>
    </row>
    <row r="226" spans="1:4" x14ac:dyDescent="0.3">
      <c r="A226" s="2" t="s">
        <v>10</v>
      </c>
      <c r="B226" s="2" t="s">
        <v>11</v>
      </c>
      <c r="C226" s="3">
        <v>1989</v>
      </c>
      <c r="D226" s="4">
        <v>45191</v>
      </c>
    </row>
    <row r="227" spans="1:4" x14ac:dyDescent="0.3">
      <c r="A227" s="5" t="s">
        <v>10</v>
      </c>
      <c r="B227" s="5" t="s">
        <v>11</v>
      </c>
      <c r="C227" s="6">
        <v>1990</v>
      </c>
      <c r="D227" s="7">
        <v>46640</v>
      </c>
    </row>
    <row r="228" spans="1:4" x14ac:dyDescent="0.3">
      <c r="A228" s="2" t="s">
        <v>10</v>
      </c>
      <c r="B228" s="2" t="s">
        <v>11</v>
      </c>
      <c r="C228" s="3">
        <v>1991</v>
      </c>
      <c r="D228" s="4">
        <v>47882</v>
      </c>
    </row>
    <row r="229" spans="1:4" x14ac:dyDescent="0.3">
      <c r="A229" s="5" t="s">
        <v>10</v>
      </c>
      <c r="B229" s="5" t="s">
        <v>11</v>
      </c>
      <c r="C229" s="6">
        <v>1992</v>
      </c>
      <c r="D229" s="7">
        <v>49038</v>
      </c>
    </row>
    <row r="230" spans="1:4" x14ac:dyDescent="0.3">
      <c r="A230" s="2" t="s">
        <v>10</v>
      </c>
      <c r="B230" s="2" t="s">
        <v>11</v>
      </c>
      <c r="C230" s="3">
        <v>1993</v>
      </c>
      <c r="D230" s="4">
        <v>50159</v>
      </c>
    </row>
    <row r="231" spans="1:4" x14ac:dyDescent="0.3">
      <c r="A231" s="5" t="s">
        <v>10</v>
      </c>
      <c r="B231" s="5" t="s">
        <v>11</v>
      </c>
      <c r="C231" s="6">
        <v>1994</v>
      </c>
      <c r="D231" s="7">
        <v>51251</v>
      </c>
    </row>
    <row r="232" spans="1:4" x14ac:dyDescent="0.3">
      <c r="A232" s="2" t="s">
        <v>10</v>
      </c>
      <c r="B232" s="2" t="s">
        <v>11</v>
      </c>
      <c r="C232" s="3">
        <v>1995</v>
      </c>
      <c r="D232" s="4">
        <v>52316</v>
      </c>
    </row>
    <row r="233" spans="1:4" x14ac:dyDescent="0.3">
      <c r="A233" s="5" t="s">
        <v>10</v>
      </c>
      <c r="B233" s="5" t="s">
        <v>11</v>
      </c>
      <c r="C233" s="6">
        <v>1996</v>
      </c>
      <c r="D233" s="7">
        <v>53353</v>
      </c>
    </row>
    <row r="234" spans="1:4" x14ac:dyDescent="0.3">
      <c r="A234" s="2" t="s">
        <v>10</v>
      </c>
      <c r="B234" s="2" t="s">
        <v>11</v>
      </c>
      <c r="C234" s="3">
        <v>1997</v>
      </c>
      <c r="D234" s="4">
        <v>54362</v>
      </c>
    </row>
    <row r="235" spans="1:4" x14ac:dyDescent="0.3">
      <c r="A235" s="5" t="s">
        <v>10</v>
      </c>
      <c r="B235" s="5" t="s">
        <v>11</v>
      </c>
      <c r="C235" s="6">
        <v>1998</v>
      </c>
      <c r="D235" s="7">
        <v>55334</v>
      </c>
    </row>
    <row r="236" spans="1:4" x14ac:dyDescent="0.3">
      <c r="A236" s="2" t="s">
        <v>10</v>
      </c>
      <c r="B236" s="2" t="s">
        <v>11</v>
      </c>
      <c r="C236" s="3">
        <v>1999</v>
      </c>
      <c r="D236" s="4">
        <v>56248</v>
      </c>
    </row>
    <row r="237" spans="1:4" x14ac:dyDescent="0.3">
      <c r="A237" s="5" t="s">
        <v>10</v>
      </c>
      <c r="B237" s="5" t="s">
        <v>11</v>
      </c>
      <c r="C237" s="6">
        <v>2000</v>
      </c>
      <c r="D237" s="7">
        <v>56855</v>
      </c>
    </row>
    <row r="238" spans="1:4" x14ac:dyDescent="0.3">
      <c r="A238" s="2" t="s">
        <v>10</v>
      </c>
      <c r="B238" s="2" t="s">
        <v>11</v>
      </c>
      <c r="C238" s="3">
        <v>2001</v>
      </c>
      <c r="D238" s="4">
        <v>57053</v>
      </c>
    </row>
    <row r="239" spans="1:4" x14ac:dyDescent="0.3">
      <c r="A239" s="5" t="s">
        <v>10</v>
      </c>
      <c r="B239" s="5" t="s">
        <v>11</v>
      </c>
      <c r="C239" s="6">
        <v>2002</v>
      </c>
      <c r="D239" s="7">
        <v>57062</v>
      </c>
    </row>
    <row r="240" spans="1:4" x14ac:dyDescent="0.3">
      <c r="A240" s="2" t="s">
        <v>10</v>
      </c>
      <c r="B240" s="2" t="s">
        <v>11</v>
      </c>
      <c r="C240" s="3">
        <v>2003</v>
      </c>
      <c r="D240" s="4">
        <v>56971</v>
      </c>
    </row>
    <row r="241" spans="1:4" x14ac:dyDescent="0.3">
      <c r="A241" s="5" t="s">
        <v>10</v>
      </c>
      <c r="B241" s="5" t="s">
        <v>11</v>
      </c>
      <c r="C241" s="6">
        <v>2004</v>
      </c>
      <c r="D241" s="7">
        <v>56818</v>
      </c>
    </row>
    <row r="242" spans="1:4" x14ac:dyDescent="0.3">
      <c r="A242" s="2" t="s">
        <v>10</v>
      </c>
      <c r="B242" s="2" t="s">
        <v>11</v>
      </c>
      <c r="C242" s="3">
        <v>2005</v>
      </c>
      <c r="D242" s="4">
        <v>56617</v>
      </c>
    </row>
    <row r="243" spans="1:4" x14ac:dyDescent="0.3">
      <c r="A243" s="5" t="s">
        <v>10</v>
      </c>
      <c r="B243" s="5" t="s">
        <v>11</v>
      </c>
      <c r="C243" s="6">
        <v>2006</v>
      </c>
      <c r="D243" s="7">
        <v>56374</v>
      </c>
    </row>
    <row r="244" spans="1:4" x14ac:dyDescent="0.3">
      <c r="A244" s="2" t="s">
        <v>10</v>
      </c>
      <c r="B244" s="2" t="s">
        <v>11</v>
      </c>
      <c r="C244" s="3">
        <v>2007</v>
      </c>
      <c r="D244" s="4">
        <v>56113</v>
      </c>
    </row>
    <row r="245" spans="1:4" x14ac:dyDescent="0.3">
      <c r="A245" s="5" t="s">
        <v>10</v>
      </c>
      <c r="B245" s="5" t="s">
        <v>11</v>
      </c>
      <c r="C245" s="6">
        <v>2008</v>
      </c>
      <c r="D245" s="7">
        <v>55828</v>
      </c>
    </row>
    <row r="246" spans="1:4" x14ac:dyDescent="0.3">
      <c r="A246" s="2" t="s">
        <v>10</v>
      </c>
      <c r="B246" s="2" t="s">
        <v>11</v>
      </c>
      <c r="C246" s="3">
        <v>2009</v>
      </c>
      <c r="D246" s="4">
        <v>55528</v>
      </c>
    </row>
    <row r="247" spans="1:4" x14ac:dyDescent="0.3">
      <c r="A247" s="5" t="s">
        <v>10</v>
      </c>
      <c r="B247" s="5" t="s">
        <v>11</v>
      </c>
      <c r="C247" s="6">
        <v>2010</v>
      </c>
      <c r="D247" s="7">
        <v>55228</v>
      </c>
    </row>
    <row r="248" spans="1:4" x14ac:dyDescent="0.3">
      <c r="A248" s="2" t="s">
        <v>10</v>
      </c>
      <c r="B248" s="2" t="s">
        <v>11</v>
      </c>
      <c r="C248" s="3">
        <v>2011</v>
      </c>
      <c r="D248" s="4">
        <v>54895</v>
      </c>
    </row>
    <row r="249" spans="1:4" x14ac:dyDescent="0.3">
      <c r="A249" s="5" t="s">
        <v>10</v>
      </c>
      <c r="B249" s="5" t="s">
        <v>11</v>
      </c>
      <c r="C249" s="6">
        <v>2012</v>
      </c>
      <c r="D249" s="7">
        <v>54489</v>
      </c>
    </row>
    <row r="250" spans="1:4" x14ac:dyDescent="0.3">
      <c r="A250" s="2" t="s">
        <v>10</v>
      </c>
      <c r="B250" s="2" t="s">
        <v>11</v>
      </c>
      <c r="C250" s="3">
        <v>2013</v>
      </c>
      <c r="D250" s="4">
        <v>54006</v>
      </c>
    </row>
    <row r="251" spans="1:4" x14ac:dyDescent="0.3">
      <c r="A251" s="5" t="s">
        <v>10</v>
      </c>
      <c r="B251" s="5" t="s">
        <v>11</v>
      </c>
      <c r="C251" s="6">
        <v>2014</v>
      </c>
      <c r="D251" s="7">
        <v>53466</v>
      </c>
    </row>
    <row r="252" spans="1:4" x14ac:dyDescent="0.3">
      <c r="A252" s="2" t="s">
        <v>10</v>
      </c>
      <c r="B252" s="2" t="s">
        <v>11</v>
      </c>
      <c r="C252" s="3">
        <v>2015</v>
      </c>
      <c r="D252" s="4">
        <v>52878</v>
      </c>
    </row>
    <row r="253" spans="1:4" x14ac:dyDescent="0.3">
      <c r="A253" s="5" t="s">
        <v>10</v>
      </c>
      <c r="B253" s="5" t="s">
        <v>11</v>
      </c>
      <c r="C253" s="6">
        <v>2016</v>
      </c>
      <c r="D253" s="7">
        <v>52245</v>
      </c>
    </row>
    <row r="254" spans="1:4" x14ac:dyDescent="0.3">
      <c r="A254" s="2" t="s">
        <v>10</v>
      </c>
      <c r="B254" s="2" t="s">
        <v>11</v>
      </c>
      <c r="C254" s="3">
        <v>2017</v>
      </c>
      <c r="D254" s="4">
        <v>51586</v>
      </c>
    </row>
    <row r="255" spans="1:4" x14ac:dyDescent="0.3">
      <c r="A255" s="5" t="s">
        <v>10</v>
      </c>
      <c r="B255" s="5" t="s">
        <v>11</v>
      </c>
      <c r="C255" s="6">
        <v>2018</v>
      </c>
      <c r="D255" s="7">
        <v>50908</v>
      </c>
    </row>
    <row r="256" spans="1:4" x14ac:dyDescent="0.3">
      <c r="A256" s="2" t="s">
        <v>10</v>
      </c>
      <c r="B256" s="2" t="s">
        <v>11</v>
      </c>
      <c r="C256" s="3">
        <v>2019</v>
      </c>
      <c r="D256" s="4">
        <v>50209</v>
      </c>
    </row>
    <row r="257" spans="1:4" x14ac:dyDescent="0.3">
      <c r="A257" s="5" t="s">
        <v>10</v>
      </c>
      <c r="B257" s="5" t="s">
        <v>11</v>
      </c>
      <c r="C257" s="6">
        <v>2020</v>
      </c>
      <c r="D257" s="7">
        <v>49761</v>
      </c>
    </row>
    <row r="258" spans="1:4" x14ac:dyDescent="0.3">
      <c r="A258" s="2" t="s">
        <v>10</v>
      </c>
      <c r="B258" s="2" t="s">
        <v>11</v>
      </c>
      <c r="C258" s="3">
        <v>2021</v>
      </c>
      <c r="D258" s="4">
        <v>49225</v>
      </c>
    </row>
    <row r="259" spans="1:4" x14ac:dyDescent="0.3">
      <c r="A259" s="5" t="s">
        <v>10</v>
      </c>
      <c r="B259" s="5" t="s">
        <v>11</v>
      </c>
      <c r="C259" s="6">
        <v>2022</v>
      </c>
      <c r="D259" s="7">
        <v>48342</v>
      </c>
    </row>
    <row r="260" spans="1:4" x14ac:dyDescent="0.3">
      <c r="A260" s="2" t="s">
        <v>10</v>
      </c>
      <c r="B260" s="2" t="s">
        <v>11</v>
      </c>
      <c r="C260" s="3">
        <v>2023</v>
      </c>
      <c r="D260" s="4">
        <v>47521</v>
      </c>
    </row>
    <row r="261" spans="1:4" x14ac:dyDescent="0.3">
      <c r="A261" s="5" t="s">
        <v>10</v>
      </c>
      <c r="B261" s="5" t="s">
        <v>11</v>
      </c>
      <c r="C261" s="6">
        <v>2024</v>
      </c>
      <c r="D261" s="7">
        <v>46765</v>
      </c>
    </row>
    <row r="262" spans="1:4" x14ac:dyDescent="0.3">
      <c r="A262" s="2" t="s">
        <v>12</v>
      </c>
      <c r="B262" s="2" t="s">
        <v>13</v>
      </c>
      <c r="C262" s="3">
        <v>1960</v>
      </c>
      <c r="D262" s="4">
        <v>9510</v>
      </c>
    </row>
    <row r="263" spans="1:4" x14ac:dyDescent="0.3">
      <c r="A263" s="5" t="s">
        <v>12</v>
      </c>
      <c r="B263" s="5" t="s">
        <v>13</v>
      </c>
      <c r="C263" s="6">
        <v>1961</v>
      </c>
      <c r="D263" s="7">
        <v>10283</v>
      </c>
    </row>
    <row r="264" spans="1:4" x14ac:dyDescent="0.3">
      <c r="A264" s="2" t="s">
        <v>12</v>
      </c>
      <c r="B264" s="2" t="s">
        <v>13</v>
      </c>
      <c r="C264" s="3">
        <v>1962</v>
      </c>
      <c r="D264" s="4">
        <v>11086</v>
      </c>
    </row>
    <row r="265" spans="1:4" x14ac:dyDescent="0.3">
      <c r="A265" s="5" t="s">
        <v>12</v>
      </c>
      <c r="B265" s="5" t="s">
        <v>13</v>
      </c>
      <c r="C265" s="6">
        <v>1963</v>
      </c>
      <c r="D265" s="7">
        <v>11915</v>
      </c>
    </row>
    <row r="266" spans="1:4" x14ac:dyDescent="0.3">
      <c r="A266" s="2" t="s">
        <v>12</v>
      </c>
      <c r="B266" s="2" t="s">
        <v>13</v>
      </c>
      <c r="C266" s="3">
        <v>1964</v>
      </c>
      <c r="D266" s="4">
        <v>12764</v>
      </c>
    </row>
    <row r="267" spans="1:4" x14ac:dyDescent="0.3">
      <c r="A267" s="5" t="s">
        <v>12</v>
      </c>
      <c r="B267" s="5" t="s">
        <v>13</v>
      </c>
      <c r="C267" s="6">
        <v>1965</v>
      </c>
      <c r="D267" s="7">
        <v>13634</v>
      </c>
    </row>
    <row r="268" spans="1:4" x14ac:dyDescent="0.3">
      <c r="A268" s="2" t="s">
        <v>12</v>
      </c>
      <c r="B268" s="2" t="s">
        <v>13</v>
      </c>
      <c r="C268" s="3">
        <v>1966</v>
      </c>
      <c r="D268" s="4">
        <v>14626</v>
      </c>
    </row>
    <row r="269" spans="1:4" x14ac:dyDescent="0.3">
      <c r="A269" s="5" t="s">
        <v>12</v>
      </c>
      <c r="B269" s="5" t="s">
        <v>13</v>
      </c>
      <c r="C269" s="6">
        <v>1967</v>
      </c>
      <c r="D269" s="7">
        <v>15837</v>
      </c>
    </row>
    <row r="270" spans="1:4" x14ac:dyDescent="0.3">
      <c r="A270" s="2" t="s">
        <v>12</v>
      </c>
      <c r="B270" s="2" t="s">
        <v>13</v>
      </c>
      <c r="C270" s="3">
        <v>1968</v>
      </c>
      <c r="D270" s="4">
        <v>17176</v>
      </c>
    </row>
    <row r="271" spans="1:4" x14ac:dyDescent="0.3">
      <c r="A271" s="5" t="s">
        <v>12</v>
      </c>
      <c r="B271" s="5" t="s">
        <v>13</v>
      </c>
      <c r="C271" s="6">
        <v>1969</v>
      </c>
      <c r="D271" s="7">
        <v>18555</v>
      </c>
    </row>
    <row r="272" spans="1:4" x14ac:dyDescent="0.3">
      <c r="A272" s="2" t="s">
        <v>12</v>
      </c>
      <c r="B272" s="2" t="s">
        <v>13</v>
      </c>
      <c r="C272" s="3">
        <v>1970</v>
      </c>
      <c r="D272" s="4">
        <v>19977</v>
      </c>
    </row>
    <row r="273" spans="1:4" x14ac:dyDescent="0.3">
      <c r="A273" s="5" t="s">
        <v>12</v>
      </c>
      <c r="B273" s="5" t="s">
        <v>13</v>
      </c>
      <c r="C273" s="6">
        <v>1971</v>
      </c>
      <c r="D273" s="7">
        <v>21442</v>
      </c>
    </row>
    <row r="274" spans="1:4" x14ac:dyDescent="0.3">
      <c r="A274" s="2" t="s">
        <v>12</v>
      </c>
      <c r="B274" s="2" t="s">
        <v>13</v>
      </c>
      <c r="C274" s="3">
        <v>1972</v>
      </c>
      <c r="D274" s="4">
        <v>22957</v>
      </c>
    </row>
    <row r="275" spans="1:4" x14ac:dyDescent="0.3">
      <c r="A275" s="5" t="s">
        <v>12</v>
      </c>
      <c r="B275" s="5" t="s">
        <v>13</v>
      </c>
      <c r="C275" s="6">
        <v>1973</v>
      </c>
      <c r="D275" s="7">
        <v>24523</v>
      </c>
    </row>
    <row r="276" spans="1:4" x14ac:dyDescent="0.3">
      <c r="A276" s="2" t="s">
        <v>12</v>
      </c>
      <c r="B276" s="2" t="s">
        <v>13</v>
      </c>
      <c r="C276" s="3">
        <v>1974</v>
      </c>
      <c r="D276" s="4">
        <v>26130</v>
      </c>
    </row>
    <row r="277" spans="1:4" x14ac:dyDescent="0.3">
      <c r="A277" s="5" t="s">
        <v>12</v>
      </c>
      <c r="B277" s="5" t="s">
        <v>13</v>
      </c>
      <c r="C277" s="6">
        <v>1975</v>
      </c>
      <c r="D277" s="7">
        <v>27773</v>
      </c>
    </row>
    <row r="278" spans="1:4" x14ac:dyDescent="0.3">
      <c r="A278" s="2" t="s">
        <v>12</v>
      </c>
      <c r="B278" s="2" t="s">
        <v>13</v>
      </c>
      <c r="C278" s="3">
        <v>1976</v>
      </c>
      <c r="D278" s="4">
        <v>29436</v>
      </c>
    </row>
    <row r="279" spans="1:4" x14ac:dyDescent="0.3">
      <c r="A279" s="5" t="s">
        <v>12</v>
      </c>
      <c r="B279" s="5" t="s">
        <v>13</v>
      </c>
      <c r="C279" s="6">
        <v>1977</v>
      </c>
      <c r="D279" s="7">
        <v>31097</v>
      </c>
    </row>
    <row r="280" spans="1:4" x14ac:dyDescent="0.3">
      <c r="A280" s="2" t="s">
        <v>12</v>
      </c>
      <c r="B280" s="2" t="s">
        <v>13</v>
      </c>
      <c r="C280" s="3">
        <v>1978</v>
      </c>
      <c r="D280" s="4">
        <v>32735</v>
      </c>
    </row>
    <row r="281" spans="1:4" x14ac:dyDescent="0.3">
      <c r="A281" s="5" t="s">
        <v>12</v>
      </c>
      <c r="B281" s="5" t="s">
        <v>13</v>
      </c>
      <c r="C281" s="6">
        <v>1979</v>
      </c>
      <c r="D281" s="7">
        <v>34306</v>
      </c>
    </row>
    <row r="282" spans="1:4" x14ac:dyDescent="0.3">
      <c r="A282" s="2" t="s">
        <v>12</v>
      </c>
      <c r="B282" s="2" t="s">
        <v>13</v>
      </c>
      <c r="C282" s="3">
        <v>1980</v>
      </c>
      <c r="D282" s="4">
        <v>35782</v>
      </c>
    </row>
    <row r="283" spans="1:4" x14ac:dyDescent="0.3">
      <c r="A283" s="5" t="s">
        <v>12</v>
      </c>
      <c r="B283" s="5" t="s">
        <v>13</v>
      </c>
      <c r="C283" s="6">
        <v>1981</v>
      </c>
      <c r="D283" s="7">
        <v>37169</v>
      </c>
    </row>
    <row r="284" spans="1:4" x14ac:dyDescent="0.3">
      <c r="A284" s="2" t="s">
        <v>12</v>
      </c>
      <c r="B284" s="2" t="s">
        <v>13</v>
      </c>
      <c r="C284" s="3">
        <v>1982</v>
      </c>
      <c r="D284" s="4">
        <v>38764</v>
      </c>
    </row>
    <row r="285" spans="1:4" x14ac:dyDescent="0.3">
      <c r="A285" s="5" t="s">
        <v>12</v>
      </c>
      <c r="B285" s="5" t="s">
        <v>13</v>
      </c>
      <c r="C285" s="6">
        <v>1983</v>
      </c>
      <c r="D285" s="7">
        <v>40565</v>
      </c>
    </row>
    <row r="286" spans="1:4" x14ac:dyDescent="0.3">
      <c r="A286" s="2" t="s">
        <v>12</v>
      </c>
      <c r="B286" s="2" t="s">
        <v>13</v>
      </c>
      <c r="C286" s="3">
        <v>1984</v>
      </c>
      <c r="D286" s="4">
        <v>42273</v>
      </c>
    </row>
    <row r="287" spans="1:4" x14ac:dyDescent="0.3">
      <c r="A287" s="5" t="s">
        <v>12</v>
      </c>
      <c r="B287" s="5" t="s">
        <v>13</v>
      </c>
      <c r="C287" s="6">
        <v>1985</v>
      </c>
      <c r="D287" s="7">
        <v>43825</v>
      </c>
    </row>
    <row r="288" spans="1:4" x14ac:dyDescent="0.3">
      <c r="A288" s="2" t="s">
        <v>12</v>
      </c>
      <c r="B288" s="2" t="s">
        <v>13</v>
      </c>
      <c r="C288" s="3">
        <v>1986</v>
      </c>
      <c r="D288" s="4">
        <v>45734</v>
      </c>
    </row>
    <row r="289" spans="1:4" x14ac:dyDescent="0.3">
      <c r="A289" s="5" t="s">
        <v>12</v>
      </c>
      <c r="B289" s="5" t="s">
        <v>13</v>
      </c>
      <c r="C289" s="6">
        <v>1987</v>
      </c>
      <c r="D289" s="7">
        <v>47653</v>
      </c>
    </row>
    <row r="290" spans="1:4" x14ac:dyDescent="0.3">
      <c r="A290" s="2" t="s">
        <v>12</v>
      </c>
      <c r="B290" s="2" t="s">
        <v>13</v>
      </c>
      <c r="C290" s="3">
        <v>1988</v>
      </c>
      <c r="D290" s="4">
        <v>49416</v>
      </c>
    </row>
    <row r="291" spans="1:4" x14ac:dyDescent="0.3">
      <c r="A291" s="5" t="s">
        <v>12</v>
      </c>
      <c r="B291" s="5" t="s">
        <v>13</v>
      </c>
      <c r="C291" s="6">
        <v>1989</v>
      </c>
      <c r="D291" s="7">
        <v>50620</v>
      </c>
    </row>
    <row r="292" spans="1:4" x14ac:dyDescent="0.3">
      <c r="A292" s="2" t="s">
        <v>12</v>
      </c>
      <c r="B292" s="2" t="s">
        <v>13</v>
      </c>
      <c r="C292" s="3">
        <v>1990</v>
      </c>
      <c r="D292" s="4">
        <v>52597</v>
      </c>
    </row>
    <row r="293" spans="1:4" x14ac:dyDescent="0.3">
      <c r="A293" s="5" t="s">
        <v>12</v>
      </c>
      <c r="B293" s="5" t="s">
        <v>13</v>
      </c>
      <c r="C293" s="6">
        <v>1991</v>
      </c>
      <c r="D293" s="7">
        <v>56667</v>
      </c>
    </row>
    <row r="294" spans="1:4" x14ac:dyDescent="0.3">
      <c r="A294" s="2" t="s">
        <v>12</v>
      </c>
      <c r="B294" s="2" t="s">
        <v>13</v>
      </c>
      <c r="C294" s="3">
        <v>1992</v>
      </c>
      <c r="D294" s="4">
        <v>60200</v>
      </c>
    </row>
    <row r="295" spans="1:4" x14ac:dyDescent="0.3">
      <c r="A295" s="5" t="s">
        <v>12</v>
      </c>
      <c r="B295" s="5" t="s">
        <v>13</v>
      </c>
      <c r="C295" s="6">
        <v>1993</v>
      </c>
      <c r="D295" s="7">
        <v>63272</v>
      </c>
    </row>
    <row r="296" spans="1:4" x14ac:dyDescent="0.3">
      <c r="A296" s="2" t="s">
        <v>12</v>
      </c>
      <c r="B296" s="2" t="s">
        <v>13</v>
      </c>
      <c r="C296" s="3">
        <v>1994</v>
      </c>
      <c r="D296" s="4">
        <v>64612</v>
      </c>
    </row>
    <row r="297" spans="1:4" x14ac:dyDescent="0.3">
      <c r="A297" s="5" t="s">
        <v>12</v>
      </c>
      <c r="B297" s="5" t="s">
        <v>13</v>
      </c>
      <c r="C297" s="6">
        <v>1995</v>
      </c>
      <c r="D297" s="7">
        <v>63912</v>
      </c>
    </row>
    <row r="298" spans="1:4" x14ac:dyDescent="0.3">
      <c r="A298" s="2" t="s">
        <v>12</v>
      </c>
      <c r="B298" s="2" t="s">
        <v>13</v>
      </c>
      <c r="C298" s="3">
        <v>1996</v>
      </c>
      <c r="D298" s="4">
        <v>63984</v>
      </c>
    </row>
    <row r="299" spans="1:4" x14ac:dyDescent="0.3">
      <c r="A299" s="5" t="s">
        <v>12</v>
      </c>
      <c r="B299" s="5" t="s">
        <v>13</v>
      </c>
      <c r="C299" s="6">
        <v>1997</v>
      </c>
      <c r="D299" s="7">
        <v>64700</v>
      </c>
    </row>
    <row r="300" spans="1:4" x14ac:dyDescent="0.3">
      <c r="A300" s="2" t="s">
        <v>12</v>
      </c>
      <c r="B300" s="2" t="s">
        <v>13</v>
      </c>
      <c r="C300" s="3">
        <v>1998</v>
      </c>
      <c r="D300" s="4">
        <v>65382</v>
      </c>
    </row>
    <row r="301" spans="1:4" x14ac:dyDescent="0.3">
      <c r="A301" s="5" t="s">
        <v>12</v>
      </c>
      <c r="B301" s="5" t="s">
        <v>13</v>
      </c>
      <c r="C301" s="6">
        <v>1999</v>
      </c>
      <c r="D301" s="7">
        <v>65710</v>
      </c>
    </row>
    <row r="302" spans="1:4" x14ac:dyDescent="0.3">
      <c r="A302" s="2" t="s">
        <v>12</v>
      </c>
      <c r="B302" s="2" t="s">
        <v>13</v>
      </c>
      <c r="C302" s="3">
        <v>2000</v>
      </c>
      <c r="D302" s="4">
        <v>65685</v>
      </c>
    </row>
    <row r="303" spans="1:4" x14ac:dyDescent="0.3">
      <c r="A303" s="5" t="s">
        <v>12</v>
      </c>
      <c r="B303" s="5" t="s">
        <v>13</v>
      </c>
      <c r="C303" s="6">
        <v>2001</v>
      </c>
      <c r="D303" s="7">
        <v>65852</v>
      </c>
    </row>
    <row r="304" spans="1:4" x14ac:dyDescent="0.3">
      <c r="A304" s="2" t="s">
        <v>12</v>
      </c>
      <c r="B304" s="2" t="s">
        <v>13</v>
      </c>
      <c r="C304" s="3">
        <v>2002</v>
      </c>
      <c r="D304" s="4">
        <v>66506</v>
      </c>
    </row>
    <row r="305" spans="1:4" x14ac:dyDescent="0.3">
      <c r="A305" s="5" t="s">
        <v>12</v>
      </c>
      <c r="B305" s="5" t="s">
        <v>13</v>
      </c>
      <c r="C305" s="6">
        <v>2003</v>
      </c>
      <c r="D305" s="7">
        <v>69486</v>
      </c>
    </row>
    <row r="306" spans="1:4" x14ac:dyDescent="0.3">
      <c r="A306" s="2" t="s">
        <v>12</v>
      </c>
      <c r="B306" s="2" t="s">
        <v>13</v>
      </c>
      <c r="C306" s="3">
        <v>2004</v>
      </c>
      <c r="D306" s="4">
        <v>74325</v>
      </c>
    </row>
    <row r="307" spans="1:4" x14ac:dyDescent="0.3">
      <c r="A307" s="5" t="s">
        <v>12</v>
      </c>
      <c r="B307" s="5" t="s">
        <v>13</v>
      </c>
      <c r="C307" s="6">
        <v>2005</v>
      </c>
      <c r="D307" s="7">
        <v>77421</v>
      </c>
    </row>
    <row r="308" spans="1:4" x14ac:dyDescent="0.3">
      <c r="A308" s="2" t="s">
        <v>12</v>
      </c>
      <c r="B308" s="2" t="s">
        <v>13</v>
      </c>
      <c r="C308" s="3">
        <v>2006</v>
      </c>
      <c r="D308" s="4">
        <v>79585</v>
      </c>
    </row>
    <row r="309" spans="1:4" x14ac:dyDescent="0.3">
      <c r="A309" s="5" t="s">
        <v>12</v>
      </c>
      <c r="B309" s="5" t="s">
        <v>13</v>
      </c>
      <c r="C309" s="6">
        <v>2007</v>
      </c>
      <c r="D309" s="7">
        <v>81877</v>
      </c>
    </row>
    <row r="310" spans="1:4" x14ac:dyDescent="0.3">
      <c r="A310" s="2" t="s">
        <v>12</v>
      </c>
      <c r="B310" s="2" t="s">
        <v>13</v>
      </c>
      <c r="C310" s="3">
        <v>2008</v>
      </c>
      <c r="D310" s="4">
        <v>83495</v>
      </c>
    </row>
    <row r="311" spans="1:4" x14ac:dyDescent="0.3">
      <c r="A311" s="5" t="s">
        <v>12</v>
      </c>
      <c r="B311" s="5" t="s">
        <v>13</v>
      </c>
      <c r="C311" s="6">
        <v>2009</v>
      </c>
      <c r="D311" s="7">
        <v>83888</v>
      </c>
    </row>
    <row r="312" spans="1:4" x14ac:dyDescent="0.3">
      <c r="A312" s="2" t="s">
        <v>12</v>
      </c>
      <c r="B312" s="2" t="s">
        <v>13</v>
      </c>
      <c r="C312" s="3">
        <v>2010</v>
      </c>
      <c r="D312" s="4">
        <v>80706</v>
      </c>
    </row>
    <row r="313" spans="1:4" x14ac:dyDescent="0.3">
      <c r="A313" s="5" t="s">
        <v>12</v>
      </c>
      <c r="B313" s="5" t="s">
        <v>13</v>
      </c>
      <c r="C313" s="6">
        <v>2011</v>
      </c>
      <c r="D313" s="7">
        <v>77783</v>
      </c>
    </row>
    <row r="314" spans="1:4" x14ac:dyDescent="0.3">
      <c r="A314" s="2" t="s">
        <v>12</v>
      </c>
      <c r="B314" s="2" t="s">
        <v>13</v>
      </c>
      <c r="C314" s="3">
        <v>2012</v>
      </c>
      <c r="D314" s="4">
        <v>76834</v>
      </c>
    </row>
    <row r="315" spans="1:4" x14ac:dyDescent="0.3">
      <c r="A315" s="5" t="s">
        <v>12</v>
      </c>
      <c r="B315" s="5" t="s">
        <v>13</v>
      </c>
      <c r="C315" s="6">
        <v>2013</v>
      </c>
      <c r="D315" s="7">
        <v>75194</v>
      </c>
    </row>
    <row r="316" spans="1:4" x14ac:dyDescent="0.3">
      <c r="A316" s="2" t="s">
        <v>12</v>
      </c>
      <c r="B316" s="2" t="s">
        <v>13</v>
      </c>
      <c r="C316" s="3">
        <v>2014</v>
      </c>
      <c r="D316" s="4">
        <v>73737</v>
      </c>
    </row>
    <row r="317" spans="1:4" x14ac:dyDescent="0.3">
      <c r="A317" s="5" t="s">
        <v>12</v>
      </c>
      <c r="B317" s="5" t="s">
        <v>13</v>
      </c>
      <c r="C317" s="6">
        <v>2015</v>
      </c>
      <c r="D317" s="7">
        <v>72174</v>
      </c>
    </row>
    <row r="318" spans="1:4" x14ac:dyDescent="0.3">
      <c r="A318" s="2" t="s">
        <v>12</v>
      </c>
      <c r="B318" s="2" t="s">
        <v>13</v>
      </c>
      <c r="C318" s="3">
        <v>2016</v>
      </c>
      <c r="D318" s="4">
        <v>72181</v>
      </c>
    </row>
    <row r="319" spans="1:4" x14ac:dyDescent="0.3">
      <c r="A319" s="5" t="s">
        <v>12</v>
      </c>
      <c r="B319" s="5" t="s">
        <v>13</v>
      </c>
      <c r="C319" s="6">
        <v>2017</v>
      </c>
      <c r="D319" s="7">
        <v>73763</v>
      </c>
    </row>
    <row r="320" spans="1:4" x14ac:dyDescent="0.3">
      <c r="A320" s="2" t="s">
        <v>12</v>
      </c>
      <c r="B320" s="2" t="s">
        <v>13</v>
      </c>
      <c r="C320" s="3">
        <v>2018</v>
      </c>
      <c r="D320" s="4">
        <v>75162</v>
      </c>
    </row>
    <row r="321" spans="1:4" x14ac:dyDescent="0.3">
      <c r="A321" s="5" t="s">
        <v>12</v>
      </c>
      <c r="B321" s="5" t="s">
        <v>13</v>
      </c>
      <c r="C321" s="6">
        <v>2019</v>
      </c>
      <c r="D321" s="7">
        <v>76474</v>
      </c>
    </row>
    <row r="322" spans="1:4" x14ac:dyDescent="0.3">
      <c r="A322" s="2" t="s">
        <v>12</v>
      </c>
      <c r="B322" s="2" t="s">
        <v>13</v>
      </c>
      <c r="C322" s="3">
        <v>2020</v>
      </c>
      <c r="D322" s="4">
        <v>77380</v>
      </c>
    </row>
    <row r="323" spans="1:4" x14ac:dyDescent="0.3">
      <c r="A323" s="5" t="s">
        <v>12</v>
      </c>
      <c r="B323" s="5" t="s">
        <v>13</v>
      </c>
      <c r="C323" s="6">
        <v>2021</v>
      </c>
      <c r="D323" s="7">
        <v>78364</v>
      </c>
    </row>
    <row r="324" spans="1:4" x14ac:dyDescent="0.3">
      <c r="A324" s="2" t="s">
        <v>12</v>
      </c>
      <c r="B324" s="2" t="s">
        <v>13</v>
      </c>
      <c r="C324" s="3">
        <v>2022</v>
      </c>
      <c r="D324" s="4">
        <v>79705</v>
      </c>
    </row>
    <row r="325" spans="1:4" x14ac:dyDescent="0.3">
      <c r="A325" s="5" t="s">
        <v>12</v>
      </c>
      <c r="B325" s="5" t="s">
        <v>13</v>
      </c>
      <c r="C325" s="6">
        <v>2023</v>
      </c>
      <c r="D325" s="7">
        <v>80856</v>
      </c>
    </row>
    <row r="326" spans="1:4" x14ac:dyDescent="0.3">
      <c r="A326" s="2" t="s">
        <v>12</v>
      </c>
      <c r="B326" s="2" t="s">
        <v>13</v>
      </c>
      <c r="C326" s="3">
        <v>2024</v>
      </c>
      <c r="D326" s="4">
        <v>81938</v>
      </c>
    </row>
    <row r="327" spans="1:4" x14ac:dyDescent="0.3">
      <c r="A327" s="5" t="s">
        <v>14</v>
      </c>
      <c r="B327" s="5" t="s">
        <v>15</v>
      </c>
      <c r="C327" s="6">
        <v>1960</v>
      </c>
      <c r="D327" s="7">
        <v>5231654</v>
      </c>
    </row>
    <row r="328" spans="1:4" x14ac:dyDescent="0.3">
      <c r="A328" s="2" t="s">
        <v>14</v>
      </c>
      <c r="B328" s="2" t="s">
        <v>15</v>
      </c>
      <c r="C328" s="3">
        <v>1961</v>
      </c>
      <c r="D328" s="4">
        <v>5301583</v>
      </c>
    </row>
    <row r="329" spans="1:4" x14ac:dyDescent="0.3">
      <c r="A329" s="5" t="s">
        <v>14</v>
      </c>
      <c r="B329" s="5" t="s">
        <v>15</v>
      </c>
      <c r="C329" s="6">
        <v>1962</v>
      </c>
      <c r="D329" s="7">
        <v>5354310</v>
      </c>
    </row>
    <row r="330" spans="1:4" x14ac:dyDescent="0.3">
      <c r="A330" s="2" t="s">
        <v>14</v>
      </c>
      <c r="B330" s="2" t="s">
        <v>15</v>
      </c>
      <c r="C330" s="3">
        <v>1963</v>
      </c>
      <c r="D330" s="4">
        <v>5408320</v>
      </c>
    </row>
    <row r="331" spans="1:4" x14ac:dyDescent="0.3">
      <c r="A331" s="5" t="s">
        <v>14</v>
      </c>
      <c r="B331" s="5" t="s">
        <v>15</v>
      </c>
      <c r="C331" s="6">
        <v>1964</v>
      </c>
      <c r="D331" s="7">
        <v>5464187</v>
      </c>
    </row>
    <row r="332" spans="1:4" x14ac:dyDescent="0.3">
      <c r="A332" s="2" t="s">
        <v>14</v>
      </c>
      <c r="B332" s="2" t="s">
        <v>15</v>
      </c>
      <c r="C332" s="3">
        <v>1965</v>
      </c>
      <c r="D332" s="4">
        <v>5521981</v>
      </c>
    </row>
    <row r="333" spans="1:4" x14ac:dyDescent="0.3">
      <c r="A333" s="5" t="s">
        <v>14</v>
      </c>
      <c r="B333" s="5" t="s">
        <v>15</v>
      </c>
      <c r="C333" s="6">
        <v>1966</v>
      </c>
      <c r="D333" s="7">
        <v>5581386</v>
      </c>
    </row>
    <row r="334" spans="1:4" x14ac:dyDescent="0.3">
      <c r="A334" s="2" t="s">
        <v>14</v>
      </c>
      <c r="B334" s="2" t="s">
        <v>15</v>
      </c>
      <c r="C334" s="3">
        <v>1967</v>
      </c>
      <c r="D334" s="4">
        <v>5641807</v>
      </c>
    </row>
    <row r="335" spans="1:4" x14ac:dyDescent="0.3">
      <c r="A335" s="5" t="s">
        <v>14</v>
      </c>
      <c r="B335" s="5" t="s">
        <v>15</v>
      </c>
      <c r="C335" s="6">
        <v>1968</v>
      </c>
      <c r="D335" s="7">
        <v>5702699</v>
      </c>
    </row>
    <row r="336" spans="1:4" x14ac:dyDescent="0.3">
      <c r="A336" s="2" t="s">
        <v>14</v>
      </c>
      <c r="B336" s="2" t="s">
        <v>15</v>
      </c>
      <c r="C336" s="3">
        <v>1969</v>
      </c>
      <c r="D336" s="4">
        <v>5763685</v>
      </c>
    </row>
    <row r="337" spans="1:4" x14ac:dyDescent="0.3">
      <c r="A337" s="5" t="s">
        <v>14</v>
      </c>
      <c r="B337" s="5" t="s">
        <v>15</v>
      </c>
      <c r="C337" s="6">
        <v>1970</v>
      </c>
      <c r="D337" s="7">
        <v>5852788</v>
      </c>
    </row>
    <row r="338" spans="1:4" x14ac:dyDescent="0.3">
      <c r="A338" s="2" t="s">
        <v>14</v>
      </c>
      <c r="B338" s="2" t="s">
        <v>15</v>
      </c>
      <c r="C338" s="3">
        <v>1971</v>
      </c>
      <c r="D338" s="4">
        <v>5991102</v>
      </c>
    </row>
    <row r="339" spans="1:4" x14ac:dyDescent="0.3">
      <c r="A339" s="5" t="s">
        <v>14</v>
      </c>
      <c r="B339" s="5" t="s">
        <v>15</v>
      </c>
      <c r="C339" s="6">
        <v>1972</v>
      </c>
      <c r="D339" s="7">
        <v>6174262</v>
      </c>
    </row>
    <row r="340" spans="1:4" x14ac:dyDescent="0.3">
      <c r="A340" s="2" t="s">
        <v>14</v>
      </c>
      <c r="B340" s="2" t="s">
        <v>15</v>
      </c>
      <c r="C340" s="3">
        <v>1973</v>
      </c>
      <c r="D340" s="4">
        <v>6388528</v>
      </c>
    </row>
    <row r="341" spans="1:4" x14ac:dyDescent="0.3">
      <c r="A341" s="5" t="s">
        <v>14</v>
      </c>
      <c r="B341" s="5" t="s">
        <v>15</v>
      </c>
      <c r="C341" s="6">
        <v>1974</v>
      </c>
      <c r="D341" s="7">
        <v>6613367</v>
      </c>
    </row>
    <row r="342" spans="1:4" x14ac:dyDescent="0.3">
      <c r="A342" s="2" t="s">
        <v>14</v>
      </c>
      <c r="B342" s="2" t="s">
        <v>15</v>
      </c>
      <c r="C342" s="3">
        <v>1975</v>
      </c>
      <c r="D342" s="4">
        <v>6842947</v>
      </c>
    </row>
    <row r="343" spans="1:4" x14ac:dyDescent="0.3">
      <c r="A343" s="5" t="s">
        <v>14</v>
      </c>
      <c r="B343" s="5" t="s">
        <v>15</v>
      </c>
      <c r="C343" s="6">
        <v>1976</v>
      </c>
      <c r="D343" s="7">
        <v>7074664</v>
      </c>
    </row>
    <row r="344" spans="1:4" x14ac:dyDescent="0.3">
      <c r="A344" s="2" t="s">
        <v>14</v>
      </c>
      <c r="B344" s="2" t="s">
        <v>15</v>
      </c>
      <c r="C344" s="3">
        <v>1977</v>
      </c>
      <c r="D344" s="4">
        <v>7317829</v>
      </c>
    </row>
    <row r="345" spans="1:4" x14ac:dyDescent="0.3">
      <c r="A345" s="5" t="s">
        <v>14</v>
      </c>
      <c r="B345" s="5" t="s">
        <v>15</v>
      </c>
      <c r="C345" s="6">
        <v>1978</v>
      </c>
      <c r="D345" s="7">
        <v>7576734</v>
      </c>
    </row>
    <row r="346" spans="1:4" x14ac:dyDescent="0.3">
      <c r="A346" s="2" t="s">
        <v>14</v>
      </c>
      <c r="B346" s="2" t="s">
        <v>15</v>
      </c>
      <c r="C346" s="3">
        <v>1979</v>
      </c>
      <c r="D346" s="4">
        <v>7847207</v>
      </c>
    </row>
    <row r="347" spans="1:4" x14ac:dyDescent="0.3">
      <c r="A347" s="5" t="s">
        <v>14</v>
      </c>
      <c r="B347" s="5" t="s">
        <v>15</v>
      </c>
      <c r="C347" s="6">
        <v>1980</v>
      </c>
      <c r="D347" s="7">
        <v>8133872</v>
      </c>
    </row>
    <row r="348" spans="1:4" x14ac:dyDescent="0.3">
      <c r="A348" s="2" t="s">
        <v>14</v>
      </c>
      <c r="B348" s="2" t="s">
        <v>15</v>
      </c>
      <c r="C348" s="3">
        <v>1981</v>
      </c>
      <c r="D348" s="4">
        <v>8435607</v>
      </c>
    </row>
    <row r="349" spans="1:4" x14ac:dyDescent="0.3">
      <c r="A349" s="5" t="s">
        <v>14</v>
      </c>
      <c r="B349" s="5" t="s">
        <v>15</v>
      </c>
      <c r="C349" s="6">
        <v>1982</v>
      </c>
      <c r="D349" s="7">
        <v>8751648</v>
      </c>
    </row>
    <row r="350" spans="1:4" x14ac:dyDescent="0.3">
      <c r="A350" s="2" t="s">
        <v>14</v>
      </c>
      <c r="B350" s="2" t="s">
        <v>15</v>
      </c>
      <c r="C350" s="3">
        <v>1983</v>
      </c>
      <c r="D350" s="4">
        <v>9082983</v>
      </c>
    </row>
    <row r="351" spans="1:4" x14ac:dyDescent="0.3">
      <c r="A351" s="5" t="s">
        <v>14</v>
      </c>
      <c r="B351" s="5" t="s">
        <v>15</v>
      </c>
      <c r="C351" s="6">
        <v>1984</v>
      </c>
      <c r="D351" s="7">
        <v>9425917</v>
      </c>
    </row>
    <row r="352" spans="1:4" x14ac:dyDescent="0.3">
      <c r="A352" s="2" t="s">
        <v>14</v>
      </c>
      <c r="B352" s="2" t="s">
        <v>15</v>
      </c>
      <c r="C352" s="3">
        <v>1985</v>
      </c>
      <c r="D352" s="4">
        <v>9779120</v>
      </c>
    </row>
    <row r="353" spans="1:4" x14ac:dyDescent="0.3">
      <c r="A353" s="5" t="s">
        <v>14</v>
      </c>
      <c r="B353" s="5" t="s">
        <v>15</v>
      </c>
      <c r="C353" s="6">
        <v>1986</v>
      </c>
      <c r="D353" s="7">
        <v>10139450</v>
      </c>
    </row>
    <row r="354" spans="1:4" x14ac:dyDescent="0.3">
      <c r="A354" s="2" t="s">
        <v>14</v>
      </c>
      <c r="B354" s="2" t="s">
        <v>15</v>
      </c>
      <c r="C354" s="3">
        <v>1987</v>
      </c>
      <c r="D354" s="4">
        <v>10497858</v>
      </c>
    </row>
    <row r="355" spans="1:4" x14ac:dyDescent="0.3">
      <c r="A355" s="5" t="s">
        <v>14</v>
      </c>
      <c r="B355" s="5" t="s">
        <v>15</v>
      </c>
      <c r="C355" s="6">
        <v>1988</v>
      </c>
      <c r="D355" s="7">
        <v>10861291</v>
      </c>
    </row>
    <row r="356" spans="1:4" x14ac:dyDescent="0.3">
      <c r="A356" s="2" t="s">
        <v>14</v>
      </c>
      <c r="B356" s="2" t="s">
        <v>15</v>
      </c>
      <c r="C356" s="3">
        <v>1989</v>
      </c>
      <c r="D356" s="4">
        <v>11238562</v>
      </c>
    </row>
    <row r="357" spans="1:4" x14ac:dyDescent="0.3">
      <c r="A357" s="5" t="s">
        <v>14</v>
      </c>
      <c r="B357" s="5" t="s">
        <v>15</v>
      </c>
      <c r="C357" s="6">
        <v>1990</v>
      </c>
      <c r="D357" s="7">
        <v>11626360</v>
      </c>
    </row>
    <row r="358" spans="1:4" x14ac:dyDescent="0.3">
      <c r="A358" s="2" t="s">
        <v>14</v>
      </c>
      <c r="B358" s="2" t="s">
        <v>15</v>
      </c>
      <c r="C358" s="3">
        <v>1991</v>
      </c>
      <c r="D358" s="4">
        <v>12023529</v>
      </c>
    </row>
    <row r="359" spans="1:4" x14ac:dyDescent="0.3">
      <c r="A359" s="5" t="s">
        <v>14</v>
      </c>
      <c r="B359" s="5" t="s">
        <v>15</v>
      </c>
      <c r="C359" s="6">
        <v>1992</v>
      </c>
      <c r="D359" s="7">
        <v>12423712</v>
      </c>
    </row>
    <row r="360" spans="1:4" x14ac:dyDescent="0.3">
      <c r="A360" s="2" t="s">
        <v>14</v>
      </c>
      <c r="B360" s="2" t="s">
        <v>15</v>
      </c>
      <c r="C360" s="3">
        <v>1993</v>
      </c>
      <c r="D360" s="4">
        <v>12827135</v>
      </c>
    </row>
    <row r="361" spans="1:4" x14ac:dyDescent="0.3">
      <c r="A361" s="5" t="s">
        <v>14</v>
      </c>
      <c r="B361" s="5" t="s">
        <v>15</v>
      </c>
      <c r="C361" s="6">
        <v>1994</v>
      </c>
      <c r="D361" s="7">
        <v>13249764</v>
      </c>
    </row>
    <row r="362" spans="1:4" x14ac:dyDescent="0.3">
      <c r="A362" s="2" t="s">
        <v>14</v>
      </c>
      <c r="B362" s="2" t="s">
        <v>15</v>
      </c>
      <c r="C362" s="3">
        <v>1995</v>
      </c>
      <c r="D362" s="4">
        <v>13699778</v>
      </c>
    </row>
    <row r="363" spans="1:4" x14ac:dyDescent="0.3">
      <c r="A363" s="5" t="s">
        <v>14</v>
      </c>
      <c r="B363" s="5" t="s">
        <v>15</v>
      </c>
      <c r="C363" s="6">
        <v>1996</v>
      </c>
      <c r="D363" s="7">
        <v>14170973</v>
      </c>
    </row>
    <row r="364" spans="1:4" x14ac:dyDescent="0.3">
      <c r="A364" s="2" t="s">
        <v>14</v>
      </c>
      <c r="B364" s="2" t="s">
        <v>15</v>
      </c>
      <c r="C364" s="3">
        <v>1997</v>
      </c>
      <c r="D364" s="4">
        <v>14660413</v>
      </c>
    </row>
    <row r="365" spans="1:4" x14ac:dyDescent="0.3">
      <c r="A365" s="5" t="s">
        <v>14</v>
      </c>
      <c r="B365" s="5" t="s">
        <v>15</v>
      </c>
      <c r="C365" s="6">
        <v>1998</v>
      </c>
      <c r="D365" s="7">
        <v>15159370</v>
      </c>
    </row>
    <row r="366" spans="1:4" x14ac:dyDescent="0.3">
      <c r="A366" s="2" t="s">
        <v>14</v>
      </c>
      <c r="B366" s="2" t="s">
        <v>15</v>
      </c>
      <c r="C366" s="3">
        <v>1999</v>
      </c>
      <c r="D366" s="4">
        <v>15667235</v>
      </c>
    </row>
    <row r="367" spans="1:4" x14ac:dyDescent="0.3">
      <c r="A367" s="5" t="s">
        <v>14</v>
      </c>
      <c r="B367" s="5" t="s">
        <v>15</v>
      </c>
      <c r="C367" s="6">
        <v>2000</v>
      </c>
      <c r="D367" s="7">
        <v>16194869</v>
      </c>
    </row>
    <row r="368" spans="1:4" x14ac:dyDescent="0.3">
      <c r="A368" s="2" t="s">
        <v>14</v>
      </c>
      <c r="B368" s="2" t="s">
        <v>15</v>
      </c>
      <c r="C368" s="3">
        <v>2001</v>
      </c>
      <c r="D368" s="4">
        <v>16747208</v>
      </c>
    </row>
    <row r="369" spans="1:4" x14ac:dyDescent="0.3">
      <c r="A369" s="5" t="s">
        <v>14</v>
      </c>
      <c r="B369" s="5" t="s">
        <v>15</v>
      </c>
      <c r="C369" s="6">
        <v>2002</v>
      </c>
      <c r="D369" s="7">
        <v>17327699</v>
      </c>
    </row>
    <row r="370" spans="1:4" x14ac:dyDescent="0.3">
      <c r="A370" s="2" t="s">
        <v>14</v>
      </c>
      <c r="B370" s="2" t="s">
        <v>15</v>
      </c>
      <c r="C370" s="3">
        <v>2003</v>
      </c>
      <c r="D370" s="4">
        <v>17943712</v>
      </c>
    </row>
    <row r="371" spans="1:4" x14ac:dyDescent="0.3">
      <c r="A371" s="5" t="s">
        <v>14</v>
      </c>
      <c r="B371" s="5" t="s">
        <v>15</v>
      </c>
      <c r="C371" s="6">
        <v>2004</v>
      </c>
      <c r="D371" s="7">
        <v>18600423</v>
      </c>
    </row>
    <row r="372" spans="1:4" x14ac:dyDescent="0.3">
      <c r="A372" s="2" t="s">
        <v>14</v>
      </c>
      <c r="B372" s="2" t="s">
        <v>15</v>
      </c>
      <c r="C372" s="3">
        <v>2005</v>
      </c>
      <c r="D372" s="4">
        <v>19291161</v>
      </c>
    </row>
    <row r="373" spans="1:4" x14ac:dyDescent="0.3">
      <c r="A373" s="5" t="s">
        <v>14</v>
      </c>
      <c r="B373" s="5" t="s">
        <v>15</v>
      </c>
      <c r="C373" s="6">
        <v>2006</v>
      </c>
      <c r="D373" s="7">
        <v>20015279</v>
      </c>
    </row>
    <row r="374" spans="1:4" x14ac:dyDescent="0.3">
      <c r="A374" s="2" t="s">
        <v>14</v>
      </c>
      <c r="B374" s="2" t="s">
        <v>15</v>
      </c>
      <c r="C374" s="3">
        <v>2007</v>
      </c>
      <c r="D374" s="4">
        <v>20778561</v>
      </c>
    </row>
    <row r="375" spans="1:4" x14ac:dyDescent="0.3">
      <c r="A375" s="5" t="s">
        <v>14</v>
      </c>
      <c r="B375" s="5" t="s">
        <v>15</v>
      </c>
      <c r="C375" s="6">
        <v>2008</v>
      </c>
      <c r="D375" s="7">
        <v>21578655</v>
      </c>
    </row>
    <row r="376" spans="1:4" x14ac:dyDescent="0.3">
      <c r="A376" s="2" t="s">
        <v>14</v>
      </c>
      <c r="B376" s="2" t="s">
        <v>15</v>
      </c>
      <c r="C376" s="3">
        <v>2009</v>
      </c>
      <c r="D376" s="4">
        <v>22414773</v>
      </c>
    </row>
    <row r="377" spans="1:4" x14ac:dyDescent="0.3">
      <c r="A377" s="5" t="s">
        <v>14</v>
      </c>
      <c r="B377" s="5" t="s">
        <v>15</v>
      </c>
      <c r="C377" s="6">
        <v>2010</v>
      </c>
      <c r="D377" s="7">
        <v>23294825</v>
      </c>
    </row>
    <row r="378" spans="1:4" x14ac:dyDescent="0.3">
      <c r="A378" s="2" t="s">
        <v>14</v>
      </c>
      <c r="B378" s="2" t="s">
        <v>15</v>
      </c>
      <c r="C378" s="3">
        <v>2011</v>
      </c>
      <c r="D378" s="4">
        <v>24218352</v>
      </c>
    </row>
    <row r="379" spans="1:4" x14ac:dyDescent="0.3">
      <c r="A379" s="5" t="s">
        <v>14</v>
      </c>
      <c r="B379" s="5" t="s">
        <v>15</v>
      </c>
      <c r="C379" s="6">
        <v>2012</v>
      </c>
      <c r="D379" s="7">
        <v>25177394</v>
      </c>
    </row>
    <row r="380" spans="1:4" x14ac:dyDescent="0.3">
      <c r="A380" s="2" t="s">
        <v>14</v>
      </c>
      <c r="B380" s="2" t="s">
        <v>15</v>
      </c>
      <c r="C380" s="3">
        <v>2013</v>
      </c>
      <c r="D380" s="4">
        <v>26165620</v>
      </c>
    </row>
    <row r="381" spans="1:4" x14ac:dyDescent="0.3">
      <c r="A381" s="5" t="s">
        <v>14</v>
      </c>
      <c r="B381" s="5" t="s">
        <v>15</v>
      </c>
      <c r="C381" s="6">
        <v>2014</v>
      </c>
      <c r="D381" s="7">
        <v>27160769</v>
      </c>
    </row>
    <row r="382" spans="1:4" x14ac:dyDescent="0.3">
      <c r="A382" s="2" t="s">
        <v>14</v>
      </c>
      <c r="B382" s="2" t="s">
        <v>15</v>
      </c>
      <c r="C382" s="3">
        <v>2015</v>
      </c>
      <c r="D382" s="4">
        <v>28157798</v>
      </c>
    </row>
    <row r="383" spans="1:4" x14ac:dyDescent="0.3">
      <c r="A383" s="5" t="s">
        <v>14</v>
      </c>
      <c r="B383" s="5" t="s">
        <v>15</v>
      </c>
      <c r="C383" s="6">
        <v>2016</v>
      </c>
      <c r="D383" s="7">
        <v>29183070</v>
      </c>
    </row>
    <row r="384" spans="1:4" x14ac:dyDescent="0.3">
      <c r="A384" s="2" t="s">
        <v>14</v>
      </c>
      <c r="B384" s="2" t="s">
        <v>15</v>
      </c>
      <c r="C384" s="3">
        <v>2017</v>
      </c>
      <c r="D384" s="4">
        <v>30234839</v>
      </c>
    </row>
    <row r="385" spans="1:4" x14ac:dyDescent="0.3">
      <c r="A385" s="5" t="s">
        <v>14</v>
      </c>
      <c r="B385" s="5" t="s">
        <v>15</v>
      </c>
      <c r="C385" s="6">
        <v>2018</v>
      </c>
      <c r="D385" s="7">
        <v>31297155</v>
      </c>
    </row>
    <row r="386" spans="1:4" x14ac:dyDescent="0.3">
      <c r="A386" s="2" t="s">
        <v>14</v>
      </c>
      <c r="B386" s="2" t="s">
        <v>15</v>
      </c>
      <c r="C386" s="3">
        <v>2019</v>
      </c>
      <c r="D386" s="4">
        <v>32375632</v>
      </c>
    </row>
    <row r="387" spans="1:4" x14ac:dyDescent="0.3">
      <c r="A387" s="5" t="s">
        <v>14</v>
      </c>
      <c r="B387" s="5" t="s">
        <v>15</v>
      </c>
      <c r="C387" s="6">
        <v>2020</v>
      </c>
      <c r="D387" s="7">
        <v>33451132</v>
      </c>
    </row>
    <row r="388" spans="1:4" x14ac:dyDescent="0.3">
      <c r="A388" s="2" t="s">
        <v>14</v>
      </c>
      <c r="B388" s="2" t="s">
        <v>15</v>
      </c>
      <c r="C388" s="3">
        <v>2021</v>
      </c>
      <c r="D388" s="4">
        <v>34532429</v>
      </c>
    </row>
    <row r="389" spans="1:4" x14ac:dyDescent="0.3">
      <c r="A389" s="5" t="s">
        <v>14</v>
      </c>
      <c r="B389" s="5" t="s">
        <v>15</v>
      </c>
      <c r="C389" s="6">
        <v>2022</v>
      </c>
      <c r="D389" s="7">
        <v>35635029</v>
      </c>
    </row>
    <row r="390" spans="1:4" x14ac:dyDescent="0.3">
      <c r="A390" s="2" t="s">
        <v>14</v>
      </c>
      <c r="B390" s="2" t="s">
        <v>15</v>
      </c>
      <c r="C390" s="3">
        <v>2023</v>
      </c>
      <c r="D390" s="4">
        <v>36749906</v>
      </c>
    </row>
    <row r="391" spans="1:4" x14ac:dyDescent="0.3">
      <c r="A391" s="5" t="s">
        <v>14</v>
      </c>
      <c r="B391" s="5" t="s">
        <v>15</v>
      </c>
      <c r="C391" s="6">
        <v>2024</v>
      </c>
      <c r="D391" s="7">
        <v>37885849</v>
      </c>
    </row>
    <row r="392" spans="1:4" x14ac:dyDescent="0.3">
      <c r="A392" s="2" t="s">
        <v>16</v>
      </c>
      <c r="B392" s="2" t="s">
        <v>17</v>
      </c>
      <c r="C392" s="3">
        <v>1960</v>
      </c>
      <c r="D392" s="4">
        <v>55603</v>
      </c>
    </row>
    <row r="393" spans="1:4" x14ac:dyDescent="0.3">
      <c r="A393" s="5" t="s">
        <v>16</v>
      </c>
      <c r="B393" s="5" t="s">
        <v>17</v>
      </c>
      <c r="C393" s="6">
        <v>1961</v>
      </c>
      <c r="D393" s="7">
        <v>56540</v>
      </c>
    </row>
    <row r="394" spans="1:4" x14ac:dyDescent="0.3">
      <c r="A394" s="2" t="s">
        <v>16</v>
      </c>
      <c r="B394" s="2" t="s">
        <v>17</v>
      </c>
      <c r="C394" s="3">
        <v>1962</v>
      </c>
      <c r="D394" s="4">
        <v>57336</v>
      </c>
    </row>
    <row r="395" spans="1:4" x14ac:dyDescent="0.3">
      <c r="A395" s="5" t="s">
        <v>16</v>
      </c>
      <c r="B395" s="5" t="s">
        <v>17</v>
      </c>
      <c r="C395" s="6">
        <v>1963</v>
      </c>
      <c r="D395" s="7">
        <v>58138</v>
      </c>
    </row>
    <row r="396" spans="1:4" x14ac:dyDescent="0.3">
      <c r="A396" s="2" t="s">
        <v>16</v>
      </c>
      <c r="B396" s="2" t="s">
        <v>17</v>
      </c>
      <c r="C396" s="3">
        <v>1964</v>
      </c>
      <c r="D396" s="4">
        <v>59020</v>
      </c>
    </row>
    <row r="397" spans="1:4" x14ac:dyDescent="0.3">
      <c r="A397" s="5" t="s">
        <v>16</v>
      </c>
      <c r="B397" s="5" t="s">
        <v>17</v>
      </c>
      <c r="C397" s="6">
        <v>1965</v>
      </c>
      <c r="D397" s="7">
        <v>59970</v>
      </c>
    </row>
    <row r="398" spans="1:4" x14ac:dyDescent="0.3">
      <c r="A398" s="2" t="s">
        <v>16</v>
      </c>
      <c r="B398" s="2" t="s">
        <v>17</v>
      </c>
      <c r="C398" s="3">
        <v>1966</v>
      </c>
      <c r="D398" s="4">
        <v>60900</v>
      </c>
    </row>
    <row r="399" spans="1:4" x14ac:dyDescent="0.3">
      <c r="A399" s="5" t="s">
        <v>16</v>
      </c>
      <c r="B399" s="5" t="s">
        <v>17</v>
      </c>
      <c r="C399" s="6">
        <v>1967</v>
      </c>
      <c r="D399" s="7">
        <v>61837</v>
      </c>
    </row>
    <row r="400" spans="1:4" x14ac:dyDescent="0.3">
      <c r="A400" s="2" t="s">
        <v>16</v>
      </c>
      <c r="B400" s="2" t="s">
        <v>17</v>
      </c>
      <c r="C400" s="3">
        <v>1968</v>
      </c>
      <c r="D400" s="4">
        <v>62809</v>
      </c>
    </row>
    <row r="401" spans="1:4" x14ac:dyDescent="0.3">
      <c r="A401" s="5" t="s">
        <v>16</v>
      </c>
      <c r="B401" s="5" t="s">
        <v>17</v>
      </c>
      <c r="C401" s="6">
        <v>1969</v>
      </c>
      <c r="D401" s="7">
        <v>63819</v>
      </c>
    </row>
    <row r="402" spans="1:4" x14ac:dyDescent="0.3">
      <c r="A402" s="2" t="s">
        <v>16</v>
      </c>
      <c r="B402" s="2" t="s">
        <v>17</v>
      </c>
      <c r="C402" s="3">
        <v>1970</v>
      </c>
      <c r="D402" s="4">
        <v>64528</v>
      </c>
    </row>
    <row r="403" spans="1:4" x14ac:dyDescent="0.3">
      <c r="A403" s="5" t="s">
        <v>16</v>
      </c>
      <c r="B403" s="5" t="s">
        <v>17</v>
      </c>
      <c r="C403" s="6">
        <v>1971</v>
      </c>
      <c r="D403" s="7">
        <v>64729</v>
      </c>
    </row>
    <row r="404" spans="1:4" x14ac:dyDescent="0.3">
      <c r="A404" s="2" t="s">
        <v>16</v>
      </c>
      <c r="B404" s="2" t="s">
        <v>17</v>
      </c>
      <c r="C404" s="3">
        <v>1972</v>
      </c>
      <c r="D404" s="4">
        <v>64615</v>
      </c>
    </row>
    <row r="405" spans="1:4" x14ac:dyDescent="0.3">
      <c r="A405" s="5" t="s">
        <v>16</v>
      </c>
      <c r="B405" s="5" t="s">
        <v>17</v>
      </c>
      <c r="C405" s="6">
        <v>1973</v>
      </c>
      <c r="D405" s="7">
        <v>64342</v>
      </c>
    </row>
    <row r="406" spans="1:4" x14ac:dyDescent="0.3">
      <c r="A406" s="2" t="s">
        <v>16</v>
      </c>
      <c r="B406" s="2" t="s">
        <v>17</v>
      </c>
      <c r="C406" s="3">
        <v>1974</v>
      </c>
      <c r="D406" s="4">
        <v>64058</v>
      </c>
    </row>
    <row r="407" spans="1:4" x14ac:dyDescent="0.3">
      <c r="A407" s="5" t="s">
        <v>16</v>
      </c>
      <c r="B407" s="5" t="s">
        <v>17</v>
      </c>
      <c r="C407" s="6">
        <v>1975</v>
      </c>
      <c r="D407" s="7">
        <v>63839</v>
      </c>
    </row>
    <row r="408" spans="1:4" x14ac:dyDescent="0.3">
      <c r="A408" s="2" t="s">
        <v>16</v>
      </c>
      <c r="B408" s="2" t="s">
        <v>17</v>
      </c>
      <c r="C408" s="3">
        <v>1976</v>
      </c>
      <c r="D408" s="4">
        <v>63762</v>
      </c>
    </row>
    <row r="409" spans="1:4" x14ac:dyDescent="0.3">
      <c r="A409" s="5" t="s">
        <v>16</v>
      </c>
      <c r="B409" s="5" t="s">
        <v>17</v>
      </c>
      <c r="C409" s="6">
        <v>1977</v>
      </c>
      <c r="D409" s="7">
        <v>63862</v>
      </c>
    </row>
    <row r="410" spans="1:4" x14ac:dyDescent="0.3">
      <c r="A410" s="2" t="s">
        <v>16</v>
      </c>
      <c r="B410" s="2" t="s">
        <v>17</v>
      </c>
      <c r="C410" s="3">
        <v>1978</v>
      </c>
      <c r="D410" s="4">
        <v>64038</v>
      </c>
    </row>
    <row r="411" spans="1:4" x14ac:dyDescent="0.3">
      <c r="A411" s="5" t="s">
        <v>16</v>
      </c>
      <c r="B411" s="5" t="s">
        <v>17</v>
      </c>
      <c r="C411" s="6">
        <v>1979</v>
      </c>
      <c r="D411" s="7">
        <v>64274</v>
      </c>
    </row>
    <row r="412" spans="1:4" x14ac:dyDescent="0.3">
      <c r="A412" s="2" t="s">
        <v>16</v>
      </c>
      <c r="B412" s="2" t="s">
        <v>17</v>
      </c>
      <c r="C412" s="3">
        <v>1980</v>
      </c>
      <c r="D412" s="4">
        <v>64513</v>
      </c>
    </row>
    <row r="413" spans="1:4" x14ac:dyDescent="0.3">
      <c r="A413" s="5" t="s">
        <v>16</v>
      </c>
      <c r="B413" s="5" t="s">
        <v>17</v>
      </c>
      <c r="C413" s="6">
        <v>1981</v>
      </c>
      <c r="D413" s="7">
        <v>64665</v>
      </c>
    </row>
    <row r="414" spans="1:4" x14ac:dyDescent="0.3">
      <c r="A414" s="2" t="s">
        <v>16</v>
      </c>
      <c r="B414" s="2" t="s">
        <v>17</v>
      </c>
      <c r="C414" s="3">
        <v>1982</v>
      </c>
      <c r="D414" s="4">
        <v>64785</v>
      </c>
    </row>
    <row r="415" spans="1:4" x14ac:dyDescent="0.3">
      <c r="A415" s="5" t="s">
        <v>16</v>
      </c>
      <c r="B415" s="5" t="s">
        <v>17</v>
      </c>
      <c r="C415" s="6">
        <v>1983</v>
      </c>
      <c r="D415" s="7">
        <v>64934</v>
      </c>
    </row>
    <row r="416" spans="1:4" x14ac:dyDescent="0.3">
      <c r="A416" s="2" t="s">
        <v>16</v>
      </c>
      <c r="B416" s="2" t="s">
        <v>17</v>
      </c>
      <c r="C416" s="3">
        <v>1984</v>
      </c>
      <c r="D416" s="4">
        <v>64882</v>
      </c>
    </row>
    <row r="417" spans="1:4" x14ac:dyDescent="0.3">
      <c r="A417" s="5" t="s">
        <v>16</v>
      </c>
      <c r="B417" s="5" t="s">
        <v>17</v>
      </c>
      <c r="C417" s="6">
        <v>1985</v>
      </c>
      <c r="D417" s="7">
        <v>64591</v>
      </c>
    </row>
    <row r="418" spans="1:4" x14ac:dyDescent="0.3">
      <c r="A418" s="2" t="s">
        <v>16</v>
      </c>
      <c r="B418" s="2" t="s">
        <v>17</v>
      </c>
      <c r="C418" s="3">
        <v>1986</v>
      </c>
      <c r="D418" s="4">
        <v>64276</v>
      </c>
    </row>
    <row r="419" spans="1:4" x14ac:dyDescent="0.3">
      <c r="A419" s="5" t="s">
        <v>16</v>
      </c>
      <c r="B419" s="5" t="s">
        <v>17</v>
      </c>
      <c r="C419" s="6">
        <v>1987</v>
      </c>
      <c r="D419" s="7">
        <v>63946</v>
      </c>
    </row>
    <row r="420" spans="1:4" x14ac:dyDescent="0.3">
      <c r="A420" s="2" t="s">
        <v>16</v>
      </c>
      <c r="B420" s="2" t="s">
        <v>17</v>
      </c>
      <c r="C420" s="3">
        <v>1988</v>
      </c>
      <c r="D420" s="4">
        <v>63623</v>
      </c>
    </row>
    <row r="421" spans="1:4" x14ac:dyDescent="0.3">
      <c r="A421" s="5" t="s">
        <v>16</v>
      </c>
      <c r="B421" s="5" t="s">
        <v>17</v>
      </c>
      <c r="C421" s="6">
        <v>1989</v>
      </c>
      <c r="D421" s="7">
        <v>63325</v>
      </c>
    </row>
    <row r="422" spans="1:4" x14ac:dyDescent="0.3">
      <c r="A422" s="2" t="s">
        <v>16</v>
      </c>
      <c r="B422" s="2" t="s">
        <v>17</v>
      </c>
      <c r="C422" s="3">
        <v>1990</v>
      </c>
      <c r="D422" s="4">
        <v>63066</v>
      </c>
    </row>
    <row r="423" spans="1:4" x14ac:dyDescent="0.3">
      <c r="A423" s="5" t="s">
        <v>16</v>
      </c>
      <c r="B423" s="5" t="s">
        <v>17</v>
      </c>
      <c r="C423" s="6">
        <v>1991</v>
      </c>
      <c r="D423" s="7">
        <v>63387</v>
      </c>
    </row>
    <row r="424" spans="1:4" x14ac:dyDescent="0.3">
      <c r="A424" s="2" t="s">
        <v>16</v>
      </c>
      <c r="B424" s="2" t="s">
        <v>17</v>
      </c>
      <c r="C424" s="3">
        <v>1992</v>
      </c>
      <c r="D424" s="4">
        <v>64404</v>
      </c>
    </row>
    <row r="425" spans="1:4" x14ac:dyDescent="0.3">
      <c r="A425" s="5" t="s">
        <v>16</v>
      </c>
      <c r="B425" s="5" t="s">
        <v>17</v>
      </c>
      <c r="C425" s="6">
        <v>1993</v>
      </c>
      <c r="D425" s="7">
        <v>65587</v>
      </c>
    </row>
    <row r="426" spans="1:4" x14ac:dyDescent="0.3">
      <c r="A426" s="2" t="s">
        <v>16</v>
      </c>
      <c r="B426" s="2" t="s">
        <v>17</v>
      </c>
      <c r="C426" s="3">
        <v>1994</v>
      </c>
      <c r="D426" s="4">
        <v>66843</v>
      </c>
    </row>
    <row r="427" spans="1:4" x14ac:dyDescent="0.3">
      <c r="A427" s="5" t="s">
        <v>16</v>
      </c>
      <c r="B427" s="5" t="s">
        <v>17</v>
      </c>
      <c r="C427" s="6">
        <v>1995</v>
      </c>
      <c r="D427" s="7">
        <v>68189</v>
      </c>
    </row>
    <row r="428" spans="1:4" x14ac:dyDescent="0.3">
      <c r="A428" s="2" t="s">
        <v>16</v>
      </c>
      <c r="B428" s="2" t="s">
        <v>17</v>
      </c>
      <c r="C428" s="3">
        <v>1996</v>
      </c>
      <c r="D428" s="4">
        <v>69612</v>
      </c>
    </row>
    <row r="429" spans="1:4" x14ac:dyDescent="0.3">
      <c r="A429" s="5" t="s">
        <v>16</v>
      </c>
      <c r="B429" s="5" t="s">
        <v>17</v>
      </c>
      <c r="C429" s="6">
        <v>1997</v>
      </c>
      <c r="D429" s="7">
        <v>71053</v>
      </c>
    </row>
    <row r="430" spans="1:4" x14ac:dyDescent="0.3">
      <c r="A430" s="2" t="s">
        <v>16</v>
      </c>
      <c r="B430" s="2" t="s">
        <v>17</v>
      </c>
      <c r="C430" s="3">
        <v>1998</v>
      </c>
      <c r="D430" s="4">
        <v>72412</v>
      </c>
    </row>
    <row r="431" spans="1:4" x14ac:dyDescent="0.3">
      <c r="A431" s="5" t="s">
        <v>16</v>
      </c>
      <c r="B431" s="5" t="s">
        <v>17</v>
      </c>
      <c r="C431" s="6">
        <v>1999</v>
      </c>
      <c r="D431" s="7">
        <v>73666</v>
      </c>
    </row>
    <row r="432" spans="1:4" x14ac:dyDescent="0.3">
      <c r="A432" s="2" t="s">
        <v>16</v>
      </c>
      <c r="B432" s="2" t="s">
        <v>17</v>
      </c>
      <c r="C432" s="3">
        <v>2000</v>
      </c>
      <c r="D432" s="4">
        <v>74912</v>
      </c>
    </row>
    <row r="433" spans="1:4" x14ac:dyDescent="0.3">
      <c r="A433" s="5" t="s">
        <v>16</v>
      </c>
      <c r="B433" s="5" t="s">
        <v>17</v>
      </c>
      <c r="C433" s="6">
        <v>2001</v>
      </c>
      <c r="D433" s="7">
        <v>76069</v>
      </c>
    </row>
    <row r="434" spans="1:4" x14ac:dyDescent="0.3">
      <c r="A434" s="2" t="s">
        <v>16</v>
      </c>
      <c r="B434" s="2" t="s">
        <v>17</v>
      </c>
      <c r="C434" s="3">
        <v>2002</v>
      </c>
      <c r="D434" s="4">
        <v>77032</v>
      </c>
    </row>
    <row r="435" spans="1:4" x14ac:dyDescent="0.3">
      <c r="A435" s="5" t="s">
        <v>16</v>
      </c>
      <c r="B435" s="5" t="s">
        <v>17</v>
      </c>
      <c r="C435" s="6">
        <v>2003</v>
      </c>
      <c r="D435" s="7">
        <v>77884</v>
      </c>
    </row>
    <row r="436" spans="1:4" x14ac:dyDescent="0.3">
      <c r="A436" s="2" t="s">
        <v>16</v>
      </c>
      <c r="B436" s="2" t="s">
        <v>17</v>
      </c>
      <c r="C436" s="3">
        <v>2004</v>
      </c>
      <c r="D436" s="4">
        <v>78719</v>
      </c>
    </row>
    <row r="437" spans="1:4" x14ac:dyDescent="0.3">
      <c r="A437" s="5" t="s">
        <v>16</v>
      </c>
      <c r="B437" s="5" t="s">
        <v>17</v>
      </c>
      <c r="C437" s="6">
        <v>2005</v>
      </c>
      <c r="D437" s="7">
        <v>79611</v>
      </c>
    </row>
    <row r="438" spans="1:4" x14ac:dyDescent="0.3">
      <c r="A438" s="2" t="s">
        <v>16</v>
      </c>
      <c r="B438" s="2" t="s">
        <v>17</v>
      </c>
      <c r="C438" s="3">
        <v>2006</v>
      </c>
      <c r="D438" s="4">
        <v>80604</v>
      </c>
    </row>
    <row r="439" spans="1:4" x14ac:dyDescent="0.3">
      <c r="A439" s="5" t="s">
        <v>16</v>
      </c>
      <c r="B439" s="5" t="s">
        <v>17</v>
      </c>
      <c r="C439" s="6">
        <v>2007</v>
      </c>
      <c r="D439" s="7">
        <v>81704</v>
      </c>
    </row>
    <row r="440" spans="1:4" x14ac:dyDescent="0.3">
      <c r="A440" s="2" t="s">
        <v>16</v>
      </c>
      <c r="B440" s="2" t="s">
        <v>17</v>
      </c>
      <c r="C440" s="3">
        <v>2008</v>
      </c>
      <c r="D440" s="4">
        <v>82912</v>
      </c>
    </row>
    <row r="441" spans="1:4" x14ac:dyDescent="0.3">
      <c r="A441" s="5" t="s">
        <v>16</v>
      </c>
      <c r="B441" s="5" t="s">
        <v>17</v>
      </c>
      <c r="C441" s="6">
        <v>2009</v>
      </c>
      <c r="D441" s="7">
        <v>84173</v>
      </c>
    </row>
    <row r="442" spans="1:4" x14ac:dyDescent="0.3">
      <c r="A442" s="2" t="s">
        <v>16</v>
      </c>
      <c r="B442" s="2" t="s">
        <v>17</v>
      </c>
      <c r="C442" s="3">
        <v>2010</v>
      </c>
      <c r="D442" s="4">
        <v>85320</v>
      </c>
    </row>
    <row r="443" spans="1:4" x14ac:dyDescent="0.3">
      <c r="A443" s="5" t="s">
        <v>16</v>
      </c>
      <c r="B443" s="5" t="s">
        <v>17</v>
      </c>
      <c r="C443" s="6">
        <v>2011</v>
      </c>
      <c r="D443" s="7">
        <v>86332</v>
      </c>
    </row>
    <row r="444" spans="1:4" x14ac:dyDescent="0.3">
      <c r="A444" s="2" t="s">
        <v>16</v>
      </c>
      <c r="B444" s="2" t="s">
        <v>17</v>
      </c>
      <c r="C444" s="3">
        <v>2012</v>
      </c>
      <c r="D444" s="4">
        <v>87260</v>
      </c>
    </row>
    <row r="445" spans="1:4" x14ac:dyDescent="0.3">
      <c r="A445" s="5" t="s">
        <v>16</v>
      </c>
      <c r="B445" s="5" t="s">
        <v>17</v>
      </c>
      <c r="C445" s="6">
        <v>2013</v>
      </c>
      <c r="D445" s="7">
        <v>88064</v>
      </c>
    </row>
    <row r="446" spans="1:4" x14ac:dyDescent="0.3">
      <c r="A446" s="2" t="s">
        <v>16</v>
      </c>
      <c r="B446" s="2" t="s">
        <v>17</v>
      </c>
      <c r="C446" s="3">
        <v>2014</v>
      </c>
      <c r="D446" s="4">
        <v>88765</v>
      </c>
    </row>
    <row r="447" spans="1:4" x14ac:dyDescent="0.3">
      <c r="A447" s="5" t="s">
        <v>16</v>
      </c>
      <c r="B447" s="5" t="s">
        <v>17</v>
      </c>
      <c r="C447" s="6">
        <v>2015</v>
      </c>
      <c r="D447" s="7">
        <v>89409</v>
      </c>
    </row>
    <row r="448" spans="1:4" x14ac:dyDescent="0.3">
      <c r="A448" s="2" t="s">
        <v>16</v>
      </c>
      <c r="B448" s="2" t="s">
        <v>17</v>
      </c>
      <c r="C448" s="3">
        <v>2016</v>
      </c>
      <c r="D448" s="4">
        <v>89969</v>
      </c>
    </row>
    <row r="449" spans="1:7" x14ac:dyDescent="0.3">
      <c r="A449" s="5" t="s">
        <v>16</v>
      </c>
      <c r="B449" s="5" t="s">
        <v>17</v>
      </c>
      <c r="C449" s="6">
        <v>2017</v>
      </c>
      <c r="D449" s="7">
        <v>90468</v>
      </c>
    </row>
    <row r="450" spans="1:7" x14ac:dyDescent="0.3">
      <c r="A450" s="2" t="s">
        <v>16</v>
      </c>
      <c r="B450" s="2" t="s">
        <v>17</v>
      </c>
      <c r="C450" s="3">
        <v>2018</v>
      </c>
      <c r="D450" s="4">
        <v>90926</v>
      </c>
    </row>
    <row r="451" spans="1:7" x14ac:dyDescent="0.3">
      <c r="A451" s="5" t="s">
        <v>16</v>
      </c>
      <c r="B451" s="5" t="s">
        <v>17</v>
      </c>
      <c r="C451" s="6">
        <v>2019</v>
      </c>
      <c r="D451" s="7">
        <v>91364</v>
      </c>
    </row>
    <row r="452" spans="1:7" x14ac:dyDescent="0.3">
      <c r="A452" s="2" t="s">
        <v>16</v>
      </c>
      <c r="B452" s="2" t="s">
        <v>17</v>
      </c>
      <c r="C452" s="3">
        <v>2020</v>
      </c>
      <c r="D452" s="4">
        <v>91846</v>
      </c>
    </row>
    <row r="453" spans="1:7" x14ac:dyDescent="0.3">
      <c r="A453" s="5" t="s">
        <v>16</v>
      </c>
      <c r="B453" s="5" t="s">
        <v>17</v>
      </c>
      <c r="C453" s="6">
        <v>2021</v>
      </c>
      <c r="D453" s="7">
        <v>92349</v>
      </c>
    </row>
    <row r="454" spans="1:7" x14ac:dyDescent="0.3">
      <c r="A454" s="2" t="s">
        <v>16</v>
      </c>
      <c r="B454" s="2" t="s">
        <v>17</v>
      </c>
      <c r="C454" s="3">
        <v>2022</v>
      </c>
      <c r="D454" s="4">
        <v>92840</v>
      </c>
    </row>
    <row r="455" spans="1:7" x14ac:dyDescent="0.3">
      <c r="A455" s="5" t="s">
        <v>16</v>
      </c>
      <c r="B455" s="5" t="s">
        <v>17</v>
      </c>
      <c r="C455" s="6">
        <v>2023</v>
      </c>
      <c r="D455" s="7">
        <v>93316</v>
      </c>
    </row>
    <row r="456" spans="1:7" x14ac:dyDescent="0.3">
      <c r="A456" s="2" t="s">
        <v>16</v>
      </c>
      <c r="B456" s="2" t="s">
        <v>17</v>
      </c>
      <c r="C456" s="3">
        <v>2024</v>
      </c>
      <c r="D456" s="4">
        <v>93772</v>
      </c>
      <c r="G456" s="9"/>
    </row>
    <row r="457" spans="1:7" x14ac:dyDescent="0.3">
      <c r="A457" s="5" t="s">
        <v>18</v>
      </c>
      <c r="B457" s="5" t="s">
        <v>19</v>
      </c>
      <c r="C457" s="6">
        <v>1960</v>
      </c>
      <c r="D457" s="7">
        <v>20386045</v>
      </c>
    </row>
    <row r="458" spans="1:7" x14ac:dyDescent="0.3">
      <c r="A458" s="2" t="s">
        <v>18</v>
      </c>
      <c r="B458" s="2" t="s">
        <v>19</v>
      </c>
      <c r="C458" s="3">
        <v>1961</v>
      </c>
      <c r="D458" s="4">
        <v>20726276</v>
      </c>
    </row>
    <row r="459" spans="1:7" x14ac:dyDescent="0.3">
      <c r="A459" s="5" t="s">
        <v>18</v>
      </c>
      <c r="B459" s="5" t="s">
        <v>19</v>
      </c>
      <c r="C459" s="6">
        <v>1962</v>
      </c>
      <c r="D459" s="7">
        <v>21072538</v>
      </c>
    </row>
    <row r="460" spans="1:7" x14ac:dyDescent="0.3">
      <c r="A460" s="2" t="s">
        <v>18</v>
      </c>
      <c r="B460" s="2" t="s">
        <v>19</v>
      </c>
      <c r="C460" s="3">
        <v>1963</v>
      </c>
      <c r="D460" s="4">
        <v>21421705</v>
      </c>
    </row>
    <row r="461" spans="1:7" x14ac:dyDescent="0.3">
      <c r="A461" s="5" t="s">
        <v>18</v>
      </c>
      <c r="B461" s="5" t="s">
        <v>19</v>
      </c>
      <c r="C461" s="6">
        <v>1964</v>
      </c>
      <c r="D461" s="7">
        <v>21769453</v>
      </c>
    </row>
    <row r="462" spans="1:7" x14ac:dyDescent="0.3">
      <c r="A462" s="2" t="s">
        <v>18</v>
      </c>
      <c r="B462" s="2" t="s">
        <v>19</v>
      </c>
      <c r="C462" s="3">
        <v>1965</v>
      </c>
      <c r="D462" s="4">
        <v>22112629</v>
      </c>
    </row>
    <row r="463" spans="1:7" x14ac:dyDescent="0.3">
      <c r="A463" s="5" t="s">
        <v>18</v>
      </c>
      <c r="B463" s="5" t="s">
        <v>19</v>
      </c>
      <c r="C463" s="6">
        <v>1966</v>
      </c>
      <c r="D463" s="7">
        <v>22453893</v>
      </c>
    </row>
    <row r="464" spans="1:7" x14ac:dyDescent="0.3">
      <c r="A464" s="2" t="s">
        <v>18</v>
      </c>
      <c r="B464" s="2" t="s">
        <v>19</v>
      </c>
      <c r="C464" s="3">
        <v>1967</v>
      </c>
      <c r="D464" s="4">
        <v>22799059</v>
      </c>
    </row>
    <row r="465" spans="1:4" x14ac:dyDescent="0.3">
      <c r="A465" s="5" t="s">
        <v>18</v>
      </c>
      <c r="B465" s="5" t="s">
        <v>19</v>
      </c>
      <c r="C465" s="6">
        <v>1968</v>
      </c>
      <c r="D465" s="7">
        <v>23150583</v>
      </c>
    </row>
    <row r="466" spans="1:4" x14ac:dyDescent="0.3">
      <c r="A466" s="2" t="s">
        <v>18</v>
      </c>
      <c r="B466" s="2" t="s">
        <v>19</v>
      </c>
      <c r="C466" s="3">
        <v>1969</v>
      </c>
      <c r="D466" s="4">
        <v>23508711</v>
      </c>
    </row>
    <row r="467" spans="1:4" x14ac:dyDescent="0.3">
      <c r="A467" s="5" t="s">
        <v>18</v>
      </c>
      <c r="B467" s="5" t="s">
        <v>19</v>
      </c>
      <c r="C467" s="6">
        <v>1970</v>
      </c>
      <c r="D467" s="7">
        <v>23878327</v>
      </c>
    </row>
    <row r="468" spans="1:4" x14ac:dyDescent="0.3">
      <c r="A468" s="2" t="s">
        <v>18</v>
      </c>
      <c r="B468" s="2" t="s">
        <v>19</v>
      </c>
      <c r="C468" s="3">
        <v>1971</v>
      </c>
      <c r="D468" s="4">
        <v>24257208</v>
      </c>
    </row>
    <row r="469" spans="1:4" x14ac:dyDescent="0.3">
      <c r="A469" s="5" t="s">
        <v>18</v>
      </c>
      <c r="B469" s="5" t="s">
        <v>19</v>
      </c>
      <c r="C469" s="6">
        <v>1972</v>
      </c>
      <c r="D469" s="7">
        <v>24644328</v>
      </c>
    </row>
    <row r="470" spans="1:4" x14ac:dyDescent="0.3">
      <c r="A470" s="2" t="s">
        <v>18</v>
      </c>
      <c r="B470" s="2" t="s">
        <v>19</v>
      </c>
      <c r="C470" s="3">
        <v>1973</v>
      </c>
      <c r="D470" s="4">
        <v>25046005</v>
      </c>
    </row>
    <row r="471" spans="1:4" x14ac:dyDescent="0.3">
      <c r="A471" s="5" t="s">
        <v>18</v>
      </c>
      <c r="B471" s="5" t="s">
        <v>19</v>
      </c>
      <c r="C471" s="6">
        <v>1974</v>
      </c>
      <c r="D471" s="7">
        <v>25461351</v>
      </c>
    </row>
    <row r="472" spans="1:4" x14ac:dyDescent="0.3">
      <c r="A472" s="2" t="s">
        <v>18</v>
      </c>
      <c r="B472" s="2" t="s">
        <v>19</v>
      </c>
      <c r="C472" s="3">
        <v>1975</v>
      </c>
      <c r="D472" s="4">
        <v>25874107</v>
      </c>
    </row>
    <row r="473" spans="1:4" x14ac:dyDescent="0.3">
      <c r="A473" s="5" t="s">
        <v>18</v>
      </c>
      <c r="B473" s="5" t="s">
        <v>19</v>
      </c>
      <c r="C473" s="6">
        <v>1976</v>
      </c>
      <c r="D473" s="7">
        <v>26282283</v>
      </c>
    </row>
    <row r="474" spans="1:4" x14ac:dyDescent="0.3">
      <c r="A474" s="2" t="s">
        <v>18</v>
      </c>
      <c r="B474" s="2" t="s">
        <v>19</v>
      </c>
      <c r="C474" s="3">
        <v>1977</v>
      </c>
      <c r="D474" s="4">
        <v>26701805</v>
      </c>
    </row>
    <row r="475" spans="1:4" x14ac:dyDescent="0.3">
      <c r="A475" s="5" t="s">
        <v>18</v>
      </c>
      <c r="B475" s="5" t="s">
        <v>19</v>
      </c>
      <c r="C475" s="6">
        <v>1978</v>
      </c>
      <c r="D475" s="7">
        <v>27132158</v>
      </c>
    </row>
    <row r="476" spans="1:4" x14ac:dyDescent="0.3">
      <c r="A476" s="2" t="s">
        <v>18</v>
      </c>
      <c r="B476" s="2" t="s">
        <v>19</v>
      </c>
      <c r="C476" s="3">
        <v>1979</v>
      </c>
      <c r="D476" s="4">
        <v>27568895</v>
      </c>
    </row>
    <row r="477" spans="1:4" x14ac:dyDescent="0.3">
      <c r="A477" s="5" t="s">
        <v>18</v>
      </c>
      <c r="B477" s="5" t="s">
        <v>19</v>
      </c>
      <c r="C477" s="6">
        <v>1980</v>
      </c>
      <c r="D477" s="7">
        <v>28011596</v>
      </c>
    </row>
    <row r="478" spans="1:4" x14ac:dyDescent="0.3">
      <c r="A478" s="2" t="s">
        <v>18</v>
      </c>
      <c r="B478" s="2" t="s">
        <v>19</v>
      </c>
      <c r="C478" s="3">
        <v>1981</v>
      </c>
      <c r="D478" s="4">
        <v>28463959</v>
      </c>
    </row>
    <row r="479" spans="1:4" x14ac:dyDescent="0.3">
      <c r="A479" s="5" t="s">
        <v>18</v>
      </c>
      <c r="B479" s="5" t="s">
        <v>19</v>
      </c>
      <c r="C479" s="6">
        <v>1982</v>
      </c>
      <c r="D479" s="7">
        <v>28924262</v>
      </c>
    </row>
    <row r="480" spans="1:4" x14ac:dyDescent="0.3">
      <c r="A480" s="2" t="s">
        <v>18</v>
      </c>
      <c r="B480" s="2" t="s">
        <v>19</v>
      </c>
      <c r="C480" s="3">
        <v>1983</v>
      </c>
      <c r="D480" s="4">
        <v>29391332</v>
      </c>
    </row>
    <row r="481" spans="1:4" x14ac:dyDescent="0.3">
      <c r="A481" s="5" t="s">
        <v>18</v>
      </c>
      <c r="B481" s="5" t="s">
        <v>19</v>
      </c>
      <c r="C481" s="6">
        <v>1984</v>
      </c>
      <c r="D481" s="7">
        <v>29863093</v>
      </c>
    </row>
    <row r="482" spans="1:4" x14ac:dyDescent="0.3">
      <c r="A482" s="2" t="s">
        <v>18</v>
      </c>
      <c r="B482" s="2" t="s">
        <v>19</v>
      </c>
      <c r="C482" s="3">
        <v>1985</v>
      </c>
      <c r="D482" s="4">
        <v>30336441</v>
      </c>
    </row>
    <row r="483" spans="1:4" x14ac:dyDescent="0.3">
      <c r="A483" s="5" t="s">
        <v>18</v>
      </c>
      <c r="B483" s="5" t="s">
        <v>19</v>
      </c>
      <c r="C483" s="6">
        <v>1986</v>
      </c>
      <c r="D483" s="7">
        <v>30811980</v>
      </c>
    </row>
    <row r="484" spans="1:4" x14ac:dyDescent="0.3">
      <c r="A484" s="2" t="s">
        <v>18</v>
      </c>
      <c r="B484" s="2" t="s">
        <v>19</v>
      </c>
      <c r="C484" s="3">
        <v>1987</v>
      </c>
      <c r="D484" s="4">
        <v>31291762</v>
      </c>
    </row>
    <row r="485" spans="1:4" x14ac:dyDescent="0.3">
      <c r="A485" s="5" t="s">
        <v>18</v>
      </c>
      <c r="B485" s="5" t="s">
        <v>19</v>
      </c>
      <c r="C485" s="6">
        <v>1988</v>
      </c>
      <c r="D485" s="7">
        <v>31780532</v>
      </c>
    </row>
    <row r="486" spans="1:4" x14ac:dyDescent="0.3">
      <c r="A486" s="2" t="s">
        <v>18</v>
      </c>
      <c r="B486" s="2" t="s">
        <v>19</v>
      </c>
      <c r="C486" s="3">
        <v>1989</v>
      </c>
      <c r="D486" s="4">
        <v>32270948</v>
      </c>
    </row>
    <row r="487" spans="1:4" x14ac:dyDescent="0.3">
      <c r="A487" s="5" t="s">
        <v>18</v>
      </c>
      <c r="B487" s="5" t="s">
        <v>19</v>
      </c>
      <c r="C487" s="6">
        <v>1990</v>
      </c>
      <c r="D487" s="7">
        <v>32755901</v>
      </c>
    </row>
    <row r="488" spans="1:4" x14ac:dyDescent="0.3">
      <c r="A488" s="2" t="s">
        <v>18</v>
      </c>
      <c r="B488" s="2" t="s">
        <v>19</v>
      </c>
      <c r="C488" s="3">
        <v>1991</v>
      </c>
      <c r="D488" s="4">
        <v>33230294</v>
      </c>
    </row>
    <row r="489" spans="1:4" x14ac:dyDescent="0.3">
      <c r="A489" s="5" t="s">
        <v>18</v>
      </c>
      <c r="B489" s="5" t="s">
        <v>19</v>
      </c>
      <c r="C489" s="6">
        <v>1992</v>
      </c>
      <c r="D489" s="7">
        <v>33693527</v>
      </c>
    </row>
    <row r="490" spans="1:4" x14ac:dyDescent="0.3">
      <c r="A490" s="2" t="s">
        <v>18</v>
      </c>
      <c r="B490" s="2" t="s">
        <v>19</v>
      </c>
      <c r="C490" s="3">
        <v>1993</v>
      </c>
      <c r="D490" s="4">
        <v>34152717</v>
      </c>
    </row>
    <row r="491" spans="1:4" x14ac:dyDescent="0.3">
      <c r="A491" s="5" t="s">
        <v>18</v>
      </c>
      <c r="B491" s="5" t="s">
        <v>19</v>
      </c>
      <c r="C491" s="6">
        <v>1994</v>
      </c>
      <c r="D491" s="7">
        <v>34613491</v>
      </c>
    </row>
    <row r="492" spans="1:4" x14ac:dyDescent="0.3">
      <c r="A492" s="2" t="s">
        <v>18</v>
      </c>
      <c r="B492" s="2" t="s">
        <v>19</v>
      </c>
      <c r="C492" s="3">
        <v>1995</v>
      </c>
      <c r="D492" s="4">
        <v>35070020</v>
      </c>
    </row>
    <row r="493" spans="1:4" x14ac:dyDescent="0.3">
      <c r="A493" s="5" t="s">
        <v>18</v>
      </c>
      <c r="B493" s="5" t="s">
        <v>19</v>
      </c>
      <c r="C493" s="6">
        <v>1996</v>
      </c>
      <c r="D493" s="7">
        <v>35513793</v>
      </c>
    </row>
    <row r="494" spans="1:4" x14ac:dyDescent="0.3">
      <c r="A494" s="2" t="s">
        <v>18</v>
      </c>
      <c r="B494" s="2" t="s">
        <v>19</v>
      </c>
      <c r="C494" s="3">
        <v>1997</v>
      </c>
      <c r="D494" s="4">
        <v>35947791</v>
      </c>
    </row>
    <row r="495" spans="1:4" x14ac:dyDescent="0.3">
      <c r="A495" s="5" t="s">
        <v>18</v>
      </c>
      <c r="B495" s="5" t="s">
        <v>19</v>
      </c>
      <c r="C495" s="6">
        <v>1998</v>
      </c>
      <c r="D495" s="7">
        <v>36372860</v>
      </c>
    </row>
    <row r="496" spans="1:4" x14ac:dyDescent="0.3">
      <c r="A496" s="2" t="s">
        <v>18</v>
      </c>
      <c r="B496" s="2" t="s">
        <v>19</v>
      </c>
      <c r="C496" s="3">
        <v>1999</v>
      </c>
      <c r="D496" s="4">
        <v>36794682</v>
      </c>
    </row>
    <row r="497" spans="1:4" x14ac:dyDescent="0.3">
      <c r="A497" s="5" t="s">
        <v>18</v>
      </c>
      <c r="B497" s="5" t="s">
        <v>19</v>
      </c>
      <c r="C497" s="6">
        <v>2000</v>
      </c>
      <c r="D497" s="7">
        <v>37213984</v>
      </c>
    </row>
    <row r="498" spans="1:4" x14ac:dyDescent="0.3">
      <c r="A498" s="2" t="s">
        <v>18</v>
      </c>
      <c r="B498" s="2" t="s">
        <v>19</v>
      </c>
      <c r="C498" s="3">
        <v>2001</v>
      </c>
      <c r="D498" s="4">
        <v>37624825</v>
      </c>
    </row>
    <row r="499" spans="1:4" x14ac:dyDescent="0.3">
      <c r="A499" s="5" t="s">
        <v>18</v>
      </c>
      <c r="B499" s="5" t="s">
        <v>19</v>
      </c>
      <c r="C499" s="6">
        <v>2002</v>
      </c>
      <c r="D499" s="7">
        <v>38029349</v>
      </c>
    </row>
    <row r="500" spans="1:4" x14ac:dyDescent="0.3">
      <c r="A500" s="2" t="s">
        <v>18</v>
      </c>
      <c r="B500" s="2" t="s">
        <v>19</v>
      </c>
      <c r="C500" s="3">
        <v>2003</v>
      </c>
      <c r="D500" s="4">
        <v>38424282</v>
      </c>
    </row>
    <row r="501" spans="1:4" x14ac:dyDescent="0.3">
      <c r="A501" s="5" t="s">
        <v>18</v>
      </c>
      <c r="B501" s="5" t="s">
        <v>19</v>
      </c>
      <c r="C501" s="6">
        <v>2004</v>
      </c>
      <c r="D501" s="7">
        <v>38815916</v>
      </c>
    </row>
    <row r="502" spans="1:4" x14ac:dyDescent="0.3">
      <c r="A502" s="2" t="s">
        <v>18</v>
      </c>
      <c r="B502" s="2" t="s">
        <v>19</v>
      </c>
      <c r="C502" s="3">
        <v>2005</v>
      </c>
      <c r="D502" s="4">
        <v>39216789</v>
      </c>
    </row>
    <row r="503" spans="1:4" x14ac:dyDescent="0.3">
      <c r="A503" s="5" t="s">
        <v>18</v>
      </c>
      <c r="B503" s="5" t="s">
        <v>19</v>
      </c>
      <c r="C503" s="6">
        <v>2006</v>
      </c>
      <c r="D503" s="7">
        <v>39622115</v>
      </c>
    </row>
    <row r="504" spans="1:4" x14ac:dyDescent="0.3">
      <c r="A504" s="2" t="s">
        <v>18</v>
      </c>
      <c r="B504" s="2" t="s">
        <v>19</v>
      </c>
      <c r="C504" s="3">
        <v>2007</v>
      </c>
      <c r="D504" s="4">
        <v>40016763</v>
      </c>
    </row>
    <row r="505" spans="1:4" x14ac:dyDescent="0.3">
      <c r="A505" s="5" t="s">
        <v>18</v>
      </c>
      <c r="B505" s="5" t="s">
        <v>19</v>
      </c>
      <c r="C505" s="6">
        <v>2008</v>
      </c>
      <c r="D505" s="7">
        <v>40424148</v>
      </c>
    </row>
    <row r="506" spans="1:4" x14ac:dyDescent="0.3">
      <c r="A506" s="2" t="s">
        <v>18</v>
      </c>
      <c r="B506" s="2" t="s">
        <v>19</v>
      </c>
      <c r="C506" s="3">
        <v>2009</v>
      </c>
      <c r="D506" s="4">
        <v>40854831</v>
      </c>
    </row>
    <row r="507" spans="1:4" x14ac:dyDescent="0.3">
      <c r="A507" s="5" t="s">
        <v>18</v>
      </c>
      <c r="B507" s="5" t="s">
        <v>19</v>
      </c>
      <c r="C507" s="6">
        <v>2010</v>
      </c>
      <c r="D507" s="7">
        <v>41288694</v>
      </c>
    </row>
    <row r="508" spans="1:4" x14ac:dyDescent="0.3">
      <c r="A508" s="2" t="s">
        <v>18</v>
      </c>
      <c r="B508" s="2" t="s">
        <v>19</v>
      </c>
      <c r="C508" s="3">
        <v>2011</v>
      </c>
      <c r="D508" s="4">
        <v>41730660</v>
      </c>
    </row>
    <row r="509" spans="1:4" x14ac:dyDescent="0.3">
      <c r="A509" s="5" t="s">
        <v>18</v>
      </c>
      <c r="B509" s="5" t="s">
        <v>19</v>
      </c>
      <c r="C509" s="6">
        <v>2012</v>
      </c>
      <c r="D509" s="7">
        <v>42161721</v>
      </c>
    </row>
    <row r="510" spans="1:4" x14ac:dyDescent="0.3">
      <c r="A510" s="2" t="s">
        <v>18</v>
      </c>
      <c r="B510" s="2" t="s">
        <v>19</v>
      </c>
      <c r="C510" s="3">
        <v>2013</v>
      </c>
      <c r="D510" s="4">
        <v>42582455</v>
      </c>
    </row>
    <row r="511" spans="1:4" x14ac:dyDescent="0.3">
      <c r="A511" s="5" t="s">
        <v>18</v>
      </c>
      <c r="B511" s="5" t="s">
        <v>19</v>
      </c>
      <c r="C511" s="6">
        <v>2014</v>
      </c>
      <c r="D511" s="7">
        <v>43024071</v>
      </c>
    </row>
    <row r="512" spans="1:4" x14ac:dyDescent="0.3">
      <c r="A512" s="2" t="s">
        <v>18</v>
      </c>
      <c r="B512" s="2" t="s">
        <v>19</v>
      </c>
      <c r="C512" s="3">
        <v>2015</v>
      </c>
      <c r="D512" s="4">
        <v>43477012</v>
      </c>
    </row>
    <row r="513" spans="1:4" x14ac:dyDescent="0.3">
      <c r="A513" s="5" t="s">
        <v>18</v>
      </c>
      <c r="B513" s="5" t="s">
        <v>19</v>
      </c>
      <c r="C513" s="6">
        <v>2016</v>
      </c>
      <c r="D513" s="7">
        <v>43900313</v>
      </c>
    </row>
    <row r="514" spans="1:4" x14ac:dyDescent="0.3">
      <c r="A514" s="2" t="s">
        <v>18</v>
      </c>
      <c r="B514" s="2" t="s">
        <v>19</v>
      </c>
      <c r="C514" s="3">
        <v>2017</v>
      </c>
      <c r="D514" s="4">
        <v>44288894</v>
      </c>
    </row>
    <row r="515" spans="1:4" x14ac:dyDescent="0.3">
      <c r="A515" s="5" t="s">
        <v>18</v>
      </c>
      <c r="B515" s="5" t="s">
        <v>19</v>
      </c>
      <c r="C515" s="6">
        <v>2018</v>
      </c>
      <c r="D515" s="7">
        <v>44654882</v>
      </c>
    </row>
    <row r="516" spans="1:4" x14ac:dyDescent="0.3">
      <c r="A516" s="2" t="s">
        <v>18</v>
      </c>
      <c r="B516" s="2" t="s">
        <v>19</v>
      </c>
      <c r="C516" s="3">
        <v>2019</v>
      </c>
      <c r="D516" s="4">
        <v>44973465</v>
      </c>
    </row>
    <row r="517" spans="1:4" x14ac:dyDescent="0.3">
      <c r="A517" s="5" t="s">
        <v>18</v>
      </c>
      <c r="B517" s="5" t="s">
        <v>19</v>
      </c>
      <c r="C517" s="6">
        <v>2020</v>
      </c>
      <c r="D517" s="7">
        <v>45191965</v>
      </c>
    </row>
    <row r="518" spans="1:4" x14ac:dyDescent="0.3">
      <c r="A518" s="2" t="s">
        <v>18</v>
      </c>
      <c r="B518" s="2" t="s">
        <v>19</v>
      </c>
      <c r="C518" s="3">
        <v>2021</v>
      </c>
      <c r="D518" s="4">
        <v>45312281</v>
      </c>
    </row>
    <row r="519" spans="1:4" x14ac:dyDescent="0.3">
      <c r="A519" s="5" t="s">
        <v>18</v>
      </c>
      <c r="B519" s="5" t="s">
        <v>19</v>
      </c>
      <c r="C519" s="6">
        <v>2022</v>
      </c>
      <c r="D519" s="7">
        <v>45407904</v>
      </c>
    </row>
    <row r="520" spans="1:4" x14ac:dyDescent="0.3">
      <c r="A520" s="2" t="s">
        <v>18</v>
      </c>
      <c r="B520" s="2" t="s">
        <v>19</v>
      </c>
      <c r="C520" s="3">
        <v>2023</v>
      </c>
      <c r="D520" s="4">
        <v>45538401</v>
      </c>
    </row>
    <row r="521" spans="1:4" x14ac:dyDescent="0.3">
      <c r="A521" s="5" t="s">
        <v>18</v>
      </c>
      <c r="B521" s="5" t="s">
        <v>19</v>
      </c>
      <c r="C521" s="6">
        <v>2024</v>
      </c>
      <c r="D521" s="7">
        <v>45696159</v>
      </c>
    </row>
    <row r="522" spans="1:4" x14ac:dyDescent="0.3">
      <c r="A522" s="2" t="s">
        <v>20</v>
      </c>
      <c r="B522" s="2" t="s">
        <v>21</v>
      </c>
      <c r="C522" s="3">
        <v>1960</v>
      </c>
      <c r="D522" s="4">
        <v>1863705</v>
      </c>
    </row>
    <row r="523" spans="1:4" x14ac:dyDescent="0.3">
      <c r="A523" s="5" t="s">
        <v>20</v>
      </c>
      <c r="B523" s="5" t="s">
        <v>21</v>
      </c>
      <c r="C523" s="6">
        <v>1961</v>
      </c>
      <c r="D523" s="7">
        <v>1927484</v>
      </c>
    </row>
    <row r="524" spans="1:4" x14ac:dyDescent="0.3">
      <c r="A524" s="2" t="s">
        <v>20</v>
      </c>
      <c r="B524" s="2" t="s">
        <v>21</v>
      </c>
      <c r="C524" s="3">
        <v>1962</v>
      </c>
      <c r="D524" s="4">
        <v>1991689</v>
      </c>
    </row>
    <row r="525" spans="1:4" x14ac:dyDescent="0.3">
      <c r="A525" s="5" t="s">
        <v>20</v>
      </c>
      <c r="B525" s="5" t="s">
        <v>21</v>
      </c>
      <c r="C525" s="6">
        <v>1963</v>
      </c>
      <c r="D525" s="7">
        <v>2056023</v>
      </c>
    </row>
    <row r="526" spans="1:4" x14ac:dyDescent="0.3">
      <c r="A526" s="2" t="s">
        <v>20</v>
      </c>
      <c r="B526" s="2" t="s">
        <v>21</v>
      </c>
      <c r="C526" s="3">
        <v>1964</v>
      </c>
      <c r="D526" s="4">
        <v>2120135</v>
      </c>
    </row>
    <row r="527" spans="1:4" x14ac:dyDescent="0.3">
      <c r="A527" s="5" t="s">
        <v>20</v>
      </c>
      <c r="B527" s="5" t="s">
        <v>21</v>
      </c>
      <c r="C527" s="6">
        <v>1965</v>
      </c>
      <c r="D527" s="7">
        <v>2183635</v>
      </c>
    </row>
    <row r="528" spans="1:4" x14ac:dyDescent="0.3">
      <c r="A528" s="2" t="s">
        <v>20</v>
      </c>
      <c r="B528" s="2" t="s">
        <v>21</v>
      </c>
      <c r="C528" s="3">
        <v>1966</v>
      </c>
      <c r="D528" s="4">
        <v>2246159</v>
      </c>
    </row>
    <row r="529" spans="1:4" x14ac:dyDescent="0.3">
      <c r="A529" s="5" t="s">
        <v>20</v>
      </c>
      <c r="B529" s="5" t="s">
        <v>21</v>
      </c>
      <c r="C529" s="6">
        <v>1967</v>
      </c>
      <c r="D529" s="7">
        <v>2307492</v>
      </c>
    </row>
    <row r="530" spans="1:4" x14ac:dyDescent="0.3">
      <c r="A530" s="2" t="s">
        <v>20</v>
      </c>
      <c r="B530" s="2" t="s">
        <v>21</v>
      </c>
      <c r="C530" s="3">
        <v>1968</v>
      </c>
      <c r="D530" s="4">
        <v>2367319</v>
      </c>
    </row>
    <row r="531" spans="1:4" x14ac:dyDescent="0.3">
      <c r="A531" s="5" t="s">
        <v>20</v>
      </c>
      <c r="B531" s="5" t="s">
        <v>21</v>
      </c>
      <c r="C531" s="6">
        <v>1969</v>
      </c>
      <c r="D531" s="7">
        <v>2424030</v>
      </c>
    </row>
    <row r="532" spans="1:4" x14ac:dyDescent="0.3">
      <c r="A532" s="2" t="s">
        <v>20</v>
      </c>
      <c r="B532" s="2" t="s">
        <v>21</v>
      </c>
      <c r="C532" s="3">
        <v>1970</v>
      </c>
      <c r="D532" s="4">
        <v>2475633</v>
      </c>
    </row>
    <row r="533" spans="1:4" x14ac:dyDescent="0.3">
      <c r="A533" s="5" t="s">
        <v>20</v>
      </c>
      <c r="B533" s="5" t="s">
        <v>21</v>
      </c>
      <c r="C533" s="6">
        <v>1971</v>
      </c>
      <c r="D533" s="7">
        <v>2525345</v>
      </c>
    </row>
    <row r="534" spans="1:4" x14ac:dyDescent="0.3">
      <c r="A534" s="2" t="s">
        <v>20</v>
      </c>
      <c r="B534" s="2" t="s">
        <v>21</v>
      </c>
      <c r="C534" s="3">
        <v>1972</v>
      </c>
      <c r="D534" s="4">
        <v>2577079</v>
      </c>
    </row>
    <row r="535" spans="1:4" x14ac:dyDescent="0.3">
      <c r="A535" s="5" t="s">
        <v>20</v>
      </c>
      <c r="B535" s="5" t="s">
        <v>21</v>
      </c>
      <c r="C535" s="6">
        <v>1973</v>
      </c>
      <c r="D535" s="7">
        <v>2630860</v>
      </c>
    </row>
    <row r="536" spans="1:4" x14ac:dyDescent="0.3">
      <c r="A536" s="2" t="s">
        <v>20</v>
      </c>
      <c r="B536" s="2" t="s">
        <v>21</v>
      </c>
      <c r="C536" s="3">
        <v>1974</v>
      </c>
      <c r="D536" s="4">
        <v>2686445</v>
      </c>
    </row>
    <row r="537" spans="1:4" x14ac:dyDescent="0.3">
      <c r="A537" s="5" t="s">
        <v>20</v>
      </c>
      <c r="B537" s="5" t="s">
        <v>21</v>
      </c>
      <c r="C537" s="6">
        <v>1975</v>
      </c>
      <c r="D537" s="7">
        <v>2743660</v>
      </c>
    </row>
    <row r="538" spans="1:4" x14ac:dyDescent="0.3">
      <c r="A538" s="2" t="s">
        <v>20</v>
      </c>
      <c r="B538" s="2" t="s">
        <v>21</v>
      </c>
      <c r="C538" s="3">
        <v>1976</v>
      </c>
      <c r="D538" s="4">
        <v>2818165</v>
      </c>
    </row>
    <row r="539" spans="1:4" x14ac:dyDescent="0.3">
      <c r="A539" s="5" t="s">
        <v>20</v>
      </c>
      <c r="B539" s="5" t="s">
        <v>21</v>
      </c>
      <c r="C539" s="6">
        <v>1977</v>
      </c>
      <c r="D539" s="7">
        <v>2912827</v>
      </c>
    </row>
    <row r="540" spans="1:4" x14ac:dyDescent="0.3">
      <c r="A540" s="2" t="s">
        <v>20</v>
      </c>
      <c r="B540" s="2" t="s">
        <v>21</v>
      </c>
      <c r="C540" s="3">
        <v>1978</v>
      </c>
      <c r="D540" s="4">
        <v>3012807</v>
      </c>
    </row>
    <row r="541" spans="1:4" x14ac:dyDescent="0.3">
      <c r="A541" s="5" t="s">
        <v>20</v>
      </c>
      <c r="B541" s="5" t="s">
        <v>21</v>
      </c>
      <c r="C541" s="6">
        <v>1979</v>
      </c>
      <c r="D541" s="7">
        <v>3078501</v>
      </c>
    </row>
    <row r="542" spans="1:4" x14ac:dyDescent="0.3">
      <c r="A542" s="2" t="s">
        <v>20</v>
      </c>
      <c r="B542" s="2" t="s">
        <v>21</v>
      </c>
      <c r="C542" s="3">
        <v>1980</v>
      </c>
      <c r="D542" s="4">
        <v>3107415</v>
      </c>
    </row>
    <row r="543" spans="1:4" x14ac:dyDescent="0.3">
      <c r="A543" s="5" t="s">
        <v>20</v>
      </c>
      <c r="B543" s="5" t="s">
        <v>21</v>
      </c>
      <c r="C543" s="6">
        <v>1981</v>
      </c>
      <c r="D543" s="7">
        <v>3135349</v>
      </c>
    </row>
    <row r="544" spans="1:4" x14ac:dyDescent="0.3">
      <c r="A544" s="2" t="s">
        <v>20</v>
      </c>
      <c r="B544" s="2" t="s">
        <v>21</v>
      </c>
      <c r="C544" s="3">
        <v>1982</v>
      </c>
      <c r="D544" s="4">
        <v>3163144</v>
      </c>
    </row>
    <row r="545" spans="1:4" x14ac:dyDescent="0.3">
      <c r="A545" s="5" t="s">
        <v>20</v>
      </c>
      <c r="B545" s="5" t="s">
        <v>21</v>
      </c>
      <c r="C545" s="6">
        <v>1983</v>
      </c>
      <c r="D545" s="7">
        <v>3191539</v>
      </c>
    </row>
    <row r="546" spans="1:4" x14ac:dyDescent="0.3">
      <c r="A546" s="2" t="s">
        <v>20</v>
      </c>
      <c r="B546" s="2" t="s">
        <v>21</v>
      </c>
      <c r="C546" s="3">
        <v>1984</v>
      </c>
      <c r="D546" s="4">
        <v>3224547</v>
      </c>
    </row>
    <row r="547" spans="1:4" x14ac:dyDescent="0.3">
      <c r="A547" s="5" t="s">
        <v>20</v>
      </c>
      <c r="B547" s="5" t="s">
        <v>21</v>
      </c>
      <c r="C547" s="6">
        <v>1985</v>
      </c>
      <c r="D547" s="7">
        <v>3260432</v>
      </c>
    </row>
    <row r="548" spans="1:4" x14ac:dyDescent="0.3">
      <c r="A548" s="2" t="s">
        <v>20</v>
      </c>
      <c r="B548" s="2" t="s">
        <v>21</v>
      </c>
      <c r="C548" s="3">
        <v>1986</v>
      </c>
      <c r="D548" s="4">
        <v>3294847</v>
      </c>
    </row>
    <row r="549" spans="1:4" x14ac:dyDescent="0.3">
      <c r="A549" s="5" t="s">
        <v>20</v>
      </c>
      <c r="B549" s="5" t="s">
        <v>21</v>
      </c>
      <c r="C549" s="6">
        <v>1987</v>
      </c>
      <c r="D549" s="7">
        <v>3328520</v>
      </c>
    </row>
    <row r="550" spans="1:4" x14ac:dyDescent="0.3">
      <c r="A550" s="2" t="s">
        <v>20</v>
      </c>
      <c r="B550" s="2" t="s">
        <v>21</v>
      </c>
      <c r="C550" s="3">
        <v>1988</v>
      </c>
      <c r="D550" s="4">
        <v>3355125</v>
      </c>
    </row>
    <row r="551" spans="1:4" x14ac:dyDescent="0.3">
      <c r="A551" s="5" t="s">
        <v>20</v>
      </c>
      <c r="B551" s="5" t="s">
        <v>21</v>
      </c>
      <c r="C551" s="6">
        <v>1989</v>
      </c>
      <c r="D551" s="7">
        <v>3443100</v>
      </c>
    </row>
    <row r="552" spans="1:4" x14ac:dyDescent="0.3">
      <c r="A552" s="2" t="s">
        <v>20</v>
      </c>
      <c r="B552" s="2" t="s">
        <v>21</v>
      </c>
      <c r="C552" s="3">
        <v>1990</v>
      </c>
      <c r="D552" s="4">
        <v>3552128</v>
      </c>
    </row>
    <row r="553" spans="1:4" x14ac:dyDescent="0.3">
      <c r="A553" s="5" t="s">
        <v>20</v>
      </c>
      <c r="B553" s="5" t="s">
        <v>21</v>
      </c>
      <c r="C553" s="6">
        <v>1991</v>
      </c>
      <c r="D553" s="7">
        <v>3613977</v>
      </c>
    </row>
    <row r="554" spans="1:4" x14ac:dyDescent="0.3">
      <c r="A554" s="2" t="s">
        <v>20</v>
      </c>
      <c r="B554" s="2" t="s">
        <v>21</v>
      </c>
      <c r="C554" s="3">
        <v>1992</v>
      </c>
      <c r="D554" s="4">
        <v>3571861</v>
      </c>
    </row>
    <row r="555" spans="1:4" x14ac:dyDescent="0.3">
      <c r="A555" s="5" t="s">
        <v>20</v>
      </c>
      <c r="B555" s="5" t="s">
        <v>21</v>
      </c>
      <c r="C555" s="6">
        <v>1993</v>
      </c>
      <c r="D555" s="7">
        <v>3453332</v>
      </c>
    </row>
    <row r="556" spans="1:4" x14ac:dyDescent="0.3">
      <c r="A556" s="2" t="s">
        <v>20</v>
      </c>
      <c r="B556" s="2" t="s">
        <v>21</v>
      </c>
      <c r="C556" s="3">
        <v>1994</v>
      </c>
      <c r="D556" s="4">
        <v>3364610</v>
      </c>
    </row>
    <row r="557" spans="1:4" x14ac:dyDescent="0.3">
      <c r="A557" s="5" t="s">
        <v>20</v>
      </c>
      <c r="B557" s="5" t="s">
        <v>21</v>
      </c>
      <c r="C557" s="6">
        <v>1995</v>
      </c>
      <c r="D557" s="7">
        <v>3307581</v>
      </c>
    </row>
    <row r="558" spans="1:4" x14ac:dyDescent="0.3">
      <c r="A558" s="2" t="s">
        <v>20</v>
      </c>
      <c r="B558" s="2" t="s">
        <v>21</v>
      </c>
      <c r="C558" s="3">
        <v>1996</v>
      </c>
      <c r="D558" s="4">
        <v>3278735</v>
      </c>
    </row>
    <row r="559" spans="1:4" x14ac:dyDescent="0.3">
      <c r="A559" s="5" t="s">
        <v>20</v>
      </c>
      <c r="B559" s="5" t="s">
        <v>21</v>
      </c>
      <c r="C559" s="6">
        <v>1997</v>
      </c>
      <c r="D559" s="7">
        <v>3246289</v>
      </c>
    </row>
    <row r="560" spans="1:4" x14ac:dyDescent="0.3">
      <c r="A560" s="2" t="s">
        <v>20</v>
      </c>
      <c r="B560" s="2" t="s">
        <v>21</v>
      </c>
      <c r="C560" s="3">
        <v>1998</v>
      </c>
      <c r="D560" s="4">
        <v>3208401</v>
      </c>
    </row>
    <row r="561" spans="1:4" x14ac:dyDescent="0.3">
      <c r="A561" s="5" t="s">
        <v>20</v>
      </c>
      <c r="B561" s="5" t="s">
        <v>21</v>
      </c>
      <c r="C561" s="6">
        <v>1999</v>
      </c>
      <c r="D561" s="7">
        <v>3167286</v>
      </c>
    </row>
    <row r="562" spans="1:4" x14ac:dyDescent="0.3">
      <c r="A562" s="2" t="s">
        <v>20</v>
      </c>
      <c r="B562" s="2" t="s">
        <v>21</v>
      </c>
      <c r="C562" s="3">
        <v>2000</v>
      </c>
      <c r="D562" s="4">
        <v>3221100</v>
      </c>
    </row>
    <row r="563" spans="1:4" x14ac:dyDescent="0.3">
      <c r="A563" s="5" t="s">
        <v>20</v>
      </c>
      <c r="B563" s="5" t="s">
        <v>21</v>
      </c>
      <c r="C563" s="6">
        <v>2001</v>
      </c>
      <c r="D563" s="7">
        <v>3211800</v>
      </c>
    </row>
    <row r="564" spans="1:4" x14ac:dyDescent="0.3">
      <c r="A564" s="2" t="s">
        <v>20</v>
      </c>
      <c r="B564" s="2" t="s">
        <v>21</v>
      </c>
      <c r="C564" s="3">
        <v>2002</v>
      </c>
      <c r="D564" s="4">
        <v>3199800</v>
      </c>
    </row>
    <row r="565" spans="1:4" x14ac:dyDescent="0.3">
      <c r="A565" s="5" t="s">
        <v>20</v>
      </c>
      <c r="B565" s="5" t="s">
        <v>21</v>
      </c>
      <c r="C565" s="6">
        <v>2003</v>
      </c>
      <c r="D565" s="7">
        <v>3182500</v>
      </c>
    </row>
    <row r="566" spans="1:4" x14ac:dyDescent="0.3">
      <c r="A566" s="2" t="s">
        <v>20</v>
      </c>
      <c r="B566" s="2" t="s">
        <v>21</v>
      </c>
      <c r="C566" s="3">
        <v>2004</v>
      </c>
      <c r="D566" s="4">
        <v>3164900</v>
      </c>
    </row>
    <row r="567" spans="1:4" x14ac:dyDescent="0.3">
      <c r="A567" s="5" t="s">
        <v>20</v>
      </c>
      <c r="B567" s="5" t="s">
        <v>21</v>
      </c>
      <c r="C567" s="6">
        <v>2005</v>
      </c>
      <c r="D567" s="7">
        <v>3146400</v>
      </c>
    </row>
    <row r="568" spans="1:4" x14ac:dyDescent="0.3">
      <c r="A568" s="2" t="s">
        <v>20</v>
      </c>
      <c r="B568" s="2" t="s">
        <v>21</v>
      </c>
      <c r="C568" s="3">
        <v>2006</v>
      </c>
      <c r="D568" s="4">
        <v>3127100</v>
      </c>
    </row>
    <row r="569" spans="1:4" x14ac:dyDescent="0.3">
      <c r="A569" s="5" t="s">
        <v>20</v>
      </c>
      <c r="B569" s="5" t="s">
        <v>21</v>
      </c>
      <c r="C569" s="6">
        <v>2007</v>
      </c>
      <c r="D569" s="7">
        <v>3107400</v>
      </c>
    </row>
    <row r="570" spans="1:4" x14ac:dyDescent="0.3">
      <c r="A570" s="2" t="s">
        <v>20</v>
      </c>
      <c r="B570" s="2" t="s">
        <v>21</v>
      </c>
      <c r="C570" s="3">
        <v>2008</v>
      </c>
      <c r="D570" s="4">
        <v>3087100</v>
      </c>
    </row>
    <row r="571" spans="1:4" x14ac:dyDescent="0.3">
      <c r="A571" s="5" t="s">
        <v>20</v>
      </c>
      <c r="B571" s="5" t="s">
        <v>21</v>
      </c>
      <c r="C571" s="6">
        <v>2009</v>
      </c>
      <c r="D571" s="7">
        <v>3066000</v>
      </c>
    </row>
    <row r="572" spans="1:4" x14ac:dyDescent="0.3">
      <c r="A572" s="2" t="s">
        <v>20</v>
      </c>
      <c r="B572" s="2" t="s">
        <v>21</v>
      </c>
      <c r="C572" s="3">
        <v>2010</v>
      </c>
      <c r="D572" s="4">
        <v>3044800</v>
      </c>
    </row>
    <row r="573" spans="1:4" x14ac:dyDescent="0.3">
      <c r="A573" s="5" t="s">
        <v>20</v>
      </c>
      <c r="B573" s="5" t="s">
        <v>21</v>
      </c>
      <c r="C573" s="6">
        <v>2011</v>
      </c>
      <c r="D573" s="7">
        <v>3027900</v>
      </c>
    </row>
    <row r="574" spans="1:4" x14ac:dyDescent="0.3">
      <c r="A574" s="2" t="s">
        <v>20</v>
      </c>
      <c r="B574" s="2" t="s">
        <v>21</v>
      </c>
      <c r="C574" s="3">
        <v>2012</v>
      </c>
      <c r="D574" s="4">
        <v>3024100</v>
      </c>
    </row>
    <row r="575" spans="1:4" x14ac:dyDescent="0.3">
      <c r="A575" s="5" t="s">
        <v>20</v>
      </c>
      <c r="B575" s="5" t="s">
        <v>21</v>
      </c>
      <c r="C575" s="6">
        <v>2013</v>
      </c>
      <c r="D575" s="7">
        <v>3022000</v>
      </c>
    </row>
    <row r="576" spans="1:4" x14ac:dyDescent="0.3">
      <c r="A576" s="2" t="s">
        <v>20</v>
      </c>
      <c r="B576" s="2" t="s">
        <v>21</v>
      </c>
      <c r="C576" s="3">
        <v>2014</v>
      </c>
      <c r="D576" s="4">
        <v>3013800</v>
      </c>
    </row>
    <row r="577" spans="1:4" x14ac:dyDescent="0.3">
      <c r="A577" s="5" t="s">
        <v>20</v>
      </c>
      <c r="B577" s="5" t="s">
        <v>21</v>
      </c>
      <c r="C577" s="6">
        <v>2015</v>
      </c>
      <c r="D577" s="7">
        <v>3004600</v>
      </c>
    </row>
    <row r="578" spans="1:4" x14ac:dyDescent="0.3">
      <c r="A578" s="2" t="s">
        <v>20</v>
      </c>
      <c r="B578" s="2" t="s">
        <v>21</v>
      </c>
      <c r="C578" s="3">
        <v>2016</v>
      </c>
      <c r="D578" s="4">
        <v>2992300</v>
      </c>
    </row>
    <row r="579" spans="1:4" x14ac:dyDescent="0.3">
      <c r="A579" s="5" t="s">
        <v>20</v>
      </c>
      <c r="B579" s="5" t="s">
        <v>21</v>
      </c>
      <c r="C579" s="6">
        <v>2017</v>
      </c>
      <c r="D579" s="7">
        <v>2979400</v>
      </c>
    </row>
    <row r="580" spans="1:4" x14ac:dyDescent="0.3">
      <c r="A580" s="2" t="s">
        <v>20</v>
      </c>
      <c r="B580" s="2" t="s">
        <v>21</v>
      </c>
      <c r="C580" s="3">
        <v>2018</v>
      </c>
      <c r="D580" s="4">
        <v>2969000</v>
      </c>
    </row>
    <row r="581" spans="1:4" x14ac:dyDescent="0.3">
      <c r="A581" s="5" t="s">
        <v>20</v>
      </c>
      <c r="B581" s="5" t="s">
        <v>21</v>
      </c>
      <c r="C581" s="6">
        <v>2019</v>
      </c>
      <c r="D581" s="7">
        <v>2962500</v>
      </c>
    </row>
    <row r="582" spans="1:4" x14ac:dyDescent="0.3">
      <c r="A582" s="2" t="s">
        <v>20</v>
      </c>
      <c r="B582" s="2" t="s">
        <v>21</v>
      </c>
      <c r="C582" s="3">
        <v>2020</v>
      </c>
      <c r="D582" s="4">
        <v>2961500</v>
      </c>
    </row>
    <row r="583" spans="1:4" x14ac:dyDescent="0.3">
      <c r="A583" s="5" t="s">
        <v>20</v>
      </c>
      <c r="B583" s="5" t="s">
        <v>21</v>
      </c>
      <c r="C583" s="6">
        <v>2021</v>
      </c>
      <c r="D583" s="7">
        <v>2962300</v>
      </c>
    </row>
    <row r="584" spans="1:4" x14ac:dyDescent="0.3">
      <c r="A584" s="2" t="s">
        <v>20</v>
      </c>
      <c r="B584" s="2" t="s">
        <v>21</v>
      </c>
      <c r="C584" s="3">
        <v>2022</v>
      </c>
      <c r="D584" s="4">
        <v>2969200</v>
      </c>
    </row>
    <row r="585" spans="1:4" x14ac:dyDescent="0.3">
      <c r="A585" s="5" t="s">
        <v>20</v>
      </c>
      <c r="B585" s="5" t="s">
        <v>21</v>
      </c>
      <c r="C585" s="6">
        <v>2023</v>
      </c>
      <c r="D585" s="7">
        <v>2964300</v>
      </c>
    </row>
    <row r="586" spans="1:4" x14ac:dyDescent="0.3">
      <c r="A586" s="2" t="s">
        <v>20</v>
      </c>
      <c r="B586" s="2" t="s">
        <v>21</v>
      </c>
      <c r="C586" s="3">
        <v>2024</v>
      </c>
      <c r="D586" s="4">
        <v>3033500</v>
      </c>
    </row>
    <row r="587" spans="1:4" x14ac:dyDescent="0.3">
      <c r="A587" s="5" t="s">
        <v>22</v>
      </c>
      <c r="B587" s="5" t="s">
        <v>23</v>
      </c>
      <c r="C587" s="6">
        <v>1960</v>
      </c>
      <c r="D587" s="7">
        <v>54922</v>
      </c>
    </row>
    <row r="588" spans="1:4" x14ac:dyDescent="0.3">
      <c r="A588" s="2" t="s">
        <v>22</v>
      </c>
      <c r="B588" s="2" t="s">
        <v>23</v>
      </c>
      <c r="C588" s="3">
        <v>1961</v>
      </c>
      <c r="D588" s="4">
        <v>55578</v>
      </c>
    </row>
    <row r="589" spans="1:4" x14ac:dyDescent="0.3">
      <c r="A589" s="5" t="s">
        <v>22</v>
      </c>
      <c r="B589" s="5" t="s">
        <v>23</v>
      </c>
      <c r="C589" s="6">
        <v>1962</v>
      </c>
      <c r="D589" s="7">
        <v>56320</v>
      </c>
    </row>
    <row r="590" spans="1:4" x14ac:dyDescent="0.3">
      <c r="A590" s="2" t="s">
        <v>22</v>
      </c>
      <c r="B590" s="2" t="s">
        <v>23</v>
      </c>
      <c r="C590" s="3">
        <v>1963</v>
      </c>
      <c r="D590" s="4">
        <v>57002</v>
      </c>
    </row>
    <row r="591" spans="1:4" x14ac:dyDescent="0.3">
      <c r="A591" s="5" t="s">
        <v>22</v>
      </c>
      <c r="B591" s="5" t="s">
        <v>23</v>
      </c>
      <c r="C591" s="6">
        <v>1964</v>
      </c>
      <c r="D591" s="7">
        <v>57619</v>
      </c>
    </row>
    <row r="592" spans="1:4" x14ac:dyDescent="0.3">
      <c r="A592" s="2" t="s">
        <v>22</v>
      </c>
      <c r="B592" s="2" t="s">
        <v>23</v>
      </c>
      <c r="C592" s="3">
        <v>1965</v>
      </c>
      <c r="D592" s="4">
        <v>58190</v>
      </c>
    </row>
    <row r="593" spans="1:4" x14ac:dyDescent="0.3">
      <c r="A593" s="5" t="s">
        <v>22</v>
      </c>
      <c r="B593" s="5" t="s">
        <v>23</v>
      </c>
      <c r="C593" s="6">
        <v>1966</v>
      </c>
      <c r="D593" s="7">
        <v>58694</v>
      </c>
    </row>
    <row r="594" spans="1:4" x14ac:dyDescent="0.3">
      <c r="A594" s="2" t="s">
        <v>22</v>
      </c>
      <c r="B594" s="2" t="s">
        <v>23</v>
      </c>
      <c r="C594" s="3">
        <v>1967</v>
      </c>
      <c r="D594" s="4">
        <v>58990</v>
      </c>
    </row>
    <row r="595" spans="1:4" x14ac:dyDescent="0.3">
      <c r="A595" s="5" t="s">
        <v>22</v>
      </c>
      <c r="B595" s="5" t="s">
        <v>23</v>
      </c>
      <c r="C595" s="6">
        <v>1968</v>
      </c>
      <c r="D595" s="7">
        <v>59069</v>
      </c>
    </row>
    <row r="596" spans="1:4" x14ac:dyDescent="0.3">
      <c r="A596" s="2" t="s">
        <v>22</v>
      </c>
      <c r="B596" s="2" t="s">
        <v>23</v>
      </c>
      <c r="C596" s="3">
        <v>1969</v>
      </c>
      <c r="D596" s="4">
        <v>59052</v>
      </c>
    </row>
    <row r="597" spans="1:4" x14ac:dyDescent="0.3">
      <c r="A597" s="5" t="s">
        <v>22</v>
      </c>
      <c r="B597" s="5" t="s">
        <v>23</v>
      </c>
      <c r="C597" s="6">
        <v>1970</v>
      </c>
      <c r="D597" s="7">
        <v>58950</v>
      </c>
    </row>
    <row r="598" spans="1:4" x14ac:dyDescent="0.3">
      <c r="A598" s="2" t="s">
        <v>22</v>
      </c>
      <c r="B598" s="2" t="s">
        <v>23</v>
      </c>
      <c r="C598" s="3">
        <v>1971</v>
      </c>
      <c r="D598" s="4">
        <v>58781</v>
      </c>
    </row>
    <row r="599" spans="1:4" x14ac:dyDescent="0.3">
      <c r="A599" s="5" t="s">
        <v>22</v>
      </c>
      <c r="B599" s="5" t="s">
        <v>23</v>
      </c>
      <c r="C599" s="6">
        <v>1972</v>
      </c>
      <c r="D599" s="7">
        <v>58047</v>
      </c>
    </row>
    <row r="600" spans="1:4" x14ac:dyDescent="0.3">
      <c r="A600" s="2" t="s">
        <v>22</v>
      </c>
      <c r="B600" s="2" t="s">
        <v>23</v>
      </c>
      <c r="C600" s="3">
        <v>1973</v>
      </c>
      <c r="D600" s="4">
        <v>58299</v>
      </c>
    </row>
    <row r="601" spans="1:4" x14ac:dyDescent="0.3">
      <c r="A601" s="5" t="s">
        <v>22</v>
      </c>
      <c r="B601" s="5" t="s">
        <v>23</v>
      </c>
      <c r="C601" s="6">
        <v>1974</v>
      </c>
      <c r="D601" s="7">
        <v>58349</v>
      </c>
    </row>
    <row r="602" spans="1:4" x14ac:dyDescent="0.3">
      <c r="A602" s="2" t="s">
        <v>22</v>
      </c>
      <c r="B602" s="2" t="s">
        <v>23</v>
      </c>
      <c r="C602" s="3">
        <v>1975</v>
      </c>
      <c r="D602" s="4">
        <v>58295</v>
      </c>
    </row>
    <row r="603" spans="1:4" x14ac:dyDescent="0.3">
      <c r="A603" s="5" t="s">
        <v>22</v>
      </c>
      <c r="B603" s="5" t="s">
        <v>23</v>
      </c>
      <c r="C603" s="6">
        <v>1976</v>
      </c>
      <c r="D603" s="7">
        <v>58368</v>
      </c>
    </row>
    <row r="604" spans="1:4" x14ac:dyDescent="0.3">
      <c r="A604" s="2" t="s">
        <v>22</v>
      </c>
      <c r="B604" s="2" t="s">
        <v>23</v>
      </c>
      <c r="C604" s="3">
        <v>1977</v>
      </c>
      <c r="D604" s="4">
        <v>58580</v>
      </c>
    </row>
    <row r="605" spans="1:4" x14ac:dyDescent="0.3">
      <c r="A605" s="5" t="s">
        <v>22</v>
      </c>
      <c r="B605" s="5" t="s">
        <v>23</v>
      </c>
      <c r="C605" s="6">
        <v>1978</v>
      </c>
      <c r="D605" s="7">
        <v>58776</v>
      </c>
    </row>
    <row r="606" spans="1:4" x14ac:dyDescent="0.3">
      <c r="A606" s="2" t="s">
        <v>22</v>
      </c>
      <c r="B606" s="2" t="s">
        <v>23</v>
      </c>
      <c r="C606" s="3">
        <v>1979</v>
      </c>
      <c r="D606" s="4">
        <v>59191</v>
      </c>
    </row>
    <row r="607" spans="1:4" x14ac:dyDescent="0.3">
      <c r="A607" s="5" t="s">
        <v>22</v>
      </c>
      <c r="B607" s="5" t="s">
        <v>23</v>
      </c>
      <c r="C607" s="6">
        <v>1980</v>
      </c>
      <c r="D607" s="7">
        <v>59909</v>
      </c>
    </row>
    <row r="608" spans="1:4" x14ac:dyDescent="0.3">
      <c r="A608" s="2" t="s">
        <v>22</v>
      </c>
      <c r="B608" s="2" t="s">
        <v>23</v>
      </c>
      <c r="C608" s="3">
        <v>1981</v>
      </c>
      <c r="D608" s="4">
        <v>60563</v>
      </c>
    </row>
    <row r="609" spans="1:4" x14ac:dyDescent="0.3">
      <c r="A609" s="5" t="s">
        <v>22</v>
      </c>
      <c r="B609" s="5" t="s">
        <v>23</v>
      </c>
      <c r="C609" s="6">
        <v>1982</v>
      </c>
      <c r="D609" s="7">
        <v>61276</v>
      </c>
    </row>
    <row r="610" spans="1:4" x14ac:dyDescent="0.3">
      <c r="A610" s="2" t="s">
        <v>22</v>
      </c>
      <c r="B610" s="2" t="s">
        <v>23</v>
      </c>
      <c r="C610" s="3">
        <v>1983</v>
      </c>
      <c r="D610" s="4">
        <v>62228</v>
      </c>
    </row>
    <row r="611" spans="1:4" x14ac:dyDescent="0.3">
      <c r="A611" s="5" t="s">
        <v>22</v>
      </c>
      <c r="B611" s="5" t="s">
        <v>23</v>
      </c>
      <c r="C611" s="6">
        <v>1984</v>
      </c>
      <c r="D611" s="7">
        <v>62901</v>
      </c>
    </row>
    <row r="612" spans="1:4" x14ac:dyDescent="0.3">
      <c r="A612" s="2" t="s">
        <v>22</v>
      </c>
      <c r="B612" s="2" t="s">
        <v>23</v>
      </c>
      <c r="C612" s="3">
        <v>1985</v>
      </c>
      <c r="D612" s="4">
        <v>61728</v>
      </c>
    </row>
    <row r="613" spans="1:4" x14ac:dyDescent="0.3">
      <c r="A613" s="5" t="s">
        <v>22</v>
      </c>
      <c r="B613" s="5" t="s">
        <v>23</v>
      </c>
      <c r="C613" s="6">
        <v>1986</v>
      </c>
      <c r="D613" s="7">
        <v>59931</v>
      </c>
    </row>
    <row r="614" spans="1:4" x14ac:dyDescent="0.3">
      <c r="A614" s="2" t="s">
        <v>22</v>
      </c>
      <c r="B614" s="2" t="s">
        <v>23</v>
      </c>
      <c r="C614" s="3">
        <v>1987</v>
      </c>
      <c r="D614" s="4">
        <v>59159</v>
      </c>
    </row>
    <row r="615" spans="1:4" x14ac:dyDescent="0.3">
      <c r="A615" s="5" t="s">
        <v>22</v>
      </c>
      <c r="B615" s="5" t="s">
        <v>23</v>
      </c>
      <c r="C615" s="6">
        <v>1988</v>
      </c>
      <c r="D615" s="7">
        <v>59331</v>
      </c>
    </row>
    <row r="616" spans="1:4" x14ac:dyDescent="0.3">
      <c r="A616" s="2" t="s">
        <v>22</v>
      </c>
      <c r="B616" s="2" t="s">
        <v>23</v>
      </c>
      <c r="C616" s="3">
        <v>1989</v>
      </c>
      <c r="D616" s="4">
        <v>60443</v>
      </c>
    </row>
    <row r="617" spans="1:4" x14ac:dyDescent="0.3">
      <c r="A617" s="5" t="s">
        <v>22</v>
      </c>
      <c r="B617" s="5" t="s">
        <v>23</v>
      </c>
      <c r="C617" s="6">
        <v>1990</v>
      </c>
      <c r="D617" s="7">
        <v>62753</v>
      </c>
    </row>
    <row r="618" spans="1:4" x14ac:dyDescent="0.3">
      <c r="A618" s="2" t="s">
        <v>22</v>
      </c>
      <c r="B618" s="2" t="s">
        <v>23</v>
      </c>
      <c r="C618" s="3">
        <v>1991</v>
      </c>
      <c r="D618" s="4">
        <v>65896</v>
      </c>
    </row>
    <row r="619" spans="1:4" x14ac:dyDescent="0.3">
      <c r="A619" s="5" t="s">
        <v>22</v>
      </c>
      <c r="B619" s="5" t="s">
        <v>23</v>
      </c>
      <c r="C619" s="6">
        <v>1992</v>
      </c>
      <c r="D619" s="7">
        <v>69005</v>
      </c>
    </row>
    <row r="620" spans="1:4" x14ac:dyDescent="0.3">
      <c r="A620" s="2" t="s">
        <v>22</v>
      </c>
      <c r="B620" s="2" t="s">
        <v>23</v>
      </c>
      <c r="C620" s="3">
        <v>1993</v>
      </c>
      <c r="D620" s="4">
        <v>73685</v>
      </c>
    </row>
    <row r="621" spans="1:4" x14ac:dyDescent="0.3">
      <c r="A621" s="5" t="s">
        <v>22</v>
      </c>
      <c r="B621" s="5" t="s">
        <v>23</v>
      </c>
      <c r="C621" s="6">
        <v>1994</v>
      </c>
      <c r="D621" s="7">
        <v>77595</v>
      </c>
    </row>
    <row r="622" spans="1:4" x14ac:dyDescent="0.3">
      <c r="A622" s="2" t="s">
        <v>22</v>
      </c>
      <c r="B622" s="2" t="s">
        <v>23</v>
      </c>
      <c r="C622" s="3">
        <v>1995</v>
      </c>
      <c r="D622" s="4">
        <v>79805</v>
      </c>
    </row>
    <row r="623" spans="1:4" x14ac:dyDescent="0.3">
      <c r="A623" s="5" t="s">
        <v>22</v>
      </c>
      <c r="B623" s="5" t="s">
        <v>23</v>
      </c>
      <c r="C623" s="6">
        <v>1996</v>
      </c>
      <c r="D623" s="7">
        <v>83021</v>
      </c>
    </row>
    <row r="624" spans="1:4" x14ac:dyDescent="0.3">
      <c r="A624" s="2" t="s">
        <v>22</v>
      </c>
      <c r="B624" s="2" t="s">
        <v>23</v>
      </c>
      <c r="C624" s="3">
        <v>1997</v>
      </c>
      <c r="D624" s="4">
        <v>86301</v>
      </c>
    </row>
    <row r="625" spans="1:4" x14ac:dyDescent="0.3">
      <c r="A625" s="5" t="s">
        <v>22</v>
      </c>
      <c r="B625" s="5" t="s">
        <v>23</v>
      </c>
      <c r="C625" s="6">
        <v>1998</v>
      </c>
      <c r="D625" s="7">
        <v>88451</v>
      </c>
    </row>
    <row r="626" spans="1:4" x14ac:dyDescent="0.3">
      <c r="A626" s="2" t="s">
        <v>22</v>
      </c>
      <c r="B626" s="2" t="s">
        <v>23</v>
      </c>
      <c r="C626" s="3">
        <v>1999</v>
      </c>
      <c r="D626" s="4">
        <v>89659</v>
      </c>
    </row>
    <row r="627" spans="1:4" x14ac:dyDescent="0.3">
      <c r="A627" s="5" t="s">
        <v>22</v>
      </c>
      <c r="B627" s="5" t="s">
        <v>23</v>
      </c>
      <c r="C627" s="6">
        <v>2000</v>
      </c>
      <c r="D627" s="7">
        <v>90588</v>
      </c>
    </row>
    <row r="628" spans="1:4" x14ac:dyDescent="0.3">
      <c r="A628" s="2" t="s">
        <v>22</v>
      </c>
      <c r="B628" s="2" t="s">
        <v>23</v>
      </c>
      <c r="C628" s="3">
        <v>2001</v>
      </c>
      <c r="D628" s="4">
        <v>91439</v>
      </c>
    </row>
    <row r="629" spans="1:4" x14ac:dyDescent="0.3">
      <c r="A629" s="5" t="s">
        <v>22</v>
      </c>
      <c r="B629" s="5" t="s">
        <v>23</v>
      </c>
      <c r="C629" s="6">
        <v>2002</v>
      </c>
      <c r="D629" s="7">
        <v>92074</v>
      </c>
    </row>
    <row r="630" spans="1:4" x14ac:dyDescent="0.3">
      <c r="A630" s="2" t="s">
        <v>22</v>
      </c>
      <c r="B630" s="2" t="s">
        <v>23</v>
      </c>
      <c r="C630" s="3">
        <v>2003</v>
      </c>
      <c r="D630" s="4">
        <v>93128</v>
      </c>
    </row>
    <row r="631" spans="1:4" x14ac:dyDescent="0.3">
      <c r="A631" s="5" t="s">
        <v>22</v>
      </c>
      <c r="B631" s="5" t="s">
        <v>23</v>
      </c>
      <c r="C631" s="6">
        <v>2004</v>
      </c>
      <c r="D631" s="7">
        <v>95138</v>
      </c>
    </row>
    <row r="632" spans="1:4" x14ac:dyDescent="0.3">
      <c r="A632" s="2" t="s">
        <v>22</v>
      </c>
      <c r="B632" s="2" t="s">
        <v>23</v>
      </c>
      <c r="C632" s="3">
        <v>2005</v>
      </c>
      <c r="D632" s="4">
        <v>97635</v>
      </c>
    </row>
    <row r="633" spans="1:4" x14ac:dyDescent="0.3">
      <c r="A633" s="5" t="s">
        <v>22</v>
      </c>
      <c r="B633" s="5" t="s">
        <v>23</v>
      </c>
      <c r="C633" s="6">
        <v>2006</v>
      </c>
      <c r="D633" s="7">
        <v>99405</v>
      </c>
    </row>
    <row r="634" spans="1:4" x14ac:dyDescent="0.3">
      <c r="A634" s="2" t="s">
        <v>22</v>
      </c>
      <c r="B634" s="2" t="s">
        <v>23</v>
      </c>
      <c r="C634" s="3">
        <v>2007</v>
      </c>
      <c r="D634" s="4">
        <v>100150</v>
      </c>
    </row>
    <row r="635" spans="1:4" x14ac:dyDescent="0.3">
      <c r="A635" s="5" t="s">
        <v>22</v>
      </c>
      <c r="B635" s="5" t="s">
        <v>23</v>
      </c>
      <c r="C635" s="6">
        <v>2008</v>
      </c>
      <c r="D635" s="7">
        <v>100917</v>
      </c>
    </row>
    <row r="636" spans="1:4" x14ac:dyDescent="0.3">
      <c r="A636" s="2" t="s">
        <v>22</v>
      </c>
      <c r="B636" s="2" t="s">
        <v>23</v>
      </c>
      <c r="C636" s="3">
        <v>2009</v>
      </c>
      <c r="D636" s="4">
        <v>101604</v>
      </c>
    </row>
    <row r="637" spans="1:4" x14ac:dyDescent="0.3">
      <c r="A637" s="5" t="s">
        <v>22</v>
      </c>
      <c r="B637" s="5" t="s">
        <v>23</v>
      </c>
      <c r="C637" s="6">
        <v>2010</v>
      </c>
      <c r="D637" s="7">
        <v>101838</v>
      </c>
    </row>
    <row r="638" spans="1:4" x14ac:dyDescent="0.3">
      <c r="A638" s="2" t="s">
        <v>22</v>
      </c>
      <c r="B638" s="2" t="s">
        <v>23</v>
      </c>
      <c r="C638" s="3">
        <v>2011</v>
      </c>
      <c r="D638" s="4">
        <v>102591</v>
      </c>
    </row>
    <row r="639" spans="1:4" x14ac:dyDescent="0.3">
      <c r="A639" s="5" t="s">
        <v>22</v>
      </c>
      <c r="B639" s="5" t="s">
        <v>23</v>
      </c>
      <c r="C639" s="6">
        <v>2012</v>
      </c>
      <c r="D639" s="7">
        <v>104110</v>
      </c>
    </row>
    <row r="640" spans="1:4" x14ac:dyDescent="0.3">
      <c r="A640" s="2" t="s">
        <v>22</v>
      </c>
      <c r="B640" s="2" t="s">
        <v>23</v>
      </c>
      <c r="C640" s="3">
        <v>2013</v>
      </c>
      <c r="D640" s="4">
        <v>105675</v>
      </c>
    </row>
    <row r="641" spans="1:4" x14ac:dyDescent="0.3">
      <c r="A641" s="5" t="s">
        <v>22</v>
      </c>
      <c r="B641" s="5" t="s">
        <v>23</v>
      </c>
      <c r="C641" s="6">
        <v>2014</v>
      </c>
      <c r="D641" s="7">
        <v>106807</v>
      </c>
    </row>
    <row r="642" spans="1:4" x14ac:dyDescent="0.3">
      <c r="A642" s="2" t="s">
        <v>22</v>
      </c>
      <c r="B642" s="2" t="s">
        <v>23</v>
      </c>
      <c r="C642" s="3">
        <v>2015</v>
      </c>
      <c r="D642" s="4">
        <v>107906</v>
      </c>
    </row>
    <row r="643" spans="1:4" x14ac:dyDescent="0.3">
      <c r="A643" s="5" t="s">
        <v>22</v>
      </c>
      <c r="B643" s="5" t="s">
        <v>23</v>
      </c>
      <c r="C643" s="6">
        <v>2016</v>
      </c>
      <c r="D643" s="7">
        <v>108727</v>
      </c>
    </row>
    <row r="644" spans="1:4" x14ac:dyDescent="0.3">
      <c r="A644" s="2" t="s">
        <v>22</v>
      </c>
      <c r="B644" s="2" t="s">
        <v>23</v>
      </c>
      <c r="C644" s="3">
        <v>2017</v>
      </c>
      <c r="D644" s="4">
        <v>108735</v>
      </c>
    </row>
    <row r="645" spans="1:4" x14ac:dyDescent="0.3">
      <c r="A645" s="5" t="s">
        <v>22</v>
      </c>
      <c r="B645" s="5" t="s">
        <v>23</v>
      </c>
      <c r="C645" s="6">
        <v>2018</v>
      </c>
      <c r="D645" s="7">
        <v>108908</v>
      </c>
    </row>
    <row r="646" spans="1:4" x14ac:dyDescent="0.3">
      <c r="A646" s="2" t="s">
        <v>22</v>
      </c>
      <c r="B646" s="2" t="s">
        <v>23</v>
      </c>
      <c r="C646" s="3">
        <v>2019</v>
      </c>
      <c r="D646" s="4">
        <v>109203</v>
      </c>
    </row>
    <row r="647" spans="1:4" x14ac:dyDescent="0.3">
      <c r="A647" s="5" t="s">
        <v>22</v>
      </c>
      <c r="B647" s="5" t="s">
        <v>23</v>
      </c>
      <c r="C647" s="6">
        <v>2020</v>
      </c>
      <c r="D647" s="7">
        <v>108587</v>
      </c>
    </row>
    <row r="648" spans="1:4" x14ac:dyDescent="0.3">
      <c r="A648" s="2" t="s">
        <v>22</v>
      </c>
      <c r="B648" s="2" t="s">
        <v>23</v>
      </c>
      <c r="C648" s="3">
        <v>2021</v>
      </c>
      <c r="D648" s="4">
        <v>107700</v>
      </c>
    </row>
    <row r="649" spans="1:4" x14ac:dyDescent="0.3">
      <c r="A649" s="5" t="s">
        <v>22</v>
      </c>
      <c r="B649" s="5" t="s">
        <v>23</v>
      </c>
      <c r="C649" s="6">
        <v>2022</v>
      </c>
      <c r="D649" s="7">
        <v>107310</v>
      </c>
    </row>
    <row r="650" spans="1:4" x14ac:dyDescent="0.3">
      <c r="A650" s="2" t="s">
        <v>22</v>
      </c>
      <c r="B650" s="2" t="s">
        <v>23</v>
      </c>
      <c r="C650" s="3">
        <v>2023</v>
      </c>
      <c r="D650" s="4">
        <v>107359</v>
      </c>
    </row>
    <row r="651" spans="1:4" x14ac:dyDescent="0.3">
      <c r="A651" s="5" t="s">
        <v>22</v>
      </c>
      <c r="B651" s="5" t="s">
        <v>23</v>
      </c>
      <c r="C651" s="6">
        <v>2024</v>
      </c>
      <c r="D651" s="7">
        <v>107624</v>
      </c>
    </row>
    <row r="652" spans="1:4" x14ac:dyDescent="0.3">
      <c r="A652" s="2" t="s">
        <v>24</v>
      </c>
      <c r="B652" s="2" t="s">
        <v>25</v>
      </c>
      <c r="C652" s="3">
        <v>1960</v>
      </c>
      <c r="D652" s="4">
        <v>10276477</v>
      </c>
    </row>
    <row r="653" spans="1:4" x14ac:dyDescent="0.3">
      <c r="A653" s="5" t="s">
        <v>24</v>
      </c>
      <c r="B653" s="5" t="s">
        <v>25</v>
      </c>
      <c r="C653" s="6">
        <v>1961</v>
      </c>
      <c r="D653" s="7">
        <v>10483000</v>
      </c>
    </row>
    <row r="654" spans="1:4" x14ac:dyDescent="0.3">
      <c r="A654" s="2" t="s">
        <v>24</v>
      </c>
      <c r="B654" s="2" t="s">
        <v>25</v>
      </c>
      <c r="C654" s="3">
        <v>1962</v>
      </c>
      <c r="D654" s="4">
        <v>10742000</v>
      </c>
    </row>
    <row r="655" spans="1:4" x14ac:dyDescent="0.3">
      <c r="A655" s="5" t="s">
        <v>24</v>
      </c>
      <c r="B655" s="5" t="s">
        <v>25</v>
      </c>
      <c r="C655" s="6">
        <v>1963</v>
      </c>
      <c r="D655" s="7">
        <v>10950000</v>
      </c>
    </row>
    <row r="656" spans="1:4" x14ac:dyDescent="0.3">
      <c r="A656" s="2" t="s">
        <v>24</v>
      </c>
      <c r="B656" s="2" t="s">
        <v>25</v>
      </c>
      <c r="C656" s="3">
        <v>1964</v>
      </c>
      <c r="D656" s="4">
        <v>11167000</v>
      </c>
    </row>
    <row r="657" spans="1:4" x14ac:dyDescent="0.3">
      <c r="A657" s="5" t="s">
        <v>24</v>
      </c>
      <c r="B657" s="5" t="s">
        <v>25</v>
      </c>
      <c r="C657" s="6">
        <v>1965</v>
      </c>
      <c r="D657" s="7">
        <v>11388000</v>
      </c>
    </row>
    <row r="658" spans="1:4" x14ac:dyDescent="0.3">
      <c r="A658" s="2" t="s">
        <v>24</v>
      </c>
      <c r="B658" s="2" t="s">
        <v>25</v>
      </c>
      <c r="C658" s="3">
        <v>1966</v>
      </c>
      <c r="D658" s="4">
        <v>11651000</v>
      </c>
    </row>
    <row r="659" spans="1:4" x14ac:dyDescent="0.3">
      <c r="A659" s="5" t="s">
        <v>24</v>
      </c>
      <c r="B659" s="5" t="s">
        <v>25</v>
      </c>
      <c r="C659" s="6">
        <v>1967</v>
      </c>
      <c r="D659" s="7">
        <v>11799000</v>
      </c>
    </row>
    <row r="660" spans="1:4" x14ac:dyDescent="0.3">
      <c r="A660" s="2" t="s">
        <v>24</v>
      </c>
      <c r="B660" s="2" t="s">
        <v>25</v>
      </c>
      <c r="C660" s="3">
        <v>1968</v>
      </c>
      <c r="D660" s="4">
        <v>12009000</v>
      </c>
    </row>
    <row r="661" spans="1:4" x14ac:dyDescent="0.3">
      <c r="A661" s="5" t="s">
        <v>24</v>
      </c>
      <c r="B661" s="5" t="s">
        <v>25</v>
      </c>
      <c r="C661" s="6">
        <v>1969</v>
      </c>
      <c r="D661" s="7">
        <v>12263000</v>
      </c>
    </row>
    <row r="662" spans="1:4" x14ac:dyDescent="0.3">
      <c r="A662" s="2" t="s">
        <v>24</v>
      </c>
      <c r="B662" s="2" t="s">
        <v>25</v>
      </c>
      <c r="C662" s="3">
        <v>1970</v>
      </c>
      <c r="D662" s="4">
        <v>12507000</v>
      </c>
    </row>
    <row r="663" spans="1:4" x14ac:dyDescent="0.3">
      <c r="A663" s="5" t="s">
        <v>24</v>
      </c>
      <c r="B663" s="5" t="s">
        <v>25</v>
      </c>
      <c r="C663" s="6">
        <v>1971</v>
      </c>
      <c r="D663" s="7">
        <v>12937000</v>
      </c>
    </row>
    <row r="664" spans="1:4" x14ac:dyDescent="0.3">
      <c r="A664" s="2" t="s">
        <v>24</v>
      </c>
      <c r="B664" s="2" t="s">
        <v>25</v>
      </c>
      <c r="C664" s="3">
        <v>1972</v>
      </c>
      <c r="D664" s="4">
        <v>13177000</v>
      </c>
    </row>
    <row r="665" spans="1:4" x14ac:dyDescent="0.3">
      <c r="A665" s="5" t="s">
        <v>24</v>
      </c>
      <c r="B665" s="5" t="s">
        <v>25</v>
      </c>
      <c r="C665" s="6">
        <v>1973</v>
      </c>
      <c r="D665" s="7">
        <v>13380000</v>
      </c>
    </row>
    <row r="666" spans="1:4" x14ac:dyDescent="0.3">
      <c r="A666" s="2" t="s">
        <v>24</v>
      </c>
      <c r="B666" s="2" t="s">
        <v>25</v>
      </c>
      <c r="C666" s="3">
        <v>1974</v>
      </c>
      <c r="D666" s="4">
        <v>13723000</v>
      </c>
    </row>
    <row r="667" spans="1:4" x14ac:dyDescent="0.3">
      <c r="A667" s="5" t="s">
        <v>24</v>
      </c>
      <c r="B667" s="5" t="s">
        <v>25</v>
      </c>
      <c r="C667" s="6">
        <v>1975</v>
      </c>
      <c r="D667" s="7">
        <v>13893000</v>
      </c>
    </row>
    <row r="668" spans="1:4" x14ac:dyDescent="0.3">
      <c r="A668" s="2" t="s">
        <v>24</v>
      </c>
      <c r="B668" s="2" t="s">
        <v>25</v>
      </c>
      <c r="C668" s="3">
        <v>1976</v>
      </c>
      <c r="D668" s="4">
        <v>14033000</v>
      </c>
    </row>
    <row r="669" spans="1:4" x14ac:dyDescent="0.3">
      <c r="A669" s="5" t="s">
        <v>24</v>
      </c>
      <c r="B669" s="5" t="s">
        <v>25</v>
      </c>
      <c r="C669" s="6">
        <v>1977</v>
      </c>
      <c r="D669" s="7">
        <v>14192000</v>
      </c>
    </row>
    <row r="670" spans="1:4" x14ac:dyDescent="0.3">
      <c r="A670" s="2" t="s">
        <v>24</v>
      </c>
      <c r="B670" s="2" t="s">
        <v>25</v>
      </c>
      <c r="C670" s="3">
        <v>1978</v>
      </c>
      <c r="D670" s="4">
        <v>14358000</v>
      </c>
    </row>
    <row r="671" spans="1:4" x14ac:dyDescent="0.3">
      <c r="A671" s="5" t="s">
        <v>24</v>
      </c>
      <c r="B671" s="5" t="s">
        <v>25</v>
      </c>
      <c r="C671" s="6">
        <v>1979</v>
      </c>
      <c r="D671" s="7">
        <v>14514000</v>
      </c>
    </row>
    <row r="672" spans="1:4" x14ac:dyDescent="0.3">
      <c r="A672" s="2" t="s">
        <v>24</v>
      </c>
      <c r="B672" s="2" t="s">
        <v>25</v>
      </c>
      <c r="C672" s="3">
        <v>1980</v>
      </c>
      <c r="D672" s="4">
        <v>14692000</v>
      </c>
    </row>
    <row r="673" spans="1:4" x14ac:dyDescent="0.3">
      <c r="A673" s="5" t="s">
        <v>24</v>
      </c>
      <c r="B673" s="5" t="s">
        <v>25</v>
      </c>
      <c r="C673" s="6">
        <v>1981</v>
      </c>
      <c r="D673" s="7">
        <v>14923260</v>
      </c>
    </row>
    <row r="674" spans="1:4" x14ac:dyDescent="0.3">
      <c r="A674" s="2" t="s">
        <v>24</v>
      </c>
      <c r="B674" s="2" t="s">
        <v>25</v>
      </c>
      <c r="C674" s="3">
        <v>1982</v>
      </c>
      <c r="D674" s="4">
        <v>15184247</v>
      </c>
    </row>
    <row r="675" spans="1:4" x14ac:dyDescent="0.3">
      <c r="A675" s="5" t="s">
        <v>24</v>
      </c>
      <c r="B675" s="5" t="s">
        <v>25</v>
      </c>
      <c r="C675" s="6">
        <v>1983</v>
      </c>
      <c r="D675" s="7">
        <v>15393472</v>
      </c>
    </row>
    <row r="676" spans="1:4" x14ac:dyDescent="0.3">
      <c r="A676" s="2" t="s">
        <v>24</v>
      </c>
      <c r="B676" s="2" t="s">
        <v>25</v>
      </c>
      <c r="C676" s="3">
        <v>1984</v>
      </c>
      <c r="D676" s="4">
        <v>15579391</v>
      </c>
    </row>
    <row r="677" spans="1:4" x14ac:dyDescent="0.3">
      <c r="A677" s="5" t="s">
        <v>24</v>
      </c>
      <c r="B677" s="5" t="s">
        <v>25</v>
      </c>
      <c r="C677" s="6">
        <v>1985</v>
      </c>
      <c r="D677" s="7">
        <v>15788312</v>
      </c>
    </row>
    <row r="678" spans="1:4" x14ac:dyDescent="0.3">
      <c r="A678" s="2" t="s">
        <v>24</v>
      </c>
      <c r="B678" s="2" t="s">
        <v>25</v>
      </c>
      <c r="C678" s="3">
        <v>1986</v>
      </c>
      <c r="D678" s="4">
        <v>16018350</v>
      </c>
    </row>
    <row r="679" spans="1:4" x14ac:dyDescent="0.3">
      <c r="A679" s="5" t="s">
        <v>24</v>
      </c>
      <c r="B679" s="5" t="s">
        <v>25</v>
      </c>
      <c r="C679" s="6">
        <v>1987</v>
      </c>
      <c r="D679" s="7">
        <v>16263874</v>
      </c>
    </row>
    <row r="680" spans="1:4" x14ac:dyDescent="0.3">
      <c r="A680" s="2" t="s">
        <v>24</v>
      </c>
      <c r="B680" s="2" t="s">
        <v>25</v>
      </c>
      <c r="C680" s="3">
        <v>1988</v>
      </c>
      <c r="D680" s="4">
        <v>16532164</v>
      </c>
    </row>
    <row r="681" spans="1:4" x14ac:dyDescent="0.3">
      <c r="A681" s="5" t="s">
        <v>24</v>
      </c>
      <c r="B681" s="5" t="s">
        <v>25</v>
      </c>
      <c r="C681" s="6">
        <v>1989</v>
      </c>
      <c r="D681" s="7">
        <v>16814416</v>
      </c>
    </row>
    <row r="682" spans="1:4" x14ac:dyDescent="0.3">
      <c r="A682" s="2" t="s">
        <v>24</v>
      </c>
      <c r="B682" s="2" t="s">
        <v>25</v>
      </c>
      <c r="C682" s="3">
        <v>1990</v>
      </c>
      <c r="D682" s="4">
        <v>17065128</v>
      </c>
    </row>
    <row r="683" spans="1:4" x14ac:dyDescent="0.3">
      <c r="A683" s="5" t="s">
        <v>24</v>
      </c>
      <c r="B683" s="5" t="s">
        <v>25</v>
      </c>
      <c r="C683" s="6">
        <v>1991</v>
      </c>
      <c r="D683" s="7">
        <v>17284036</v>
      </c>
    </row>
    <row r="684" spans="1:4" x14ac:dyDescent="0.3">
      <c r="A684" s="2" t="s">
        <v>24</v>
      </c>
      <c r="B684" s="2" t="s">
        <v>25</v>
      </c>
      <c r="C684" s="3">
        <v>1992</v>
      </c>
      <c r="D684" s="4">
        <v>17478635</v>
      </c>
    </row>
    <row r="685" spans="1:4" x14ac:dyDescent="0.3">
      <c r="A685" s="5" t="s">
        <v>24</v>
      </c>
      <c r="B685" s="5" t="s">
        <v>25</v>
      </c>
      <c r="C685" s="6">
        <v>1993</v>
      </c>
      <c r="D685" s="7">
        <v>17634808</v>
      </c>
    </row>
    <row r="686" spans="1:4" x14ac:dyDescent="0.3">
      <c r="A686" s="2" t="s">
        <v>24</v>
      </c>
      <c r="B686" s="2" t="s">
        <v>25</v>
      </c>
      <c r="C686" s="3">
        <v>1994</v>
      </c>
      <c r="D686" s="4">
        <v>17805468</v>
      </c>
    </row>
    <row r="687" spans="1:4" x14ac:dyDescent="0.3">
      <c r="A687" s="5" t="s">
        <v>24</v>
      </c>
      <c r="B687" s="5" t="s">
        <v>25</v>
      </c>
      <c r="C687" s="6">
        <v>1995</v>
      </c>
      <c r="D687" s="7">
        <v>18004882</v>
      </c>
    </row>
    <row r="688" spans="1:4" x14ac:dyDescent="0.3">
      <c r="A688" s="2" t="s">
        <v>24</v>
      </c>
      <c r="B688" s="2" t="s">
        <v>25</v>
      </c>
      <c r="C688" s="3">
        <v>1996</v>
      </c>
      <c r="D688" s="4">
        <v>18224767</v>
      </c>
    </row>
    <row r="689" spans="1:4" x14ac:dyDescent="0.3">
      <c r="A689" s="5" t="s">
        <v>24</v>
      </c>
      <c r="B689" s="5" t="s">
        <v>25</v>
      </c>
      <c r="C689" s="6">
        <v>1997</v>
      </c>
      <c r="D689" s="7">
        <v>18423037</v>
      </c>
    </row>
    <row r="690" spans="1:4" x14ac:dyDescent="0.3">
      <c r="A690" s="2" t="s">
        <v>24</v>
      </c>
      <c r="B690" s="2" t="s">
        <v>25</v>
      </c>
      <c r="C690" s="3">
        <v>1998</v>
      </c>
      <c r="D690" s="4">
        <v>18607584</v>
      </c>
    </row>
    <row r="691" spans="1:4" x14ac:dyDescent="0.3">
      <c r="A691" s="5" t="s">
        <v>24</v>
      </c>
      <c r="B691" s="5" t="s">
        <v>25</v>
      </c>
      <c r="C691" s="6">
        <v>1999</v>
      </c>
      <c r="D691" s="7">
        <v>18812264</v>
      </c>
    </row>
    <row r="692" spans="1:4" x14ac:dyDescent="0.3">
      <c r="A692" s="2" t="s">
        <v>24</v>
      </c>
      <c r="B692" s="2" t="s">
        <v>25</v>
      </c>
      <c r="C692" s="3">
        <v>2000</v>
      </c>
      <c r="D692" s="4">
        <v>19028802</v>
      </c>
    </row>
    <row r="693" spans="1:4" x14ac:dyDescent="0.3">
      <c r="A693" s="5" t="s">
        <v>24</v>
      </c>
      <c r="B693" s="5" t="s">
        <v>25</v>
      </c>
      <c r="C693" s="6">
        <v>2001</v>
      </c>
      <c r="D693" s="7">
        <v>19274701</v>
      </c>
    </row>
    <row r="694" spans="1:4" x14ac:dyDescent="0.3">
      <c r="A694" s="2" t="s">
        <v>24</v>
      </c>
      <c r="B694" s="2" t="s">
        <v>25</v>
      </c>
      <c r="C694" s="3">
        <v>2002</v>
      </c>
      <c r="D694" s="4">
        <v>19495210</v>
      </c>
    </row>
    <row r="695" spans="1:4" x14ac:dyDescent="0.3">
      <c r="A695" s="5" t="s">
        <v>24</v>
      </c>
      <c r="B695" s="5" t="s">
        <v>25</v>
      </c>
      <c r="C695" s="6">
        <v>2003</v>
      </c>
      <c r="D695" s="7">
        <v>19720737</v>
      </c>
    </row>
    <row r="696" spans="1:4" x14ac:dyDescent="0.3">
      <c r="A696" s="2" t="s">
        <v>24</v>
      </c>
      <c r="B696" s="2" t="s">
        <v>25</v>
      </c>
      <c r="C696" s="3">
        <v>2004</v>
      </c>
      <c r="D696" s="4">
        <v>19932722</v>
      </c>
    </row>
    <row r="697" spans="1:4" x14ac:dyDescent="0.3">
      <c r="A697" s="5" t="s">
        <v>24</v>
      </c>
      <c r="B697" s="5" t="s">
        <v>25</v>
      </c>
      <c r="C697" s="6">
        <v>2005</v>
      </c>
      <c r="D697" s="7">
        <v>20176844</v>
      </c>
    </row>
    <row r="698" spans="1:4" x14ac:dyDescent="0.3">
      <c r="A698" s="2" t="s">
        <v>24</v>
      </c>
      <c r="B698" s="2" t="s">
        <v>25</v>
      </c>
      <c r="C698" s="3">
        <v>2006</v>
      </c>
      <c r="D698" s="4">
        <v>20450966</v>
      </c>
    </row>
    <row r="699" spans="1:4" x14ac:dyDescent="0.3">
      <c r="A699" s="5" t="s">
        <v>24</v>
      </c>
      <c r="B699" s="5" t="s">
        <v>25</v>
      </c>
      <c r="C699" s="6">
        <v>2007</v>
      </c>
      <c r="D699" s="7">
        <v>20827622</v>
      </c>
    </row>
    <row r="700" spans="1:4" x14ac:dyDescent="0.3">
      <c r="A700" s="2" t="s">
        <v>24</v>
      </c>
      <c r="B700" s="2" t="s">
        <v>25</v>
      </c>
      <c r="C700" s="3">
        <v>2008</v>
      </c>
      <c r="D700" s="4">
        <v>21249199</v>
      </c>
    </row>
    <row r="701" spans="1:4" x14ac:dyDescent="0.3">
      <c r="A701" s="5" t="s">
        <v>24</v>
      </c>
      <c r="B701" s="5" t="s">
        <v>25</v>
      </c>
      <c r="C701" s="6">
        <v>2009</v>
      </c>
      <c r="D701" s="7">
        <v>21691653</v>
      </c>
    </row>
    <row r="702" spans="1:4" x14ac:dyDescent="0.3">
      <c r="A702" s="2" t="s">
        <v>24</v>
      </c>
      <c r="B702" s="2" t="s">
        <v>25</v>
      </c>
      <c r="C702" s="3">
        <v>2010</v>
      </c>
      <c r="D702" s="4">
        <v>22031750</v>
      </c>
    </row>
    <row r="703" spans="1:4" x14ac:dyDescent="0.3">
      <c r="A703" s="5" t="s">
        <v>24</v>
      </c>
      <c r="B703" s="5" t="s">
        <v>25</v>
      </c>
      <c r="C703" s="6">
        <v>2011</v>
      </c>
      <c r="D703" s="7">
        <v>22340024</v>
      </c>
    </row>
    <row r="704" spans="1:4" x14ac:dyDescent="0.3">
      <c r="A704" s="2" t="s">
        <v>24</v>
      </c>
      <c r="B704" s="2" t="s">
        <v>25</v>
      </c>
      <c r="C704" s="3">
        <v>2012</v>
      </c>
      <c r="D704" s="4">
        <v>22733465</v>
      </c>
    </row>
    <row r="705" spans="1:4" x14ac:dyDescent="0.3">
      <c r="A705" s="5" t="s">
        <v>24</v>
      </c>
      <c r="B705" s="5" t="s">
        <v>25</v>
      </c>
      <c r="C705" s="6">
        <v>2013</v>
      </c>
      <c r="D705" s="7">
        <v>23128129</v>
      </c>
    </row>
    <row r="706" spans="1:4" x14ac:dyDescent="0.3">
      <c r="A706" s="2" t="s">
        <v>24</v>
      </c>
      <c r="B706" s="2" t="s">
        <v>25</v>
      </c>
      <c r="C706" s="3">
        <v>2014</v>
      </c>
      <c r="D706" s="4">
        <v>23475686</v>
      </c>
    </row>
    <row r="707" spans="1:4" x14ac:dyDescent="0.3">
      <c r="A707" s="5" t="s">
        <v>24</v>
      </c>
      <c r="B707" s="5" t="s">
        <v>25</v>
      </c>
      <c r="C707" s="6">
        <v>2015</v>
      </c>
      <c r="D707" s="7">
        <v>23815995</v>
      </c>
    </row>
    <row r="708" spans="1:4" x14ac:dyDescent="0.3">
      <c r="A708" s="2" t="s">
        <v>24</v>
      </c>
      <c r="B708" s="2" t="s">
        <v>25</v>
      </c>
      <c r="C708" s="3">
        <v>2016</v>
      </c>
      <c r="D708" s="4">
        <v>24190907</v>
      </c>
    </row>
    <row r="709" spans="1:4" x14ac:dyDescent="0.3">
      <c r="A709" s="5" t="s">
        <v>24</v>
      </c>
      <c r="B709" s="5" t="s">
        <v>25</v>
      </c>
      <c r="C709" s="6">
        <v>2017</v>
      </c>
      <c r="D709" s="7">
        <v>24592588</v>
      </c>
    </row>
    <row r="710" spans="1:4" x14ac:dyDescent="0.3">
      <c r="A710" s="2" t="s">
        <v>24</v>
      </c>
      <c r="B710" s="2" t="s">
        <v>25</v>
      </c>
      <c r="C710" s="3">
        <v>2018</v>
      </c>
      <c r="D710" s="4">
        <v>24963258</v>
      </c>
    </row>
    <row r="711" spans="1:4" x14ac:dyDescent="0.3">
      <c r="A711" s="5" t="s">
        <v>24</v>
      </c>
      <c r="B711" s="5" t="s">
        <v>25</v>
      </c>
      <c r="C711" s="6">
        <v>2019</v>
      </c>
      <c r="D711" s="7">
        <v>25334826</v>
      </c>
    </row>
    <row r="712" spans="1:4" x14ac:dyDescent="0.3">
      <c r="A712" s="2" t="s">
        <v>24</v>
      </c>
      <c r="B712" s="2" t="s">
        <v>25</v>
      </c>
      <c r="C712" s="3">
        <v>2020</v>
      </c>
      <c r="D712" s="4">
        <v>25649248</v>
      </c>
    </row>
    <row r="713" spans="1:4" x14ac:dyDescent="0.3">
      <c r="A713" s="5" t="s">
        <v>24</v>
      </c>
      <c r="B713" s="5" t="s">
        <v>25</v>
      </c>
      <c r="C713" s="6">
        <v>2021</v>
      </c>
      <c r="D713" s="7">
        <v>25685412</v>
      </c>
    </row>
    <row r="714" spans="1:4" x14ac:dyDescent="0.3">
      <c r="A714" s="2" t="s">
        <v>24</v>
      </c>
      <c r="B714" s="2" t="s">
        <v>25</v>
      </c>
      <c r="C714" s="3">
        <v>2022</v>
      </c>
      <c r="D714" s="4">
        <v>26014399</v>
      </c>
    </row>
    <row r="715" spans="1:4" x14ac:dyDescent="0.3">
      <c r="A715" s="5" t="s">
        <v>24</v>
      </c>
      <c r="B715" s="5" t="s">
        <v>25</v>
      </c>
      <c r="C715" s="6">
        <v>2023</v>
      </c>
      <c r="D715" s="7">
        <v>26652777</v>
      </c>
    </row>
    <row r="716" spans="1:4" x14ac:dyDescent="0.3">
      <c r="A716" s="2" t="s">
        <v>24</v>
      </c>
      <c r="B716" s="2" t="s">
        <v>25</v>
      </c>
      <c r="C716" s="3">
        <v>2024</v>
      </c>
      <c r="D716" s="4">
        <v>27204809</v>
      </c>
    </row>
    <row r="717" spans="1:4" x14ac:dyDescent="0.3">
      <c r="A717" s="5" t="s">
        <v>26</v>
      </c>
      <c r="B717" s="5" t="s">
        <v>27</v>
      </c>
      <c r="C717" s="6">
        <v>1960</v>
      </c>
      <c r="D717" s="7">
        <v>7047539</v>
      </c>
    </row>
    <row r="718" spans="1:4" x14ac:dyDescent="0.3">
      <c r="A718" s="2" t="s">
        <v>26</v>
      </c>
      <c r="B718" s="2" t="s">
        <v>27</v>
      </c>
      <c r="C718" s="3">
        <v>1961</v>
      </c>
      <c r="D718" s="4">
        <v>7086299</v>
      </c>
    </row>
    <row r="719" spans="1:4" x14ac:dyDescent="0.3">
      <c r="A719" s="5" t="s">
        <v>26</v>
      </c>
      <c r="B719" s="5" t="s">
        <v>27</v>
      </c>
      <c r="C719" s="6">
        <v>1962</v>
      </c>
      <c r="D719" s="7">
        <v>7129864</v>
      </c>
    </row>
    <row r="720" spans="1:4" x14ac:dyDescent="0.3">
      <c r="A720" s="2" t="s">
        <v>26</v>
      </c>
      <c r="B720" s="2" t="s">
        <v>27</v>
      </c>
      <c r="C720" s="3">
        <v>1963</v>
      </c>
      <c r="D720" s="4">
        <v>7175811</v>
      </c>
    </row>
    <row r="721" spans="1:4" x14ac:dyDescent="0.3">
      <c r="A721" s="5" t="s">
        <v>26</v>
      </c>
      <c r="B721" s="5" t="s">
        <v>27</v>
      </c>
      <c r="C721" s="6">
        <v>1964</v>
      </c>
      <c r="D721" s="7">
        <v>7223801</v>
      </c>
    </row>
    <row r="722" spans="1:4" x14ac:dyDescent="0.3">
      <c r="A722" s="2" t="s">
        <v>26</v>
      </c>
      <c r="B722" s="2" t="s">
        <v>27</v>
      </c>
      <c r="C722" s="3">
        <v>1965</v>
      </c>
      <c r="D722" s="4">
        <v>7270889</v>
      </c>
    </row>
    <row r="723" spans="1:4" x14ac:dyDescent="0.3">
      <c r="A723" s="5" t="s">
        <v>26</v>
      </c>
      <c r="B723" s="5" t="s">
        <v>27</v>
      </c>
      <c r="C723" s="6">
        <v>1966</v>
      </c>
      <c r="D723" s="7">
        <v>7322066</v>
      </c>
    </row>
    <row r="724" spans="1:4" x14ac:dyDescent="0.3">
      <c r="A724" s="2" t="s">
        <v>26</v>
      </c>
      <c r="B724" s="2" t="s">
        <v>27</v>
      </c>
      <c r="C724" s="3">
        <v>1967</v>
      </c>
      <c r="D724" s="4">
        <v>7376998</v>
      </c>
    </row>
    <row r="725" spans="1:4" x14ac:dyDescent="0.3">
      <c r="A725" s="5" t="s">
        <v>26</v>
      </c>
      <c r="B725" s="5" t="s">
        <v>27</v>
      </c>
      <c r="C725" s="6">
        <v>1968</v>
      </c>
      <c r="D725" s="7">
        <v>7415403</v>
      </c>
    </row>
    <row r="726" spans="1:4" x14ac:dyDescent="0.3">
      <c r="A726" s="2" t="s">
        <v>26</v>
      </c>
      <c r="B726" s="2" t="s">
        <v>27</v>
      </c>
      <c r="C726" s="3">
        <v>1969</v>
      </c>
      <c r="D726" s="4">
        <v>7441055</v>
      </c>
    </row>
    <row r="727" spans="1:4" x14ac:dyDescent="0.3">
      <c r="A727" s="5" t="s">
        <v>26</v>
      </c>
      <c r="B727" s="5" t="s">
        <v>27</v>
      </c>
      <c r="C727" s="6">
        <v>1970</v>
      </c>
      <c r="D727" s="7">
        <v>7467086</v>
      </c>
    </row>
    <row r="728" spans="1:4" x14ac:dyDescent="0.3">
      <c r="A728" s="2" t="s">
        <v>26</v>
      </c>
      <c r="B728" s="2" t="s">
        <v>27</v>
      </c>
      <c r="C728" s="3">
        <v>1971</v>
      </c>
      <c r="D728" s="4">
        <v>7500482</v>
      </c>
    </row>
    <row r="729" spans="1:4" x14ac:dyDescent="0.3">
      <c r="A729" s="5" t="s">
        <v>26</v>
      </c>
      <c r="B729" s="5" t="s">
        <v>27</v>
      </c>
      <c r="C729" s="6">
        <v>1972</v>
      </c>
      <c r="D729" s="7">
        <v>7544201</v>
      </c>
    </row>
    <row r="730" spans="1:4" x14ac:dyDescent="0.3">
      <c r="A730" s="2" t="s">
        <v>26</v>
      </c>
      <c r="B730" s="2" t="s">
        <v>27</v>
      </c>
      <c r="C730" s="3">
        <v>1973</v>
      </c>
      <c r="D730" s="4">
        <v>7586115</v>
      </c>
    </row>
    <row r="731" spans="1:4" x14ac:dyDescent="0.3">
      <c r="A731" s="5" t="s">
        <v>26</v>
      </c>
      <c r="B731" s="5" t="s">
        <v>27</v>
      </c>
      <c r="C731" s="6">
        <v>1974</v>
      </c>
      <c r="D731" s="7">
        <v>7599038</v>
      </c>
    </row>
    <row r="732" spans="1:4" x14ac:dyDescent="0.3">
      <c r="A732" s="2" t="s">
        <v>26</v>
      </c>
      <c r="B732" s="2" t="s">
        <v>27</v>
      </c>
      <c r="C732" s="3">
        <v>1975</v>
      </c>
      <c r="D732" s="4">
        <v>7578903</v>
      </c>
    </row>
    <row r="733" spans="1:4" x14ac:dyDescent="0.3">
      <c r="A733" s="5" t="s">
        <v>26</v>
      </c>
      <c r="B733" s="5" t="s">
        <v>27</v>
      </c>
      <c r="C733" s="6">
        <v>1976</v>
      </c>
      <c r="D733" s="7">
        <v>7565525</v>
      </c>
    </row>
    <row r="734" spans="1:4" x14ac:dyDescent="0.3">
      <c r="A734" s="2" t="s">
        <v>26</v>
      </c>
      <c r="B734" s="2" t="s">
        <v>27</v>
      </c>
      <c r="C734" s="3">
        <v>1977</v>
      </c>
      <c r="D734" s="4">
        <v>7568430</v>
      </c>
    </row>
    <row r="735" spans="1:4" x14ac:dyDescent="0.3">
      <c r="A735" s="5" t="s">
        <v>26</v>
      </c>
      <c r="B735" s="5" t="s">
        <v>27</v>
      </c>
      <c r="C735" s="6">
        <v>1978</v>
      </c>
      <c r="D735" s="7">
        <v>7562305</v>
      </c>
    </row>
    <row r="736" spans="1:4" x14ac:dyDescent="0.3">
      <c r="A736" s="2" t="s">
        <v>26</v>
      </c>
      <c r="B736" s="2" t="s">
        <v>27</v>
      </c>
      <c r="C736" s="3">
        <v>1979</v>
      </c>
      <c r="D736" s="4">
        <v>7549425</v>
      </c>
    </row>
    <row r="737" spans="1:4" x14ac:dyDescent="0.3">
      <c r="A737" s="5" t="s">
        <v>26</v>
      </c>
      <c r="B737" s="5" t="s">
        <v>27</v>
      </c>
      <c r="C737" s="6">
        <v>1980</v>
      </c>
      <c r="D737" s="7">
        <v>7549433</v>
      </c>
    </row>
    <row r="738" spans="1:4" x14ac:dyDescent="0.3">
      <c r="A738" s="2" t="s">
        <v>26</v>
      </c>
      <c r="B738" s="2" t="s">
        <v>27</v>
      </c>
      <c r="C738" s="3">
        <v>1981</v>
      </c>
      <c r="D738" s="4">
        <v>7568710</v>
      </c>
    </row>
    <row r="739" spans="1:4" x14ac:dyDescent="0.3">
      <c r="A739" s="5" t="s">
        <v>26</v>
      </c>
      <c r="B739" s="5" t="s">
        <v>27</v>
      </c>
      <c r="C739" s="6">
        <v>1982</v>
      </c>
      <c r="D739" s="7">
        <v>7574140</v>
      </c>
    </row>
    <row r="740" spans="1:4" x14ac:dyDescent="0.3">
      <c r="A740" s="2" t="s">
        <v>26</v>
      </c>
      <c r="B740" s="2" t="s">
        <v>27</v>
      </c>
      <c r="C740" s="3">
        <v>1983</v>
      </c>
      <c r="D740" s="4">
        <v>7561910</v>
      </c>
    </row>
    <row r="741" spans="1:4" x14ac:dyDescent="0.3">
      <c r="A741" s="5" t="s">
        <v>26</v>
      </c>
      <c r="B741" s="5" t="s">
        <v>27</v>
      </c>
      <c r="C741" s="6">
        <v>1984</v>
      </c>
      <c r="D741" s="7">
        <v>7561434</v>
      </c>
    </row>
    <row r="742" spans="1:4" x14ac:dyDescent="0.3">
      <c r="A742" s="2" t="s">
        <v>26</v>
      </c>
      <c r="B742" s="2" t="s">
        <v>27</v>
      </c>
      <c r="C742" s="3">
        <v>1985</v>
      </c>
      <c r="D742" s="4">
        <v>7564985</v>
      </c>
    </row>
    <row r="743" spans="1:4" x14ac:dyDescent="0.3">
      <c r="A743" s="5" t="s">
        <v>26</v>
      </c>
      <c r="B743" s="5" t="s">
        <v>27</v>
      </c>
      <c r="C743" s="6">
        <v>1986</v>
      </c>
      <c r="D743" s="7">
        <v>7569794</v>
      </c>
    </row>
    <row r="744" spans="1:4" x14ac:dyDescent="0.3">
      <c r="A744" s="2" t="s">
        <v>26</v>
      </c>
      <c r="B744" s="2" t="s">
        <v>27</v>
      </c>
      <c r="C744" s="3">
        <v>1987</v>
      </c>
      <c r="D744" s="4">
        <v>7574586</v>
      </c>
    </row>
    <row r="745" spans="1:4" x14ac:dyDescent="0.3">
      <c r="A745" s="5" t="s">
        <v>26</v>
      </c>
      <c r="B745" s="5" t="s">
        <v>27</v>
      </c>
      <c r="C745" s="6">
        <v>1988</v>
      </c>
      <c r="D745" s="7">
        <v>7585317</v>
      </c>
    </row>
    <row r="746" spans="1:4" x14ac:dyDescent="0.3">
      <c r="A746" s="2" t="s">
        <v>26</v>
      </c>
      <c r="B746" s="2" t="s">
        <v>27</v>
      </c>
      <c r="C746" s="3">
        <v>1989</v>
      </c>
      <c r="D746" s="4">
        <v>7619567</v>
      </c>
    </row>
    <row r="747" spans="1:4" x14ac:dyDescent="0.3">
      <c r="A747" s="5" t="s">
        <v>26</v>
      </c>
      <c r="B747" s="5" t="s">
        <v>27</v>
      </c>
      <c r="C747" s="6">
        <v>1990</v>
      </c>
      <c r="D747" s="7">
        <v>7677850</v>
      </c>
    </row>
    <row r="748" spans="1:4" x14ac:dyDescent="0.3">
      <c r="A748" s="2" t="s">
        <v>26</v>
      </c>
      <c r="B748" s="2" t="s">
        <v>27</v>
      </c>
      <c r="C748" s="3">
        <v>1991</v>
      </c>
      <c r="D748" s="4">
        <v>7754891</v>
      </c>
    </row>
    <row r="749" spans="1:4" x14ac:dyDescent="0.3">
      <c r="A749" s="5" t="s">
        <v>26</v>
      </c>
      <c r="B749" s="5" t="s">
        <v>27</v>
      </c>
      <c r="C749" s="6">
        <v>1992</v>
      </c>
      <c r="D749" s="7">
        <v>7840709</v>
      </c>
    </row>
    <row r="750" spans="1:4" x14ac:dyDescent="0.3">
      <c r="A750" s="2" t="s">
        <v>26</v>
      </c>
      <c r="B750" s="2" t="s">
        <v>27</v>
      </c>
      <c r="C750" s="3">
        <v>1993</v>
      </c>
      <c r="D750" s="4">
        <v>7905633</v>
      </c>
    </row>
    <row r="751" spans="1:4" x14ac:dyDescent="0.3">
      <c r="A751" s="5" t="s">
        <v>26</v>
      </c>
      <c r="B751" s="5" t="s">
        <v>27</v>
      </c>
      <c r="C751" s="6">
        <v>1994</v>
      </c>
      <c r="D751" s="7">
        <v>7936118</v>
      </c>
    </row>
    <row r="752" spans="1:4" x14ac:dyDescent="0.3">
      <c r="A752" s="2" t="s">
        <v>26</v>
      </c>
      <c r="B752" s="2" t="s">
        <v>27</v>
      </c>
      <c r="C752" s="3">
        <v>1995</v>
      </c>
      <c r="D752" s="4">
        <v>7948278</v>
      </c>
    </row>
    <row r="753" spans="1:4" x14ac:dyDescent="0.3">
      <c r="A753" s="5" t="s">
        <v>26</v>
      </c>
      <c r="B753" s="5" t="s">
        <v>27</v>
      </c>
      <c r="C753" s="6">
        <v>1996</v>
      </c>
      <c r="D753" s="7">
        <v>7959017</v>
      </c>
    </row>
    <row r="754" spans="1:4" x14ac:dyDescent="0.3">
      <c r="A754" s="2" t="s">
        <v>26</v>
      </c>
      <c r="B754" s="2" t="s">
        <v>27</v>
      </c>
      <c r="C754" s="3">
        <v>1997</v>
      </c>
      <c r="D754" s="4">
        <v>7968041</v>
      </c>
    </row>
    <row r="755" spans="1:4" x14ac:dyDescent="0.3">
      <c r="A755" s="5" t="s">
        <v>26</v>
      </c>
      <c r="B755" s="5" t="s">
        <v>27</v>
      </c>
      <c r="C755" s="6">
        <v>1998</v>
      </c>
      <c r="D755" s="7">
        <v>7976789</v>
      </c>
    </row>
    <row r="756" spans="1:4" x14ac:dyDescent="0.3">
      <c r="A756" s="2" t="s">
        <v>26</v>
      </c>
      <c r="B756" s="2" t="s">
        <v>27</v>
      </c>
      <c r="C756" s="3">
        <v>1999</v>
      </c>
      <c r="D756" s="4">
        <v>7992324</v>
      </c>
    </row>
    <row r="757" spans="1:4" x14ac:dyDescent="0.3">
      <c r="A757" s="5" t="s">
        <v>26</v>
      </c>
      <c r="B757" s="5" t="s">
        <v>27</v>
      </c>
      <c r="C757" s="6">
        <v>2000</v>
      </c>
      <c r="D757" s="7">
        <v>8011566</v>
      </c>
    </row>
    <row r="758" spans="1:4" x14ac:dyDescent="0.3">
      <c r="A758" s="2" t="s">
        <v>26</v>
      </c>
      <c r="B758" s="2" t="s">
        <v>27</v>
      </c>
      <c r="C758" s="3">
        <v>2001</v>
      </c>
      <c r="D758" s="4">
        <v>8042293</v>
      </c>
    </row>
    <row r="759" spans="1:4" x14ac:dyDescent="0.3">
      <c r="A759" s="5" t="s">
        <v>26</v>
      </c>
      <c r="B759" s="5" t="s">
        <v>27</v>
      </c>
      <c r="C759" s="6">
        <v>2002</v>
      </c>
      <c r="D759" s="7">
        <v>8081957</v>
      </c>
    </row>
    <row r="760" spans="1:4" x14ac:dyDescent="0.3">
      <c r="A760" s="2" t="s">
        <v>26</v>
      </c>
      <c r="B760" s="2" t="s">
        <v>27</v>
      </c>
      <c r="C760" s="3">
        <v>2003</v>
      </c>
      <c r="D760" s="4">
        <v>8121423</v>
      </c>
    </row>
    <row r="761" spans="1:4" x14ac:dyDescent="0.3">
      <c r="A761" s="5" t="s">
        <v>26</v>
      </c>
      <c r="B761" s="5" t="s">
        <v>27</v>
      </c>
      <c r="C761" s="6">
        <v>2004</v>
      </c>
      <c r="D761" s="7">
        <v>8171966</v>
      </c>
    </row>
    <row r="762" spans="1:4" x14ac:dyDescent="0.3">
      <c r="A762" s="2" t="s">
        <v>26</v>
      </c>
      <c r="B762" s="2" t="s">
        <v>27</v>
      </c>
      <c r="C762" s="3">
        <v>2005</v>
      </c>
      <c r="D762" s="4">
        <v>8227829</v>
      </c>
    </row>
    <row r="763" spans="1:4" x14ac:dyDescent="0.3">
      <c r="A763" s="5" t="s">
        <v>26</v>
      </c>
      <c r="B763" s="5" t="s">
        <v>27</v>
      </c>
      <c r="C763" s="6">
        <v>2006</v>
      </c>
      <c r="D763" s="7">
        <v>8268641</v>
      </c>
    </row>
    <row r="764" spans="1:4" x14ac:dyDescent="0.3">
      <c r="A764" s="2" t="s">
        <v>26</v>
      </c>
      <c r="B764" s="2" t="s">
        <v>27</v>
      </c>
      <c r="C764" s="3">
        <v>2007</v>
      </c>
      <c r="D764" s="4">
        <v>8295487</v>
      </c>
    </row>
    <row r="765" spans="1:4" x14ac:dyDescent="0.3">
      <c r="A765" s="5" t="s">
        <v>26</v>
      </c>
      <c r="B765" s="5" t="s">
        <v>27</v>
      </c>
      <c r="C765" s="6">
        <v>2008</v>
      </c>
      <c r="D765" s="7">
        <v>8321496</v>
      </c>
    </row>
    <row r="766" spans="1:4" x14ac:dyDescent="0.3">
      <c r="A766" s="2" t="s">
        <v>26</v>
      </c>
      <c r="B766" s="2" t="s">
        <v>27</v>
      </c>
      <c r="C766" s="3">
        <v>2009</v>
      </c>
      <c r="D766" s="4">
        <v>8343323</v>
      </c>
    </row>
    <row r="767" spans="1:4" x14ac:dyDescent="0.3">
      <c r="A767" s="5" t="s">
        <v>26</v>
      </c>
      <c r="B767" s="5" t="s">
        <v>27</v>
      </c>
      <c r="C767" s="6">
        <v>2010</v>
      </c>
      <c r="D767" s="7">
        <v>8363404</v>
      </c>
    </row>
    <row r="768" spans="1:4" x14ac:dyDescent="0.3">
      <c r="A768" s="2" t="s">
        <v>26</v>
      </c>
      <c r="B768" s="2" t="s">
        <v>27</v>
      </c>
      <c r="C768" s="3">
        <v>2011</v>
      </c>
      <c r="D768" s="4">
        <v>8391643</v>
      </c>
    </row>
    <row r="769" spans="1:4" x14ac:dyDescent="0.3">
      <c r="A769" s="5" t="s">
        <v>26</v>
      </c>
      <c r="B769" s="5" t="s">
        <v>27</v>
      </c>
      <c r="C769" s="6">
        <v>2012</v>
      </c>
      <c r="D769" s="7">
        <v>8429991</v>
      </c>
    </row>
    <row r="770" spans="1:4" x14ac:dyDescent="0.3">
      <c r="A770" s="2" t="s">
        <v>26</v>
      </c>
      <c r="B770" s="2" t="s">
        <v>27</v>
      </c>
      <c r="C770" s="3">
        <v>2013</v>
      </c>
      <c r="D770" s="4">
        <v>8479823</v>
      </c>
    </row>
    <row r="771" spans="1:4" x14ac:dyDescent="0.3">
      <c r="A771" s="5" t="s">
        <v>26</v>
      </c>
      <c r="B771" s="5" t="s">
        <v>27</v>
      </c>
      <c r="C771" s="6">
        <v>2014</v>
      </c>
      <c r="D771" s="7">
        <v>8546356</v>
      </c>
    </row>
    <row r="772" spans="1:4" x14ac:dyDescent="0.3">
      <c r="A772" s="2" t="s">
        <v>26</v>
      </c>
      <c r="B772" s="2" t="s">
        <v>27</v>
      </c>
      <c r="C772" s="3">
        <v>2015</v>
      </c>
      <c r="D772" s="4">
        <v>8642699</v>
      </c>
    </row>
    <row r="773" spans="1:4" x14ac:dyDescent="0.3">
      <c r="A773" s="5" t="s">
        <v>26</v>
      </c>
      <c r="B773" s="5" t="s">
        <v>27</v>
      </c>
      <c r="C773" s="6">
        <v>2016</v>
      </c>
      <c r="D773" s="7">
        <v>8736668</v>
      </c>
    </row>
    <row r="774" spans="1:4" x14ac:dyDescent="0.3">
      <c r="A774" s="2" t="s">
        <v>26</v>
      </c>
      <c r="B774" s="2" t="s">
        <v>27</v>
      </c>
      <c r="C774" s="3">
        <v>2017</v>
      </c>
      <c r="D774" s="4">
        <v>8797566</v>
      </c>
    </row>
    <row r="775" spans="1:4" x14ac:dyDescent="0.3">
      <c r="A775" s="5" t="s">
        <v>26</v>
      </c>
      <c r="B775" s="5" t="s">
        <v>27</v>
      </c>
      <c r="C775" s="6">
        <v>2018</v>
      </c>
      <c r="D775" s="7">
        <v>8840521</v>
      </c>
    </row>
    <row r="776" spans="1:4" x14ac:dyDescent="0.3">
      <c r="A776" s="2" t="s">
        <v>26</v>
      </c>
      <c r="B776" s="2" t="s">
        <v>27</v>
      </c>
      <c r="C776" s="3">
        <v>2019</v>
      </c>
      <c r="D776" s="4">
        <v>8879920</v>
      </c>
    </row>
    <row r="777" spans="1:4" x14ac:dyDescent="0.3">
      <c r="A777" s="5" t="s">
        <v>26</v>
      </c>
      <c r="B777" s="5" t="s">
        <v>27</v>
      </c>
      <c r="C777" s="6">
        <v>2020</v>
      </c>
      <c r="D777" s="7">
        <v>8916864</v>
      </c>
    </row>
    <row r="778" spans="1:4" x14ac:dyDescent="0.3">
      <c r="A778" s="2" t="s">
        <v>26</v>
      </c>
      <c r="B778" s="2" t="s">
        <v>27</v>
      </c>
      <c r="C778" s="3">
        <v>2021</v>
      </c>
      <c r="D778" s="4">
        <v>8955797</v>
      </c>
    </row>
    <row r="779" spans="1:4" x14ac:dyDescent="0.3">
      <c r="A779" s="5" t="s">
        <v>26</v>
      </c>
      <c r="B779" s="5" t="s">
        <v>27</v>
      </c>
      <c r="C779" s="6">
        <v>2022</v>
      </c>
      <c r="D779" s="7">
        <v>9041851</v>
      </c>
    </row>
    <row r="780" spans="1:4" x14ac:dyDescent="0.3">
      <c r="A780" s="2" t="s">
        <v>26</v>
      </c>
      <c r="B780" s="2" t="s">
        <v>27</v>
      </c>
      <c r="C780" s="3">
        <v>2023</v>
      </c>
      <c r="D780" s="4">
        <v>9131761</v>
      </c>
    </row>
    <row r="781" spans="1:4" x14ac:dyDescent="0.3">
      <c r="A781" s="5" t="s">
        <v>26</v>
      </c>
      <c r="B781" s="5" t="s">
        <v>27</v>
      </c>
      <c r="C781" s="6">
        <v>2024</v>
      </c>
      <c r="D781" s="7">
        <v>9178482</v>
      </c>
    </row>
    <row r="782" spans="1:4" x14ac:dyDescent="0.3">
      <c r="A782" s="2" t="s">
        <v>28</v>
      </c>
      <c r="B782" s="2" t="s">
        <v>29</v>
      </c>
      <c r="C782" s="3">
        <v>1960</v>
      </c>
      <c r="D782" s="4">
        <v>3894500</v>
      </c>
    </row>
    <row r="783" spans="1:4" x14ac:dyDescent="0.3">
      <c r="A783" s="5" t="s">
        <v>28</v>
      </c>
      <c r="B783" s="5" t="s">
        <v>29</v>
      </c>
      <c r="C783" s="6">
        <v>1961</v>
      </c>
      <c r="D783" s="7">
        <v>4045750</v>
      </c>
    </row>
    <row r="784" spans="1:4" x14ac:dyDescent="0.3">
      <c r="A784" s="2" t="s">
        <v>28</v>
      </c>
      <c r="B784" s="2" t="s">
        <v>29</v>
      </c>
      <c r="C784" s="3">
        <v>1962</v>
      </c>
      <c r="D784" s="4">
        <v>4168150</v>
      </c>
    </row>
    <row r="785" spans="1:4" x14ac:dyDescent="0.3">
      <c r="A785" s="5" t="s">
        <v>28</v>
      </c>
      <c r="B785" s="5" t="s">
        <v>29</v>
      </c>
      <c r="C785" s="6">
        <v>1963</v>
      </c>
      <c r="D785" s="7">
        <v>4293550</v>
      </c>
    </row>
    <row r="786" spans="1:4" x14ac:dyDescent="0.3">
      <c r="A786" s="2" t="s">
        <v>28</v>
      </c>
      <c r="B786" s="2" t="s">
        <v>29</v>
      </c>
      <c r="C786" s="3">
        <v>1964</v>
      </c>
      <c r="D786" s="4">
        <v>4439250</v>
      </c>
    </row>
    <row r="787" spans="1:4" x14ac:dyDescent="0.3">
      <c r="A787" s="5" t="s">
        <v>28</v>
      </c>
      <c r="B787" s="5" t="s">
        <v>29</v>
      </c>
      <c r="C787" s="6">
        <v>1965</v>
      </c>
      <c r="D787" s="7">
        <v>4574650</v>
      </c>
    </row>
    <row r="788" spans="1:4" x14ac:dyDescent="0.3">
      <c r="A788" s="2" t="s">
        <v>28</v>
      </c>
      <c r="B788" s="2" t="s">
        <v>29</v>
      </c>
      <c r="C788" s="3">
        <v>1966</v>
      </c>
      <c r="D788" s="4">
        <v>4708150</v>
      </c>
    </row>
    <row r="789" spans="1:4" x14ac:dyDescent="0.3">
      <c r="A789" s="5" t="s">
        <v>28</v>
      </c>
      <c r="B789" s="5" t="s">
        <v>29</v>
      </c>
      <c r="C789" s="6">
        <v>1967</v>
      </c>
      <c r="D789" s="7">
        <v>4832000</v>
      </c>
    </row>
    <row r="790" spans="1:4" x14ac:dyDescent="0.3">
      <c r="A790" s="2" t="s">
        <v>28</v>
      </c>
      <c r="B790" s="2" t="s">
        <v>29</v>
      </c>
      <c r="C790" s="3">
        <v>1968</v>
      </c>
      <c r="D790" s="4">
        <v>4948500</v>
      </c>
    </row>
    <row r="791" spans="1:4" x14ac:dyDescent="0.3">
      <c r="A791" s="5" t="s">
        <v>28</v>
      </c>
      <c r="B791" s="5" t="s">
        <v>29</v>
      </c>
      <c r="C791" s="6">
        <v>1969</v>
      </c>
      <c r="D791" s="7">
        <v>5063300</v>
      </c>
    </row>
    <row r="792" spans="1:4" x14ac:dyDescent="0.3">
      <c r="A792" s="2" t="s">
        <v>28</v>
      </c>
      <c r="B792" s="2" t="s">
        <v>29</v>
      </c>
      <c r="C792" s="3">
        <v>1970</v>
      </c>
      <c r="D792" s="4">
        <v>5172050</v>
      </c>
    </row>
    <row r="793" spans="1:4" x14ac:dyDescent="0.3">
      <c r="A793" s="5" t="s">
        <v>28</v>
      </c>
      <c r="B793" s="5" t="s">
        <v>29</v>
      </c>
      <c r="C793" s="6">
        <v>1971</v>
      </c>
      <c r="D793" s="7">
        <v>5282950</v>
      </c>
    </row>
    <row r="794" spans="1:4" x14ac:dyDescent="0.3">
      <c r="A794" s="2" t="s">
        <v>28</v>
      </c>
      <c r="B794" s="2" t="s">
        <v>29</v>
      </c>
      <c r="C794" s="3">
        <v>1972</v>
      </c>
      <c r="D794" s="4">
        <v>5391450</v>
      </c>
    </row>
    <row r="795" spans="1:4" x14ac:dyDescent="0.3">
      <c r="A795" s="5" t="s">
        <v>28</v>
      </c>
      <c r="B795" s="5" t="s">
        <v>29</v>
      </c>
      <c r="C795" s="6">
        <v>1973</v>
      </c>
      <c r="D795" s="7">
        <v>5493900</v>
      </c>
    </row>
    <row r="796" spans="1:4" x14ac:dyDescent="0.3">
      <c r="A796" s="2" t="s">
        <v>28</v>
      </c>
      <c r="B796" s="2" t="s">
        <v>29</v>
      </c>
      <c r="C796" s="3">
        <v>1974</v>
      </c>
      <c r="D796" s="4">
        <v>5594100</v>
      </c>
    </row>
    <row r="797" spans="1:4" x14ac:dyDescent="0.3">
      <c r="A797" s="5" t="s">
        <v>28</v>
      </c>
      <c r="B797" s="5" t="s">
        <v>29</v>
      </c>
      <c r="C797" s="6">
        <v>1975</v>
      </c>
      <c r="D797" s="7">
        <v>5689050</v>
      </c>
    </row>
    <row r="798" spans="1:4" x14ac:dyDescent="0.3">
      <c r="A798" s="2" t="s">
        <v>28</v>
      </c>
      <c r="B798" s="2" t="s">
        <v>29</v>
      </c>
      <c r="C798" s="3">
        <v>1976</v>
      </c>
      <c r="D798" s="4">
        <v>5781000</v>
      </c>
    </row>
    <row r="799" spans="1:4" x14ac:dyDescent="0.3">
      <c r="A799" s="5" t="s">
        <v>28</v>
      </c>
      <c r="B799" s="5" t="s">
        <v>29</v>
      </c>
      <c r="C799" s="6">
        <v>1977</v>
      </c>
      <c r="D799" s="7">
        <v>5876150</v>
      </c>
    </row>
    <row r="800" spans="1:4" x14ac:dyDescent="0.3">
      <c r="A800" s="2" t="s">
        <v>28</v>
      </c>
      <c r="B800" s="2" t="s">
        <v>29</v>
      </c>
      <c r="C800" s="3">
        <v>1978</v>
      </c>
      <c r="D800" s="4">
        <v>5976150</v>
      </c>
    </row>
    <row r="801" spans="1:4" x14ac:dyDescent="0.3">
      <c r="A801" s="5" t="s">
        <v>28</v>
      </c>
      <c r="B801" s="5" t="s">
        <v>29</v>
      </c>
      <c r="C801" s="6">
        <v>1979</v>
      </c>
      <c r="D801" s="7">
        <v>6071300</v>
      </c>
    </row>
    <row r="802" spans="1:4" x14ac:dyDescent="0.3">
      <c r="A802" s="2" t="s">
        <v>28</v>
      </c>
      <c r="B802" s="2" t="s">
        <v>29</v>
      </c>
      <c r="C802" s="3">
        <v>1980</v>
      </c>
      <c r="D802" s="4">
        <v>6160500</v>
      </c>
    </row>
    <row r="803" spans="1:4" x14ac:dyDescent="0.3">
      <c r="A803" s="5" t="s">
        <v>28</v>
      </c>
      <c r="B803" s="5" t="s">
        <v>29</v>
      </c>
      <c r="C803" s="6">
        <v>1981</v>
      </c>
      <c r="D803" s="7">
        <v>6257750</v>
      </c>
    </row>
    <row r="804" spans="1:4" x14ac:dyDescent="0.3">
      <c r="A804" s="2" t="s">
        <v>28</v>
      </c>
      <c r="B804" s="2" t="s">
        <v>29</v>
      </c>
      <c r="C804" s="3">
        <v>1982</v>
      </c>
      <c r="D804" s="4">
        <v>6357550</v>
      </c>
    </row>
    <row r="805" spans="1:4" x14ac:dyDescent="0.3">
      <c r="A805" s="5" t="s">
        <v>28</v>
      </c>
      <c r="B805" s="5" t="s">
        <v>29</v>
      </c>
      <c r="C805" s="6">
        <v>1983</v>
      </c>
      <c r="D805" s="7">
        <v>6459800</v>
      </c>
    </row>
    <row r="806" spans="1:4" x14ac:dyDescent="0.3">
      <c r="A806" s="2" t="s">
        <v>28</v>
      </c>
      <c r="B806" s="2" t="s">
        <v>29</v>
      </c>
      <c r="C806" s="3">
        <v>1984</v>
      </c>
      <c r="D806" s="4">
        <v>6567850</v>
      </c>
    </row>
    <row r="807" spans="1:4" x14ac:dyDescent="0.3">
      <c r="A807" s="5" t="s">
        <v>28</v>
      </c>
      <c r="B807" s="5" t="s">
        <v>29</v>
      </c>
      <c r="C807" s="6">
        <v>1985</v>
      </c>
      <c r="D807" s="7">
        <v>6670150</v>
      </c>
    </row>
    <row r="808" spans="1:4" x14ac:dyDescent="0.3">
      <c r="A808" s="2" t="s">
        <v>28</v>
      </c>
      <c r="B808" s="2" t="s">
        <v>29</v>
      </c>
      <c r="C808" s="3">
        <v>1986</v>
      </c>
      <c r="D808" s="4">
        <v>6770300</v>
      </c>
    </row>
    <row r="809" spans="1:4" x14ac:dyDescent="0.3">
      <c r="A809" s="5" t="s">
        <v>28</v>
      </c>
      <c r="B809" s="5" t="s">
        <v>29</v>
      </c>
      <c r="C809" s="6">
        <v>1987</v>
      </c>
      <c r="D809" s="7">
        <v>6875350</v>
      </c>
    </row>
    <row r="810" spans="1:4" x14ac:dyDescent="0.3">
      <c r="A810" s="2" t="s">
        <v>28</v>
      </c>
      <c r="B810" s="2" t="s">
        <v>29</v>
      </c>
      <c r="C810" s="3">
        <v>1988</v>
      </c>
      <c r="D810" s="4">
        <v>6974600</v>
      </c>
    </row>
    <row r="811" spans="1:4" x14ac:dyDescent="0.3">
      <c r="A811" s="5" t="s">
        <v>28</v>
      </c>
      <c r="B811" s="5" t="s">
        <v>29</v>
      </c>
      <c r="C811" s="6">
        <v>1989</v>
      </c>
      <c r="D811" s="7">
        <v>7076550</v>
      </c>
    </row>
    <row r="812" spans="1:4" x14ac:dyDescent="0.3">
      <c r="A812" s="2" t="s">
        <v>28</v>
      </c>
      <c r="B812" s="2" t="s">
        <v>29</v>
      </c>
      <c r="C812" s="3">
        <v>1990</v>
      </c>
      <c r="D812" s="4">
        <v>7175200</v>
      </c>
    </row>
    <row r="813" spans="1:4" x14ac:dyDescent="0.3">
      <c r="A813" s="5" t="s">
        <v>28</v>
      </c>
      <c r="B813" s="5" t="s">
        <v>29</v>
      </c>
      <c r="C813" s="6">
        <v>1991</v>
      </c>
      <c r="D813" s="7">
        <v>7271300</v>
      </c>
    </row>
    <row r="814" spans="1:4" x14ac:dyDescent="0.3">
      <c r="A814" s="2" t="s">
        <v>28</v>
      </c>
      <c r="B814" s="2" t="s">
        <v>29</v>
      </c>
      <c r="C814" s="3">
        <v>1992</v>
      </c>
      <c r="D814" s="4">
        <v>7382050</v>
      </c>
    </row>
    <row r="815" spans="1:4" x14ac:dyDescent="0.3">
      <c r="A815" s="5" t="s">
        <v>28</v>
      </c>
      <c r="B815" s="5" t="s">
        <v>29</v>
      </c>
      <c r="C815" s="6">
        <v>1993</v>
      </c>
      <c r="D815" s="7">
        <v>7494800</v>
      </c>
    </row>
    <row r="816" spans="1:4" x14ac:dyDescent="0.3">
      <c r="A816" s="2" t="s">
        <v>28</v>
      </c>
      <c r="B816" s="2" t="s">
        <v>29</v>
      </c>
      <c r="C816" s="3">
        <v>1994</v>
      </c>
      <c r="D816" s="4">
        <v>7596550</v>
      </c>
    </row>
    <row r="817" spans="1:4" x14ac:dyDescent="0.3">
      <c r="A817" s="5" t="s">
        <v>28</v>
      </c>
      <c r="B817" s="5" t="s">
        <v>29</v>
      </c>
      <c r="C817" s="6">
        <v>1995</v>
      </c>
      <c r="D817" s="7">
        <v>7684850</v>
      </c>
    </row>
    <row r="818" spans="1:4" x14ac:dyDescent="0.3">
      <c r="A818" s="2" t="s">
        <v>28</v>
      </c>
      <c r="B818" s="2" t="s">
        <v>29</v>
      </c>
      <c r="C818" s="3">
        <v>1996</v>
      </c>
      <c r="D818" s="4">
        <v>7763000</v>
      </c>
    </row>
    <row r="819" spans="1:4" x14ac:dyDescent="0.3">
      <c r="A819" s="5" t="s">
        <v>28</v>
      </c>
      <c r="B819" s="5" t="s">
        <v>29</v>
      </c>
      <c r="C819" s="6">
        <v>1997</v>
      </c>
      <c r="D819" s="7">
        <v>7838250</v>
      </c>
    </row>
    <row r="820" spans="1:4" x14ac:dyDescent="0.3">
      <c r="A820" s="2" t="s">
        <v>28</v>
      </c>
      <c r="B820" s="2" t="s">
        <v>29</v>
      </c>
      <c r="C820" s="3">
        <v>1998</v>
      </c>
      <c r="D820" s="4">
        <v>7913000</v>
      </c>
    </row>
    <row r="821" spans="1:4" x14ac:dyDescent="0.3">
      <c r="A821" s="5" t="s">
        <v>28</v>
      </c>
      <c r="B821" s="5" t="s">
        <v>29</v>
      </c>
      <c r="C821" s="6">
        <v>1999</v>
      </c>
      <c r="D821" s="7">
        <v>7982750</v>
      </c>
    </row>
    <row r="822" spans="1:4" x14ac:dyDescent="0.3">
      <c r="A822" s="2" t="s">
        <v>28</v>
      </c>
      <c r="B822" s="2" t="s">
        <v>29</v>
      </c>
      <c r="C822" s="3">
        <v>2000</v>
      </c>
      <c r="D822" s="4">
        <v>8048600</v>
      </c>
    </row>
    <row r="823" spans="1:4" x14ac:dyDescent="0.3">
      <c r="A823" s="5" t="s">
        <v>28</v>
      </c>
      <c r="B823" s="5" t="s">
        <v>29</v>
      </c>
      <c r="C823" s="6">
        <v>2001</v>
      </c>
      <c r="D823" s="7">
        <v>8111200</v>
      </c>
    </row>
    <row r="824" spans="1:4" x14ac:dyDescent="0.3">
      <c r="A824" s="2" t="s">
        <v>28</v>
      </c>
      <c r="B824" s="2" t="s">
        <v>29</v>
      </c>
      <c r="C824" s="3">
        <v>2002</v>
      </c>
      <c r="D824" s="4">
        <v>8171950</v>
      </c>
    </row>
    <row r="825" spans="1:4" x14ac:dyDescent="0.3">
      <c r="A825" s="5" t="s">
        <v>28</v>
      </c>
      <c r="B825" s="5" t="s">
        <v>29</v>
      </c>
      <c r="C825" s="6">
        <v>2003</v>
      </c>
      <c r="D825" s="7">
        <v>8234100</v>
      </c>
    </row>
    <row r="826" spans="1:4" x14ac:dyDescent="0.3">
      <c r="A826" s="2" t="s">
        <v>28</v>
      </c>
      <c r="B826" s="2" t="s">
        <v>29</v>
      </c>
      <c r="C826" s="3">
        <v>2004</v>
      </c>
      <c r="D826" s="4">
        <v>8306500</v>
      </c>
    </row>
    <row r="827" spans="1:4" x14ac:dyDescent="0.3">
      <c r="A827" s="5" t="s">
        <v>28</v>
      </c>
      <c r="B827" s="5" t="s">
        <v>29</v>
      </c>
      <c r="C827" s="6">
        <v>2005</v>
      </c>
      <c r="D827" s="7">
        <v>8391850</v>
      </c>
    </row>
    <row r="828" spans="1:4" x14ac:dyDescent="0.3">
      <c r="A828" s="2" t="s">
        <v>28</v>
      </c>
      <c r="B828" s="2" t="s">
        <v>29</v>
      </c>
      <c r="C828" s="3">
        <v>2006</v>
      </c>
      <c r="D828" s="4">
        <v>8484550</v>
      </c>
    </row>
    <row r="829" spans="1:4" x14ac:dyDescent="0.3">
      <c r="A829" s="5" t="s">
        <v>28</v>
      </c>
      <c r="B829" s="5" t="s">
        <v>29</v>
      </c>
      <c r="C829" s="6">
        <v>2007</v>
      </c>
      <c r="D829" s="7">
        <v>8581300</v>
      </c>
    </row>
    <row r="830" spans="1:4" x14ac:dyDescent="0.3">
      <c r="A830" s="2" t="s">
        <v>28</v>
      </c>
      <c r="B830" s="2" t="s">
        <v>29</v>
      </c>
      <c r="C830" s="3">
        <v>2008</v>
      </c>
      <c r="D830" s="4">
        <v>8763400</v>
      </c>
    </row>
    <row r="831" spans="1:4" x14ac:dyDescent="0.3">
      <c r="A831" s="5" t="s">
        <v>28</v>
      </c>
      <c r="B831" s="5" t="s">
        <v>29</v>
      </c>
      <c r="C831" s="6">
        <v>2009</v>
      </c>
      <c r="D831" s="7">
        <v>8947243</v>
      </c>
    </row>
    <row r="832" spans="1:4" x14ac:dyDescent="0.3">
      <c r="A832" s="2" t="s">
        <v>28</v>
      </c>
      <c r="B832" s="2" t="s">
        <v>29</v>
      </c>
      <c r="C832" s="3">
        <v>2010</v>
      </c>
      <c r="D832" s="4">
        <v>9054332</v>
      </c>
    </row>
    <row r="833" spans="1:4" x14ac:dyDescent="0.3">
      <c r="A833" s="5" t="s">
        <v>28</v>
      </c>
      <c r="B833" s="5" t="s">
        <v>29</v>
      </c>
      <c r="C833" s="6">
        <v>2011</v>
      </c>
      <c r="D833" s="7">
        <v>9173082</v>
      </c>
    </row>
    <row r="834" spans="1:4" x14ac:dyDescent="0.3">
      <c r="A834" s="2" t="s">
        <v>28</v>
      </c>
      <c r="B834" s="2" t="s">
        <v>29</v>
      </c>
      <c r="C834" s="3">
        <v>2012</v>
      </c>
      <c r="D834" s="4">
        <v>9295784</v>
      </c>
    </row>
    <row r="835" spans="1:4" x14ac:dyDescent="0.3">
      <c r="A835" s="5" t="s">
        <v>28</v>
      </c>
      <c r="B835" s="5" t="s">
        <v>29</v>
      </c>
      <c r="C835" s="6">
        <v>2013</v>
      </c>
      <c r="D835" s="7">
        <v>9416801</v>
      </c>
    </row>
    <row r="836" spans="1:4" x14ac:dyDescent="0.3">
      <c r="A836" s="2" t="s">
        <v>28</v>
      </c>
      <c r="B836" s="2" t="s">
        <v>29</v>
      </c>
      <c r="C836" s="3">
        <v>2014</v>
      </c>
      <c r="D836" s="4">
        <v>9535079</v>
      </c>
    </row>
    <row r="837" spans="1:4" x14ac:dyDescent="0.3">
      <c r="A837" s="5" t="s">
        <v>28</v>
      </c>
      <c r="B837" s="5" t="s">
        <v>29</v>
      </c>
      <c r="C837" s="6">
        <v>2015</v>
      </c>
      <c r="D837" s="7">
        <v>9649341</v>
      </c>
    </row>
    <row r="838" spans="1:4" x14ac:dyDescent="0.3">
      <c r="A838" s="2" t="s">
        <v>28</v>
      </c>
      <c r="B838" s="2" t="s">
        <v>29</v>
      </c>
      <c r="C838" s="3">
        <v>2016</v>
      </c>
      <c r="D838" s="4">
        <v>9757812</v>
      </c>
    </row>
    <row r="839" spans="1:4" x14ac:dyDescent="0.3">
      <c r="A839" s="5" t="s">
        <v>28</v>
      </c>
      <c r="B839" s="5" t="s">
        <v>29</v>
      </c>
      <c r="C839" s="6">
        <v>2017</v>
      </c>
      <c r="D839" s="7">
        <v>9854033</v>
      </c>
    </row>
    <row r="840" spans="1:4" x14ac:dyDescent="0.3">
      <c r="A840" s="2" t="s">
        <v>28</v>
      </c>
      <c r="B840" s="2" t="s">
        <v>29</v>
      </c>
      <c r="C840" s="3">
        <v>2018</v>
      </c>
      <c r="D840" s="4">
        <v>9939771</v>
      </c>
    </row>
    <row r="841" spans="1:4" x14ac:dyDescent="0.3">
      <c r="A841" s="5" t="s">
        <v>28</v>
      </c>
      <c r="B841" s="5" t="s">
        <v>29</v>
      </c>
      <c r="C841" s="6">
        <v>2019</v>
      </c>
      <c r="D841" s="7">
        <v>10024283</v>
      </c>
    </row>
    <row r="842" spans="1:4" x14ac:dyDescent="0.3">
      <c r="A842" s="2" t="s">
        <v>28</v>
      </c>
      <c r="B842" s="2" t="s">
        <v>29</v>
      </c>
      <c r="C842" s="3">
        <v>2020</v>
      </c>
      <c r="D842" s="4">
        <v>10093121</v>
      </c>
    </row>
    <row r="843" spans="1:4" x14ac:dyDescent="0.3">
      <c r="A843" s="5" t="s">
        <v>28</v>
      </c>
      <c r="B843" s="5" t="s">
        <v>29</v>
      </c>
      <c r="C843" s="6">
        <v>2021</v>
      </c>
      <c r="D843" s="7">
        <v>10137750</v>
      </c>
    </row>
    <row r="844" spans="1:4" x14ac:dyDescent="0.3">
      <c r="A844" s="2" t="s">
        <v>28</v>
      </c>
      <c r="B844" s="2" t="s">
        <v>29</v>
      </c>
      <c r="C844" s="3">
        <v>2022</v>
      </c>
      <c r="D844" s="4">
        <v>10141756</v>
      </c>
    </row>
    <row r="845" spans="1:4" x14ac:dyDescent="0.3">
      <c r="A845" s="5" t="s">
        <v>28</v>
      </c>
      <c r="B845" s="5" t="s">
        <v>29</v>
      </c>
      <c r="C845" s="6">
        <v>2023</v>
      </c>
      <c r="D845" s="7">
        <v>10153958</v>
      </c>
    </row>
    <row r="846" spans="1:4" x14ac:dyDescent="0.3">
      <c r="A846" s="2" t="s">
        <v>28</v>
      </c>
      <c r="B846" s="2" t="s">
        <v>29</v>
      </c>
      <c r="C846" s="3">
        <v>2024</v>
      </c>
      <c r="D846" s="4">
        <v>10202850</v>
      </c>
    </row>
    <row r="847" spans="1:4" x14ac:dyDescent="0.3">
      <c r="A847" s="5" t="s">
        <v>30</v>
      </c>
      <c r="B847" s="5" t="s">
        <v>31</v>
      </c>
      <c r="C847" s="6">
        <v>1960</v>
      </c>
      <c r="D847" s="7">
        <v>116317</v>
      </c>
    </row>
    <row r="848" spans="1:4" x14ac:dyDescent="0.3">
      <c r="A848" s="2" t="s">
        <v>30</v>
      </c>
      <c r="B848" s="2" t="s">
        <v>31</v>
      </c>
      <c r="C848" s="3">
        <v>1961</v>
      </c>
      <c r="D848" s="4">
        <v>122197</v>
      </c>
    </row>
    <row r="849" spans="1:4" x14ac:dyDescent="0.3">
      <c r="A849" s="5" t="s">
        <v>30</v>
      </c>
      <c r="B849" s="5" t="s">
        <v>31</v>
      </c>
      <c r="C849" s="6">
        <v>1962</v>
      </c>
      <c r="D849" s="7">
        <v>128493</v>
      </c>
    </row>
    <row r="850" spans="1:4" x14ac:dyDescent="0.3">
      <c r="A850" s="2" t="s">
        <v>30</v>
      </c>
      <c r="B850" s="2" t="s">
        <v>31</v>
      </c>
      <c r="C850" s="3">
        <v>1963</v>
      </c>
      <c r="D850" s="4">
        <v>135087</v>
      </c>
    </row>
    <row r="851" spans="1:4" x14ac:dyDescent="0.3">
      <c r="A851" s="5" t="s">
        <v>30</v>
      </c>
      <c r="B851" s="5" t="s">
        <v>31</v>
      </c>
      <c r="C851" s="6">
        <v>1964</v>
      </c>
      <c r="D851" s="7">
        <v>141528</v>
      </c>
    </row>
    <row r="852" spans="1:4" x14ac:dyDescent="0.3">
      <c r="A852" s="2" t="s">
        <v>30</v>
      </c>
      <c r="B852" s="2" t="s">
        <v>31</v>
      </c>
      <c r="C852" s="3">
        <v>1965</v>
      </c>
      <c r="D852" s="4">
        <v>147952</v>
      </c>
    </row>
    <row r="853" spans="1:4" x14ac:dyDescent="0.3">
      <c r="A853" s="5" t="s">
        <v>30</v>
      </c>
      <c r="B853" s="5" t="s">
        <v>31</v>
      </c>
      <c r="C853" s="6">
        <v>1966</v>
      </c>
      <c r="D853" s="7">
        <v>154874</v>
      </c>
    </row>
    <row r="854" spans="1:4" x14ac:dyDescent="0.3">
      <c r="A854" s="2" t="s">
        <v>30</v>
      </c>
      <c r="B854" s="2" t="s">
        <v>31</v>
      </c>
      <c r="C854" s="3">
        <v>1967</v>
      </c>
      <c r="D854" s="4">
        <v>162267</v>
      </c>
    </row>
    <row r="855" spans="1:4" x14ac:dyDescent="0.3">
      <c r="A855" s="5" t="s">
        <v>30</v>
      </c>
      <c r="B855" s="5" t="s">
        <v>31</v>
      </c>
      <c r="C855" s="6">
        <v>1968</v>
      </c>
      <c r="D855" s="7">
        <v>170089</v>
      </c>
    </row>
    <row r="856" spans="1:4" x14ac:dyDescent="0.3">
      <c r="A856" s="2" t="s">
        <v>30</v>
      </c>
      <c r="B856" s="2" t="s">
        <v>31</v>
      </c>
      <c r="C856" s="3">
        <v>1969</v>
      </c>
      <c r="D856" s="4">
        <v>177981</v>
      </c>
    </row>
    <row r="857" spans="1:4" x14ac:dyDescent="0.3">
      <c r="A857" s="5" t="s">
        <v>30</v>
      </c>
      <c r="B857" s="5" t="s">
        <v>31</v>
      </c>
      <c r="C857" s="6">
        <v>1970</v>
      </c>
      <c r="D857" s="7">
        <v>184982</v>
      </c>
    </row>
    <row r="858" spans="1:4" x14ac:dyDescent="0.3">
      <c r="A858" s="2" t="s">
        <v>30</v>
      </c>
      <c r="B858" s="2" t="s">
        <v>31</v>
      </c>
      <c r="C858" s="3">
        <v>1971</v>
      </c>
      <c r="D858" s="4">
        <v>190857</v>
      </c>
    </row>
    <row r="859" spans="1:4" x14ac:dyDescent="0.3">
      <c r="A859" s="5" t="s">
        <v>30</v>
      </c>
      <c r="B859" s="5" t="s">
        <v>31</v>
      </c>
      <c r="C859" s="6">
        <v>1972</v>
      </c>
      <c r="D859" s="7">
        <v>196055</v>
      </c>
    </row>
    <row r="860" spans="1:4" x14ac:dyDescent="0.3">
      <c r="A860" s="2" t="s">
        <v>30</v>
      </c>
      <c r="B860" s="2" t="s">
        <v>31</v>
      </c>
      <c r="C860" s="3">
        <v>1973</v>
      </c>
      <c r="D860" s="4">
        <v>200791</v>
      </c>
    </row>
    <row r="861" spans="1:4" x14ac:dyDescent="0.3">
      <c r="A861" s="5" t="s">
        <v>30</v>
      </c>
      <c r="B861" s="5" t="s">
        <v>31</v>
      </c>
      <c r="C861" s="6">
        <v>1974</v>
      </c>
      <c r="D861" s="7">
        <v>205342</v>
      </c>
    </row>
    <row r="862" spans="1:4" x14ac:dyDescent="0.3">
      <c r="A862" s="2" t="s">
        <v>30</v>
      </c>
      <c r="B862" s="2" t="s">
        <v>31</v>
      </c>
      <c r="C862" s="3">
        <v>1975</v>
      </c>
      <c r="D862" s="4">
        <v>209886</v>
      </c>
    </row>
    <row r="863" spans="1:4" x14ac:dyDescent="0.3">
      <c r="A863" s="5" t="s">
        <v>30</v>
      </c>
      <c r="B863" s="5" t="s">
        <v>31</v>
      </c>
      <c r="C863" s="6">
        <v>1976</v>
      </c>
      <c r="D863" s="7">
        <v>214501</v>
      </c>
    </row>
    <row r="864" spans="1:4" x14ac:dyDescent="0.3">
      <c r="A864" s="2" t="s">
        <v>30</v>
      </c>
      <c r="B864" s="2" t="s">
        <v>31</v>
      </c>
      <c r="C864" s="3">
        <v>1977</v>
      </c>
      <c r="D864" s="4">
        <v>219157</v>
      </c>
    </row>
    <row r="865" spans="1:4" x14ac:dyDescent="0.3">
      <c r="A865" s="5" t="s">
        <v>30</v>
      </c>
      <c r="B865" s="5" t="s">
        <v>31</v>
      </c>
      <c r="C865" s="6">
        <v>1978</v>
      </c>
      <c r="D865" s="7">
        <v>223761</v>
      </c>
    </row>
    <row r="866" spans="1:4" x14ac:dyDescent="0.3">
      <c r="A866" s="2" t="s">
        <v>30</v>
      </c>
      <c r="B866" s="2" t="s">
        <v>31</v>
      </c>
      <c r="C866" s="3">
        <v>1979</v>
      </c>
      <c r="D866" s="4">
        <v>228230</v>
      </c>
    </row>
    <row r="867" spans="1:4" x14ac:dyDescent="0.3">
      <c r="A867" s="5" t="s">
        <v>30</v>
      </c>
      <c r="B867" s="5" t="s">
        <v>31</v>
      </c>
      <c r="C867" s="6">
        <v>1980</v>
      </c>
      <c r="D867" s="7">
        <v>232526</v>
      </c>
    </row>
    <row r="868" spans="1:4" x14ac:dyDescent="0.3">
      <c r="A868" s="2" t="s">
        <v>30</v>
      </c>
      <c r="B868" s="2" t="s">
        <v>31</v>
      </c>
      <c r="C868" s="3">
        <v>1981</v>
      </c>
      <c r="D868" s="4">
        <v>236614</v>
      </c>
    </row>
    <row r="869" spans="1:4" x14ac:dyDescent="0.3">
      <c r="A869" s="5" t="s">
        <v>30</v>
      </c>
      <c r="B869" s="5" t="s">
        <v>31</v>
      </c>
      <c r="C869" s="6">
        <v>1982</v>
      </c>
      <c r="D869" s="7">
        <v>240614</v>
      </c>
    </row>
    <row r="870" spans="1:4" x14ac:dyDescent="0.3">
      <c r="A870" s="2" t="s">
        <v>30</v>
      </c>
      <c r="B870" s="2" t="s">
        <v>31</v>
      </c>
      <c r="C870" s="3">
        <v>1983</v>
      </c>
      <c r="D870" s="4">
        <v>244698</v>
      </c>
    </row>
    <row r="871" spans="1:4" x14ac:dyDescent="0.3">
      <c r="A871" s="5" t="s">
        <v>30</v>
      </c>
      <c r="B871" s="5" t="s">
        <v>31</v>
      </c>
      <c r="C871" s="6">
        <v>1984</v>
      </c>
      <c r="D871" s="7">
        <v>248863</v>
      </c>
    </row>
    <row r="872" spans="1:4" x14ac:dyDescent="0.3">
      <c r="A872" s="2" t="s">
        <v>30</v>
      </c>
      <c r="B872" s="2" t="s">
        <v>31</v>
      </c>
      <c r="C872" s="3">
        <v>1985</v>
      </c>
      <c r="D872" s="4">
        <v>253154</v>
      </c>
    </row>
    <row r="873" spans="1:4" x14ac:dyDescent="0.3">
      <c r="A873" s="5" t="s">
        <v>30</v>
      </c>
      <c r="B873" s="5" t="s">
        <v>31</v>
      </c>
      <c r="C873" s="6">
        <v>1986</v>
      </c>
      <c r="D873" s="7">
        <v>257536</v>
      </c>
    </row>
    <row r="874" spans="1:4" x14ac:dyDescent="0.3">
      <c r="A874" s="2" t="s">
        <v>30</v>
      </c>
      <c r="B874" s="2" t="s">
        <v>31</v>
      </c>
      <c r="C874" s="3">
        <v>1987</v>
      </c>
      <c r="D874" s="4">
        <v>261935</v>
      </c>
    </row>
    <row r="875" spans="1:4" x14ac:dyDescent="0.3">
      <c r="A875" s="5" t="s">
        <v>30</v>
      </c>
      <c r="B875" s="5" t="s">
        <v>31</v>
      </c>
      <c r="C875" s="6">
        <v>1988</v>
      </c>
      <c r="D875" s="7">
        <v>266448</v>
      </c>
    </row>
    <row r="876" spans="1:4" x14ac:dyDescent="0.3">
      <c r="A876" s="2" t="s">
        <v>30</v>
      </c>
      <c r="B876" s="2" t="s">
        <v>31</v>
      </c>
      <c r="C876" s="3">
        <v>1989</v>
      </c>
      <c r="D876" s="4">
        <v>271178</v>
      </c>
    </row>
    <row r="877" spans="1:4" x14ac:dyDescent="0.3">
      <c r="A877" s="5" t="s">
        <v>30</v>
      </c>
      <c r="B877" s="5" t="s">
        <v>31</v>
      </c>
      <c r="C877" s="6">
        <v>1990</v>
      </c>
      <c r="D877" s="7">
        <v>275945</v>
      </c>
    </row>
    <row r="878" spans="1:4" x14ac:dyDescent="0.3">
      <c r="A878" s="2" t="s">
        <v>30</v>
      </c>
      <c r="B878" s="2" t="s">
        <v>31</v>
      </c>
      <c r="C878" s="3">
        <v>1991</v>
      </c>
      <c r="D878" s="4">
        <v>280731</v>
      </c>
    </row>
    <row r="879" spans="1:4" x14ac:dyDescent="0.3">
      <c r="A879" s="5" t="s">
        <v>30</v>
      </c>
      <c r="B879" s="5" t="s">
        <v>31</v>
      </c>
      <c r="C879" s="6">
        <v>1992</v>
      </c>
      <c r="D879" s="7">
        <v>285927</v>
      </c>
    </row>
    <row r="880" spans="1:4" x14ac:dyDescent="0.3">
      <c r="A880" s="2" t="s">
        <v>30</v>
      </c>
      <c r="B880" s="2" t="s">
        <v>31</v>
      </c>
      <c r="C880" s="3">
        <v>1993</v>
      </c>
      <c r="D880" s="4">
        <v>291339</v>
      </c>
    </row>
    <row r="881" spans="1:4" x14ac:dyDescent="0.3">
      <c r="A881" s="5" t="s">
        <v>30</v>
      </c>
      <c r="B881" s="5" t="s">
        <v>31</v>
      </c>
      <c r="C881" s="6">
        <v>1994</v>
      </c>
      <c r="D881" s="7">
        <v>296509</v>
      </c>
    </row>
    <row r="882" spans="1:4" x14ac:dyDescent="0.3">
      <c r="A882" s="2" t="s">
        <v>30</v>
      </c>
      <c r="B882" s="2" t="s">
        <v>31</v>
      </c>
      <c r="C882" s="3">
        <v>1995</v>
      </c>
      <c r="D882" s="4">
        <v>301461</v>
      </c>
    </row>
    <row r="883" spans="1:4" x14ac:dyDescent="0.3">
      <c r="A883" s="5" t="s">
        <v>30</v>
      </c>
      <c r="B883" s="5" t="s">
        <v>31</v>
      </c>
      <c r="C883" s="6">
        <v>1996</v>
      </c>
      <c r="D883" s="7">
        <v>306268</v>
      </c>
    </row>
    <row r="884" spans="1:4" x14ac:dyDescent="0.3">
      <c r="A884" s="2" t="s">
        <v>30</v>
      </c>
      <c r="B884" s="2" t="s">
        <v>31</v>
      </c>
      <c r="C884" s="3">
        <v>1997</v>
      </c>
      <c r="D884" s="4">
        <v>310904</v>
      </c>
    </row>
    <row r="885" spans="1:4" x14ac:dyDescent="0.3">
      <c r="A885" s="5" t="s">
        <v>30</v>
      </c>
      <c r="B885" s="5" t="s">
        <v>31</v>
      </c>
      <c r="C885" s="6">
        <v>1998</v>
      </c>
      <c r="D885" s="7">
        <v>315368</v>
      </c>
    </row>
    <row r="886" spans="1:4" x14ac:dyDescent="0.3">
      <c r="A886" s="2" t="s">
        <v>30</v>
      </c>
      <c r="B886" s="2" t="s">
        <v>31</v>
      </c>
      <c r="C886" s="3">
        <v>1999</v>
      </c>
      <c r="D886" s="4">
        <v>319614</v>
      </c>
    </row>
    <row r="887" spans="1:4" x14ac:dyDescent="0.3">
      <c r="A887" s="5" t="s">
        <v>30</v>
      </c>
      <c r="B887" s="5" t="s">
        <v>31</v>
      </c>
      <c r="C887" s="6">
        <v>2000</v>
      </c>
      <c r="D887" s="7">
        <v>323835</v>
      </c>
    </row>
    <row r="888" spans="1:4" x14ac:dyDescent="0.3">
      <c r="A888" s="2" t="s">
        <v>30</v>
      </c>
      <c r="B888" s="2" t="s">
        <v>31</v>
      </c>
      <c r="C888" s="3">
        <v>2001</v>
      </c>
      <c r="D888" s="4">
        <v>327836</v>
      </c>
    </row>
    <row r="889" spans="1:4" x14ac:dyDescent="0.3">
      <c r="A889" s="5" t="s">
        <v>30</v>
      </c>
      <c r="B889" s="5" t="s">
        <v>31</v>
      </c>
      <c r="C889" s="6">
        <v>2002</v>
      </c>
      <c r="D889" s="7">
        <v>331614</v>
      </c>
    </row>
    <row r="890" spans="1:4" x14ac:dyDescent="0.3">
      <c r="A890" s="2" t="s">
        <v>30</v>
      </c>
      <c r="B890" s="2" t="s">
        <v>31</v>
      </c>
      <c r="C890" s="3">
        <v>2003</v>
      </c>
      <c r="D890" s="4">
        <v>335618</v>
      </c>
    </row>
    <row r="891" spans="1:4" x14ac:dyDescent="0.3">
      <c r="A891" s="5" t="s">
        <v>30</v>
      </c>
      <c r="B891" s="5" t="s">
        <v>31</v>
      </c>
      <c r="C891" s="6">
        <v>2004</v>
      </c>
      <c r="D891" s="7">
        <v>339782</v>
      </c>
    </row>
    <row r="892" spans="1:4" x14ac:dyDescent="0.3">
      <c r="A892" s="2" t="s">
        <v>30</v>
      </c>
      <c r="B892" s="2" t="s">
        <v>31</v>
      </c>
      <c r="C892" s="3">
        <v>2005</v>
      </c>
      <c r="D892" s="4">
        <v>343894</v>
      </c>
    </row>
    <row r="893" spans="1:4" x14ac:dyDescent="0.3">
      <c r="A893" s="5" t="s">
        <v>30</v>
      </c>
      <c r="B893" s="5" t="s">
        <v>31</v>
      </c>
      <c r="C893" s="6">
        <v>2006</v>
      </c>
      <c r="D893" s="7">
        <v>348375</v>
      </c>
    </row>
    <row r="894" spans="1:4" x14ac:dyDescent="0.3">
      <c r="A894" s="2" t="s">
        <v>30</v>
      </c>
      <c r="B894" s="2" t="s">
        <v>31</v>
      </c>
      <c r="C894" s="3">
        <v>2007</v>
      </c>
      <c r="D894" s="4">
        <v>353334</v>
      </c>
    </row>
    <row r="895" spans="1:4" x14ac:dyDescent="0.3">
      <c r="A895" s="5" t="s">
        <v>30</v>
      </c>
      <c r="B895" s="5" t="s">
        <v>31</v>
      </c>
      <c r="C895" s="6">
        <v>2008</v>
      </c>
      <c r="D895" s="7">
        <v>358120</v>
      </c>
    </row>
    <row r="896" spans="1:4" x14ac:dyDescent="0.3">
      <c r="A896" s="2" t="s">
        <v>30</v>
      </c>
      <c r="B896" s="2" t="s">
        <v>31</v>
      </c>
      <c r="C896" s="3">
        <v>2009</v>
      </c>
      <c r="D896" s="4">
        <v>362810</v>
      </c>
    </row>
    <row r="897" spans="1:4" x14ac:dyDescent="0.3">
      <c r="A897" s="5" t="s">
        <v>30</v>
      </c>
      <c r="B897" s="5" t="s">
        <v>31</v>
      </c>
      <c r="C897" s="6">
        <v>2010</v>
      </c>
      <c r="D897" s="7">
        <v>367478</v>
      </c>
    </row>
    <row r="898" spans="1:4" x14ac:dyDescent="0.3">
      <c r="A898" s="2" t="s">
        <v>30</v>
      </c>
      <c r="B898" s="2" t="s">
        <v>31</v>
      </c>
      <c r="C898" s="3">
        <v>2011</v>
      </c>
      <c r="D898" s="4">
        <v>371729</v>
      </c>
    </row>
    <row r="899" spans="1:4" x14ac:dyDescent="0.3">
      <c r="A899" s="5" t="s">
        <v>30</v>
      </c>
      <c r="B899" s="5" t="s">
        <v>31</v>
      </c>
      <c r="C899" s="6">
        <v>2012</v>
      </c>
      <c r="D899" s="7">
        <v>375469</v>
      </c>
    </row>
    <row r="900" spans="1:4" x14ac:dyDescent="0.3">
      <c r="A900" s="2" t="s">
        <v>30</v>
      </c>
      <c r="B900" s="2" t="s">
        <v>31</v>
      </c>
      <c r="C900" s="3">
        <v>2013</v>
      </c>
      <c r="D900" s="4">
        <v>378953</v>
      </c>
    </row>
    <row r="901" spans="1:4" x14ac:dyDescent="0.3">
      <c r="A901" s="5" t="s">
        <v>30</v>
      </c>
      <c r="B901" s="5" t="s">
        <v>31</v>
      </c>
      <c r="C901" s="6">
        <v>2014</v>
      </c>
      <c r="D901" s="7">
        <v>382298</v>
      </c>
    </row>
    <row r="902" spans="1:4" x14ac:dyDescent="0.3">
      <c r="A902" s="2" t="s">
        <v>30</v>
      </c>
      <c r="B902" s="2" t="s">
        <v>31</v>
      </c>
      <c r="C902" s="3">
        <v>2015</v>
      </c>
      <c r="D902" s="4">
        <v>385346</v>
      </c>
    </row>
    <row r="903" spans="1:4" x14ac:dyDescent="0.3">
      <c r="A903" s="5" t="s">
        <v>30</v>
      </c>
      <c r="B903" s="5" t="s">
        <v>31</v>
      </c>
      <c r="C903" s="6">
        <v>2016</v>
      </c>
      <c r="D903" s="7">
        <v>388055</v>
      </c>
    </row>
    <row r="904" spans="1:4" x14ac:dyDescent="0.3">
      <c r="A904" s="2" t="s">
        <v>30</v>
      </c>
      <c r="B904" s="2" t="s">
        <v>31</v>
      </c>
      <c r="C904" s="3">
        <v>2017</v>
      </c>
      <c r="D904" s="4">
        <v>390485</v>
      </c>
    </row>
    <row r="905" spans="1:4" x14ac:dyDescent="0.3">
      <c r="A905" s="5" t="s">
        <v>30</v>
      </c>
      <c r="B905" s="5" t="s">
        <v>31</v>
      </c>
      <c r="C905" s="6">
        <v>2018</v>
      </c>
      <c r="D905" s="7">
        <v>392717</v>
      </c>
    </row>
    <row r="906" spans="1:4" x14ac:dyDescent="0.3">
      <c r="A906" s="2" t="s">
        <v>30</v>
      </c>
      <c r="B906" s="2" t="s">
        <v>31</v>
      </c>
      <c r="C906" s="3">
        <v>2019</v>
      </c>
      <c r="D906" s="4">
        <v>394675</v>
      </c>
    </row>
    <row r="907" spans="1:4" x14ac:dyDescent="0.3">
      <c r="A907" s="5" t="s">
        <v>30</v>
      </c>
      <c r="B907" s="5" t="s">
        <v>31</v>
      </c>
      <c r="C907" s="6">
        <v>2020</v>
      </c>
      <c r="D907" s="7">
        <v>395863</v>
      </c>
    </row>
    <row r="908" spans="1:4" x14ac:dyDescent="0.3">
      <c r="A908" s="2" t="s">
        <v>30</v>
      </c>
      <c r="B908" s="2" t="s">
        <v>31</v>
      </c>
      <c r="C908" s="3">
        <v>2021</v>
      </c>
      <c r="D908" s="4">
        <v>396373</v>
      </c>
    </row>
    <row r="909" spans="1:4" x14ac:dyDescent="0.3">
      <c r="A909" s="5" t="s">
        <v>30</v>
      </c>
      <c r="B909" s="5" t="s">
        <v>31</v>
      </c>
      <c r="C909" s="6">
        <v>2022</v>
      </c>
      <c r="D909" s="7">
        <v>397538</v>
      </c>
    </row>
    <row r="910" spans="1:4" x14ac:dyDescent="0.3">
      <c r="A910" s="2" t="s">
        <v>30</v>
      </c>
      <c r="B910" s="2" t="s">
        <v>31</v>
      </c>
      <c r="C910" s="3">
        <v>2023</v>
      </c>
      <c r="D910" s="4">
        <v>399440</v>
      </c>
    </row>
    <row r="911" spans="1:4" x14ac:dyDescent="0.3">
      <c r="A911" s="5" t="s">
        <v>30</v>
      </c>
      <c r="B911" s="5" t="s">
        <v>31</v>
      </c>
      <c r="C911" s="6">
        <v>2024</v>
      </c>
      <c r="D911" s="7">
        <v>401283</v>
      </c>
    </row>
    <row r="912" spans="1:4" x14ac:dyDescent="0.3">
      <c r="A912" s="2" t="s">
        <v>32</v>
      </c>
      <c r="B912" s="2" t="s">
        <v>33</v>
      </c>
      <c r="C912" s="3">
        <v>1960</v>
      </c>
      <c r="D912" s="4">
        <v>165477</v>
      </c>
    </row>
    <row r="913" spans="1:4" x14ac:dyDescent="0.3">
      <c r="A913" s="5" t="s">
        <v>32</v>
      </c>
      <c r="B913" s="5" t="s">
        <v>33</v>
      </c>
      <c r="C913" s="6">
        <v>1961</v>
      </c>
      <c r="D913" s="7">
        <v>172346</v>
      </c>
    </row>
    <row r="914" spans="1:4" x14ac:dyDescent="0.3">
      <c r="A914" s="2" t="s">
        <v>32</v>
      </c>
      <c r="B914" s="2" t="s">
        <v>33</v>
      </c>
      <c r="C914" s="3">
        <v>1962</v>
      </c>
      <c r="D914" s="4">
        <v>179349</v>
      </c>
    </row>
    <row r="915" spans="1:4" x14ac:dyDescent="0.3">
      <c r="A915" s="5" t="s">
        <v>32</v>
      </c>
      <c r="B915" s="5" t="s">
        <v>33</v>
      </c>
      <c r="C915" s="6">
        <v>1963</v>
      </c>
      <c r="D915" s="7">
        <v>186501</v>
      </c>
    </row>
    <row r="916" spans="1:4" x14ac:dyDescent="0.3">
      <c r="A916" s="2" t="s">
        <v>32</v>
      </c>
      <c r="B916" s="2" t="s">
        <v>33</v>
      </c>
      <c r="C916" s="3">
        <v>1964</v>
      </c>
      <c r="D916" s="4">
        <v>193816</v>
      </c>
    </row>
    <row r="917" spans="1:4" x14ac:dyDescent="0.3">
      <c r="A917" s="5" t="s">
        <v>32</v>
      </c>
      <c r="B917" s="5" t="s">
        <v>33</v>
      </c>
      <c r="C917" s="6">
        <v>1965</v>
      </c>
      <c r="D917" s="7">
        <v>200866</v>
      </c>
    </row>
    <row r="918" spans="1:4" x14ac:dyDescent="0.3">
      <c r="A918" s="2" t="s">
        <v>32</v>
      </c>
      <c r="B918" s="2" t="s">
        <v>33</v>
      </c>
      <c r="C918" s="3">
        <v>1966</v>
      </c>
      <c r="D918" s="4">
        <v>207543</v>
      </c>
    </row>
    <row r="919" spans="1:4" x14ac:dyDescent="0.3">
      <c r="A919" s="5" t="s">
        <v>32</v>
      </c>
      <c r="B919" s="5" t="s">
        <v>33</v>
      </c>
      <c r="C919" s="6">
        <v>1967</v>
      </c>
      <c r="D919" s="7">
        <v>214189</v>
      </c>
    </row>
    <row r="920" spans="1:4" x14ac:dyDescent="0.3">
      <c r="A920" s="2" t="s">
        <v>32</v>
      </c>
      <c r="B920" s="2" t="s">
        <v>33</v>
      </c>
      <c r="C920" s="3">
        <v>1968</v>
      </c>
      <c r="D920" s="4">
        <v>219337</v>
      </c>
    </row>
    <row r="921" spans="1:4" x14ac:dyDescent="0.3">
      <c r="A921" s="5" t="s">
        <v>32</v>
      </c>
      <c r="B921" s="5" t="s">
        <v>33</v>
      </c>
      <c r="C921" s="6">
        <v>1969</v>
      </c>
      <c r="D921" s="7">
        <v>222469</v>
      </c>
    </row>
    <row r="922" spans="1:4" x14ac:dyDescent="0.3">
      <c r="A922" s="2" t="s">
        <v>32</v>
      </c>
      <c r="B922" s="2" t="s">
        <v>33</v>
      </c>
      <c r="C922" s="3">
        <v>1970</v>
      </c>
      <c r="D922" s="4">
        <v>224809</v>
      </c>
    </row>
    <row r="923" spans="1:4" x14ac:dyDescent="0.3">
      <c r="A923" s="5" t="s">
        <v>32</v>
      </c>
      <c r="B923" s="5" t="s">
        <v>33</v>
      </c>
      <c r="C923" s="6">
        <v>1971</v>
      </c>
      <c r="D923" s="7">
        <v>230733</v>
      </c>
    </row>
    <row r="924" spans="1:4" x14ac:dyDescent="0.3">
      <c r="A924" s="2" t="s">
        <v>32</v>
      </c>
      <c r="B924" s="2" t="s">
        <v>33</v>
      </c>
      <c r="C924" s="3">
        <v>1972</v>
      </c>
      <c r="D924" s="4">
        <v>242113</v>
      </c>
    </row>
    <row r="925" spans="1:4" x14ac:dyDescent="0.3">
      <c r="A925" s="5" t="s">
        <v>32</v>
      </c>
      <c r="B925" s="5" t="s">
        <v>33</v>
      </c>
      <c r="C925" s="6">
        <v>1973</v>
      </c>
      <c r="D925" s="7">
        <v>255320</v>
      </c>
    </row>
    <row r="926" spans="1:4" x14ac:dyDescent="0.3">
      <c r="A926" s="2" t="s">
        <v>32</v>
      </c>
      <c r="B926" s="2" t="s">
        <v>33</v>
      </c>
      <c r="C926" s="3">
        <v>1974</v>
      </c>
      <c r="D926" s="4">
        <v>269038</v>
      </c>
    </row>
    <row r="927" spans="1:4" x14ac:dyDescent="0.3">
      <c r="A927" s="5" t="s">
        <v>32</v>
      </c>
      <c r="B927" s="5" t="s">
        <v>33</v>
      </c>
      <c r="C927" s="6">
        <v>1975</v>
      </c>
      <c r="D927" s="7">
        <v>283243</v>
      </c>
    </row>
    <row r="928" spans="1:4" x14ac:dyDescent="0.3">
      <c r="A928" s="2" t="s">
        <v>32</v>
      </c>
      <c r="B928" s="2" t="s">
        <v>33</v>
      </c>
      <c r="C928" s="3">
        <v>1976</v>
      </c>
      <c r="D928" s="4">
        <v>297863</v>
      </c>
    </row>
    <row r="929" spans="1:4" x14ac:dyDescent="0.3">
      <c r="A929" s="5" t="s">
        <v>32</v>
      </c>
      <c r="B929" s="5" t="s">
        <v>33</v>
      </c>
      <c r="C929" s="6">
        <v>1977</v>
      </c>
      <c r="D929" s="7">
        <v>312823</v>
      </c>
    </row>
    <row r="930" spans="1:4" x14ac:dyDescent="0.3">
      <c r="A930" s="2" t="s">
        <v>32</v>
      </c>
      <c r="B930" s="2" t="s">
        <v>33</v>
      </c>
      <c r="C930" s="3">
        <v>1978</v>
      </c>
      <c r="D930" s="4">
        <v>328046</v>
      </c>
    </row>
    <row r="931" spans="1:4" x14ac:dyDescent="0.3">
      <c r="A931" s="5" t="s">
        <v>32</v>
      </c>
      <c r="B931" s="5" t="s">
        <v>33</v>
      </c>
      <c r="C931" s="6">
        <v>1979</v>
      </c>
      <c r="D931" s="7">
        <v>343457</v>
      </c>
    </row>
    <row r="932" spans="1:4" x14ac:dyDescent="0.3">
      <c r="A932" s="2" t="s">
        <v>32</v>
      </c>
      <c r="B932" s="2" t="s">
        <v>33</v>
      </c>
      <c r="C932" s="3">
        <v>1980</v>
      </c>
      <c r="D932" s="4">
        <v>358978</v>
      </c>
    </row>
    <row r="933" spans="1:4" x14ac:dyDescent="0.3">
      <c r="A933" s="5" t="s">
        <v>32</v>
      </c>
      <c r="B933" s="5" t="s">
        <v>33</v>
      </c>
      <c r="C933" s="6">
        <v>1981</v>
      </c>
      <c r="D933" s="7">
        <v>373524</v>
      </c>
    </row>
    <row r="934" spans="1:4" x14ac:dyDescent="0.3">
      <c r="A934" s="2" t="s">
        <v>32</v>
      </c>
      <c r="B934" s="2" t="s">
        <v>33</v>
      </c>
      <c r="C934" s="3">
        <v>1982</v>
      </c>
      <c r="D934" s="4">
        <v>386983</v>
      </c>
    </row>
    <row r="935" spans="1:4" x14ac:dyDescent="0.3">
      <c r="A935" s="5" t="s">
        <v>32</v>
      </c>
      <c r="B935" s="5" t="s">
        <v>33</v>
      </c>
      <c r="C935" s="6">
        <v>1983</v>
      </c>
      <c r="D935" s="7">
        <v>400707</v>
      </c>
    </row>
    <row r="936" spans="1:4" x14ac:dyDescent="0.3">
      <c r="A936" s="2" t="s">
        <v>32</v>
      </c>
      <c r="B936" s="2" t="s">
        <v>33</v>
      </c>
      <c r="C936" s="3">
        <v>1984</v>
      </c>
      <c r="D936" s="4">
        <v>415154</v>
      </c>
    </row>
    <row r="937" spans="1:4" x14ac:dyDescent="0.3">
      <c r="A937" s="5" t="s">
        <v>32</v>
      </c>
      <c r="B937" s="5" t="s">
        <v>33</v>
      </c>
      <c r="C937" s="6">
        <v>1985</v>
      </c>
      <c r="D937" s="7">
        <v>430358</v>
      </c>
    </row>
    <row r="938" spans="1:4" x14ac:dyDescent="0.3">
      <c r="A938" s="2" t="s">
        <v>32</v>
      </c>
      <c r="B938" s="2" t="s">
        <v>33</v>
      </c>
      <c r="C938" s="3">
        <v>1986</v>
      </c>
      <c r="D938" s="4">
        <v>446286</v>
      </c>
    </row>
    <row r="939" spans="1:4" x14ac:dyDescent="0.3">
      <c r="A939" s="5" t="s">
        <v>32</v>
      </c>
      <c r="B939" s="5" t="s">
        <v>33</v>
      </c>
      <c r="C939" s="6">
        <v>1987</v>
      </c>
      <c r="D939" s="7">
        <v>462854</v>
      </c>
    </row>
    <row r="940" spans="1:4" x14ac:dyDescent="0.3">
      <c r="A940" s="2" t="s">
        <v>32</v>
      </c>
      <c r="B940" s="2" t="s">
        <v>33</v>
      </c>
      <c r="C940" s="3">
        <v>1988</v>
      </c>
      <c r="D940" s="4">
        <v>479929</v>
      </c>
    </row>
    <row r="941" spans="1:4" x14ac:dyDescent="0.3">
      <c r="A941" s="5" t="s">
        <v>32</v>
      </c>
      <c r="B941" s="5" t="s">
        <v>33</v>
      </c>
      <c r="C941" s="6">
        <v>1989</v>
      </c>
      <c r="D941" s="7">
        <v>497327</v>
      </c>
    </row>
    <row r="942" spans="1:4" x14ac:dyDescent="0.3">
      <c r="A942" s="2" t="s">
        <v>32</v>
      </c>
      <c r="B942" s="2" t="s">
        <v>33</v>
      </c>
      <c r="C942" s="3">
        <v>1990</v>
      </c>
      <c r="D942" s="4">
        <v>514797</v>
      </c>
    </row>
    <row r="943" spans="1:4" x14ac:dyDescent="0.3">
      <c r="A943" s="5" t="s">
        <v>32</v>
      </c>
      <c r="B943" s="5" t="s">
        <v>33</v>
      </c>
      <c r="C943" s="6">
        <v>1991</v>
      </c>
      <c r="D943" s="7">
        <v>503052</v>
      </c>
    </row>
    <row r="944" spans="1:4" x14ac:dyDescent="0.3">
      <c r="A944" s="2" t="s">
        <v>32</v>
      </c>
      <c r="B944" s="2" t="s">
        <v>33</v>
      </c>
      <c r="C944" s="3">
        <v>1992</v>
      </c>
      <c r="D944" s="4">
        <v>516458</v>
      </c>
    </row>
    <row r="945" spans="1:4" x14ac:dyDescent="0.3">
      <c r="A945" s="5" t="s">
        <v>32</v>
      </c>
      <c r="B945" s="5" t="s">
        <v>33</v>
      </c>
      <c r="C945" s="6">
        <v>1993</v>
      </c>
      <c r="D945" s="7">
        <v>530225</v>
      </c>
    </row>
    <row r="946" spans="1:4" x14ac:dyDescent="0.3">
      <c r="A946" s="2" t="s">
        <v>32</v>
      </c>
      <c r="B946" s="2" t="s">
        <v>33</v>
      </c>
      <c r="C946" s="3">
        <v>1994</v>
      </c>
      <c r="D946" s="4">
        <v>544366</v>
      </c>
    </row>
    <row r="947" spans="1:4" x14ac:dyDescent="0.3">
      <c r="A947" s="5" t="s">
        <v>32</v>
      </c>
      <c r="B947" s="5" t="s">
        <v>33</v>
      </c>
      <c r="C947" s="6">
        <v>1995</v>
      </c>
      <c r="D947" s="7">
        <v>558879</v>
      </c>
    </row>
    <row r="948" spans="1:4" x14ac:dyDescent="0.3">
      <c r="A948" s="2" t="s">
        <v>32</v>
      </c>
      <c r="B948" s="2" t="s">
        <v>33</v>
      </c>
      <c r="C948" s="3">
        <v>1996</v>
      </c>
      <c r="D948" s="4">
        <v>573792</v>
      </c>
    </row>
    <row r="949" spans="1:4" x14ac:dyDescent="0.3">
      <c r="A949" s="5" t="s">
        <v>32</v>
      </c>
      <c r="B949" s="5" t="s">
        <v>33</v>
      </c>
      <c r="C949" s="6">
        <v>1997</v>
      </c>
      <c r="D949" s="7">
        <v>589115</v>
      </c>
    </row>
    <row r="950" spans="1:4" x14ac:dyDescent="0.3">
      <c r="A950" s="2" t="s">
        <v>32</v>
      </c>
      <c r="B950" s="2" t="s">
        <v>33</v>
      </c>
      <c r="C950" s="3">
        <v>1998</v>
      </c>
      <c r="D950" s="4">
        <v>604842</v>
      </c>
    </row>
    <row r="951" spans="1:4" x14ac:dyDescent="0.3">
      <c r="A951" s="5" t="s">
        <v>32</v>
      </c>
      <c r="B951" s="5" t="s">
        <v>33</v>
      </c>
      <c r="C951" s="6">
        <v>1999</v>
      </c>
      <c r="D951" s="7">
        <v>620989</v>
      </c>
    </row>
    <row r="952" spans="1:4" x14ac:dyDescent="0.3">
      <c r="A952" s="2" t="s">
        <v>32</v>
      </c>
      <c r="B952" s="2" t="s">
        <v>33</v>
      </c>
      <c r="C952" s="3">
        <v>2000</v>
      </c>
      <c r="D952" s="4">
        <v>637582</v>
      </c>
    </row>
    <row r="953" spans="1:4" x14ac:dyDescent="0.3">
      <c r="A953" s="5" t="s">
        <v>32</v>
      </c>
      <c r="B953" s="5" t="s">
        <v>33</v>
      </c>
      <c r="C953" s="6">
        <v>2001</v>
      </c>
      <c r="D953" s="7">
        <v>661316</v>
      </c>
    </row>
    <row r="954" spans="1:4" x14ac:dyDescent="0.3">
      <c r="A954" s="2" t="s">
        <v>32</v>
      </c>
      <c r="B954" s="2" t="s">
        <v>33</v>
      </c>
      <c r="C954" s="3">
        <v>2002</v>
      </c>
      <c r="D954" s="4">
        <v>710553</v>
      </c>
    </row>
    <row r="955" spans="1:4" x14ac:dyDescent="0.3">
      <c r="A955" s="5" t="s">
        <v>32</v>
      </c>
      <c r="B955" s="5" t="s">
        <v>33</v>
      </c>
      <c r="C955" s="6">
        <v>2003</v>
      </c>
      <c r="D955" s="7">
        <v>764517</v>
      </c>
    </row>
    <row r="956" spans="1:4" x14ac:dyDescent="0.3">
      <c r="A956" s="2" t="s">
        <v>32</v>
      </c>
      <c r="B956" s="2" t="s">
        <v>33</v>
      </c>
      <c r="C956" s="3">
        <v>2004</v>
      </c>
      <c r="D956" s="4">
        <v>823741</v>
      </c>
    </row>
    <row r="957" spans="1:4" x14ac:dyDescent="0.3">
      <c r="A957" s="5" t="s">
        <v>32</v>
      </c>
      <c r="B957" s="5" t="s">
        <v>33</v>
      </c>
      <c r="C957" s="6">
        <v>2005</v>
      </c>
      <c r="D957" s="7">
        <v>888822</v>
      </c>
    </row>
    <row r="958" spans="1:4" x14ac:dyDescent="0.3">
      <c r="A958" s="2" t="s">
        <v>32</v>
      </c>
      <c r="B958" s="2" t="s">
        <v>33</v>
      </c>
      <c r="C958" s="3">
        <v>2006</v>
      </c>
      <c r="D958" s="4">
        <v>960424</v>
      </c>
    </row>
    <row r="959" spans="1:4" x14ac:dyDescent="0.3">
      <c r="A959" s="5" t="s">
        <v>32</v>
      </c>
      <c r="B959" s="5" t="s">
        <v>33</v>
      </c>
      <c r="C959" s="6">
        <v>2007</v>
      </c>
      <c r="D959" s="7">
        <v>1039295</v>
      </c>
    </row>
    <row r="960" spans="1:4" x14ac:dyDescent="0.3">
      <c r="A960" s="2" t="s">
        <v>32</v>
      </c>
      <c r="B960" s="2" t="s">
        <v>33</v>
      </c>
      <c r="C960" s="3">
        <v>2008</v>
      </c>
      <c r="D960" s="4">
        <v>1103496</v>
      </c>
    </row>
    <row r="961" spans="1:4" x14ac:dyDescent="0.3">
      <c r="A961" s="5" t="s">
        <v>32</v>
      </c>
      <c r="B961" s="5" t="s">
        <v>33</v>
      </c>
      <c r="C961" s="6">
        <v>2009</v>
      </c>
      <c r="D961" s="7">
        <v>1178415</v>
      </c>
    </row>
    <row r="962" spans="1:4" x14ac:dyDescent="0.3">
      <c r="A962" s="2" t="s">
        <v>32</v>
      </c>
      <c r="B962" s="2" t="s">
        <v>33</v>
      </c>
      <c r="C962" s="3">
        <v>2010</v>
      </c>
      <c r="D962" s="4">
        <v>1228543</v>
      </c>
    </row>
    <row r="963" spans="1:4" x14ac:dyDescent="0.3">
      <c r="A963" s="5" t="s">
        <v>32</v>
      </c>
      <c r="B963" s="5" t="s">
        <v>33</v>
      </c>
      <c r="C963" s="6">
        <v>2011</v>
      </c>
      <c r="D963" s="7">
        <v>1195020</v>
      </c>
    </row>
    <row r="964" spans="1:4" x14ac:dyDescent="0.3">
      <c r="A964" s="2" t="s">
        <v>32</v>
      </c>
      <c r="B964" s="2" t="s">
        <v>33</v>
      </c>
      <c r="C964" s="3">
        <v>2012</v>
      </c>
      <c r="D964" s="4">
        <v>1208964</v>
      </c>
    </row>
    <row r="965" spans="1:4" x14ac:dyDescent="0.3">
      <c r="A965" s="5" t="s">
        <v>32</v>
      </c>
      <c r="B965" s="5" t="s">
        <v>33</v>
      </c>
      <c r="C965" s="6">
        <v>2013</v>
      </c>
      <c r="D965" s="7">
        <v>1253191</v>
      </c>
    </row>
    <row r="966" spans="1:4" x14ac:dyDescent="0.3">
      <c r="A966" s="2" t="s">
        <v>32</v>
      </c>
      <c r="B966" s="2" t="s">
        <v>33</v>
      </c>
      <c r="C966" s="3">
        <v>2014</v>
      </c>
      <c r="D966" s="4">
        <v>1314562</v>
      </c>
    </row>
    <row r="967" spans="1:4" x14ac:dyDescent="0.3">
      <c r="A967" s="5" t="s">
        <v>32</v>
      </c>
      <c r="B967" s="5" t="s">
        <v>33</v>
      </c>
      <c r="C967" s="6">
        <v>2015</v>
      </c>
      <c r="D967" s="7">
        <v>1370322</v>
      </c>
    </row>
    <row r="968" spans="1:4" x14ac:dyDescent="0.3">
      <c r="A968" s="2" t="s">
        <v>32</v>
      </c>
      <c r="B968" s="2" t="s">
        <v>33</v>
      </c>
      <c r="C968" s="3">
        <v>2016</v>
      </c>
      <c r="D968" s="4">
        <v>1423726</v>
      </c>
    </row>
    <row r="969" spans="1:4" x14ac:dyDescent="0.3">
      <c r="A969" s="5" t="s">
        <v>32</v>
      </c>
      <c r="B969" s="5" t="s">
        <v>33</v>
      </c>
      <c r="C969" s="6">
        <v>2017</v>
      </c>
      <c r="D969" s="7">
        <v>1501116</v>
      </c>
    </row>
    <row r="970" spans="1:4" x14ac:dyDescent="0.3">
      <c r="A970" s="2" t="s">
        <v>32</v>
      </c>
      <c r="B970" s="2" t="s">
        <v>33</v>
      </c>
      <c r="C970" s="3">
        <v>2018</v>
      </c>
      <c r="D970" s="4">
        <v>1503091</v>
      </c>
    </row>
    <row r="971" spans="1:4" x14ac:dyDescent="0.3">
      <c r="A971" s="5" t="s">
        <v>32</v>
      </c>
      <c r="B971" s="5" t="s">
        <v>33</v>
      </c>
      <c r="C971" s="6">
        <v>2019</v>
      </c>
      <c r="D971" s="7">
        <v>1483756</v>
      </c>
    </row>
    <row r="972" spans="1:4" x14ac:dyDescent="0.3">
      <c r="A972" s="2" t="s">
        <v>32</v>
      </c>
      <c r="B972" s="2" t="s">
        <v>33</v>
      </c>
      <c r="C972" s="3">
        <v>2020</v>
      </c>
      <c r="D972" s="4">
        <v>1472204</v>
      </c>
    </row>
    <row r="973" spans="1:4" x14ac:dyDescent="0.3">
      <c r="A973" s="5" t="s">
        <v>32</v>
      </c>
      <c r="B973" s="5" t="s">
        <v>33</v>
      </c>
      <c r="C973" s="6">
        <v>2021</v>
      </c>
      <c r="D973" s="7">
        <v>1504365</v>
      </c>
    </row>
    <row r="974" spans="1:4" x14ac:dyDescent="0.3">
      <c r="A974" s="2" t="s">
        <v>32</v>
      </c>
      <c r="B974" s="2" t="s">
        <v>33</v>
      </c>
      <c r="C974" s="3">
        <v>2022</v>
      </c>
      <c r="D974" s="4">
        <v>1524693</v>
      </c>
    </row>
    <row r="975" spans="1:4" x14ac:dyDescent="0.3">
      <c r="A975" s="5" t="s">
        <v>32</v>
      </c>
      <c r="B975" s="5" t="s">
        <v>33</v>
      </c>
      <c r="C975" s="6">
        <v>2023</v>
      </c>
      <c r="D975" s="7">
        <v>1577059</v>
      </c>
    </row>
    <row r="976" spans="1:4" x14ac:dyDescent="0.3">
      <c r="A976" s="2" t="s">
        <v>32</v>
      </c>
      <c r="B976" s="2" t="s">
        <v>33</v>
      </c>
      <c r="C976" s="3">
        <v>2024</v>
      </c>
      <c r="D976" s="4">
        <v>1588670</v>
      </c>
    </row>
    <row r="977" spans="1:4" x14ac:dyDescent="0.3">
      <c r="A977" s="5" t="s">
        <v>34</v>
      </c>
      <c r="B977" s="5" t="s">
        <v>35</v>
      </c>
      <c r="C977" s="6">
        <v>1960</v>
      </c>
      <c r="D977" s="7">
        <v>51828660</v>
      </c>
    </row>
    <row r="978" spans="1:4" x14ac:dyDescent="0.3">
      <c r="A978" s="2" t="s">
        <v>34</v>
      </c>
      <c r="B978" s="2" t="s">
        <v>35</v>
      </c>
      <c r="C978" s="3">
        <v>1961</v>
      </c>
      <c r="D978" s="4">
        <v>53310348</v>
      </c>
    </row>
    <row r="979" spans="1:4" x14ac:dyDescent="0.3">
      <c r="A979" s="5" t="s">
        <v>34</v>
      </c>
      <c r="B979" s="5" t="s">
        <v>35</v>
      </c>
      <c r="C979" s="6">
        <v>1962</v>
      </c>
      <c r="D979" s="7">
        <v>54881146</v>
      </c>
    </row>
    <row r="980" spans="1:4" x14ac:dyDescent="0.3">
      <c r="A980" s="2" t="s">
        <v>34</v>
      </c>
      <c r="B980" s="2" t="s">
        <v>35</v>
      </c>
      <c r="C980" s="3">
        <v>1963</v>
      </c>
      <c r="D980" s="4">
        <v>56504402</v>
      </c>
    </row>
    <row r="981" spans="1:4" x14ac:dyDescent="0.3">
      <c r="A981" s="5" t="s">
        <v>34</v>
      </c>
      <c r="B981" s="5" t="s">
        <v>35</v>
      </c>
      <c r="C981" s="6">
        <v>1964</v>
      </c>
      <c r="D981" s="7">
        <v>58178374</v>
      </c>
    </row>
    <row r="982" spans="1:4" x14ac:dyDescent="0.3">
      <c r="A982" s="2" t="s">
        <v>34</v>
      </c>
      <c r="B982" s="2" t="s">
        <v>35</v>
      </c>
      <c r="C982" s="3">
        <v>1965</v>
      </c>
      <c r="D982" s="4">
        <v>59902519</v>
      </c>
    </row>
    <row r="983" spans="1:4" x14ac:dyDescent="0.3">
      <c r="A983" s="5" t="s">
        <v>34</v>
      </c>
      <c r="B983" s="5" t="s">
        <v>35</v>
      </c>
      <c r="C983" s="6">
        <v>1966</v>
      </c>
      <c r="D983" s="7">
        <v>61669806</v>
      </c>
    </row>
    <row r="984" spans="1:4" x14ac:dyDescent="0.3">
      <c r="A984" s="2" t="s">
        <v>34</v>
      </c>
      <c r="B984" s="2" t="s">
        <v>35</v>
      </c>
      <c r="C984" s="3">
        <v>1967</v>
      </c>
      <c r="D984" s="4">
        <v>63510929</v>
      </c>
    </row>
    <row r="985" spans="1:4" x14ac:dyDescent="0.3">
      <c r="A985" s="5" t="s">
        <v>34</v>
      </c>
      <c r="B985" s="5" t="s">
        <v>35</v>
      </c>
      <c r="C985" s="6">
        <v>1968</v>
      </c>
      <c r="D985" s="7">
        <v>65408276</v>
      </c>
    </row>
    <row r="986" spans="1:4" x14ac:dyDescent="0.3">
      <c r="A986" s="2" t="s">
        <v>34</v>
      </c>
      <c r="B986" s="2" t="s">
        <v>35</v>
      </c>
      <c r="C986" s="3">
        <v>1969</v>
      </c>
      <c r="D986" s="4">
        <v>67294133</v>
      </c>
    </row>
    <row r="987" spans="1:4" x14ac:dyDescent="0.3">
      <c r="A987" s="5" t="s">
        <v>34</v>
      </c>
      <c r="B987" s="5" t="s">
        <v>35</v>
      </c>
      <c r="C987" s="6">
        <v>1970</v>
      </c>
      <c r="D987" s="7">
        <v>69058894</v>
      </c>
    </row>
    <row r="988" spans="1:4" x14ac:dyDescent="0.3">
      <c r="A988" s="2" t="s">
        <v>34</v>
      </c>
      <c r="B988" s="2" t="s">
        <v>35</v>
      </c>
      <c r="C988" s="3">
        <v>1971</v>
      </c>
      <c r="D988" s="4">
        <v>70276758</v>
      </c>
    </row>
    <row r="989" spans="1:4" x14ac:dyDescent="0.3">
      <c r="A989" s="5" t="s">
        <v>34</v>
      </c>
      <c r="B989" s="5" t="s">
        <v>35</v>
      </c>
      <c r="C989" s="6">
        <v>1972</v>
      </c>
      <c r="D989" s="7">
        <v>71641519</v>
      </c>
    </row>
    <row r="990" spans="1:4" x14ac:dyDescent="0.3">
      <c r="A990" s="2" t="s">
        <v>34</v>
      </c>
      <c r="B990" s="2" t="s">
        <v>35</v>
      </c>
      <c r="C990" s="3">
        <v>1973</v>
      </c>
      <c r="D990" s="4">
        <v>73722294</v>
      </c>
    </row>
    <row r="991" spans="1:4" x14ac:dyDescent="0.3">
      <c r="A991" s="5" t="s">
        <v>34</v>
      </c>
      <c r="B991" s="5" t="s">
        <v>35</v>
      </c>
      <c r="C991" s="6">
        <v>1974</v>
      </c>
      <c r="D991" s="7">
        <v>75839348</v>
      </c>
    </row>
    <row r="992" spans="1:4" x14ac:dyDescent="0.3">
      <c r="A992" s="2" t="s">
        <v>34</v>
      </c>
      <c r="B992" s="2" t="s">
        <v>35</v>
      </c>
      <c r="C992" s="3">
        <v>1975</v>
      </c>
      <c r="D992" s="4">
        <v>77854351</v>
      </c>
    </row>
    <row r="993" spans="1:4" x14ac:dyDescent="0.3">
      <c r="A993" s="5" t="s">
        <v>34</v>
      </c>
      <c r="B993" s="5" t="s">
        <v>35</v>
      </c>
      <c r="C993" s="6">
        <v>1976</v>
      </c>
      <c r="D993" s="7">
        <v>79855318</v>
      </c>
    </row>
    <row r="994" spans="1:4" x14ac:dyDescent="0.3">
      <c r="A994" s="2" t="s">
        <v>34</v>
      </c>
      <c r="B994" s="2" t="s">
        <v>35</v>
      </c>
      <c r="C994" s="3">
        <v>1977</v>
      </c>
      <c r="D994" s="4">
        <v>81867264</v>
      </c>
    </row>
    <row r="995" spans="1:4" x14ac:dyDescent="0.3">
      <c r="A995" s="5" t="s">
        <v>34</v>
      </c>
      <c r="B995" s="5" t="s">
        <v>35</v>
      </c>
      <c r="C995" s="6">
        <v>1978</v>
      </c>
      <c r="D995" s="7">
        <v>83889655</v>
      </c>
    </row>
    <row r="996" spans="1:4" x14ac:dyDescent="0.3">
      <c r="A996" s="2" t="s">
        <v>34</v>
      </c>
      <c r="B996" s="2" t="s">
        <v>35</v>
      </c>
      <c r="C996" s="3">
        <v>1979</v>
      </c>
      <c r="D996" s="4">
        <v>85935072</v>
      </c>
    </row>
    <row r="997" spans="1:4" x14ac:dyDescent="0.3">
      <c r="A997" s="5" t="s">
        <v>34</v>
      </c>
      <c r="B997" s="5" t="s">
        <v>35</v>
      </c>
      <c r="C997" s="6">
        <v>1980</v>
      </c>
      <c r="D997" s="7">
        <v>88016432</v>
      </c>
    </row>
    <row r="998" spans="1:4" x14ac:dyDescent="0.3">
      <c r="A998" s="2" t="s">
        <v>34</v>
      </c>
      <c r="B998" s="2" t="s">
        <v>35</v>
      </c>
      <c r="C998" s="3">
        <v>1981</v>
      </c>
      <c r="D998" s="4">
        <v>90303105</v>
      </c>
    </row>
    <row r="999" spans="1:4" x14ac:dyDescent="0.3">
      <c r="A999" s="5" t="s">
        <v>34</v>
      </c>
      <c r="B999" s="5" t="s">
        <v>35</v>
      </c>
      <c r="C999" s="6">
        <v>1982</v>
      </c>
      <c r="D999" s="7">
        <v>92814507</v>
      </c>
    </row>
    <row r="1000" spans="1:4" x14ac:dyDescent="0.3">
      <c r="A1000" s="2" t="s">
        <v>34</v>
      </c>
      <c r="B1000" s="2" t="s">
        <v>35</v>
      </c>
      <c r="C1000" s="3">
        <v>1983</v>
      </c>
      <c r="D1000" s="4">
        <v>95335155</v>
      </c>
    </row>
    <row r="1001" spans="1:4" x14ac:dyDescent="0.3">
      <c r="A1001" s="5" t="s">
        <v>34</v>
      </c>
      <c r="B1001" s="5" t="s">
        <v>35</v>
      </c>
      <c r="C1001" s="6">
        <v>1984</v>
      </c>
      <c r="D1001" s="7">
        <v>97814966</v>
      </c>
    </row>
    <row r="1002" spans="1:4" x14ac:dyDescent="0.3">
      <c r="A1002" s="2" t="s">
        <v>34</v>
      </c>
      <c r="B1002" s="2" t="s">
        <v>35</v>
      </c>
      <c r="C1002" s="3">
        <v>1985</v>
      </c>
      <c r="D1002" s="4">
        <v>100253825</v>
      </c>
    </row>
    <row r="1003" spans="1:4" x14ac:dyDescent="0.3">
      <c r="A1003" s="5" t="s">
        <v>34</v>
      </c>
      <c r="B1003" s="5" t="s">
        <v>35</v>
      </c>
      <c r="C1003" s="6">
        <v>1986</v>
      </c>
      <c r="D1003" s="7">
        <v>102635572</v>
      </c>
    </row>
    <row r="1004" spans="1:4" x14ac:dyDescent="0.3">
      <c r="A1004" s="2" t="s">
        <v>34</v>
      </c>
      <c r="B1004" s="2" t="s">
        <v>35</v>
      </c>
      <c r="C1004" s="3">
        <v>1987</v>
      </c>
      <c r="D1004" s="4">
        <v>104959291</v>
      </c>
    </row>
    <row r="1005" spans="1:4" x14ac:dyDescent="0.3">
      <c r="A1005" s="5" t="s">
        <v>34</v>
      </c>
      <c r="B1005" s="5" t="s">
        <v>35</v>
      </c>
      <c r="C1005" s="6">
        <v>1988</v>
      </c>
      <c r="D1005" s="7">
        <v>107216008</v>
      </c>
    </row>
    <row r="1006" spans="1:4" x14ac:dyDescent="0.3">
      <c r="A1006" s="2" t="s">
        <v>34</v>
      </c>
      <c r="B1006" s="2" t="s">
        <v>35</v>
      </c>
      <c r="C1006" s="3">
        <v>1989</v>
      </c>
      <c r="D1006" s="4">
        <v>109433799</v>
      </c>
    </row>
    <row r="1007" spans="1:4" x14ac:dyDescent="0.3">
      <c r="A1007" s="5" t="s">
        <v>34</v>
      </c>
      <c r="B1007" s="5" t="s">
        <v>35</v>
      </c>
      <c r="C1007" s="6">
        <v>1990</v>
      </c>
      <c r="D1007" s="7">
        <v>111633717</v>
      </c>
    </row>
    <row r="1008" spans="1:4" x14ac:dyDescent="0.3">
      <c r="A1008" s="2" t="s">
        <v>34</v>
      </c>
      <c r="B1008" s="2" t="s">
        <v>35</v>
      </c>
      <c r="C1008" s="3">
        <v>1991</v>
      </c>
      <c r="D1008" s="4">
        <v>113787109</v>
      </c>
    </row>
    <row r="1009" spans="1:4" x14ac:dyDescent="0.3">
      <c r="A1009" s="5" t="s">
        <v>34</v>
      </c>
      <c r="B1009" s="5" t="s">
        <v>35</v>
      </c>
      <c r="C1009" s="6">
        <v>1992</v>
      </c>
      <c r="D1009" s="7">
        <v>115952192</v>
      </c>
    </row>
    <row r="1010" spans="1:4" x14ac:dyDescent="0.3">
      <c r="A1010" s="2" t="s">
        <v>34</v>
      </c>
      <c r="B1010" s="2" t="s">
        <v>35</v>
      </c>
      <c r="C1010" s="3">
        <v>1993</v>
      </c>
      <c r="D1010" s="4">
        <v>118132360</v>
      </c>
    </row>
    <row r="1011" spans="1:4" x14ac:dyDescent="0.3">
      <c r="A1011" s="5" t="s">
        <v>34</v>
      </c>
      <c r="B1011" s="5" t="s">
        <v>35</v>
      </c>
      <c r="C1011" s="6">
        <v>1994</v>
      </c>
      <c r="D1011" s="7">
        <v>120343179</v>
      </c>
    </row>
    <row r="1012" spans="1:4" x14ac:dyDescent="0.3">
      <c r="A1012" s="2" t="s">
        <v>34</v>
      </c>
      <c r="B1012" s="2" t="s">
        <v>35</v>
      </c>
      <c r="C1012" s="3">
        <v>1995</v>
      </c>
      <c r="D1012" s="4">
        <v>122600370</v>
      </c>
    </row>
    <row r="1013" spans="1:4" x14ac:dyDescent="0.3">
      <c r="A1013" s="5" t="s">
        <v>34</v>
      </c>
      <c r="B1013" s="5" t="s">
        <v>35</v>
      </c>
      <c r="C1013" s="6">
        <v>1996</v>
      </c>
      <c r="D1013" s="7">
        <v>124862179</v>
      </c>
    </row>
    <row r="1014" spans="1:4" x14ac:dyDescent="0.3">
      <c r="A1014" s="2" t="s">
        <v>34</v>
      </c>
      <c r="B1014" s="2" t="s">
        <v>35</v>
      </c>
      <c r="C1014" s="3">
        <v>1997</v>
      </c>
      <c r="D1014" s="4">
        <v>127198069</v>
      </c>
    </row>
    <row r="1015" spans="1:4" x14ac:dyDescent="0.3">
      <c r="A1015" s="5" t="s">
        <v>34</v>
      </c>
      <c r="B1015" s="5" t="s">
        <v>35</v>
      </c>
      <c r="C1015" s="6">
        <v>1998</v>
      </c>
      <c r="D1015" s="7">
        <v>129622332</v>
      </c>
    </row>
    <row r="1016" spans="1:4" x14ac:dyDescent="0.3">
      <c r="A1016" s="2" t="s">
        <v>34</v>
      </c>
      <c r="B1016" s="2" t="s">
        <v>35</v>
      </c>
      <c r="C1016" s="3">
        <v>1999</v>
      </c>
      <c r="D1016" s="4">
        <v>132108065</v>
      </c>
    </row>
    <row r="1017" spans="1:4" x14ac:dyDescent="0.3">
      <c r="A1017" s="5" t="s">
        <v>34</v>
      </c>
      <c r="B1017" s="5" t="s">
        <v>35</v>
      </c>
      <c r="C1017" s="6">
        <v>2000</v>
      </c>
      <c r="D1017" s="7">
        <v>134544304</v>
      </c>
    </row>
    <row r="1018" spans="1:4" x14ac:dyDescent="0.3">
      <c r="A1018" s="2" t="s">
        <v>34</v>
      </c>
      <c r="B1018" s="2" t="s">
        <v>35</v>
      </c>
      <c r="C1018" s="3">
        <v>2001</v>
      </c>
      <c r="D1018" s="4">
        <v>136805810</v>
      </c>
    </row>
    <row r="1019" spans="1:4" x14ac:dyDescent="0.3">
      <c r="A1019" s="5" t="s">
        <v>34</v>
      </c>
      <c r="B1019" s="5" t="s">
        <v>35</v>
      </c>
      <c r="C1019" s="6">
        <v>2002</v>
      </c>
      <c r="D1019" s="7">
        <v>138933658</v>
      </c>
    </row>
    <row r="1020" spans="1:4" x14ac:dyDescent="0.3">
      <c r="A1020" s="2" t="s">
        <v>34</v>
      </c>
      <c r="B1020" s="2" t="s">
        <v>35</v>
      </c>
      <c r="C1020" s="3">
        <v>2003</v>
      </c>
      <c r="D1020" s="4">
        <v>140970351</v>
      </c>
    </row>
    <row r="1021" spans="1:4" x14ac:dyDescent="0.3">
      <c r="A1021" s="5" t="s">
        <v>34</v>
      </c>
      <c r="B1021" s="5" t="s">
        <v>35</v>
      </c>
      <c r="C1021" s="6">
        <v>2004</v>
      </c>
      <c r="D1021" s="7">
        <v>142902856</v>
      </c>
    </row>
    <row r="1022" spans="1:4" x14ac:dyDescent="0.3">
      <c r="A1022" s="2" t="s">
        <v>34</v>
      </c>
      <c r="B1022" s="2" t="s">
        <v>35</v>
      </c>
      <c r="C1022" s="3">
        <v>2005</v>
      </c>
      <c r="D1022" s="4">
        <v>144715786</v>
      </c>
    </row>
    <row r="1023" spans="1:4" x14ac:dyDescent="0.3">
      <c r="A1023" s="5" t="s">
        <v>34</v>
      </c>
      <c r="B1023" s="5" t="s">
        <v>35</v>
      </c>
      <c r="C1023" s="6">
        <v>2006</v>
      </c>
      <c r="D1023" s="7">
        <v>146405973</v>
      </c>
    </row>
    <row r="1024" spans="1:4" x14ac:dyDescent="0.3">
      <c r="A1024" s="2" t="s">
        <v>34</v>
      </c>
      <c r="B1024" s="2" t="s">
        <v>35</v>
      </c>
      <c r="C1024" s="3">
        <v>2007</v>
      </c>
      <c r="D1024" s="4">
        <v>147989278</v>
      </c>
    </row>
    <row r="1025" spans="1:4" x14ac:dyDescent="0.3">
      <c r="A1025" s="5" t="s">
        <v>34</v>
      </c>
      <c r="B1025" s="5" t="s">
        <v>35</v>
      </c>
      <c r="C1025" s="6">
        <v>2008</v>
      </c>
      <c r="D1025" s="7">
        <v>149474264</v>
      </c>
    </row>
    <row r="1026" spans="1:4" x14ac:dyDescent="0.3">
      <c r="A1026" s="2" t="s">
        <v>34</v>
      </c>
      <c r="B1026" s="2" t="s">
        <v>35</v>
      </c>
      <c r="C1026" s="3">
        <v>2009</v>
      </c>
      <c r="D1026" s="4">
        <v>150873714</v>
      </c>
    </row>
    <row r="1027" spans="1:4" x14ac:dyDescent="0.3">
      <c r="A1027" s="5" t="s">
        <v>34</v>
      </c>
      <c r="B1027" s="5" t="s">
        <v>35</v>
      </c>
      <c r="C1027" s="6">
        <v>2010</v>
      </c>
      <c r="D1027" s="7">
        <v>152201981</v>
      </c>
    </row>
    <row r="1028" spans="1:4" x14ac:dyDescent="0.3">
      <c r="A1028" s="2" t="s">
        <v>34</v>
      </c>
      <c r="B1028" s="2" t="s">
        <v>35</v>
      </c>
      <c r="C1028" s="3">
        <v>2011</v>
      </c>
      <c r="D1028" s="4">
        <v>153591076</v>
      </c>
    </row>
    <row r="1029" spans="1:4" x14ac:dyDescent="0.3">
      <c r="A1029" s="5" t="s">
        <v>34</v>
      </c>
      <c r="B1029" s="5" t="s">
        <v>35</v>
      </c>
      <c r="C1029" s="6">
        <v>2012</v>
      </c>
      <c r="D1029" s="7">
        <v>155070101</v>
      </c>
    </row>
    <row r="1030" spans="1:4" x14ac:dyDescent="0.3">
      <c r="A1030" s="2" t="s">
        <v>34</v>
      </c>
      <c r="B1030" s="2" t="s">
        <v>35</v>
      </c>
      <c r="C1030" s="3">
        <v>2013</v>
      </c>
      <c r="D1030" s="4">
        <v>156532141</v>
      </c>
    </row>
    <row r="1031" spans="1:4" x14ac:dyDescent="0.3">
      <c r="A1031" s="5" t="s">
        <v>34</v>
      </c>
      <c r="B1031" s="5" t="s">
        <v>35</v>
      </c>
      <c r="C1031" s="6">
        <v>2014</v>
      </c>
      <c r="D1031" s="7">
        <v>157964929</v>
      </c>
    </row>
    <row r="1032" spans="1:4" x14ac:dyDescent="0.3">
      <c r="A1032" s="2" t="s">
        <v>34</v>
      </c>
      <c r="B1032" s="2" t="s">
        <v>35</v>
      </c>
      <c r="C1032" s="3">
        <v>2015</v>
      </c>
      <c r="D1032" s="4">
        <v>159383179</v>
      </c>
    </row>
    <row r="1033" spans="1:4" x14ac:dyDescent="0.3">
      <c r="A1033" s="5" t="s">
        <v>34</v>
      </c>
      <c r="B1033" s="5" t="s">
        <v>35</v>
      </c>
      <c r="C1033" s="6">
        <v>2016</v>
      </c>
      <c r="D1033" s="7">
        <v>160811932</v>
      </c>
    </row>
    <row r="1034" spans="1:4" x14ac:dyDescent="0.3">
      <c r="A1034" s="2" t="s">
        <v>34</v>
      </c>
      <c r="B1034" s="2" t="s">
        <v>35</v>
      </c>
      <c r="C1034" s="3">
        <v>2017</v>
      </c>
      <c r="D1034" s="4">
        <v>162186147</v>
      </c>
    </row>
    <row r="1035" spans="1:4" x14ac:dyDescent="0.3">
      <c r="A1035" s="5" t="s">
        <v>34</v>
      </c>
      <c r="B1035" s="5" t="s">
        <v>35</v>
      </c>
      <c r="C1035" s="6">
        <v>2018</v>
      </c>
      <c r="D1035" s="7">
        <v>163523103</v>
      </c>
    </row>
    <row r="1036" spans="1:4" x14ac:dyDescent="0.3">
      <c r="A1036" s="2" t="s">
        <v>34</v>
      </c>
      <c r="B1036" s="2" t="s">
        <v>35</v>
      </c>
      <c r="C1036" s="3">
        <v>2019</v>
      </c>
      <c r="D1036" s="4">
        <v>164913055</v>
      </c>
    </row>
    <row r="1037" spans="1:4" x14ac:dyDescent="0.3">
      <c r="A1037" s="5" t="s">
        <v>34</v>
      </c>
      <c r="B1037" s="5" t="s">
        <v>35</v>
      </c>
      <c r="C1037" s="6">
        <v>2020</v>
      </c>
      <c r="D1037" s="7">
        <v>166298024</v>
      </c>
    </row>
    <row r="1038" spans="1:4" x14ac:dyDescent="0.3">
      <c r="A1038" s="2" t="s">
        <v>34</v>
      </c>
      <c r="B1038" s="2" t="s">
        <v>35</v>
      </c>
      <c r="C1038" s="3">
        <v>2021</v>
      </c>
      <c r="D1038" s="4">
        <v>167658854</v>
      </c>
    </row>
    <row r="1039" spans="1:4" x14ac:dyDescent="0.3">
      <c r="A1039" s="5" t="s">
        <v>34</v>
      </c>
      <c r="B1039" s="5" t="s">
        <v>35</v>
      </c>
      <c r="C1039" s="6">
        <v>2022</v>
      </c>
      <c r="D1039" s="7">
        <v>169384897</v>
      </c>
    </row>
    <row r="1040" spans="1:4" x14ac:dyDescent="0.3">
      <c r="A1040" s="2" t="s">
        <v>34</v>
      </c>
      <c r="B1040" s="2" t="s">
        <v>35</v>
      </c>
      <c r="C1040" s="3">
        <v>2023</v>
      </c>
      <c r="D1040" s="4">
        <v>171466990</v>
      </c>
    </row>
    <row r="1041" spans="1:4" x14ac:dyDescent="0.3">
      <c r="A1041" s="5" t="s">
        <v>34</v>
      </c>
      <c r="B1041" s="5" t="s">
        <v>35</v>
      </c>
      <c r="C1041" s="6">
        <v>2024</v>
      </c>
      <c r="D1041" s="7">
        <v>173562364</v>
      </c>
    </row>
    <row r="1042" spans="1:4" x14ac:dyDescent="0.3">
      <c r="A1042" s="2" t="s">
        <v>36</v>
      </c>
      <c r="B1042" s="2" t="s">
        <v>37</v>
      </c>
      <c r="C1042" s="3">
        <v>1960</v>
      </c>
      <c r="D1042" s="4">
        <v>230893</v>
      </c>
    </row>
    <row r="1043" spans="1:4" x14ac:dyDescent="0.3">
      <c r="A1043" s="5" t="s">
        <v>36</v>
      </c>
      <c r="B1043" s="5" t="s">
        <v>37</v>
      </c>
      <c r="C1043" s="6">
        <v>1961</v>
      </c>
      <c r="D1043" s="7">
        <v>233148</v>
      </c>
    </row>
    <row r="1044" spans="1:4" x14ac:dyDescent="0.3">
      <c r="A1044" s="2" t="s">
        <v>36</v>
      </c>
      <c r="B1044" s="2" t="s">
        <v>37</v>
      </c>
      <c r="C1044" s="3">
        <v>1962</v>
      </c>
      <c r="D1044" s="4">
        <v>235224</v>
      </c>
    </row>
    <row r="1045" spans="1:4" x14ac:dyDescent="0.3">
      <c r="A1045" s="5" t="s">
        <v>36</v>
      </c>
      <c r="B1045" s="5" t="s">
        <v>37</v>
      </c>
      <c r="C1045" s="6">
        <v>1963</v>
      </c>
      <c r="D1045" s="7">
        <v>237557</v>
      </c>
    </row>
    <row r="1046" spans="1:4" x14ac:dyDescent="0.3">
      <c r="A1046" s="2" t="s">
        <v>36</v>
      </c>
      <c r="B1046" s="2" t="s">
        <v>37</v>
      </c>
      <c r="C1046" s="3">
        <v>1964</v>
      </c>
      <c r="D1046" s="4">
        <v>239958</v>
      </c>
    </row>
    <row r="1047" spans="1:4" x14ac:dyDescent="0.3">
      <c r="A1047" s="5" t="s">
        <v>36</v>
      </c>
      <c r="B1047" s="5" t="s">
        <v>37</v>
      </c>
      <c r="C1047" s="6">
        <v>1965</v>
      </c>
      <c r="D1047" s="7">
        <v>242417</v>
      </c>
    </row>
    <row r="1048" spans="1:4" x14ac:dyDescent="0.3">
      <c r="A1048" s="2" t="s">
        <v>36</v>
      </c>
      <c r="B1048" s="2" t="s">
        <v>37</v>
      </c>
      <c r="C1048" s="3">
        <v>1966</v>
      </c>
      <c r="D1048" s="4">
        <v>244996</v>
      </c>
    </row>
    <row r="1049" spans="1:4" x14ac:dyDescent="0.3">
      <c r="A1049" s="5" t="s">
        <v>36</v>
      </c>
      <c r="B1049" s="5" t="s">
        <v>37</v>
      </c>
      <c r="C1049" s="6">
        <v>1967</v>
      </c>
      <c r="D1049" s="7">
        <v>247091</v>
      </c>
    </row>
    <row r="1050" spans="1:4" x14ac:dyDescent="0.3">
      <c r="A1050" s="2" t="s">
        <v>36</v>
      </c>
      <c r="B1050" s="2" t="s">
        <v>37</v>
      </c>
      <c r="C1050" s="3">
        <v>1968</v>
      </c>
      <c r="D1050" s="4">
        <v>248540</v>
      </c>
    </row>
    <row r="1051" spans="1:4" x14ac:dyDescent="0.3">
      <c r="A1051" s="5" t="s">
        <v>36</v>
      </c>
      <c r="B1051" s="5" t="s">
        <v>37</v>
      </c>
      <c r="C1051" s="6">
        <v>1969</v>
      </c>
      <c r="D1051" s="7">
        <v>249444</v>
      </c>
    </row>
    <row r="1052" spans="1:4" x14ac:dyDescent="0.3">
      <c r="A1052" s="2" t="s">
        <v>36</v>
      </c>
      <c r="B1052" s="2" t="s">
        <v>37</v>
      </c>
      <c r="C1052" s="3">
        <v>1970</v>
      </c>
      <c r="D1052" s="4">
        <v>249387</v>
      </c>
    </row>
    <row r="1053" spans="1:4" x14ac:dyDescent="0.3">
      <c r="A1053" s="5" t="s">
        <v>36</v>
      </c>
      <c r="B1053" s="5" t="s">
        <v>37</v>
      </c>
      <c r="C1053" s="6">
        <v>1971</v>
      </c>
      <c r="D1053" s="7">
        <v>249168</v>
      </c>
    </row>
    <row r="1054" spans="1:4" x14ac:dyDescent="0.3">
      <c r="A1054" s="2" t="s">
        <v>36</v>
      </c>
      <c r="B1054" s="2" t="s">
        <v>37</v>
      </c>
      <c r="C1054" s="3">
        <v>1972</v>
      </c>
      <c r="D1054" s="4">
        <v>249658</v>
      </c>
    </row>
    <row r="1055" spans="1:4" x14ac:dyDescent="0.3">
      <c r="A1055" s="5" t="s">
        <v>36</v>
      </c>
      <c r="B1055" s="5" t="s">
        <v>37</v>
      </c>
      <c r="C1055" s="6">
        <v>1973</v>
      </c>
      <c r="D1055" s="7">
        <v>250322</v>
      </c>
    </row>
    <row r="1056" spans="1:4" x14ac:dyDescent="0.3">
      <c r="A1056" s="2" t="s">
        <v>36</v>
      </c>
      <c r="B1056" s="2" t="s">
        <v>37</v>
      </c>
      <c r="C1056" s="3">
        <v>1974</v>
      </c>
      <c r="D1056" s="4">
        <v>250777</v>
      </c>
    </row>
    <row r="1057" spans="1:4" x14ac:dyDescent="0.3">
      <c r="A1057" s="5" t="s">
        <v>36</v>
      </c>
      <c r="B1057" s="5" t="s">
        <v>37</v>
      </c>
      <c r="C1057" s="6">
        <v>1975</v>
      </c>
      <c r="D1057" s="7">
        <v>251175</v>
      </c>
    </row>
    <row r="1058" spans="1:4" x14ac:dyDescent="0.3">
      <c r="A1058" s="2" t="s">
        <v>36</v>
      </c>
      <c r="B1058" s="2" t="s">
        <v>37</v>
      </c>
      <c r="C1058" s="3">
        <v>1976</v>
      </c>
      <c r="D1058" s="4">
        <v>251442</v>
      </c>
    </row>
    <row r="1059" spans="1:4" x14ac:dyDescent="0.3">
      <c r="A1059" s="5" t="s">
        <v>36</v>
      </c>
      <c r="B1059" s="5" t="s">
        <v>37</v>
      </c>
      <c r="C1059" s="6">
        <v>1977</v>
      </c>
      <c r="D1059" s="7">
        <v>251626</v>
      </c>
    </row>
    <row r="1060" spans="1:4" x14ac:dyDescent="0.3">
      <c r="A1060" s="2" t="s">
        <v>36</v>
      </c>
      <c r="B1060" s="2" t="s">
        <v>37</v>
      </c>
      <c r="C1060" s="3">
        <v>1978</v>
      </c>
      <c r="D1060" s="4">
        <v>251551</v>
      </c>
    </row>
    <row r="1061" spans="1:4" x14ac:dyDescent="0.3">
      <c r="A1061" s="5" t="s">
        <v>36</v>
      </c>
      <c r="B1061" s="5" t="s">
        <v>37</v>
      </c>
      <c r="C1061" s="6">
        <v>1979</v>
      </c>
      <c r="D1061" s="7">
        <v>251269</v>
      </c>
    </row>
    <row r="1062" spans="1:4" x14ac:dyDescent="0.3">
      <c r="A1062" s="2" t="s">
        <v>36</v>
      </c>
      <c r="B1062" s="2" t="s">
        <v>37</v>
      </c>
      <c r="C1062" s="3">
        <v>1980</v>
      </c>
      <c r="D1062" s="4">
        <v>251524</v>
      </c>
    </row>
    <row r="1063" spans="1:4" x14ac:dyDescent="0.3">
      <c r="A1063" s="5" t="s">
        <v>36</v>
      </c>
      <c r="B1063" s="5" t="s">
        <v>37</v>
      </c>
      <c r="C1063" s="6">
        <v>1981</v>
      </c>
      <c r="D1063" s="7">
        <v>252270</v>
      </c>
    </row>
    <row r="1064" spans="1:4" x14ac:dyDescent="0.3">
      <c r="A1064" s="2" t="s">
        <v>36</v>
      </c>
      <c r="B1064" s="2" t="s">
        <v>37</v>
      </c>
      <c r="C1064" s="3">
        <v>1982</v>
      </c>
      <c r="D1064" s="4">
        <v>253095</v>
      </c>
    </row>
    <row r="1065" spans="1:4" x14ac:dyDescent="0.3">
      <c r="A1065" s="5" t="s">
        <v>36</v>
      </c>
      <c r="B1065" s="5" t="s">
        <v>37</v>
      </c>
      <c r="C1065" s="6">
        <v>1983</v>
      </c>
      <c r="D1065" s="7">
        <v>253992</v>
      </c>
    </row>
    <row r="1066" spans="1:4" x14ac:dyDescent="0.3">
      <c r="A1066" s="2" t="s">
        <v>36</v>
      </c>
      <c r="B1066" s="2" t="s">
        <v>37</v>
      </c>
      <c r="C1066" s="3">
        <v>1984</v>
      </c>
      <c r="D1066" s="4">
        <v>254920</v>
      </c>
    </row>
    <row r="1067" spans="1:4" x14ac:dyDescent="0.3">
      <c r="A1067" s="5" t="s">
        <v>36</v>
      </c>
      <c r="B1067" s="5" t="s">
        <v>37</v>
      </c>
      <c r="C1067" s="6">
        <v>1985</v>
      </c>
      <c r="D1067" s="7">
        <v>255820</v>
      </c>
    </row>
    <row r="1068" spans="1:4" x14ac:dyDescent="0.3">
      <c r="A1068" s="2" t="s">
        <v>36</v>
      </c>
      <c r="B1068" s="2" t="s">
        <v>37</v>
      </c>
      <c r="C1068" s="3">
        <v>1986</v>
      </c>
      <c r="D1068" s="4">
        <v>256618</v>
      </c>
    </row>
    <row r="1069" spans="1:4" x14ac:dyDescent="0.3">
      <c r="A1069" s="5" t="s">
        <v>36</v>
      </c>
      <c r="B1069" s="5" t="s">
        <v>37</v>
      </c>
      <c r="C1069" s="6">
        <v>1987</v>
      </c>
      <c r="D1069" s="7">
        <v>257279</v>
      </c>
    </row>
    <row r="1070" spans="1:4" x14ac:dyDescent="0.3">
      <c r="A1070" s="2" t="s">
        <v>36</v>
      </c>
      <c r="B1070" s="2" t="s">
        <v>37</v>
      </c>
      <c r="C1070" s="3">
        <v>1988</v>
      </c>
      <c r="D1070" s="4">
        <v>257763</v>
      </c>
    </row>
    <row r="1071" spans="1:4" x14ac:dyDescent="0.3">
      <c r="A1071" s="5" t="s">
        <v>36</v>
      </c>
      <c r="B1071" s="5" t="s">
        <v>37</v>
      </c>
      <c r="C1071" s="6">
        <v>1989</v>
      </c>
      <c r="D1071" s="7">
        <v>258109</v>
      </c>
    </row>
    <row r="1072" spans="1:4" x14ac:dyDescent="0.3">
      <c r="A1072" s="2" t="s">
        <v>36</v>
      </c>
      <c r="B1072" s="2" t="s">
        <v>37</v>
      </c>
      <c r="C1072" s="3">
        <v>1990</v>
      </c>
      <c r="D1072" s="4">
        <v>258582</v>
      </c>
    </row>
    <row r="1073" spans="1:4" x14ac:dyDescent="0.3">
      <c r="A1073" s="5" t="s">
        <v>36</v>
      </c>
      <c r="B1073" s="5" t="s">
        <v>37</v>
      </c>
      <c r="C1073" s="6">
        <v>1991</v>
      </c>
      <c r="D1073" s="7">
        <v>259373</v>
      </c>
    </row>
    <row r="1074" spans="1:4" x14ac:dyDescent="0.3">
      <c r="A1074" s="2" t="s">
        <v>36</v>
      </c>
      <c r="B1074" s="2" t="s">
        <v>37</v>
      </c>
      <c r="C1074" s="3">
        <v>1992</v>
      </c>
      <c r="D1074" s="4">
        <v>260267</v>
      </c>
    </row>
    <row r="1075" spans="1:4" x14ac:dyDescent="0.3">
      <c r="A1075" s="5" t="s">
        <v>36</v>
      </c>
      <c r="B1075" s="5" t="s">
        <v>37</v>
      </c>
      <c r="C1075" s="6">
        <v>1993</v>
      </c>
      <c r="D1075" s="7">
        <v>261027</v>
      </c>
    </row>
    <row r="1076" spans="1:4" x14ac:dyDescent="0.3">
      <c r="A1076" s="2" t="s">
        <v>36</v>
      </c>
      <c r="B1076" s="2" t="s">
        <v>37</v>
      </c>
      <c r="C1076" s="3">
        <v>1994</v>
      </c>
      <c r="D1076" s="4">
        <v>261620</v>
      </c>
    </row>
    <row r="1077" spans="1:4" x14ac:dyDescent="0.3">
      <c r="A1077" s="5" t="s">
        <v>36</v>
      </c>
      <c r="B1077" s="5" t="s">
        <v>37</v>
      </c>
      <c r="C1077" s="6">
        <v>1995</v>
      </c>
      <c r="D1077" s="7">
        <v>262039</v>
      </c>
    </row>
    <row r="1078" spans="1:4" x14ac:dyDescent="0.3">
      <c r="A1078" s="2" t="s">
        <v>36</v>
      </c>
      <c r="B1078" s="2" t="s">
        <v>37</v>
      </c>
      <c r="C1078" s="3">
        <v>1996</v>
      </c>
      <c r="D1078" s="4">
        <v>262284</v>
      </c>
    </row>
    <row r="1079" spans="1:4" x14ac:dyDescent="0.3">
      <c r="A1079" s="5" t="s">
        <v>36</v>
      </c>
      <c r="B1079" s="5" t="s">
        <v>37</v>
      </c>
      <c r="C1079" s="6">
        <v>1997</v>
      </c>
      <c r="D1079" s="7">
        <v>262392</v>
      </c>
    </row>
    <row r="1080" spans="1:4" x14ac:dyDescent="0.3">
      <c r="A1080" s="2" t="s">
        <v>36</v>
      </c>
      <c r="B1080" s="2" t="s">
        <v>37</v>
      </c>
      <c r="C1080" s="3">
        <v>1998</v>
      </c>
      <c r="D1080" s="4">
        <v>262436</v>
      </c>
    </row>
    <row r="1081" spans="1:4" x14ac:dyDescent="0.3">
      <c r="A1081" s="5" t="s">
        <v>36</v>
      </c>
      <c r="B1081" s="5" t="s">
        <v>37</v>
      </c>
      <c r="C1081" s="6">
        <v>1999</v>
      </c>
      <c r="D1081" s="7">
        <v>262517</v>
      </c>
    </row>
    <row r="1082" spans="1:4" x14ac:dyDescent="0.3">
      <c r="A1082" s="2" t="s">
        <v>36</v>
      </c>
      <c r="B1082" s="2" t="s">
        <v>37</v>
      </c>
      <c r="C1082" s="3">
        <v>2000</v>
      </c>
      <c r="D1082" s="4">
        <v>262063</v>
      </c>
    </row>
    <row r="1083" spans="1:4" x14ac:dyDescent="0.3">
      <c r="A1083" s="5" t="s">
        <v>36</v>
      </c>
      <c r="B1083" s="5" t="s">
        <v>37</v>
      </c>
      <c r="C1083" s="6">
        <v>2001</v>
      </c>
      <c r="D1083" s="7">
        <v>262425</v>
      </c>
    </row>
    <row r="1084" spans="1:4" x14ac:dyDescent="0.3">
      <c r="A1084" s="2" t="s">
        <v>36</v>
      </c>
      <c r="B1084" s="2" t="s">
        <v>37</v>
      </c>
      <c r="C1084" s="3">
        <v>2002</v>
      </c>
      <c r="D1084" s="4">
        <v>264148</v>
      </c>
    </row>
    <row r="1085" spans="1:4" x14ac:dyDescent="0.3">
      <c r="A1085" s="5" t="s">
        <v>36</v>
      </c>
      <c r="B1085" s="5" t="s">
        <v>37</v>
      </c>
      <c r="C1085" s="6">
        <v>2003</v>
      </c>
      <c r="D1085" s="7">
        <v>265776</v>
      </c>
    </row>
    <row r="1086" spans="1:4" x14ac:dyDescent="0.3">
      <c r="A1086" s="2" t="s">
        <v>36</v>
      </c>
      <c r="B1086" s="2" t="s">
        <v>37</v>
      </c>
      <c r="C1086" s="3">
        <v>2004</v>
      </c>
      <c r="D1086" s="4">
        <v>267298</v>
      </c>
    </row>
    <row r="1087" spans="1:4" x14ac:dyDescent="0.3">
      <c r="A1087" s="5" t="s">
        <v>36</v>
      </c>
      <c r="B1087" s="5" t="s">
        <v>37</v>
      </c>
      <c r="C1087" s="6">
        <v>2005</v>
      </c>
      <c r="D1087" s="7">
        <v>268706</v>
      </c>
    </row>
    <row r="1088" spans="1:4" x14ac:dyDescent="0.3">
      <c r="A1088" s="2" t="s">
        <v>36</v>
      </c>
      <c r="B1088" s="2" t="s">
        <v>37</v>
      </c>
      <c r="C1088" s="3">
        <v>2006</v>
      </c>
      <c r="D1088" s="4">
        <v>270002</v>
      </c>
    </row>
    <row r="1089" spans="1:4" x14ac:dyDescent="0.3">
      <c r="A1089" s="5" t="s">
        <v>36</v>
      </c>
      <c r="B1089" s="5" t="s">
        <v>37</v>
      </c>
      <c r="C1089" s="6">
        <v>2007</v>
      </c>
      <c r="D1089" s="7">
        <v>271288</v>
      </c>
    </row>
    <row r="1090" spans="1:4" x14ac:dyDescent="0.3">
      <c r="A1090" s="2" t="s">
        <v>36</v>
      </c>
      <c r="B1090" s="2" t="s">
        <v>37</v>
      </c>
      <c r="C1090" s="3">
        <v>2008</v>
      </c>
      <c r="D1090" s="4">
        <v>272714</v>
      </c>
    </row>
    <row r="1091" spans="1:4" x14ac:dyDescent="0.3">
      <c r="A1091" s="5" t="s">
        <v>36</v>
      </c>
      <c r="B1091" s="5" t="s">
        <v>37</v>
      </c>
      <c r="C1091" s="6">
        <v>2009</v>
      </c>
      <c r="D1091" s="7">
        <v>274123</v>
      </c>
    </row>
    <row r="1092" spans="1:4" x14ac:dyDescent="0.3">
      <c r="A1092" s="2" t="s">
        <v>36</v>
      </c>
      <c r="B1092" s="2" t="s">
        <v>37</v>
      </c>
      <c r="C1092" s="3">
        <v>2010</v>
      </c>
      <c r="D1092" s="4">
        <v>275243</v>
      </c>
    </row>
    <row r="1093" spans="1:4" x14ac:dyDescent="0.3">
      <c r="A1093" s="5" t="s">
        <v>36</v>
      </c>
      <c r="B1093" s="5" t="s">
        <v>37</v>
      </c>
      <c r="C1093" s="6">
        <v>2011</v>
      </c>
      <c r="D1093" s="7">
        <v>276139</v>
      </c>
    </row>
    <row r="1094" spans="1:4" x14ac:dyDescent="0.3">
      <c r="A1094" s="2" t="s">
        <v>36</v>
      </c>
      <c r="B1094" s="2" t="s">
        <v>37</v>
      </c>
      <c r="C1094" s="3">
        <v>2012</v>
      </c>
      <c r="D1094" s="4">
        <v>276938</v>
      </c>
    </row>
    <row r="1095" spans="1:4" x14ac:dyDescent="0.3">
      <c r="A1095" s="5" t="s">
        <v>36</v>
      </c>
      <c r="B1095" s="5" t="s">
        <v>37</v>
      </c>
      <c r="C1095" s="6">
        <v>2013</v>
      </c>
      <c r="D1095" s="7">
        <v>277665</v>
      </c>
    </row>
    <row r="1096" spans="1:4" x14ac:dyDescent="0.3">
      <c r="A1096" s="2" t="s">
        <v>36</v>
      </c>
      <c r="B1096" s="2" t="s">
        <v>37</v>
      </c>
      <c r="C1096" s="3">
        <v>2014</v>
      </c>
      <c r="D1096" s="4">
        <v>278348</v>
      </c>
    </row>
    <row r="1097" spans="1:4" x14ac:dyDescent="0.3">
      <c r="A1097" s="5" t="s">
        <v>36</v>
      </c>
      <c r="B1097" s="5" t="s">
        <v>37</v>
      </c>
      <c r="C1097" s="6">
        <v>2015</v>
      </c>
      <c r="D1097" s="7">
        <v>278990</v>
      </c>
    </row>
    <row r="1098" spans="1:4" x14ac:dyDescent="0.3">
      <c r="A1098" s="2" t="s">
        <v>36</v>
      </c>
      <c r="B1098" s="2" t="s">
        <v>37</v>
      </c>
      <c r="C1098" s="3">
        <v>2016</v>
      </c>
      <c r="D1098" s="4">
        <v>279598</v>
      </c>
    </row>
    <row r="1099" spans="1:4" x14ac:dyDescent="0.3">
      <c r="A1099" s="5" t="s">
        <v>36</v>
      </c>
      <c r="B1099" s="5" t="s">
        <v>37</v>
      </c>
      <c r="C1099" s="6">
        <v>2017</v>
      </c>
      <c r="D1099" s="7">
        <v>280171</v>
      </c>
    </row>
    <row r="1100" spans="1:4" x14ac:dyDescent="0.3">
      <c r="A1100" s="2" t="s">
        <v>36</v>
      </c>
      <c r="B1100" s="2" t="s">
        <v>37</v>
      </c>
      <c r="C1100" s="3">
        <v>2018</v>
      </c>
      <c r="D1100" s="4">
        <v>280711</v>
      </c>
    </row>
    <row r="1101" spans="1:4" x14ac:dyDescent="0.3">
      <c r="A1101" s="5" t="s">
        <v>36</v>
      </c>
      <c r="B1101" s="5" t="s">
        <v>37</v>
      </c>
      <c r="C1101" s="6">
        <v>2019</v>
      </c>
      <c r="D1101" s="7">
        <v>281207</v>
      </c>
    </row>
    <row r="1102" spans="1:4" x14ac:dyDescent="0.3">
      <c r="A1102" s="2" t="s">
        <v>36</v>
      </c>
      <c r="B1102" s="2" t="s">
        <v>37</v>
      </c>
      <c r="C1102" s="3">
        <v>2020</v>
      </c>
      <c r="D1102" s="4">
        <v>281698</v>
      </c>
    </row>
    <row r="1103" spans="1:4" x14ac:dyDescent="0.3">
      <c r="A1103" s="5" t="s">
        <v>36</v>
      </c>
      <c r="B1103" s="5" t="s">
        <v>37</v>
      </c>
      <c r="C1103" s="6">
        <v>2021</v>
      </c>
      <c r="D1103" s="7">
        <v>282147</v>
      </c>
    </row>
    <row r="1104" spans="1:4" x14ac:dyDescent="0.3">
      <c r="A1104" s="2" t="s">
        <v>36</v>
      </c>
      <c r="B1104" s="2" t="s">
        <v>37</v>
      </c>
      <c r="C1104" s="3">
        <v>2022</v>
      </c>
      <c r="D1104" s="4">
        <v>282318</v>
      </c>
    </row>
    <row r="1105" spans="1:4" x14ac:dyDescent="0.3">
      <c r="A1105" s="5" t="s">
        <v>36</v>
      </c>
      <c r="B1105" s="5" t="s">
        <v>37</v>
      </c>
      <c r="C1105" s="6">
        <v>2023</v>
      </c>
      <c r="D1105" s="7">
        <v>282336</v>
      </c>
    </row>
    <row r="1106" spans="1:4" x14ac:dyDescent="0.3">
      <c r="A1106" s="2" t="s">
        <v>36</v>
      </c>
      <c r="B1106" s="2" t="s">
        <v>37</v>
      </c>
      <c r="C1106" s="3">
        <v>2024</v>
      </c>
      <c r="D1106" s="4">
        <v>282467</v>
      </c>
    </row>
    <row r="1107" spans="1:4" x14ac:dyDescent="0.3">
      <c r="A1107" s="5" t="s">
        <v>38</v>
      </c>
      <c r="B1107" s="5" t="s">
        <v>39</v>
      </c>
      <c r="C1107" s="6">
        <v>1960</v>
      </c>
      <c r="D1107" s="7">
        <v>8198000</v>
      </c>
    </row>
    <row r="1108" spans="1:4" x14ac:dyDescent="0.3">
      <c r="A1108" s="2" t="s">
        <v>38</v>
      </c>
      <c r="B1108" s="2" t="s">
        <v>39</v>
      </c>
      <c r="C1108" s="3">
        <v>1961</v>
      </c>
      <c r="D1108" s="4">
        <v>8271216</v>
      </c>
    </row>
    <row r="1109" spans="1:4" x14ac:dyDescent="0.3">
      <c r="A1109" s="5" t="s">
        <v>38</v>
      </c>
      <c r="B1109" s="5" t="s">
        <v>39</v>
      </c>
      <c r="C1109" s="6">
        <v>1962</v>
      </c>
      <c r="D1109" s="7">
        <v>8351928</v>
      </c>
    </row>
    <row r="1110" spans="1:4" x14ac:dyDescent="0.3">
      <c r="A1110" s="2" t="s">
        <v>38</v>
      </c>
      <c r="B1110" s="2" t="s">
        <v>39</v>
      </c>
      <c r="C1110" s="3">
        <v>1963</v>
      </c>
      <c r="D1110" s="4">
        <v>8437232</v>
      </c>
    </row>
    <row r="1111" spans="1:4" x14ac:dyDescent="0.3">
      <c r="A1111" s="5" t="s">
        <v>38</v>
      </c>
      <c r="B1111" s="5" t="s">
        <v>39</v>
      </c>
      <c r="C1111" s="6">
        <v>1964</v>
      </c>
      <c r="D1111" s="7">
        <v>8524224</v>
      </c>
    </row>
    <row r="1112" spans="1:4" x14ac:dyDescent="0.3">
      <c r="A1112" s="2" t="s">
        <v>38</v>
      </c>
      <c r="B1112" s="2" t="s">
        <v>39</v>
      </c>
      <c r="C1112" s="3">
        <v>1965</v>
      </c>
      <c r="D1112" s="4">
        <v>8610000</v>
      </c>
    </row>
    <row r="1113" spans="1:4" x14ac:dyDescent="0.3">
      <c r="A1113" s="5" t="s">
        <v>38</v>
      </c>
      <c r="B1113" s="5" t="s">
        <v>39</v>
      </c>
      <c r="C1113" s="6">
        <v>1966</v>
      </c>
      <c r="D1113" s="7">
        <v>8696496</v>
      </c>
    </row>
    <row r="1114" spans="1:4" x14ac:dyDescent="0.3">
      <c r="A1114" s="2" t="s">
        <v>38</v>
      </c>
      <c r="B1114" s="2" t="s">
        <v>39</v>
      </c>
      <c r="C1114" s="3">
        <v>1967</v>
      </c>
      <c r="D1114" s="4">
        <v>8785648</v>
      </c>
    </row>
    <row r="1115" spans="1:4" x14ac:dyDescent="0.3">
      <c r="A1115" s="5" t="s">
        <v>38</v>
      </c>
      <c r="B1115" s="5" t="s">
        <v>39</v>
      </c>
      <c r="C1115" s="6">
        <v>1968</v>
      </c>
      <c r="D1115" s="7">
        <v>8874552</v>
      </c>
    </row>
    <row r="1116" spans="1:4" x14ac:dyDescent="0.3">
      <c r="A1116" s="2" t="s">
        <v>38</v>
      </c>
      <c r="B1116" s="2" t="s">
        <v>39</v>
      </c>
      <c r="C1116" s="3">
        <v>1969</v>
      </c>
      <c r="D1116" s="4">
        <v>8960304</v>
      </c>
    </row>
    <row r="1117" spans="1:4" x14ac:dyDescent="0.3">
      <c r="A1117" s="5" t="s">
        <v>38</v>
      </c>
      <c r="B1117" s="5" t="s">
        <v>39</v>
      </c>
      <c r="C1117" s="6">
        <v>1970</v>
      </c>
      <c r="D1117" s="7">
        <v>9040000</v>
      </c>
    </row>
    <row r="1118" spans="1:4" x14ac:dyDescent="0.3">
      <c r="A1118" s="2" t="s">
        <v>38</v>
      </c>
      <c r="B1118" s="2" t="s">
        <v>39</v>
      </c>
      <c r="C1118" s="3">
        <v>1971</v>
      </c>
      <c r="D1118" s="4">
        <v>9115576</v>
      </c>
    </row>
    <row r="1119" spans="1:4" x14ac:dyDescent="0.3">
      <c r="A1119" s="5" t="s">
        <v>38</v>
      </c>
      <c r="B1119" s="5" t="s">
        <v>39</v>
      </c>
      <c r="C1119" s="6">
        <v>1972</v>
      </c>
      <c r="D1119" s="7">
        <v>9188968</v>
      </c>
    </row>
    <row r="1120" spans="1:4" x14ac:dyDescent="0.3">
      <c r="A1120" s="2" t="s">
        <v>38</v>
      </c>
      <c r="B1120" s="2" t="s">
        <v>39</v>
      </c>
      <c r="C1120" s="3">
        <v>1973</v>
      </c>
      <c r="D1120" s="4">
        <v>9257272</v>
      </c>
    </row>
    <row r="1121" spans="1:4" x14ac:dyDescent="0.3">
      <c r="A1121" s="5" t="s">
        <v>38</v>
      </c>
      <c r="B1121" s="5" t="s">
        <v>39</v>
      </c>
      <c r="C1121" s="6">
        <v>1974</v>
      </c>
      <c r="D1121" s="7">
        <v>9317584</v>
      </c>
    </row>
    <row r="1122" spans="1:4" x14ac:dyDescent="0.3">
      <c r="A1122" s="2" t="s">
        <v>38</v>
      </c>
      <c r="B1122" s="2" t="s">
        <v>39</v>
      </c>
      <c r="C1122" s="3">
        <v>1975</v>
      </c>
      <c r="D1122" s="4">
        <v>9367000</v>
      </c>
    </row>
    <row r="1123" spans="1:4" x14ac:dyDescent="0.3">
      <c r="A1123" s="5" t="s">
        <v>38</v>
      </c>
      <c r="B1123" s="5" t="s">
        <v>39</v>
      </c>
      <c r="C1123" s="6">
        <v>1976</v>
      </c>
      <c r="D1123" s="7">
        <v>9411000</v>
      </c>
    </row>
    <row r="1124" spans="1:4" x14ac:dyDescent="0.3">
      <c r="A1124" s="2" t="s">
        <v>38</v>
      </c>
      <c r="B1124" s="2" t="s">
        <v>39</v>
      </c>
      <c r="C1124" s="3">
        <v>1977</v>
      </c>
      <c r="D1124" s="4">
        <v>9463000</v>
      </c>
    </row>
    <row r="1125" spans="1:4" x14ac:dyDescent="0.3">
      <c r="A1125" s="5" t="s">
        <v>38</v>
      </c>
      <c r="B1125" s="5" t="s">
        <v>39</v>
      </c>
      <c r="C1125" s="6">
        <v>1978</v>
      </c>
      <c r="D1125" s="7">
        <v>9525000</v>
      </c>
    </row>
    <row r="1126" spans="1:4" x14ac:dyDescent="0.3">
      <c r="A1126" s="2" t="s">
        <v>38</v>
      </c>
      <c r="B1126" s="2" t="s">
        <v>39</v>
      </c>
      <c r="C1126" s="3">
        <v>1979</v>
      </c>
      <c r="D1126" s="4">
        <v>9584000</v>
      </c>
    </row>
    <row r="1127" spans="1:4" x14ac:dyDescent="0.3">
      <c r="A1127" s="5" t="s">
        <v>38</v>
      </c>
      <c r="B1127" s="5" t="s">
        <v>39</v>
      </c>
      <c r="C1127" s="6">
        <v>1980</v>
      </c>
      <c r="D1127" s="7">
        <v>9643000</v>
      </c>
    </row>
    <row r="1128" spans="1:4" x14ac:dyDescent="0.3">
      <c r="A1128" s="2" t="s">
        <v>38</v>
      </c>
      <c r="B1128" s="2" t="s">
        <v>39</v>
      </c>
      <c r="C1128" s="3">
        <v>1981</v>
      </c>
      <c r="D1128" s="4">
        <v>9710000</v>
      </c>
    </row>
    <row r="1129" spans="1:4" x14ac:dyDescent="0.3">
      <c r="A1129" s="5" t="s">
        <v>38</v>
      </c>
      <c r="B1129" s="5" t="s">
        <v>39</v>
      </c>
      <c r="C1129" s="6">
        <v>1982</v>
      </c>
      <c r="D1129" s="7">
        <v>9776000</v>
      </c>
    </row>
    <row r="1130" spans="1:4" x14ac:dyDescent="0.3">
      <c r="A1130" s="2" t="s">
        <v>38</v>
      </c>
      <c r="B1130" s="2" t="s">
        <v>39</v>
      </c>
      <c r="C1130" s="3">
        <v>1983</v>
      </c>
      <c r="D1130" s="4">
        <v>9843000</v>
      </c>
    </row>
    <row r="1131" spans="1:4" x14ac:dyDescent="0.3">
      <c r="A1131" s="5" t="s">
        <v>38</v>
      </c>
      <c r="B1131" s="5" t="s">
        <v>39</v>
      </c>
      <c r="C1131" s="6">
        <v>1984</v>
      </c>
      <c r="D1131" s="7">
        <v>9910000</v>
      </c>
    </row>
    <row r="1132" spans="1:4" x14ac:dyDescent="0.3">
      <c r="A1132" s="2" t="s">
        <v>38</v>
      </c>
      <c r="B1132" s="2" t="s">
        <v>39</v>
      </c>
      <c r="C1132" s="3">
        <v>1985</v>
      </c>
      <c r="D1132" s="4">
        <v>9975000</v>
      </c>
    </row>
    <row r="1133" spans="1:4" x14ac:dyDescent="0.3">
      <c r="A1133" s="5" t="s">
        <v>38</v>
      </c>
      <c r="B1133" s="5" t="s">
        <v>39</v>
      </c>
      <c r="C1133" s="6">
        <v>1986</v>
      </c>
      <c r="D1133" s="7">
        <v>10043000</v>
      </c>
    </row>
    <row r="1134" spans="1:4" x14ac:dyDescent="0.3">
      <c r="A1134" s="2" t="s">
        <v>38</v>
      </c>
      <c r="B1134" s="2" t="s">
        <v>39</v>
      </c>
      <c r="C1134" s="3">
        <v>1987</v>
      </c>
      <c r="D1134" s="4">
        <v>10111000</v>
      </c>
    </row>
    <row r="1135" spans="1:4" x14ac:dyDescent="0.3">
      <c r="A1135" s="5" t="s">
        <v>38</v>
      </c>
      <c r="B1135" s="5" t="s">
        <v>39</v>
      </c>
      <c r="C1135" s="6">
        <v>1988</v>
      </c>
      <c r="D1135" s="7">
        <v>10140000</v>
      </c>
    </row>
    <row r="1136" spans="1:4" x14ac:dyDescent="0.3">
      <c r="A1136" s="2" t="s">
        <v>38</v>
      </c>
      <c r="B1136" s="2" t="s">
        <v>39</v>
      </c>
      <c r="C1136" s="3">
        <v>1989</v>
      </c>
      <c r="D1136" s="4">
        <v>10170000</v>
      </c>
    </row>
    <row r="1137" spans="1:4" x14ac:dyDescent="0.3">
      <c r="A1137" s="5" t="s">
        <v>38</v>
      </c>
      <c r="B1137" s="5" t="s">
        <v>39</v>
      </c>
      <c r="C1137" s="6">
        <v>1990</v>
      </c>
      <c r="D1137" s="7">
        <v>10189348</v>
      </c>
    </row>
    <row r="1138" spans="1:4" x14ac:dyDescent="0.3">
      <c r="A1138" s="2" t="s">
        <v>38</v>
      </c>
      <c r="B1138" s="2" t="s">
        <v>39</v>
      </c>
      <c r="C1138" s="3">
        <v>1991</v>
      </c>
      <c r="D1138" s="4">
        <v>10194050</v>
      </c>
    </row>
    <row r="1139" spans="1:4" x14ac:dyDescent="0.3">
      <c r="A1139" s="5" t="s">
        <v>38</v>
      </c>
      <c r="B1139" s="5" t="s">
        <v>39</v>
      </c>
      <c r="C1139" s="6">
        <v>1992</v>
      </c>
      <c r="D1139" s="7">
        <v>10216470</v>
      </c>
    </row>
    <row r="1140" spans="1:4" x14ac:dyDescent="0.3">
      <c r="A1140" s="2" t="s">
        <v>38</v>
      </c>
      <c r="B1140" s="2" t="s">
        <v>39</v>
      </c>
      <c r="C1140" s="3">
        <v>1993</v>
      </c>
      <c r="D1140" s="4">
        <v>10239050</v>
      </c>
    </row>
    <row r="1141" spans="1:4" x14ac:dyDescent="0.3">
      <c r="A1141" s="5" t="s">
        <v>38</v>
      </c>
      <c r="B1141" s="5" t="s">
        <v>39</v>
      </c>
      <c r="C1141" s="6">
        <v>1994</v>
      </c>
      <c r="D1141" s="7">
        <v>10226955</v>
      </c>
    </row>
    <row r="1142" spans="1:4" x14ac:dyDescent="0.3">
      <c r="A1142" s="2" t="s">
        <v>38</v>
      </c>
      <c r="B1142" s="2" t="s">
        <v>39</v>
      </c>
      <c r="C1142" s="3">
        <v>1995</v>
      </c>
      <c r="D1142" s="4">
        <v>10193831</v>
      </c>
    </row>
    <row r="1143" spans="1:4" x14ac:dyDescent="0.3">
      <c r="A1143" s="5" t="s">
        <v>38</v>
      </c>
      <c r="B1143" s="5" t="s">
        <v>39</v>
      </c>
      <c r="C1143" s="6">
        <v>1996</v>
      </c>
      <c r="D1143" s="7">
        <v>10159569</v>
      </c>
    </row>
    <row r="1144" spans="1:4" x14ac:dyDescent="0.3">
      <c r="A1144" s="2" t="s">
        <v>38</v>
      </c>
      <c r="B1144" s="2" t="s">
        <v>39</v>
      </c>
      <c r="C1144" s="3">
        <v>1997</v>
      </c>
      <c r="D1144" s="4">
        <v>10117433</v>
      </c>
    </row>
    <row r="1145" spans="1:4" x14ac:dyDescent="0.3">
      <c r="A1145" s="5" t="s">
        <v>38</v>
      </c>
      <c r="B1145" s="5" t="s">
        <v>39</v>
      </c>
      <c r="C1145" s="6">
        <v>1998</v>
      </c>
      <c r="D1145" s="7">
        <v>10071963</v>
      </c>
    </row>
    <row r="1146" spans="1:4" x14ac:dyDescent="0.3">
      <c r="A1146" s="2" t="s">
        <v>38</v>
      </c>
      <c r="B1146" s="2" t="s">
        <v>39</v>
      </c>
      <c r="C1146" s="3">
        <v>1999</v>
      </c>
      <c r="D1146" s="4">
        <v>10026738</v>
      </c>
    </row>
    <row r="1147" spans="1:4" x14ac:dyDescent="0.3">
      <c r="A1147" s="5" t="s">
        <v>38</v>
      </c>
      <c r="B1147" s="5" t="s">
        <v>39</v>
      </c>
      <c r="C1147" s="6">
        <v>2000</v>
      </c>
      <c r="D1147" s="7">
        <v>9979610</v>
      </c>
    </row>
    <row r="1148" spans="1:4" x14ac:dyDescent="0.3">
      <c r="A1148" s="2" t="s">
        <v>38</v>
      </c>
      <c r="B1148" s="2" t="s">
        <v>39</v>
      </c>
      <c r="C1148" s="3">
        <v>2001</v>
      </c>
      <c r="D1148" s="4">
        <v>9928549</v>
      </c>
    </row>
    <row r="1149" spans="1:4" x14ac:dyDescent="0.3">
      <c r="A1149" s="5" t="s">
        <v>38</v>
      </c>
      <c r="B1149" s="5" t="s">
        <v>39</v>
      </c>
      <c r="C1149" s="6">
        <v>2002</v>
      </c>
      <c r="D1149" s="7">
        <v>9865548</v>
      </c>
    </row>
    <row r="1150" spans="1:4" x14ac:dyDescent="0.3">
      <c r="A1150" s="2" t="s">
        <v>38</v>
      </c>
      <c r="B1150" s="2" t="s">
        <v>39</v>
      </c>
      <c r="C1150" s="3">
        <v>2003</v>
      </c>
      <c r="D1150" s="4">
        <v>9796749</v>
      </c>
    </row>
    <row r="1151" spans="1:4" x14ac:dyDescent="0.3">
      <c r="A1151" s="5" t="s">
        <v>38</v>
      </c>
      <c r="B1151" s="5" t="s">
        <v>39</v>
      </c>
      <c r="C1151" s="6">
        <v>2004</v>
      </c>
      <c r="D1151" s="7">
        <v>9730146</v>
      </c>
    </row>
    <row r="1152" spans="1:4" x14ac:dyDescent="0.3">
      <c r="A1152" s="2" t="s">
        <v>38</v>
      </c>
      <c r="B1152" s="2" t="s">
        <v>39</v>
      </c>
      <c r="C1152" s="3">
        <v>2005</v>
      </c>
      <c r="D1152" s="4">
        <v>9663915</v>
      </c>
    </row>
    <row r="1153" spans="1:4" x14ac:dyDescent="0.3">
      <c r="A1153" s="5" t="s">
        <v>38</v>
      </c>
      <c r="B1153" s="5" t="s">
        <v>39</v>
      </c>
      <c r="C1153" s="6">
        <v>2006</v>
      </c>
      <c r="D1153" s="7">
        <v>9604924</v>
      </c>
    </row>
    <row r="1154" spans="1:4" x14ac:dyDescent="0.3">
      <c r="A1154" s="2" t="s">
        <v>38</v>
      </c>
      <c r="B1154" s="2" t="s">
        <v>39</v>
      </c>
      <c r="C1154" s="3">
        <v>2007</v>
      </c>
      <c r="D1154" s="4">
        <v>9560953</v>
      </c>
    </row>
    <row r="1155" spans="1:4" x14ac:dyDescent="0.3">
      <c r="A1155" s="5" t="s">
        <v>38</v>
      </c>
      <c r="B1155" s="5" t="s">
        <v>39</v>
      </c>
      <c r="C1155" s="6">
        <v>2008</v>
      </c>
      <c r="D1155" s="7">
        <v>9527985</v>
      </c>
    </row>
    <row r="1156" spans="1:4" x14ac:dyDescent="0.3">
      <c r="A1156" s="2" t="s">
        <v>38</v>
      </c>
      <c r="B1156" s="2" t="s">
        <v>39</v>
      </c>
      <c r="C1156" s="3">
        <v>2009</v>
      </c>
      <c r="D1156" s="4">
        <v>9504583</v>
      </c>
    </row>
    <row r="1157" spans="1:4" x14ac:dyDescent="0.3">
      <c r="A1157" s="5" t="s">
        <v>38</v>
      </c>
      <c r="B1157" s="5" t="s">
        <v>39</v>
      </c>
      <c r="C1157" s="6">
        <v>2010</v>
      </c>
      <c r="D1157" s="7">
        <v>9483836</v>
      </c>
    </row>
    <row r="1158" spans="1:4" x14ac:dyDescent="0.3">
      <c r="A1158" s="2" t="s">
        <v>38</v>
      </c>
      <c r="B1158" s="2" t="s">
        <v>39</v>
      </c>
      <c r="C1158" s="3">
        <v>2011</v>
      </c>
      <c r="D1158" s="4">
        <v>9461643</v>
      </c>
    </row>
    <row r="1159" spans="1:4" x14ac:dyDescent="0.3">
      <c r="A1159" s="5" t="s">
        <v>38</v>
      </c>
      <c r="B1159" s="5" t="s">
        <v>39</v>
      </c>
      <c r="C1159" s="6">
        <v>2012</v>
      </c>
      <c r="D1159" s="7">
        <v>9446836</v>
      </c>
    </row>
    <row r="1160" spans="1:4" x14ac:dyDescent="0.3">
      <c r="A1160" s="2" t="s">
        <v>38</v>
      </c>
      <c r="B1160" s="2" t="s">
        <v>39</v>
      </c>
      <c r="C1160" s="3">
        <v>2013</v>
      </c>
      <c r="D1160" s="4">
        <v>9443211</v>
      </c>
    </row>
    <row r="1161" spans="1:4" x14ac:dyDescent="0.3">
      <c r="A1161" s="5" t="s">
        <v>38</v>
      </c>
      <c r="B1161" s="5" t="s">
        <v>39</v>
      </c>
      <c r="C1161" s="6">
        <v>2014</v>
      </c>
      <c r="D1161" s="7">
        <v>9448515</v>
      </c>
    </row>
    <row r="1162" spans="1:4" x14ac:dyDescent="0.3">
      <c r="A1162" s="2" t="s">
        <v>38</v>
      </c>
      <c r="B1162" s="2" t="s">
        <v>39</v>
      </c>
      <c r="C1162" s="3">
        <v>2015</v>
      </c>
      <c r="D1162" s="4">
        <v>9461076</v>
      </c>
    </row>
    <row r="1163" spans="1:4" x14ac:dyDescent="0.3">
      <c r="A1163" s="5" t="s">
        <v>38</v>
      </c>
      <c r="B1163" s="5" t="s">
        <v>39</v>
      </c>
      <c r="C1163" s="6">
        <v>2016</v>
      </c>
      <c r="D1163" s="7">
        <v>9469379</v>
      </c>
    </row>
    <row r="1164" spans="1:4" x14ac:dyDescent="0.3">
      <c r="A1164" s="2" t="s">
        <v>38</v>
      </c>
      <c r="B1164" s="2" t="s">
        <v>39</v>
      </c>
      <c r="C1164" s="3">
        <v>2017</v>
      </c>
      <c r="D1164" s="4">
        <v>9458989</v>
      </c>
    </row>
    <row r="1165" spans="1:4" x14ac:dyDescent="0.3">
      <c r="A1165" s="5" t="s">
        <v>38</v>
      </c>
      <c r="B1165" s="5" t="s">
        <v>39</v>
      </c>
      <c r="C1165" s="6">
        <v>2018</v>
      </c>
      <c r="D1165" s="7">
        <v>9438785</v>
      </c>
    </row>
    <row r="1166" spans="1:4" x14ac:dyDescent="0.3">
      <c r="A1166" s="2" t="s">
        <v>38</v>
      </c>
      <c r="B1166" s="2" t="s">
        <v>39</v>
      </c>
      <c r="C1166" s="3">
        <v>2019</v>
      </c>
      <c r="D1166" s="4">
        <v>9419758</v>
      </c>
    </row>
    <row r="1167" spans="1:4" x14ac:dyDescent="0.3">
      <c r="A1167" s="5" t="s">
        <v>38</v>
      </c>
      <c r="B1167" s="5" t="s">
        <v>39</v>
      </c>
      <c r="C1167" s="6">
        <v>2020</v>
      </c>
      <c r="D1167" s="7">
        <v>9379952</v>
      </c>
    </row>
    <row r="1168" spans="1:4" x14ac:dyDescent="0.3">
      <c r="A1168" s="2" t="s">
        <v>38</v>
      </c>
      <c r="B1168" s="2" t="s">
        <v>39</v>
      </c>
      <c r="C1168" s="3">
        <v>2021</v>
      </c>
      <c r="D1168" s="4">
        <v>9302585</v>
      </c>
    </row>
    <row r="1169" spans="1:4" x14ac:dyDescent="0.3">
      <c r="A1169" s="5" t="s">
        <v>38</v>
      </c>
      <c r="B1169" s="5" t="s">
        <v>39</v>
      </c>
      <c r="C1169" s="6">
        <v>2022</v>
      </c>
      <c r="D1169" s="7">
        <v>9228071</v>
      </c>
    </row>
    <row r="1170" spans="1:4" x14ac:dyDescent="0.3">
      <c r="A1170" s="2" t="s">
        <v>38</v>
      </c>
      <c r="B1170" s="2" t="s">
        <v>39</v>
      </c>
      <c r="C1170" s="3">
        <v>2023</v>
      </c>
      <c r="D1170" s="4">
        <v>9178298</v>
      </c>
    </row>
    <row r="1171" spans="1:4" x14ac:dyDescent="0.3">
      <c r="A1171" s="5" t="s">
        <v>38</v>
      </c>
      <c r="B1171" s="5" t="s">
        <v>39</v>
      </c>
      <c r="C1171" s="6">
        <v>2024</v>
      </c>
      <c r="D1171" s="7">
        <v>9133712</v>
      </c>
    </row>
    <row r="1172" spans="1:4" x14ac:dyDescent="0.3">
      <c r="A1172" s="2" t="s">
        <v>40</v>
      </c>
      <c r="B1172" s="2" t="s">
        <v>41</v>
      </c>
      <c r="C1172" s="3">
        <v>1960</v>
      </c>
      <c r="D1172" s="4">
        <v>9153489</v>
      </c>
    </row>
    <row r="1173" spans="1:4" x14ac:dyDescent="0.3">
      <c r="A1173" s="5" t="s">
        <v>40</v>
      </c>
      <c r="B1173" s="5" t="s">
        <v>41</v>
      </c>
      <c r="C1173" s="6">
        <v>1961</v>
      </c>
      <c r="D1173" s="7">
        <v>9183948</v>
      </c>
    </row>
    <row r="1174" spans="1:4" x14ac:dyDescent="0.3">
      <c r="A1174" s="2" t="s">
        <v>40</v>
      </c>
      <c r="B1174" s="2" t="s">
        <v>41</v>
      </c>
      <c r="C1174" s="3">
        <v>1962</v>
      </c>
      <c r="D1174" s="4">
        <v>9220578</v>
      </c>
    </row>
    <row r="1175" spans="1:4" x14ac:dyDescent="0.3">
      <c r="A1175" s="5" t="s">
        <v>40</v>
      </c>
      <c r="B1175" s="5" t="s">
        <v>41</v>
      </c>
      <c r="C1175" s="6">
        <v>1963</v>
      </c>
      <c r="D1175" s="7">
        <v>9289770</v>
      </c>
    </row>
    <row r="1176" spans="1:4" x14ac:dyDescent="0.3">
      <c r="A1176" s="2" t="s">
        <v>40</v>
      </c>
      <c r="B1176" s="2" t="s">
        <v>41</v>
      </c>
      <c r="C1176" s="3">
        <v>1964</v>
      </c>
      <c r="D1176" s="4">
        <v>9378113</v>
      </c>
    </row>
    <row r="1177" spans="1:4" x14ac:dyDescent="0.3">
      <c r="A1177" s="5" t="s">
        <v>40</v>
      </c>
      <c r="B1177" s="5" t="s">
        <v>41</v>
      </c>
      <c r="C1177" s="6">
        <v>1965</v>
      </c>
      <c r="D1177" s="7">
        <v>9463667</v>
      </c>
    </row>
    <row r="1178" spans="1:4" x14ac:dyDescent="0.3">
      <c r="A1178" s="2" t="s">
        <v>40</v>
      </c>
      <c r="B1178" s="2" t="s">
        <v>41</v>
      </c>
      <c r="C1178" s="3">
        <v>1966</v>
      </c>
      <c r="D1178" s="4">
        <v>9527807</v>
      </c>
    </row>
    <row r="1179" spans="1:4" x14ac:dyDescent="0.3">
      <c r="A1179" s="5" t="s">
        <v>40</v>
      </c>
      <c r="B1179" s="5" t="s">
        <v>41</v>
      </c>
      <c r="C1179" s="6">
        <v>1967</v>
      </c>
      <c r="D1179" s="7">
        <v>9580991</v>
      </c>
    </row>
    <row r="1180" spans="1:4" x14ac:dyDescent="0.3">
      <c r="A1180" s="2" t="s">
        <v>40</v>
      </c>
      <c r="B1180" s="2" t="s">
        <v>41</v>
      </c>
      <c r="C1180" s="3">
        <v>1968</v>
      </c>
      <c r="D1180" s="4">
        <v>9618756</v>
      </c>
    </row>
    <row r="1181" spans="1:4" x14ac:dyDescent="0.3">
      <c r="A1181" s="5" t="s">
        <v>40</v>
      </c>
      <c r="B1181" s="5" t="s">
        <v>41</v>
      </c>
      <c r="C1181" s="6">
        <v>1969</v>
      </c>
      <c r="D1181" s="7">
        <v>9646032</v>
      </c>
    </row>
    <row r="1182" spans="1:4" x14ac:dyDescent="0.3">
      <c r="A1182" s="2" t="s">
        <v>40</v>
      </c>
      <c r="B1182" s="2" t="s">
        <v>41</v>
      </c>
      <c r="C1182" s="3">
        <v>1970</v>
      </c>
      <c r="D1182" s="4">
        <v>9655549</v>
      </c>
    </row>
    <row r="1183" spans="1:4" x14ac:dyDescent="0.3">
      <c r="A1183" s="5" t="s">
        <v>40</v>
      </c>
      <c r="B1183" s="5" t="s">
        <v>41</v>
      </c>
      <c r="C1183" s="6">
        <v>1971</v>
      </c>
      <c r="D1183" s="7">
        <v>9673162</v>
      </c>
    </row>
    <row r="1184" spans="1:4" x14ac:dyDescent="0.3">
      <c r="A1184" s="2" t="s">
        <v>40</v>
      </c>
      <c r="B1184" s="2" t="s">
        <v>41</v>
      </c>
      <c r="C1184" s="3">
        <v>1972</v>
      </c>
      <c r="D1184" s="4">
        <v>9711115</v>
      </c>
    </row>
    <row r="1185" spans="1:4" x14ac:dyDescent="0.3">
      <c r="A1185" s="5" t="s">
        <v>40</v>
      </c>
      <c r="B1185" s="5" t="s">
        <v>41</v>
      </c>
      <c r="C1185" s="6">
        <v>1973</v>
      </c>
      <c r="D1185" s="7">
        <v>9741720</v>
      </c>
    </row>
    <row r="1186" spans="1:4" x14ac:dyDescent="0.3">
      <c r="A1186" s="2" t="s">
        <v>40</v>
      </c>
      <c r="B1186" s="2" t="s">
        <v>41</v>
      </c>
      <c r="C1186" s="3">
        <v>1974</v>
      </c>
      <c r="D1186" s="4">
        <v>9772419</v>
      </c>
    </row>
    <row r="1187" spans="1:4" x14ac:dyDescent="0.3">
      <c r="A1187" s="5" t="s">
        <v>40</v>
      </c>
      <c r="B1187" s="5" t="s">
        <v>41</v>
      </c>
      <c r="C1187" s="6">
        <v>1975</v>
      </c>
      <c r="D1187" s="7">
        <v>9800700</v>
      </c>
    </row>
    <row r="1188" spans="1:4" x14ac:dyDescent="0.3">
      <c r="A1188" s="2" t="s">
        <v>40</v>
      </c>
      <c r="B1188" s="2" t="s">
        <v>41</v>
      </c>
      <c r="C1188" s="3">
        <v>1976</v>
      </c>
      <c r="D1188" s="4">
        <v>9818227</v>
      </c>
    </row>
    <row r="1189" spans="1:4" x14ac:dyDescent="0.3">
      <c r="A1189" s="5" t="s">
        <v>40</v>
      </c>
      <c r="B1189" s="5" t="s">
        <v>41</v>
      </c>
      <c r="C1189" s="6">
        <v>1977</v>
      </c>
      <c r="D1189" s="7">
        <v>9830358</v>
      </c>
    </row>
    <row r="1190" spans="1:4" x14ac:dyDescent="0.3">
      <c r="A1190" s="2" t="s">
        <v>40</v>
      </c>
      <c r="B1190" s="2" t="s">
        <v>41</v>
      </c>
      <c r="C1190" s="3">
        <v>1978</v>
      </c>
      <c r="D1190" s="4">
        <v>9839534</v>
      </c>
    </row>
    <row r="1191" spans="1:4" x14ac:dyDescent="0.3">
      <c r="A1191" s="5" t="s">
        <v>40</v>
      </c>
      <c r="B1191" s="5" t="s">
        <v>41</v>
      </c>
      <c r="C1191" s="6">
        <v>1979</v>
      </c>
      <c r="D1191" s="7">
        <v>9848382</v>
      </c>
    </row>
    <row r="1192" spans="1:4" x14ac:dyDescent="0.3">
      <c r="A1192" s="2" t="s">
        <v>40</v>
      </c>
      <c r="B1192" s="2" t="s">
        <v>41</v>
      </c>
      <c r="C1192" s="3">
        <v>1980</v>
      </c>
      <c r="D1192" s="4">
        <v>9859242</v>
      </c>
    </row>
    <row r="1193" spans="1:4" x14ac:dyDescent="0.3">
      <c r="A1193" s="5" t="s">
        <v>40</v>
      </c>
      <c r="B1193" s="5" t="s">
        <v>41</v>
      </c>
      <c r="C1193" s="6">
        <v>1981</v>
      </c>
      <c r="D1193" s="7">
        <v>9858982</v>
      </c>
    </row>
    <row r="1194" spans="1:4" x14ac:dyDescent="0.3">
      <c r="A1194" s="2" t="s">
        <v>40</v>
      </c>
      <c r="B1194" s="2" t="s">
        <v>41</v>
      </c>
      <c r="C1194" s="3">
        <v>1982</v>
      </c>
      <c r="D1194" s="4">
        <v>9856303</v>
      </c>
    </row>
    <row r="1195" spans="1:4" x14ac:dyDescent="0.3">
      <c r="A1195" s="5" t="s">
        <v>40</v>
      </c>
      <c r="B1195" s="5" t="s">
        <v>41</v>
      </c>
      <c r="C1195" s="6">
        <v>1983</v>
      </c>
      <c r="D1195" s="7">
        <v>9855520</v>
      </c>
    </row>
    <row r="1196" spans="1:4" x14ac:dyDescent="0.3">
      <c r="A1196" s="2" t="s">
        <v>40</v>
      </c>
      <c r="B1196" s="2" t="s">
        <v>41</v>
      </c>
      <c r="C1196" s="3">
        <v>1984</v>
      </c>
      <c r="D1196" s="4">
        <v>9855372</v>
      </c>
    </row>
    <row r="1197" spans="1:4" x14ac:dyDescent="0.3">
      <c r="A1197" s="5" t="s">
        <v>40</v>
      </c>
      <c r="B1197" s="5" t="s">
        <v>41</v>
      </c>
      <c r="C1197" s="6">
        <v>1985</v>
      </c>
      <c r="D1197" s="7">
        <v>9858308</v>
      </c>
    </row>
    <row r="1198" spans="1:4" x14ac:dyDescent="0.3">
      <c r="A1198" s="2" t="s">
        <v>40</v>
      </c>
      <c r="B1198" s="2" t="s">
        <v>41</v>
      </c>
      <c r="C1198" s="3">
        <v>1986</v>
      </c>
      <c r="D1198" s="4">
        <v>9861823</v>
      </c>
    </row>
    <row r="1199" spans="1:4" x14ac:dyDescent="0.3">
      <c r="A1199" s="5" t="s">
        <v>40</v>
      </c>
      <c r="B1199" s="5" t="s">
        <v>41</v>
      </c>
      <c r="C1199" s="6">
        <v>1987</v>
      </c>
      <c r="D1199" s="7">
        <v>9870234</v>
      </c>
    </row>
    <row r="1200" spans="1:4" x14ac:dyDescent="0.3">
      <c r="A1200" s="2" t="s">
        <v>40</v>
      </c>
      <c r="B1200" s="2" t="s">
        <v>41</v>
      </c>
      <c r="C1200" s="3">
        <v>1988</v>
      </c>
      <c r="D1200" s="4">
        <v>9901664</v>
      </c>
    </row>
    <row r="1201" spans="1:4" x14ac:dyDescent="0.3">
      <c r="A1201" s="5" t="s">
        <v>40</v>
      </c>
      <c r="B1201" s="5" t="s">
        <v>41</v>
      </c>
      <c r="C1201" s="6">
        <v>1989</v>
      </c>
      <c r="D1201" s="7">
        <v>9937697</v>
      </c>
    </row>
    <row r="1202" spans="1:4" x14ac:dyDescent="0.3">
      <c r="A1202" s="2" t="s">
        <v>40</v>
      </c>
      <c r="B1202" s="2" t="s">
        <v>41</v>
      </c>
      <c r="C1202" s="3">
        <v>1990</v>
      </c>
      <c r="D1202" s="4">
        <v>9967379</v>
      </c>
    </row>
    <row r="1203" spans="1:4" x14ac:dyDescent="0.3">
      <c r="A1203" s="5" t="s">
        <v>40</v>
      </c>
      <c r="B1203" s="5" t="s">
        <v>41</v>
      </c>
      <c r="C1203" s="6">
        <v>1991</v>
      </c>
      <c r="D1203" s="7">
        <v>10004486</v>
      </c>
    </row>
    <row r="1204" spans="1:4" x14ac:dyDescent="0.3">
      <c r="A1204" s="2" t="s">
        <v>40</v>
      </c>
      <c r="B1204" s="2" t="s">
        <v>41</v>
      </c>
      <c r="C1204" s="3">
        <v>1992</v>
      </c>
      <c r="D1204" s="4">
        <v>10045158</v>
      </c>
    </row>
    <row r="1205" spans="1:4" x14ac:dyDescent="0.3">
      <c r="A1205" s="5" t="s">
        <v>40</v>
      </c>
      <c r="B1205" s="5" t="s">
        <v>41</v>
      </c>
      <c r="C1205" s="6">
        <v>1993</v>
      </c>
      <c r="D1205" s="7">
        <v>10084475</v>
      </c>
    </row>
    <row r="1206" spans="1:4" x14ac:dyDescent="0.3">
      <c r="A1206" s="2" t="s">
        <v>40</v>
      </c>
      <c r="B1206" s="2" t="s">
        <v>41</v>
      </c>
      <c r="C1206" s="3">
        <v>1994</v>
      </c>
      <c r="D1206" s="4">
        <v>10115603</v>
      </c>
    </row>
    <row r="1207" spans="1:4" x14ac:dyDescent="0.3">
      <c r="A1207" s="5" t="s">
        <v>40</v>
      </c>
      <c r="B1207" s="5" t="s">
        <v>41</v>
      </c>
      <c r="C1207" s="6">
        <v>1995</v>
      </c>
      <c r="D1207" s="7">
        <v>10136811</v>
      </c>
    </row>
    <row r="1208" spans="1:4" x14ac:dyDescent="0.3">
      <c r="A1208" s="2" t="s">
        <v>40</v>
      </c>
      <c r="B1208" s="2" t="s">
        <v>41</v>
      </c>
      <c r="C1208" s="3">
        <v>1996</v>
      </c>
      <c r="D1208" s="4">
        <v>10156637</v>
      </c>
    </row>
    <row r="1209" spans="1:4" x14ac:dyDescent="0.3">
      <c r="A1209" s="5" t="s">
        <v>40</v>
      </c>
      <c r="B1209" s="5" t="s">
        <v>41</v>
      </c>
      <c r="C1209" s="6">
        <v>1997</v>
      </c>
      <c r="D1209" s="7">
        <v>10181245</v>
      </c>
    </row>
    <row r="1210" spans="1:4" x14ac:dyDescent="0.3">
      <c r="A1210" s="2" t="s">
        <v>40</v>
      </c>
      <c r="B1210" s="2" t="s">
        <v>41</v>
      </c>
      <c r="C1210" s="3">
        <v>1998</v>
      </c>
      <c r="D1210" s="4">
        <v>10203008</v>
      </c>
    </row>
    <row r="1211" spans="1:4" x14ac:dyDescent="0.3">
      <c r="A1211" s="5" t="s">
        <v>40</v>
      </c>
      <c r="B1211" s="5" t="s">
        <v>41</v>
      </c>
      <c r="C1211" s="6">
        <v>1999</v>
      </c>
      <c r="D1211" s="7">
        <v>10226419</v>
      </c>
    </row>
    <row r="1212" spans="1:4" x14ac:dyDescent="0.3">
      <c r="A1212" s="2" t="s">
        <v>40</v>
      </c>
      <c r="B1212" s="2" t="s">
        <v>41</v>
      </c>
      <c r="C1212" s="3">
        <v>2000</v>
      </c>
      <c r="D1212" s="4">
        <v>10251250</v>
      </c>
    </row>
    <row r="1213" spans="1:4" x14ac:dyDescent="0.3">
      <c r="A1213" s="5" t="s">
        <v>40</v>
      </c>
      <c r="B1213" s="5" t="s">
        <v>41</v>
      </c>
      <c r="C1213" s="6">
        <v>2001</v>
      </c>
      <c r="D1213" s="7">
        <v>10286570</v>
      </c>
    </row>
    <row r="1214" spans="1:4" x14ac:dyDescent="0.3">
      <c r="A1214" s="2" t="s">
        <v>40</v>
      </c>
      <c r="B1214" s="2" t="s">
        <v>41</v>
      </c>
      <c r="C1214" s="3">
        <v>2002</v>
      </c>
      <c r="D1214" s="4">
        <v>10332785</v>
      </c>
    </row>
    <row r="1215" spans="1:4" x14ac:dyDescent="0.3">
      <c r="A1215" s="5" t="s">
        <v>40</v>
      </c>
      <c r="B1215" s="5" t="s">
        <v>41</v>
      </c>
      <c r="C1215" s="6">
        <v>2003</v>
      </c>
      <c r="D1215" s="7">
        <v>10376133</v>
      </c>
    </row>
    <row r="1216" spans="1:4" x14ac:dyDescent="0.3">
      <c r="A1216" s="2" t="s">
        <v>40</v>
      </c>
      <c r="B1216" s="2" t="s">
        <v>41</v>
      </c>
      <c r="C1216" s="3">
        <v>2004</v>
      </c>
      <c r="D1216" s="4">
        <v>10421137</v>
      </c>
    </row>
    <row r="1217" spans="1:4" x14ac:dyDescent="0.3">
      <c r="A1217" s="5" t="s">
        <v>40</v>
      </c>
      <c r="B1217" s="5" t="s">
        <v>41</v>
      </c>
      <c r="C1217" s="6">
        <v>2005</v>
      </c>
      <c r="D1217" s="7">
        <v>10478617</v>
      </c>
    </row>
    <row r="1218" spans="1:4" x14ac:dyDescent="0.3">
      <c r="A1218" s="2" t="s">
        <v>40</v>
      </c>
      <c r="B1218" s="2" t="s">
        <v>41</v>
      </c>
      <c r="C1218" s="3">
        <v>2006</v>
      </c>
      <c r="D1218" s="4">
        <v>10547958</v>
      </c>
    </row>
    <row r="1219" spans="1:4" x14ac:dyDescent="0.3">
      <c r="A1219" s="5" t="s">
        <v>40</v>
      </c>
      <c r="B1219" s="5" t="s">
        <v>41</v>
      </c>
      <c r="C1219" s="6">
        <v>2007</v>
      </c>
      <c r="D1219" s="7">
        <v>10625700</v>
      </c>
    </row>
    <row r="1220" spans="1:4" x14ac:dyDescent="0.3">
      <c r="A1220" s="2" t="s">
        <v>40</v>
      </c>
      <c r="B1220" s="2" t="s">
        <v>41</v>
      </c>
      <c r="C1220" s="3">
        <v>2008</v>
      </c>
      <c r="D1220" s="4">
        <v>10709973</v>
      </c>
    </row>
    <row r="1221" spans="1:4" x14ac:dyDescent="0.3">
      <c r="A1221" s="5" t="s">
        <v>40</v>
      </c>
      <c r="B1221" s="5" t="s">
        <v>41</v>
      </c>
      <c r="C1221" s="6">
        <v>2009</v>
      </c>
      <c r="D1221" s="7">
        <v>10796493</v>
      </c>
    </row>
    <row r="1222" spans="1:4" x14ac:dyDescent="0.3">
      <c r="A1222" s="2" t="s">
        <v>40</v>
      </c>
      <c r="B1222" s="2" t="s">
        <v>41</v>
      </c>
      <c r="C1222" s="3">
        <v>2010</v>
      </c>
      <c r="D1222" s="4">
        <v>10895586</v>
      </c>
    </row>
    <row r="1223" spans="1:4" x14ac:dyDescent="0.3">
      <c r="A1223" s="5" t="s">
        <v>40</v>
      </c>
      <c r="B1223" s="5" t="s">
        <v>41</v>
      </c>
      <c r="C1223" s="6">
        <v>2011</v>
      </c>
      <c r="D1223" s="7">
        <v>11038264</v>
      </c>
    </row>
    <row r="1224" spans="1:4" x14ac:dyDescent="0.3">
      <c r="A1224" s="2" t="s">
        <v>40</v>
      </c>
      <c r="B1224" s="2" t="s">
        <v>41</v>
      </c>
      <c r="C1224" s="3">
        <v>2012</v>
      </c>
      <c r="D1224" s="4">
        <v>11106932</v>
      </c>
    </row>
    <row r="1225" spans="1:4" x14ac:dyDescent="0.3">
      <c r="A1225" s="5" t="s">
        <v>40</v>
      </c>
      <c r="B1225" s="5" t="s">
        <v>41</v>
      </c>
      <c r="C1225" s="6">
        <v>2013</v>
      </c>
      <c r="D1225" s="7">
        <v>11159407</v>
      </c>
    </row>
    <row r="1226" spans="1:4" x14ac:dyDescent="0.3">
      <c r="A1226" s="2" t="s">
        <v>40</v>
      </c>
      <c r="B1226" s="2" t="s">
        <v>41</v>
      </c>
      <c r="C1226" s="3">
        <v>2014</v>
      </c>
      <c r="D1226" s="4">
        <v>11209057</v>
      </c>
    </row>
    <row r="1227" spans="1:4" x14ac:dyDescent="0.3">
      <c r="A1227" s="5" t="s">
        <v>40</v>
      </c>
      <c r="B1227" s="5" t="s">
        <v>41</v>
      </c>
      <c r="C1227" s="6">
        <v>2015</v>
      </c>
      <c r="D1227" s="7">
        <v>11274196</v>
      </c>
    </row>
    <row r="1228" spans="1:4" x14ac:dyDescent="0.3">
      <c r="A1228" s="2" t="s">
        <v>40</v>
      </c>
      <c r="B1228" s="2" t="s">
        <v>41</v>
      </c>
      <c r="C1228" s="3">
        <v>2016</v>
      </c>
      <c r="D1228" s="4">
        <v>11331422</v>
      </c>
    </row>
    <row r="1229" spans="1:4" x14ac:dyDescent="0.3">
      <c r="A1229" s="5" t="s">
        <v>40</v>
      </c>
      <c r="B1229" s="5" t="s">
        <v>41</v>
      </c>
      <c r="C1229" s="6">
        <v>2017</v>
      </c>
      <c r="D1229" s="7">
        <v>11375158</v>
      </c>
    </row>
    <row r="1230" spans="1:4" x14ac:dyDescent="0.3">
      <c r="A1230" s="2" t="s">
        <v>40</v>
      </c>
      <c r="B1230" s="2" t="s">
        <v>41</v>
      </c>
      <c r="C1230" s="3">
        <v>2018</v>
      </c>
      <c r="D1230" s="4">
        <v>11427054</v>
      </c>
    </row>
    <row r="1231" spans="1:4" x14ac:dyDescent="0.3">
      <c r="A1231" s="5" t="s">
        <v>40</v>
      </c>
      <c r="B1231" s="5" t="s">
        <v>41</v>
      </c>
      <c r="C1231" s="6">
        <v>2019</v>
      </c>
      <c r="D1231" s="7">
        <v>11488980</v>
      </c>
    </row>
    <row r="1232" spans="1:4" x14ac:dyDescent="0.3">
      <c r="A1232" s="2" t="s">
        <v>40</v>
      </c>
      <c r="B1232" s="2" t="s">
        <v>41</v>
      </c>
      <c r="C1232" s="3">
        <v>2020</v>
      </c>
      <c r="D1232" s="4">
        <v>11538604</v>
      </c>
    </row>
    <row r="1233" spans="1:4" x14ac:dyDescent="0.3">
      <c r="A1233" s="5" t="s">
        <v>40</v>
      </c>
      <c r="B1233" s="5" t="s">
        <v>41</v>
      </c>
      <c r="C1233" s="6">
        <v>2021</v>
      </c>
      <c r="D1233" s="7">
        <v>11586195</v>
      </c>
    </row>
    <row r="1234" spans="1:4" x14ac:dyDescent="0.3">
      <c r="A1234" s="2" t="s">
        <v>40</v>
      </c>
      <c r="B1234" s="2" t="s">
        <v>41</v>
      </c>
      <c r="C1234" s="3">
        <v>2022</v>
      </c>
      <c r="D1234" s="4">
        <v>11680210</v>
      </c>
    </row>
    <row r="1235" spans="1:4" x14ac:dyDescent="0.3">
      <c r="A1235" s="5" t="s">
        <v>40</v>
      </c>
      <c r="B1235" s="5" t="s">
        <v>41</v>
      </c>
      <c r="C1235" s="6">
        <v>2023</v>
      </c>
      <c r="D1235" s="7">
        <v>11787423</v>
      </c>
    </row>
    <row r="1236" spans="1:4" x14ac:dyDescent="0.3">
      <c r="A1236" s="2" t="s">
        <v>40</v>
      </c>
      <c r="B1236" s="2" t="s">
        <v>41</v>
      </c>
      <c r="C1236" s="3">
        <v>2024</v>
      </c>
      <c r="D1236" s="4">
        <v>11876844</v>
      </c>
    </row>
    <row r="1237" spans="1:4" x14ac:dyDescent="0.3">
      <c r="A1237" s="5" t="s">
        <v>42</v>
      </c>
      <c r="B1237" s="5" t="s">
        <v>43</v>
      </c>
      <c r="C1237" s="6">
        <v>1960</v>
      </c>
      <c r="D1237" s="7">
        <v>91318</v>
      </c>
    </row>
    <row r="1238" spans="1:4" x14ac:dyDescent="0.3">
      <c r="A1238" s="2" t="s">
        <v>42</v>
      </c>
      <c r="B1238" s="2" t="s">
        <v>43</v>
      </c>
      <c r="C1238" s="3">
        <v>1961</v>
      </c>
      <c r="D1238" s="4">
        <v>93632</v>
      </c>
    </row>
    <row r="1239" spans="1:4" x14ac:dyDescent="0.3">
      <c r="A1239" s="5" t="s">
        <v>42</v>
      </c>
      <c r="B1239" s="5" t="s">
        <v>43</v>
      </c>
      <c r="C1239" s="6">
        <v>1962</v>
      </c>
      <c r="D1239" s="7">
        <v>96042</v>
      </c>
    </row>
    <row r="1240" spans="1:4" x14ac:dyDescent="0.3">
      <c r="A1240" s="2" t="s">
        <v>42</v>
      </c>
      <c r="B1240" s="2" t="s">
        <v>43</v>
      </c>
      <c r="C1240" s="3">
        <v>1963</v>
      </c>
      <c r="D1240" s="4">
        <v>98704</v>
      </c>
    </row>
    <row r="1241" spans="1:4" x14ac:dyDescent="0.3">
      <c r="A1241" s="5" t="s">
        <v>42</v>
      </c>
      <c r="B1241" s="5" t="s">
        <v>43</v>
      </c>
      <c r="C1241" s="6">
        <v>1964</v>
      </c>
      <c r="D1241" s="7">
        <v>101603</v>
      </c>
    </row>
    <row r="1242" spans="1:4" x14ac:dyDescent="0.3">
      <c r="A1242" s="2" t="s">
        <v>42</v>
      </c>
      <c r="B1242" s="2" t="s">
        <v>43</v>
      </c>
      <c r="C1242" s="3">
        <v>1965</v>
      </c>
      <c r="D1242" s="4">
        <v>104675</v>
      </c>
    </row>
    <row r="1243" spans="1:4" x14ac:dyDescent="0.3">
      <c r="A1243" s="5" t="s">
        <v>42</v>
      </c>
      <c r="B1243" s="5" t="s">
        <v>43</v>
      </c>
      <c r="C1243" s="6">
        <v>1966</v>
      </c>
      <c r="D1243" s="7">
        <v>107906</v>
      </c>
    </row>
    <row r="1244" spans="1:4" x14ac:dyDescent="0.3">
      <c r="A1244" s="2" t="s">
        <v>42</v>
      </c>
      <c r="B1244" s="2" t="s">
        <v>43</v>
      </c>
      <c r="C1244" s="3">
        <v>1967</v>
      </c>
      <c r="D1244" s="4">
        <v>111272</v>
      </c>
    </row>
    <row r="1245" spans="1:4" x14ac:dyDescent="0.3">
      <c r="A1245" s="5" t="s">
        <v>42</v>
      </c>
      <c r="B1245" s="5" t="s">
        <v>43</v>
      </c>
      <c r="C1245" s="6">
        <v>1968</v>
      </c>
      <c r="D1245" s="7">
        <v>114713</v>
      </c>
    </row>
    <row r="1246" spans="1:4" x14ac:dyDescent="0.3">
      <c r="A1246" s="2" t="s">
        <v>42</v>
      </c>
      <c r="B1246" s="2" t="s">
        <v>43</v>
      </c>
      <c r="C1246" s="3">
        <v>1969</v>
      </c>
      <c r="D1246" s="4">
        <v>118040</v>
      </c>
    </row>
    <row r="1247" spans="1:4" x14ac:dyDescent="0.3">
      <c r="A1247" s="5" t="s">
        <v>42</v>
      </c>
      <c r="B1247" s="5" t="s">
        <v>43</v>
      </c>
      <c r="C1247" s="6">
        <v>1970</v>
      </c>
      <c r="D1247" s="7">
        <v>120736</v>
      </c>
    </row>
    <row r="1248" spans="1:4" x14ac:dyDescent="0.3">
      <c r="A1248" s="2" t="s">
        <v>42</v>
      </c>
      <c r="B1248" s="2" t="s">
        <v>43</v>
      </c>
      <c r="C1248" s="3">
        <v>1971</v>
      </c>
      <c r="D1248" s="4">
        <v>122805</v>
      </c>
    </row>
    <row r="1249" spans="1:4" x14ac:dyDescent="0.3">
      <c r="A1249" s="5" t="s">
        <v>42</v>
      </c>
      <c r="B1249" s="5" t="s">
        <v>43</v>
      </c>
      <c r="C1249" s="6">
        <v>1972</v>
      </c>
      <c r="D1249" s="7">
        <v>124676</v>
      </c>
    </row>
    <row r="1250" spans="1:4" x14ac:dyDescent="0.3">
      <c r="A1250" s="2" t="s">
        <v>42</v>
      </c>
      <c r="B1250" s="2" t="s">
        <v>43</v>
      </c>
      <c r="C1250" s="3">
        <v>1973</v>
      </c>
      <c r="D1250" s="4">
        <v>126445</v>
      </c>
    </row>
    <row r="1251" spans="1:4" x14ac:dyDescent="0.3">
      <c r="A1251" s="5" t="s">
        <v>42</v>
      </c>
      <c r="B1251" s="5" t="s">
        <v>43</v>
      </c>
      <c r="C1251" s="6">
        <v>1974</v>
      </c>
      <c r="D1251" s="7">
        <v>128185</v>
      </c>
    </row>
    <row r="1252" spans="1:4" x14ac:dyDescent="0.3">
      <c r="A1252" s="2" t="s">
        <v>42</v>
      </c>
      <c r="B1252" s="2" t="s">
        <v>43</v>
      </c>
      <c r="C1252" s="3">
        <v>1975</v>
      </c>
      <c r="D1252" s="4">
        <v>130387</v>
      </c>
    </row>
    <row r="1253" spans="1:4" x14ac:dyDescent="0.3">
      <c r="A1253" s="5" t="s">
        <v>42</v>
      </c>
      <c r="B1253" s="5" t="s">
        <v>43</v>
      </c>
      <c r="C1253" s="6">
        <v>1976</v>
      </c>
      <c r="D1253" s="7">
        <v>133099</v>
      </c>
    </row>
    <row r="1254" spans="1:4" x14ac:dyDescent="0.3">
      <c r="A1254" s="2" t="s">
        <v>42</v>
      </c>
      <c r="B1254" s="2" t="s">
        <v>43</v>
      </c>
      <c r="C1254" s="3">
        <v>1977</v>
      </c>
      <c r="D1254" s="4">
        <v>135887</v>
      </c>
    </row>
    <row r="1255" spans="1:4" x14ac:dyDescent="0.3">
      <c r="A1255" s="5" t="s">
        <v>42</v>
      </c>
      <c r="B1255" s="5" t="s">
        <v>43</v>
      </c>
      <c r="C1255" s="6">
        <v>1978</v>
      </c>
      <c r="D1255" s="7">
        <v>138713</v>
      </c>
    </row>
    <row r="1256" spans="1:4" x14ac:dyDescent="0.3">
      <c r="A1256" s="2" t="s">
        <v>42</v>
      </c>
      <c r="B1256" s="2" t="s">
        <v>43</v>
      </c>
      <c r="C1256" s="3">
        <v>1979</v>
      </c>
      <c r="D1256" s="4">
        <v>141678</v>
      </c>
    </row>
    <row r="1257" spans="1:4" x14ac:dyDescent="0.3">
      <c r="A1257" s="5" t="s">
        <v>42</v>
      </c>
      <c r="B1257" s="5" t="s">
        <v>43</v>
      </c>
      <c r="C1257" s="6">
        <v>1980</v>
      </c>
      <c r="D1257" s="7">
        <v>145062</v>
      </c>
    </row>
    <row r="1258" spans="1:4" x14ac:dyDescent="0.3">
      <c r="A1258" s="2" t="s">
        <v>42</v>
      </c>
      <c r="B1258" s="2" t="s">
        <v>43</v>
      </c>
      <c r="C1258" s="3">
        <v>1981</v>
      </c>
      <c r="D1258" s="4">
        <v>148786</v>
      </c>
    </row>
    <row r="1259" spans="1:4" x14ac:dyDescent="0.3">
      <c r="A1259" s="5" t="s">
        <v>42</v>
      </c>
      <c r="B1259" s="5" t="s">
        <v>43</v>
      </c>
      <c r="C1259" s="6">
        <v>1982</v>
      </c>
      <c r="D1259" s="7">
        <v>152548</v>
      </c>
    </row>
    <row r="1260" spans="1:4" x14ac:dyDescent="0.3">
      <c r="A1260" s="2" t="s">
        <v>42</v>
      </c>
      <c r="B1260" s="2" t="s">
        <v>43</v>
      </c>
      <c r="C1260" s="3">
        <v>1983</v>
      </c>
      <c r="D1260" s="4">
        <v>156297</v>
      </c>
    </row>
    <row r="1261" spans="1:4" x14ac:dyDescent="0.3">
      <c r="A1261" s="5" t="s">
        <v>42</v>
      </c>
      <c r="B1261" s="5" t="s">
        <v>43</v>
      </c>
      <c r="C1261" s="6">
        <v>1984</v>
      </c>
      <c r="D1261" s="7">
        <v>160044</v>
      </c>
    </row>
    <row r="1262" spans="1:4" x14ac:dyDescent="0.3">
      <c r="A1262" s="2" t="s">
        <v>42</v>
      </c>
      <c r="B1262" s="2" t="s">
        <v>43</v>
      </c>
      <c r="C1262" s="3">
        <v>1985</v>
      </c>
      <c r="D1262" s="4">
        <v>163796</v>
      </c>
    </row>
    <row r="1263" spans="1:4" x14ac:dyDescent="0.3">
      <c r="A1263" s="5" t="s">
        <v>42</v>
      </c>
      <c r="B1263" s="5" t="s">
        <v>43</v>
      </c>
      <c r="C1263" s="6">
        <v>1986</v>
      </c>
      <c r="D1263" s="7">
        <v>167554</v>
      </c>
    </row>
    <row r="1264" spans="1:4" x14ac:dyDescent="0.3">
      <c r="A1264" s="2" t="s">
        <v>42</v>
      </c>
      <c r="B1264" s="2" t="s">
        <v>43</v>
      </c>
      <c r="C1264" s="3">
        <v>1987</v>
      </c>
      <c r="D1264" s="4">
        <v>171338</v>
      </c>
    </row>
    <row r="1265" spans="1:4" x14ac:dyDescent="0.3">
      <c r="A1265" s="5" t="s">
        <v>42</v>
      </c>
      <c r="B1265" s="5" t="s">
        <v>43</v>
      </c>
      <c r="C1265" s="6">
        <v>1988</v>
      </c>
      <c r="D1265" s="7">
        <v>175180</v>
      </c>
    </row>
    <row r="1266" spans="1:4" x14ac:dyDescent="0.3">
      <c r="A1266" s="2" t="s">
        <v>42</v>
      </c>
      <c r="B1266" s="2" t="s">
        <v>43</v>
      </c>
      <c r="C1266" s="3">
        <v>1989</v>
      </c>
      <c r="D1266" s="4">
        <v>179107</v>
      </c>
    </row>
    <row r="1267" spans="1:4" x14ac:dyDescent="0.3">
      <c r="A1267" s="5" t="s">
        <v>42</v>
      </c>
      <c r="B1267" s="5" t="s">
        <v>43</v>
      </c>
      <c r="C1267" s="6">
        <v>1990</v>
      </c>
      <c r="D1267" s="7">
        <v>183076</v>
      </c>
    </row>
    <row r="1268" spans="1:4" x14ac:dyDescent="0.3">
      <c r="A1268" s="2" t="s">
        <v>42</v>
      </c>
      <c r="B1268" s="2" t="s">
        <v>43</v>
      </c>
      <c r="C1268" s="3">
        <v>1991</v>
      </c>
      <c r="D1268" s="4">
        <v>187040</v>
      </c>
    </row>
    <row r="1269" spans="1:4" x14ac:dyDescent="0.3">
      <c r="A1269" s="5" t="s">
        <v>42</v>
      </c>
      <c r="B1269" s="5" t="s">
        <v>43</v>
      </c>
      <c r="C1269" s="6">
        <v>1992</v>
      </c>
      <c r="D1269" s="7">
        <v>190983</v>
      </c>
    </row>
    <row r="1270" spans="1:4" x14ac:dyDescent="0.3">
      <c r="A1270" s="2" t="s">
        <v>42</v>
      </c>
      <c r="B1270" s="2" t="s">
        <v>43</v>
      </c>
      <c r="C1270" s="3">
        <v>1993</v>
      </c>
      <c r="D1270" s="4">
        <v>194902</v>
      </c>
    </row>
    <row r="1271" spans="1:4" x14ac:dyDescent="0.3">
      <c r="A1271" s="5" t="s">
        <v>42</v>
      </c>
      <c r="B1271" s="5" t="s">
        <v>43</v>
      </c>
      <c r="C1271" s="6">
        <v>1994</v>
      </c>
      <c r="D1271" s="7">
        <v>199097</v>
      </c>
    </row>
    <row r="1272" spans="1:4" x14ac:dyDescent="0.3">
      <c r="A1272" s="2" t="s">
        <v>42</v>
      </c>
      <c r="B1272" s="2" t="s">
        <v>43</v>
      </c>
      <c r="C1272" s="3">
        <v>1995</v>
      </c>
      <c r="D1272" s="4">
        <v>204146</v>
      </c>
    </row>
    <row r="1273" spans="1:4" x14ac:dyDescent="0.3">
      <c r="A1273" s="5" t="s">
        <v>42</v>
      </c>
      <c r="B1273" s="5" t="s">
        <v>43</v>
      </c>
      <c r="C1273" s="6">
        <v>1996</v>
      </c>
      <c r="D1273" s="7">
        <v>210310</v>
      </c>
    </row>
    <row r="1274" spans="1:4" x14ac:dyDescent="0.3">
      <c r="A1274" s="2" t="s">
        <v>42</v>
      </c>
      <c r="B1274" s="2" t="s">
        <v>43</v>
      </c>
      <c r="C1274" s="3">
        <v>1997</v>
      </c>
      <c r="D1274" s="4">
        <v>217446</v>
      </c>
    </row>
    <row r="1275" spans="1:4" x14ac:dyDescent="0.3">
      <c r="A1275" s="5" t="s">
        <v>42</v>
      </c>
      <c r="B1275" s="5" t="s">
        <v>43</v>
      </c>
      <c r="C1275" s="6">
        <v>1998</v>
      </c>
      <c r="D1275" s="7">
        <v>225173</v>
      </c>
    </row>
    <row r="1276" spans="1:4" x14ac:dyDescent="0.3">
      <c r="A1276" s="2" t="s">
        <v>42</v>
      </c>
      <c r="B1276" s="2" t="s">
        <v>43</v>
      </c>
      <c r="C1276" s="3">
        <v>1999</v>
      </c>
      <c r="D1276" s="4">
        <v>233059</v>
      </c>
    </row>
    <row r="1277" spans="1:4" x14ac:dyDescent="0.3">
      <c r="A1277" s="5" t="s">
        <v>42</v>
      </c>
      <c r="B1277" s="5" t="s">
        <v>43</v>
      </c>
      <c r="C1277" s="6">
        <v>2000</v>
      </c>
      <c r="D1277" s="7">
        <v>240799</v>
      </c>
    </row>
    <row r="1278" spans="1:4" x14ac:dyDescent="0.3">
      <c r="A1278" s="2" t="s">
        <v>42</v>
      </c>
      <c r="B1278" s="2" t="s">
        <v>43</v>
      </c>
      <c r="C1278" s="3">
        <v>2001</v>
      </c>
      <c r="D1278" s="4">
        <v>248379</v>
      </c>
    </row>
    <row r="1279" spans="1:4" x14ac:dyDescent="0.3">
      <c r="A1279" s="5" t="s">
        <v>42</v>
      </c>
      <c r="B1279" s="5" t="s">
        <v>43</v>
      </c>
      <c r="C1279" s="6">
        <v>2002</v>
      </c>
      <c r="D1279" s="7">
        <v>256009</v>
      </c>
    </row>
    <row r="1280" spans="1:4" x14ac:dyDescent="0.3">
      <c r="A1280" s="2" t="s">
        <v>42</v>
      </c>
      <c r="B1280" s="2" t="s">
        <v>43</v>
      </c>
      <c r="C1280" s="3">
        <v>2003</v>
      </c>
      <c r="D1280" s="4">
        <v>263780</v>
      </c>
    </row>
    <row r="1281" spans="1:4" x14ac:dyDescent="0.3">
      <c r="A1281" s="5" t="s">
        <v>42</v>
      </c>
      <c r="B1281" s="5" t="s">
        <v>43</v>
      </c>
      <c r="C1281" s="6">
        <v>2004</v>
      </c>
      <c r="D1281" s="7">
        <v>271688</v>
      </c>
    </row>
    <row r="1282" spans="1:4" x14ac:dyDescent="0.3">
      <c r="A1282" s="2" t="s">
        <v>42</v>
      </c>
      <c r="B1282" s="2" t="s">
        <v>43</v>
      </c>
      <c r="C1282" s="3">
        <v>2005</v>
      </c>
      <c r="D1282" s="4">
        <v>279731</v>
      </c>
    </row>
    <row r="1283" spans="1:4" x14ac:dyDescent="0.3">
      <c r="A1283" s="5" t="s">
        <v>42</v>
      </c>
      <c r="B1283" s="5" t="s">
        <v>43</v>
      </c>
      <c r="C1283" s="6">
        <v>2006</v>
      </c>
      <c r="D1283" s="7">
        <v>287878</v>
      </c>
    </row>
    <row r="1284" spans="1:4" x14ac:dyDescent="0.3">
      <c r="A1284" s="2" t="s">
        <v>42</v>
      </c>
      <c r="B1284" s="2" t="s">
        <v>43</v>
      </c>
      <c r="C1284" s="3">
        <v>2007</v>
      </c>
      <c r="D1284" s="4">
        <v>296100</v>
      </c>
    </row>
    <row r="1285" spans="1:4" x14ac:dyDescent="0.3">
      <c r="A1285" s="5" t="s">
        <v>42</v>
      </c>
      <c r="B1285" s="5" t="s">
        <v>43</v>
      </c>
      <c r="C1285" s="6">
        <v>2008</v>
      </c>
      <c r="D1285" s="7">
        <v>304361</v>
      </c>
    </row>
    <row r="1286" spans="1:4" x14ac:dyDescent="0.3">
      <c r="A1286" s="2" t="s">
        <v>42</v>
      </c>
      <c r="B1286" s="2" t="s">
        <v>43</v>
      </c>
      <c r="C1286" s="3">
        <v>2009</v>
      </c>
      <c r="D1286" s="4">
        <v>312614</v>
      </c>
    </row>
    <row r="1287" spans="1:4" x14ac:dyDescent="0.3">
      <c r="A1287" s="5" t="s">
        <v>42</v>
      </c>
      <c r="B1287" s="5" t="s">
        <v>43</v>
      </c>
      <c r="C1287" s="6">
        <v>2010</v>
      </c>
      <c r="D1287" s="7">
        <v>320245</v>
      </c>
    </row>
    <row r="1288" spans="1:4" x14ac:dyDescent="0.3">
      <c r="A1288" s="2" t="s">
        <v>42</v>
      </c>
      <c r="B1288" s="2" t="s">
        <v>43</v>
      </c>
      <c r="C1288" s="3">
        <v>2011</v>
      </c>
      <c r="D1288" s="4">
        <v>327298</v>
      </c>
    </row>
    <row r="1289" spans="1:4" x14ac:dyDescent="0.3">
      <c r="A1289" s="5" t="s">
        <v>42</v>
      </c>
      <c r="B1289" s="5" t="s">
        <v>43</v>
      </c>
      <c r="C1289" s="6">
        <v>2012</v>
      </c>
      <c r="D1289" s="7">
        <v>334414</v>
      </c>
    </row>
    <row r="1290" spans="1:4" x14ac:dyDescent="0.3">
      <c r="A1290" s="2" t="s">
        <v>42</v>
      </c>
      <c r="B1290" s="2" t="s">
        <v>43</v>
      </c>
      <c r="C1290" s="3">
        <v>2013</v>
      </c>
      <c r="D1290" s="4">
        <v>341627</v>
      </c>
    </row>
    <row r="1291" spans="1:4" x14ac:dyDescent="0.3">
      <c r="A1291" s="5" t="s">
        <v>42</v>
      </c>
      <c r="B1291" s="5" t="s">
        <v>43</v>
      </c>
      <c r="C1291" s="6">
        <v>2014</v>
      </c>
      <c r="D1291" s="7">
        <v>348923</v>
      </c>
    </row>
    <row r="1292" spans="1:4" x14ac:dyDescent="0.3">
      <c r="A1292" s="2" t="s">
        <v>42</v>
      </c>
      <c r="B1292" s="2" t="s">
        <v>43</v>
      </c>
      <c r="C1292" s="3">
        <v>2015</v>
      </c>
      <c r="D1292" s="4">
        <v>356333</v>
      </c>
    </row>
    <row r="1293" spans="1:4" x14ac:dyDescent="0.3">
      <c r="A1293" s="5" t="s">
        <v>42</v>
      </c>
      <c r="B1293" s="5" t="s">
        <v>43</v>
      </c>
      <c r="C1293" s="6">
        <v>2016</v>
      </c>
      <c r="D1293" s="7">
        <v>364705</v>
      </c>
    </row>
    <row r="1294" spans="1:4" x14ac:dyDescent="0.3">
      <c r="A1294" s="2" t="s">
        <v>42</v>
      </c>
      <c r="B1294" s="2" t="s">
        <v>43</v>
      </c>
      <c r="C1294" s="3">
        <v>2017</v>
      </c>
      <c r="D1294" s="4">
        <v>373202</v>
      </c>
    </row>
    <row r="1295" spans="1:4" x14ac:dyDescent="0.3">
      <c r="A1295" s="5" t="s">
        <v>42</v>
      </c>
      <c r="B1295" s="5" t="s">
        <v>43</v>
      </c>
      <c r="C1295" s="6">
        <v>2018</v>
      </c>
      <c r="D1295" s="7">
        <v>380226</v>
      </c>
    </row>
    <row r="1296" spans="1:4" x14ac:dyDescent="0.3">
      <c r="A1296" s="2" t="s">
        <v>42</v>
      </c>
      <c r="B1296" s="2" t="s">
        <v>43</v>
      </c>
      <c r="C1296" s="3">
        <v>2019</v>
      </c>
      <c r="D1296" s="4">
        <v>385829</v>
      </c>
    </row>
    <row r="1297" spans="1:4" x14ac:dyDescent="0.3">
      <c r="A1297" s="5" t="s">
        <v>42</v>
      </c>
      <c r="B1297" s="5" t="s">
        <v>43</v>
      </c>
      <c r="C1297" s="6">
        <v>2020</v>
      </c>
      <c r="D1297" s="7">
        <v>390812</v>
      </c>
    </row>
    <row r="1298" spans="1:4" x14ac:dyDescent="0.3">
      <c r="A1298" s="2" t="s">
        <v>42</v>
      </c>
      <c r="B1298" s="2" t="s">
        <v>43</v>
      </c>
      <c r="C1298" s="3">
        <v>2021</v>
      </c>
      <c r="D1298" s="4">
        <v>395346</v>
      </c>
    </row>
    <row r="1299" spans="1:4" x14ac:dyDescent="0.3">
      <c r="A1299" s="5" t="s">
        <v>42</v>
      </c>
      <c r="B1299" s="5" t="s">
        <v>43</v>
      </c>
      <c r="C1299" s="6">
        <v>2022</v>
      </c>
      <c r="D1299" s="7">
        <v>402733</v>
      </c>
    </row>
    <row r="1300" spans="1:4" x14ac:dyDescent="0.3">
      <c r="A1300" s="2" t="s">
        <v>42</v>
      </c>
      <c r="B1300" s="2" t="s">
        <v>43</v>
      </c>
      <c r="C1300" s="3">
        <v>2023</v>
      </c>
      <c r="D1300" s="4">
        <v>411106</v>
      </c>
    </row>
    <row r="1301" spans="1:4" x14ac:dyDescent="0.3">
      <c r="A1301" s="5" t="s">
        <v>42</v>
      </c>
      <c r="B1301" s="5" t="s">
        <v>43</v>
      </c>
      <c r="C1301" s="6">
        <v>2024</v>
      </c>
      <c r="D1301" s="7">
        <v>417072</v>
      </c>
    </row>
    <row r="1302" spans="1:4" x14ac:dyDescent="0.3">
      <c r="A1302" s="2" t="s">
        <v>44</v>
      </c>
      <c r="B1302" s="2" t="s">
        <v>45</v>
      </c>
      <c r="C1302" s="3">
        <v>1960</v>
      </c>
      <c r="D1302" s="4">
        <v>2517286</v>
      </c>
    </row>
    <row r="1303" spans="1:4" x14ac:dyDescent="0.3">
      <c r="A1303" s="5" t="s">
        <v>44</v>
      </c>
      <c r="B1303" s="5" t="s">
        <v>45</v>
      </c>
      <c r="C1303" s="6">
        <v>1961</v>
      </c>
      <c r="D1303" s="7">
        <v>2559223</v>
      </c>
    </row>
    <row r="1304" spans="1:4" x14ac:dyDescent="0.3">
      <c r="A1304" s="2" t="s">
        <v>44</v>
      </c>
      <c r="B1304" s="2" t="s">
        <v>45</v>
      </c>
      <c r="C1304" s="3">
        <v>1962</v>
      </c>
      <c r="D1304" s="4">
        <v>2604659</v>
      </c>
    </row>
    <row r="1305" spans="1:4" x14ac:dyDescent="0.3">
      <c r="A1305" s="5" t="s">
        <v>44</v>
      </c>
      <c r="B1305" s="5" t="s">
        <v>45</v>
      </c>
      <c r="C1305" s="6">
        <v>1963</v>
      </c>
      <c r="D1305" s="7">
        <v>2652908</v>
      </c>
    </row>
    <row r="1306" spans="1:4" x14ac:dyDescent="0.3">
      <c r="A1306" s="2" t="s">
        <v>44</v>
      </c>
      <c r="B1306" s="2" t="s">
        <v>45</v>
      </c>
      <c r="C1306" s="3">
        <v>1964</v>
      </c>
      <c r="D1306" s="4">
        <v>2704003</v>
      </c>
    </row>
    <row r="1307" spans="1:4" x14ac:dyDescent="0.3">
      <c r="A1307" s="5" t="s">
        <v>44</v>
      </c>
      <c r="B1307" s="5" t="s">
        <v>45</v>
      </c>
      <c r="C1307" s="6">
        <v>1965</v>
      </c>
      <c r="D1307" s="7">
        <v>2757936</v>
      </c>
    </row>
    <row r="1308" spans="1:4" x14ac:dyDescent="0.3">
      <c r="A1308" s="2" t="s">
        <v>44</v>
      </c>
      <c r="B1308" s="2" t="s">
        <v>45</v>
      </c>
      <c r="C1308" s="3">
        <v>1966</v>
      </c>
      <c r="D1308" s="4">
        <v>2814317</v>
      </c>
    </row>
    <row r="1309" spans="1:4" x14ac:dyDescent="0.3">
      <c r="A1309" s="5" t="s">
        <v>44</v>
      </c>
      <c r="B1309" s="5" t="s">
        <v>45</v>
      </c>
      <c r="C1309" s="6">
        <v>1967</v>
      </c>
      <c r="D1309" s="7">
        <v>2872997</v>
      </c>
    </row>
    <row r="1310" spans="1:4" x14ac:dyDescent="0.3">
      <c r="A1310" s="2" t="s">
        <v>44</v>
      </c>
      <c r="B1310" s="2" t="s">
        <v>45</v>
      </c>
      <c r="C1310" s="3">
        <v>1968</v>
      </c>
      <c r="D1310" s="4">
        <v>2934257</v>
      </c>
    </row>
    <row r="1311" spans="1:4" x14ac:dyDescent="0.3">
      <c r="A1311" s="5" t="s">
        <v>44</v>
      </c>
      <c r="B1311" s="5" t="s">
        <v>45</v>
      </c>
      <c r="C1311" s="6">
        <v>1969</v>
      </c>
      <c r="D1311" s="7">
        <v>2998222</v>
      </c>
    </row>
    <row r="1312" spans="1:4" x14ac:dyDescent="0.3">
      <c r="A1312" s="2" t="s">
        <v>44</v>
      </c>
      <c r="B1312" s="2" t="s">
        <v>45</v>
      </c>
      <c r="C1312" s="3">
        <v>1970</v>
      </c>
      <c r="D1312" s="4">
        <v>3065057</v>
      </c>
    </row>
    <row r="1313" spans="1:4" x14ac:dyDescent="0.3">
      <c r="A1313" s="5" t="s">
        <v>44</v>
      </c>
      <c r="B1313" s="5" t="s">
        <v>45</v>
      </c>
      <c r="C1313" s="6">
        <v>1971</v>
      </c>
      <c r="D1313" s="7">
        <v>3134767</v>
      </c>
    </row>
    <row r="1314" spans="1:4" x14ac:dyDescent="0.3">
      <c r="A1314" s="2" t="s">
        <v>44</v>
      </c>
      <c r="B1314" s="2" t="s">
        <v>45</v>
      </c>
      <c r="C1314" s="3">
        <v>1972</v>
      </c>
      <c r="D1314" s="4">
        <v>3207543</v>
      </c>
    </row>
    <row r="1315" spans="1:4" x14ac:dyDescent="0.3">
      <c r="A1315" s="5" t="s">
        <v>44</v>
      </c>
      <c r="B1315" s="5" t="s">
        <v>45</v>
      </c>
      <c r="C1315" s="6">
        <v>1973</v>
      </c>
      <c r="D1315" s="7">
        <v>3283496</v>
      </c>
    </row>
    <row r="1316" spans="1:4" x14ac:dyDescent="0.3">
      <c r="A1316" s="2" t="s">
        <v>44</v>
      </c>
      <c r="B1316" s="2" t="s">
        <v>45</v>
      </c>
      <c r="C1316" s="3">
        <v>1974</v>
      </c>
      <c r="D1316" s="4">
        <v>3362633</v>
      </c>
    </row>
    <row r="1317" spans="1:4" x14ac:dyDescent="0.3">
      <c r="A1317" s="5" t="s">
        <v>44</v>
      </c>
      <c r="B1317" s="5" t="s">
        <v>45</v>
      </c>
      <c r="C1317" s="6">
        <v>1975</v>
      </c>
      <c r="D1317" s="7">
        <v>3445407</v>
      </c>
    </row>
    <row r="1318" spans="1:4" x14ac:dyDescent="0.3">
      <c r="A1318" s="2" t="s">
        <v>44</v>
      </c>
      <c r="B1318" s="2" t="s">
        <v>45</v>
      </c>
      <c r="C1318" s="3">
        <v>1976</v>
      </c>
      <c r="D1318" s="4">
        <v>3532196</v>
      </c>
    </row>
    <row r="1319" spans="1:4" x14ac:dyDescent="0.3">
      <c r="A1319" s="5" t="s">
        <v>44</v>
      </c>
      <c r="B1319" s="5" t="s">
        <v>45</v>
      </c>
      <c r="C1319" s="6">
        <v>1977</v>
      </c>
      <c r="D1319" s="7">
        <v>3623202</v>
      </c>
    </row>
    <row r="1320" spans="1:4" x14ac:dyDescent="0.3">
      <c r="A1320" s="2" t="s">
        <v>44</v>
      </c>
      <c r="B1320" s="2" t="s">
        <v>45</v>
      </c>
      <c r="C1320" s="3">
        <v>1978</v>
      </c>
      <c r="D1320" s="4">
        <v>3718305</v>
      </c>
    </row>
    <row r="1321" spans="1:4" x14ac:dyDescent="0.3">
      <c r="A1321" s="5" t="s">
        <v>44</v>
      </c>
      <c r="B1321" s="5" t="s">
        <v>45</v>
      </c>
      <c r="C1321" s="6">
        <v>1979</v>
      </c>
      <c r="D1321" s="7">
        <v>3818528</v>
      </c>
    </row>
    <row r="1322" spans="1:4" x14ac:dyDescent="0.3">
      <c r="A1322" s="2" t="s">
        <v>44</v>
      </c>
      <c r="B1322" s="2" t="s">
        <v>45</v>
      </c>
      <c r="C1322" s="3">
        <v>1980</v>
      </c>
      <c r="D1322" s="4">
        <v>3925251</v>
      </c>
    </row>
    <row r="1323" spans="1:4" x14ac:dyDescent="0.3">
      <c r="A1323" s="5" t="s">
        <v>44</v>
      </c>
      <c r="B1323" s="5" t="s">
        <v>45</v>
      </c>
      <c r="C1323" s="6">
        <v>1981</v>
      </c>
      <c r="D1323" s="7">
        <v>4038307</v>
      </c>
    </row>
    <row r="1324" spans="1:4" x14ac:dyDescent="0.3">
      <c r="A1324" s="2" t="s">
        <v>44</v>
      </c>
      <c r="B1324" s="2" t="s">
        <v>45</v>
      </c>
      <c r="C1324" s="3">
        <v>1982</v>
      </c>
      <c r="D1324" s="4">
        <v>4156596</v>
      </c>
    </row>
    <row r="1325" spans="1:4" x14ac:dyDescent="0.3">
      <c r="A1325" s="5" t="s">
        <v>44</v>
      </c>
      <c r="B1325" s="5" t="s">
        <v>45</v>
      </c>
      <c r="C1325" s="6">
        <v>1983</v>
      </c>
      <c r="D1325" s="7">
        <v>4278978</v>
      </c>
    </row>
    <row r="1326" spans="1:4" x14ac:dyDescent="0.3">
      <c r="A1326" s="2" t="s">
        <v>44</v>
      </c>
      <c r="B1326" s="2" t="s">
        <v>45</v>
      </c>
      <c r="C1326" s="3">
        <v>1984</v>
      </c>
      <c r="D1326" s="4">
        <v>4405895</v>
      </c>
    </row>
    <row r="1327" spans="1:4" x14ac:dyDescent="0.3">
      <c r="A1327" s="5" t="s">
        <v>44</v>
      </c>
      <c r="B1327" s="5" t="s">
        <v>45</v>
      </c>
      <c r="C1327" s="6">
        <v>1985</v>
      </c>
      <c r="D1327" s="7">
        <v>4538012</v>
      </c>
    </row>
    <row r="1328" spans="1:4" x14ac:dyDescent="0.3">
      <c r="A1328" s="2" t="s">
        <v>44</v>
      </c>
      <c r="B1328" s="2" t="s">
        <v>45</v>
      </c>
      <c r="C1328" s="3">
        <v>1986</v>
      </c>
      <c r="D1328" s="4">
        <v>4675420</v>
      </c>
    </row>
    <row r="1329" spans="1:4" x14ac:dyDescent="0.3">
      <c r="A1329" s="5" t="s">
        <v>44</v>
      </c>
      <c r="B1329" s="5" t="s">
        <v>45</v>
      </c>
      <c r="C1329" s="6">
        <v>1987</v>
      </c>
      <c r="D1329" s="7">
        <v>4818486</v>
      </c>
    </row>
    <row r="1330" spans="1:4" x14ac:dyDescent="0.3">
      <c r="A1330" s="2" t="s">
        <v>44</v>
      </c>
      <c r="B1330" s="2" t="s">
        <v>45</v>
      </c>
      <c r="C1330" s="3">
        <v>1988</v>
      </c>
      <c r="D1330" s="4">
        <v>4967341</v>
      </c>
    </row>
    <row r="1331" spans="1:4" x14ac:dyDescent="0.3">
      <c r="A1331" s="5" t="s">
        <v>44</v>
      </c>
      <c r="B1331" s="5" t="s">
        <v>45</v>
      </c>
      <c r="C1331" s="6">
        <v>1989</v>
      </c>
      <c r="D1331" s="7">
        <v>5121657</v>
      </c>
    </row>
    <row r="1332" spans="1:4" x14ac:dyDescent="0.3">
      <c r="A1332" s="2" t="s">
        <v>44</v>
      </c>
      <c r="B1332" s="2" t="s">
        <v>45</v>
      </c>
      <c r="C1332" s="3">
        <v>1990</v>
      </c>
      <c r="D1332" s="4">
        <v>5281479</v>
      </c>
    </row>
    <row r="1333" spans="1:4" x14ac:dyDescent="0.3">
      <c r="A1333" s="5" t="s">
        <v>44</v>
      </c>
      <c r="B1333" s="5" t="s">
        <v>45</v>
      </c>
      <c r="C1333" s="6">
        <v>1991</v>
      </c>
      <c r="D1333" s="7">
        <v>5446932</v>
      </c>
    </row>
    <row r="1334" spans="1:4" x14ac:dyDescent="0.3">
      <c r="A1334" s="2" t="s">
        <v>44</v>
      </c>
      <c r="B1334" s="2" t="s">
        <v>45</v>
      </c>
      <c r="C1334" s="3">
        <v>1992</v>
      </c>
      <c r="D1334" s="4">
        <v>5617844</v>
      </c>
    </row>
    <row r="1335" spans="1:4" x14ac:dyDescent="0.3">
      <c r="A1335" s="5" t="s">
        <v>44</v>
      </c>
      <c r="B1335" s="5" t="s">
        <v>45</v>
      </c>
      <c r="C1335" s="6">
        <v>1993</v>
      </c>
      <c r="D1335" s="7">
        <v>5872706</v>
      </c>
    </row>
    <row r="1336" spans="1:4" x14ac:dyDescent="0.3">
      <c r="A1336" s="2" t="s">
        <v>44</v>
      </c>
      <c r="B1336" s="2" t="s">
        <v>45</v>
      </c>
      <c r="C1336" s="3">
        <v>1994</v>
      </c>
      <c r="D1336" s="4">
        <v>6096506</v>
      </c>
    </row>
    <row r="1337" spans="1:4" x14ac:dyDescent="0.3">
      <c r="A1337" s="5" t="s">
        <v>44</v>
      </c>
      <c r="B1337" s="5" t="s">
        <v>45</v>
      </c>
      <c r="C1337" s="6">
        <v>1995</v>
      </c>
      <c r="D1337" s="7">
        <v>6226773</v>
      </c>
    </row>
    <row r="1338" spans="1:4" x14ac:dyDescent="0.3">
      <c r="A1338" s="2" t="s">
        <v>44</v>
      </c>
      <c r="B1338" s="2" t="s">
        <v>45</v>
      </c>
      <c r="C1338" s="3">
        <v>1996</v>
      </c>
      <c r="D1338" s="4">
        <v>6391858</v>
      </c>
    </row>
    <row r="1339" spans="1:4" x14ac:dyDescent="0.3">
      <c r="A1339" s="5" t="s">
        <v>44</v>
      </c>
      <c r="B1339" s="5" t="s">
        <v>45</v>
      </c>
      <c r="C1339" s="6">
        <v>1997</v>
      </c>
      <c r="D1339" s="7">
        <v>6583365</v>
      </c>
    </row>
    <row r="1340" spans="1:4" x14ac:dyDescent="0.3">
      <c r="A1340" s="2" t="s">
        <v>44</v>
      </c>
      <c r="B1340" s="2" t="s">
        <v>45</v>
      </c>
      <c r="C1340" s="3">
        <v>1998</v>
      </c>
      <c r="D1340" s="4">
        <v>6789489</v>
      </c>
    </row>
    <row r="1341" spans="1:4" x14ac:dyDescent="0.3">
      <c r="A1341" s="5" t="s">
        <v>44</v>
      </c>
      <c r="B1341" s="5" t="s">
        <v>45</v>
      </c>
      <c r="C1341" s="6">
        <v>1999</v>
      </c>
      <c r="D1341" s="7">
        <v>7002818</v>
      </c>
    </row>
    <row r="1342" spans="1:4" x14ac:dyDescent="0.3">
      <c r="A1342" s="2" t="s">
        <v>44</v>
      </c>
      <c r="B1342" s="2" t="s">
        <v>45</v>
      </c>
      <c r="C1342" s="3">
        <v>2000</v>
      </c>
      <c r="D1342" s="4">
        <v>7221619</v>
      </c>
    </row>
    <row r="1343" spans="1:4" x14ac:dyDescent="0.3">
      <c r="A1343" s="5" t="s">
        <v>44</v>
      </c>
      <c r="B1343" s="5" t="s">
        <v>45</v>
      </c>
      <c r="C1343" s="6">
        <v>2001</v>
      </c>
      <c r="D1343" s="7">
        <v>7445596</v>
      </c>
    </row>
    <row r="1344" spans="1:4" x14ac:dyDescent="0.3">
      <c r="A1344" s="2" t="s">
        <v>44</v>
      </c>
      <c r="B1344" s="2" t="s">
        <v>45</v>
      </c>
      <c r="C1344" s="3">
        <v>2002</v>
      </c>
      <c r="D1344" s="4">
        <v>7675426</v>
      </c>
    </row>
    <row r="1345" spans="1:4" x14ac:dyDescent="0.3">
      <c r="A1345" s="5" t="s">
        <v>44</v>
      </c>
      <c r="B1345" s="5" t="s">
        <v>45</v>
      </c>
      <c r="C1345" s="6">
        <v>2003</v>
      </c>
      <c r="D1345" s="7">
        <v>7913070</v>
      </c>
    </row>
    <row r="1346" spans="1:4" x14ac:dyDescent="0.3">
      <c r="A1346" s="2" t="s">
        <v>44</v>
      </c>
      <c r="B1346" s="2" t="s">
        <v>45</v>
      </c>
      <c r="C1346" s="3">
        <v>2004</v>
      </c>
      <c r="D1346" s="4">
        <v>8159094</v>
      </c>
    </row>
    <row r="1347" spans="1:4" x14ac:dyDescent="0.3">
      <c r="A1347" s="5" t="s">
        <v>44</v>
      </c>
      <c r="B1347" s="5" t="s">
        <v>45</v>
      </c>
      <c r="C1347" s="6">
        <v>2005</v>
      </c>
      <c r="D1347" s="7">
        <v>8426144</v>
      </c>
    </row>
    <row r="1348" spans="1:4" x14ac:dyDescent="0.3">
      <c r="A1348" s="2" t="s">
        <v>44</v>
      </c>
      <c r="B1348" s="2" t="s">
        <v>45</v>
      </c>
      <c r="C1348" s="3">
        <v>2006</v>
      </c>
      <c r="D1348" s="4">
        <v>8693242</v>
      </c>
    </row>
    <row r="1349" spans="1:4" x14ac:dyDescent="0.3">
      <c r="A1349" s="5" t="s">
        <v>44</v>
      </c>
      <c r="B1349" s="5" t="s">
        <v>45</v>
      </c>
      <c r="C1349" s="6">
        <v>2007</v>
      </c>
      <c r="D1349" s="7">
        <v>8953969</v>
      </c>
    </row>
    <row r="1350" spans="1:4" x14ac:dyDescent="0.3">
      <c r="A1350" s="2" t="s">
        <v>44</v>
      </c>
      <c r="B1350" s="2" t="s">
        <v>45</v>
      </c>
      <c r="C1350" s="3">
        <v>2008</v>
      </c>
      <c r="D1350" s="4">
        <v>9228466</v>
      </c>
    </row>
    <row r="1351" spans="1:4" x14ac:dyDescent="0.3">
      <c r="A1351" s="5" t="s">
        <v>44</v>
      </c>
      <c r="B1351" s="5" t="s">
        <v>45</v>
      </c>
      <c r="C1351" s="6">
        <v>2009</v>
      </c>
      <c r="D1351" s="7">
        <v>9509423</v>
      </c>
    </row>
    <row r="1352" spans="1:4" x14ac:dyDescent="0.3">
      <c r="A1352" s="2" t="s">
        <v>44</v>
      </c>
      <c r="B1352" s="2" t="s">
        <v>45</v>
      </c>
      <c r="C1352" s="3">
        <v>2010</v>
      </c>
      <c r="D1352" s="4">
        <v>9797484</v>
      </c>
    </row>
    <row r="1353" spans="1:4" x14ac:dyDescent="0.3">
      <c r="A1353" s="5" t="s">
        <v>44</v>
      </c>
      <c r="B1353" s="5" t="s">
        <v>45</v>
      </c>
      <c r="C1353" s="6">
        <v>2011</v>
      </c>
      <c r="D1353" s="7">
        <v>10093623</v>
      </c>
    </row>
    <row r="1354" spans="1:4" x14ac:dyDescent="0.3">
      <c r="A1354" s="2" t="s">
        <v>44</v>
      </c>
      <c r="B1354" s="2" t="s">
        <v>45</v>
      </c>
      <c r="C1354" s="3">
        <v>2012</v>
      </c>
      <c r="D1354" s="4">
        <v>10397657</v>
      </c>
    </row>
    <row r="1355" spans="1:4" x14ac:dyDescent="0.3">
      <c r="A1355" s="5" t="s">
        <v>44</v>
      </c>
      <c r="B1355" s="5" t="s">
        <v>45</v>
      </c>
      <c r="C1355" s="6">
        <v>2013</v>
      </c>
      <c r="D1355" s="7">
        <v>10708834</v>
      </c>
    </row>
    <row r="1356" spans="1:4" x14ac:dyDescent="0.3">
      <c r="A1356" s="2" t="s">
        <v>44</v>
      </c>
      <c r="B1356" s="2" t="s">
        <v>45</v>
      </c>
      <c r="C1356" s="3">
        <v>2014</v>
      </c>
      <c r="D1356" s="4">
        <v>11030004</v>
      </c>
    </row>
    <row r="1357" spans="1:4" x14ac:dyDescent="0.3">
      <c r="A1357" s="5" t="s">
        <v>44</v>
      </c>
      <c r="B1357" s="5" t="s">
        <v>45</v>
      </c>
      <c r="C1357" s="6">
        <v>2015</v>
      </c>
      <c r="D1357" s="7">
        <v>11360681</v>
      </c>
    </row>
    <row r="1358" spans="1:4" x14ac:dyDescent="0.3">
      <c r="A1358" s="2" t="s">
        <v>44</v>
      </c>
      <c r="B1358" s="2" t="s">
        <v>45</v>
      </c>
      <c r="C1358" s="3">
        <v>2016</v>
      </c>
      <c r="D1358" s="4">
        <v>11697842</v>
      </c>
    </row>
    <row r="1359" spans="1:4" x14ac:dyDescent="0.3">
      <c r="A1359" s="5" t="s">
        <v>44</v>
      </c>
      <c r="B1359" s="5" t="s">
        <v>45</v>
      </c>
      <c r="C1359" s="6">
        <v>2017</v>
      </c>
      <c r="D1359" s="7">
        <v>12039780</v>
      </c>
    </row>
    <row r="1360" spans="1:4" x14ac:dyDescent="0.3">
      <c r="A1360" s="2" t="s">
        <v>44</v>
      </c>
      <c r="B1360" s="2" t="s">
        <v>45</v>
      </c>
      <c r="C1360" s="3">
        <v>2018</v>
      </c>
      <c r="D1360" s="4">
        <v>12383347</v>
      </c>
    </row>
    <row r="1361" spans="1:4" x14ac:dyDescent="0.3">
      <c r="A1361" s="5" t="s">
        <v>44</v>
      </c>
      <c r="B1361" s="5" t="s">
        <v>45</v>
      </c>
      <c r="C1361" s="6">
        <v>2019</v>
      </c>
      <c r="D1361" s="7">
        <v>12726755</v>
      </c>
    </row>
    <row r="1362" spans="1:4" x14ac:dyDescent="0.3">
      <c r="A1362" s="2" t="s">
        <v>44</v>
      </c>
      <c r="B1362" s="2" t="s">
        <v>45</v>
      </c>
      <c r="C1362" s="3">
        <v>2020</v>
      </c>
      <c r="D1362" s="4">
        <v>13070169</v>
      </c>
    </row>
    <row r="1363" spans="1:4" x14ac:dyDescent="0.3">
      <c r="A1363" s="5" t="s">
        <v>44</v>
      </c>
      <c r="B1363" s="5" t="s">
        <v>45</v>
      </c>
      <c r="C1363" s="6">
        <v>2021</v>
      </c>
      <c r="D1363" s="7">
        <v>13413417</v>
      </c>
    </row>
    <row r="1364" spans="1:4" x14ac:dyDescent="0.3">
      <c r="A1364" s="2" t="s">
        <v>44</v>
      </c>
      <c r="B1364" s="2" t="s">
        <v>45</v>
      </c>
      <c r="C1364" s="3">
        <v>2022</v>
      </c>
      <c r="D1364" s="4">
        <v>13759501</v>
      </c>
    </row>
    <row r="1365" spans="1:4" x14ac:dyDescent="0.3">
      <c r="A1365" s="5" t="s">
        <v>44</v>
      </c>
      <c r="B1365" s="5" t="s">
        <v>45</v>
      </c>
      <c r="C1365" s="6">
        <v>2023</v>
      </c>
      <c r="D1365" s="7">
        <v>14111034</v>
      </c>
    </row>
    <row r="1366" spans="1:4" x14ac:dyDescent="0.3">
      <c r="A1366" s="2" t="s">
        <v>44</v>
      </c>
      <c r="B1366" s="2" t="s">
        <v>45</v>
      </c>
      <c r="C1366" s="3">
        <v>2024</v>
      </c>
      <c r="D1366" s="4">
        <v>14462724</v>
      </c>
    </row>
    <row r="1367" spans="1:4" x14ac:dyDescent="0.3">
      <c r="A1367" s="5" t="s">
        <v>46</v>
      </c>
      <c r="B1367" s="5" t="s">
        <v>47</v>
      </c>
      <c r="C1367" s="6">
        <v>1960</v>
      </c>
      <c r="D1367" s="7">
        <v>42208</v>
      </c>
    </row>
    <row r="1368" spans="1:4" x14ac:dyDescent="0.3">
      <c r="A1368" s="2" t="s">
        <v>46</v>
      </c>
      <c r="B1368" s="2" t="s">
        <v>47</v>
      </c>
      <c r="C1368" s="3">
        <v>1961</v>
      </c>
      <c r="D1368" s="4">
        <v>43123</v>
      </c>
    </row>
    <row r="1369" spans="1:4" x14ac:dyDescent="0.3">
      <c r="A1369" s="5" t="s">
        <v>46</v>
      </c>
      <c r="B1369" s="5" t="s">
        <v>47</v>
      </c>
      <c r="C1369" s="6">
        <v>1962</v>
      </c>
      <c r="D1369" s="7">
        <v>44239</v>
      </c>
    </row>
    <row r="1370" spans="1:4" x14ac:dyDescent="0.3">
      <c r="A1370" s="2" t="s">
        <v>46</v>
      </c>
      <c r="B1370" s="2" t="s">
        <v>47</v>
      </c>
      <c r="C1370" s="3">
        <v>1963</v>
      </c>
      <c r="D1370" s="4">
        <v>45340</v>
      </c>
    </row>
    <row r="1371" spans="1:4" x14ac:dyDescent="0.3">
      <c r="A1371" s="5" t="s">
        <v>46</v>
      </c>
      <c r="B1371" s="5" t="s">
        <v>47</v>
      </c>
      <c r="C1371" s="6">
        <v>1964</v>
      </c>
      <c r="D1371" s="7">
        <v>46410</v>
      </c>
    </row>
    <row r="1372" spans="1:4" x14ac:dyDescent="0.3">
      <c r="A1372" s="2" t="s">
        <v>46</v>
      </c>
      <c r="B1372" s="2" t="s">
        <v>47</v>
      </c>
      <c r="C1372" s="3">
        <v>1965</v>
      </c>
      <c r="D1372" s="4">
        <v>47461</v>
      </c>
    </row>
    <row r="1373" spans="1:4" x14ac:dyDescent="0.3">
      <c r="A1373" s="5" t="s">
        <v>46</v>
      </c>
      <c r="B1373" s="5" t="s">
        <v>47</v>
      </c>
      <c r="C1373" s="6">
        <v>1966</v>
      </c>
      <c r="D1373" s="7">
        <v>48534</v>
      </c>
    </row>
    <row r="1374" spans="1:4" x14ac:dyDescent="0.3">
      <c r="A1374" s="2" t="s">
        <v>46</v>
      </c>
      <c r="B1374" s="2" t="s">
        <v>47</v>
      </c>
      <c r="C1374" s="3">
        <v>1967</v>
      </c>
      <c r="D1374" s="4">
        <v>49514</v>
      </c>
    </row>
    <row r="1375" spans="1:4" x14ac:dyDescent="0.3">
      <c r="A1375" s="5" t="s">
        <v>46</v>
      </c>
      <c r="B1375" s="5" t="s">
        <v>47</v>
      </c>
      <c r="C1375" s="6">
        <v>1968</v>
      </c>
      <c r="D1375" s="7">
        <v>50404</v>
      </c>
    </row>
    <row r="1376" spans="1:4" x14ac:dyDescent="0.3">
      <c r="A1376" s="2" t="s">
        <v>46</v>
      </c>
      <c r="B1376" s="2" t="s">
        <v>47</v>
      </c>
      <c r="C1376" s="3">
        <v>1969</v>
      </c>
      <c r="D1376" s="4">
        <v>51306</v>
      </c>
    </row>
    <row r="1377" spans="1:4" x14ac:dyDescent="0.3">
      <c r="A1377" s="5" t="s">
        <v>46</v>
      </c>
      <c r="B1377" s="5" t="s">
        <v>47</v>
      </c>
      <c r="C1377" s="6">
        <v>1970</v>
      </c>
      <c r="D1377" s="7">
        <v>52124</v>
      </c>
    </row>
    <row r="1378" spans="1:4" x14ac:dyDescent="0.3">
      <c r="A1378" s="2" t="s">
        <v>46</v>
      </c>
      <c r="B1378" s="2" t="s">
        <v>47</v>
      </c>
      <c r="C1378" s="3">
        <v>1971</v>
      </c>
      <c r="D1378" s="4">
        <v>52607</v>
      </c>
    </row>
    <row r="1379" spans="1:4" x14ac:dyDescent="0.3">
      <c r="A1379" s="5" t="s">
        <v>46</v>
      </c>
      <c r="B1379" s="5" t="s">
        <v>47</v>
      </c>
      <c r="C1379" s="6">
        <v>1972</v>
      </c>
      <c r="D1379" s="7">
        <v>52803</v>
      </c>
    </row>
    <row r="1380" spans="1:4" x14ac:dyDescent="0.3">
      <c r="A1380" s="2" t="s">
        <v>46</v>
      </c>
      <c r="B1380" s="2" t="s">
        <v>47</v>
      </c>
      <c r="C1380" s="3">
        <v>1973</v>
      </c>
      <c r="D1380" s="4">
        <v>52946</v>
      </c>
    </row>
    <row r="1381" spans="1:4" x14ac:dyDescent="0.3">
      <c r="A1381" s="5" t="s">
        <v>46</v>
      </c>
      <c r="B1381" s="5" t="s">
        <v>47</v>
      </c>
      <c r="C1381" s="6">
        <v>1974</v>
      </c>
      <c r="D1381" s="7">
        <v>53056</v>
      </c>
    </row>
    <row r="1382" spans="1:4" x14ac:dyDescent="0.3">
      <c r="A1382" s="2" t="s">
        <v>46</v>
      </c>
      <c r="B1382" s="2" t="s">
        <v>47</v>
      </c>
      <c r="C1382" s="3">
        <v>1975</v>
      </c>
      <c r="D1382" s="4">
        <v>53129</v>
      </c>
    </row>
    <row r="1383" spans="1:4" x14ac:dyDescent="0.3">
      <c r="A1383" s="5" t="s">
        <v>46</v>
      </c>
      <c r="B1383" s="5" t="s">
        <v>47</v>
      </c>
      <c r="C1383" s="6">
        <v>1976</v>
      </c>
      <c r="D1383" s="7">
        <v>53210</v>
      </c>
    </row>
    <row r="1384" spans="1:4" x14ac:dyDescent="0.3">
      <c r="A1384" s="2" t="s">
        <v>46</v>
      </c>
      <c r="B1384" s="2" t="s">
        <v>47</v>
      </c>
      <c r="C1384" s="3">
        <v>1977</v>
      </c>
      <c r="D1384" s="4">
        <v>53322</v>
      </c>
    </row>
    <row r="1385" spans="1:4" x14ac:dyDescent="0.3">
      <c r="A1385" s="5" t="s">
        <v>46</v>
      </c>
      <c r="B1385" s="5" t="s">
        <v>47</v>
      </c>
      <c r="C1385" s="6">
        <v>1978</v>
      </c>
      <c r="D1385" s="7">
        <v>53431</v>
      </c>
    </row>
    <row r="1386" spans="1:4" x14ac:dyDescent="0.3">
      <c r="A1386" s="2" t="s">
        <v>46</v>
      </c>
      <c r="B1386" s="2" t="s">
        <v>47</v>
      </c>
      <c r="C1386" s="3">
        <v>1979</v>
      </c>
      <c r="D1386" s="4">
        <v>53517</v>
      </c>
    </row>
    <row r="1387" spans="1:4" x14ac:dyDescent="0.3">
      <c r="A1387" s="5" t="s">
        <v>46</v>
      </c>
      <c r="B1387" s="5" t="s">
        <v>47</v>
      </c>
      <c r="C1387" s="6">
        <v>1980</v>
      </c>
      <c r="D1387" s="7">
        <v>53673</v>
      </c>
    </row>
    <row r="1388" spans="1:4" x14ac:dyDescent="0.3">
      <c r="A1388" s="2" t="s">
        <v>46</v>
      </c>
      <c r="B1388" s="2" t="s">
        <v>47</v>
      </c>
      <c r="C1388" s="3">
        <v>1981</v>
      </c>
      <c r="D1388" s="4">
        <v>53997</v>
      </c>
    </row>
    <row r="1389" spans="1:4" x14ac:dyDescent="0.3">
      <c r="A1389" s="5" t="s">
        <v>46</v>
      </c>
      <c r="B1389" s="5" t="s">
        <v>47</v>
      </c>
      <c r="C1389" s="6">
        <v>1982</v>
      </c>
      <c r="D1389" s="7">
        <v>54387</v>
      </c>
    </row>
    <row r="1390" spans="1:4" x14ac:dyDescent="0.3">
      <c r="A1390" s="2" t="s">
        <v>46</v>
      </c>
      <c r="B1390" s="2" t="s">
        <v>47</v>
      </c>
      <c r="C1390" s="3">
        <v>1983</v>
      </c>
      <c r="D1390" s="4">
        <v>54777</v>
      </c>
    </row>
    <row r="1391" spans="1:4" x14ac:dyDescent="0.3">
      <c r="A1391" s="5" t="s">
        <v>46</v>
      </c>
      <c r="B1391" s="5" t="s">
        <v>47</v>
      </c>
      <c r="C1391" s="6">
        <v>1984</v>
      </c>
      <c r="D1391" s="7">
        <v>55169</v>
      </c>
    </row>
    <row r="1392" spans="1:4" x14ac:dyDescent="0.3">
      <c r="A1392" s="2" t="s">
        <v>46</v>
      </c>
      <c r="B1392" s="2" t="s">
        <v>47</v>
      </c>
      <c r="C1392" s="3">
        <v>1985</v>
      </c>
      <c r="D1392" s="4">
        <v>55547</v>
      </c>
    </row>
    <row r="1393" spans="1:4" x14ac:dyDescent="0.3">
      <c r="A1393" s="5" t="s">
        <v>46</v>
      </c>
      <c r="B1393" s="5" t="s">
        <v>47</v>
      </c>
      <c r="C1393" s="6">
        <v>1986</v>
      </c>
      <c r="D1393" s="7">
        <v>55889</v>
      </c>
    </row>
    <row r="1394" spans="1:4" x14ac:dyDescent="0.3">
      <c r="A1394" s="2" t="s">
        <v>46</v>
      </c>
      <c r="B1394" s="2" t="s">
        <v>47</v>
      </c>
      <c r="C1394" s="3">
        <v>1987</v>
      </c>
      <c r="D1394" s="4">
        <v>56265</v>
      </c>
    </row>
    <row r="1395" spans="1:4" x14ac:dyDescent="0.3">
      <c r="A1395" s="5" t="s">
        <v>46</v>
      </c>
      <c r="B1395" s="5" t="s">
        <v>47</v>
      </c>
      <c r="C1395" s="6">
        <v>1988</v>
      </c>
      <c r="D1395" s="7">
        <v>56699</v>
      </c>
    </row>
    <row r="1396" spans="1:4" x14ac:dyDescent="0.3">
      <c r="A1396" s="2" t="s">
        <v>46</v>
      </c>
      <c r="B1396" s="2" t="s">
        <v>47</v>
      </c>
      <c r="C1396" s="3">
        <v>1989</v>
      </c>
      <c r="D1396" s="4">
        <v>57129</v>
      </c>
    </row>
    <row r="1397" spans="1:4" x14ac:dyDescent="0.3">
      <c r="A1397" s="5" t="s">
        <v>46</v>
      </c>
      <c r="B1397" s="5" t="s">
        <v>47</v>
      </c>
      <c r="C1397" s="6">
        <v>1990</v>
      </c>
      <c r="D1397" s="7">
        <v>57559</v>
      </c>
    </row>
    <row r="1398" spans="1:4" x14ac:dyDescent="0.3">
      <c r="A1398" s="2" t="s">
        <v>46</v>
      </c>
      <c r="B1398" s="2" t="s">
        <v>47</v>
      </c>
      <c r="C1398" s="3">
        <v>1991</v>
      </c>
      <c r="D1398" s="4">
        <v>57984</v>
      </c>
    </row>
    <row r="1399" spans="1:4" x14ac:dyDescent="0.3">
      <c r="A1399" s="5" t="s">
        <v>46</v>
      </c>
      <c r="B1399" s="5" t="s">
        <v>47</v>
      </c>
      <c r="C1399" s="6">
        <v>1992</v>
      </c>
      <c r="D1399" s="7">
        <v>58407</v>
      </c>
    </row>
    <row r="1400" spans="1:4" x14ac:dyDescent="0.3">
      <c r="A1400" s="2" t="s">
        <v>46</v>
      </c>
      <c r="B1400" s="2" t="s">
        <v>47</v>
      </c>
      <c r="C1400" s="3">
        <v>1993</v>
      </c>
      <c r="D1400" s="4">
        <v>58816</v>
      </c>
    </row>
    <row r="1401" spans="1:4" x14ac:dyDescent="0.3">
      <c r="A1401" s="5" t="s">
        <v>46</v>
      </c>
      <c r="B1401" s="5" t="s">
        <v>47</v>
      </c>
      <c r="C1401" s="6">
        <v>1994</v>
      </c>
      <c r="D1401" s="7">
        <v>59194</v>
      </c>
    </row>
    <row r="1402" spans="1:4" x14ac:dyDescent="0.3">
      <c r="A1402" s="2" t="s">
        <v>46</v>
      </c>
      <c r="B1402" s="2" t="s">
        <v>47</v>
      </c>
      <c r="C1402" s="3">
        <v>1995</v>
      </c>
      <c r="D1402" s="4">
        <v>59526</v>
      </c>
    </row>
    <row r="1403" spans="1:4" x14ac:dyDescent="0.3">
      <c r="A1403" s="5" t="s">
        <v>46</v>
      </c>
      <c r="B1403" s="5" t="s">
        <v>47</v>
      </c>
      <c r="C1403" s="6">
        <v>1996</v>
      </c>
      <c r="D1403" s="7">
        <v>59813</v>
      </c>
    </row>
    <row r="1404" spans="1:4" x14ac:dyDescent="0.3">
      <c r="A1404" s="2" t="s">
        <v>46</v>
      </c>
      <c r="B1404" s="2" t="s">
        <v>47</v>
      </c>
      <c r="C1404" s="3">
        <v>1997</v>
      </c>
      <c r="D1404" s="4">
        <v>60177</v>
      </c>
    </row>
    <row r="1405" spans="1:4" x14ac:dyDescent="0.3">
      <c r="A1405" s="5" t="s">
        <v>46</v>
      </c>
      <c r="B1405" s="5" t="s">
        <v>47</v>
      </c>
      <c r="C1405" s="6">
        <v>1998</v>
      </c>
      <c r="D1405" s="7">
        <v>60639</v>
      </c>
    </row>
    <row r="1406" spans="1:4" x14ac:dyDescent="0.3">
      <c r="A1406" s="2" t="s">
        <v>46</v>
      </c>
      <c r="B1406" s="2" t="s">
        <v>47</v>
      </c>
      <c r="C1406" s="3">
        <v>1999</v>
      </c>
      <c r="D1406" s="4">
        <v>61124</v>
      </c>
    </row>
    <row r="1407" spans="1:4" x14ac:dyDescent="0.3">
      <c r="A1407" s="5" t="s">
        <v>46</v>
      </c>
      <c r="B1407" s="5" t="s">
        <v>47</v>
      </c>
      <c r="C1407" s="6">
        <v>2000</v>
      </c>
      <c r="D1407" s="7">
        <v>61550</v>
      </c>
    </row>
    <row r="1408" spans="1:4" x14ac:dyDescent="0.3">
      <c r="A1408" s="2" t="s">
        <v>46</v>
      </c>
      <c r="B1408" s="2" t="s">
        <v>47</v>
      </c>
      <c r="C1408" s="3">
        <v>2001</v>
      </c>
      <c r="D1408" s="4">
        <v>61867</v>
      </c>
    </row>
    <row r="1409" spans="1:4" x14ac:dyDescent="0.3">
      <c r="A1409" s="5" t="s">
        <v>46</v>
      </c>
      <c r="B1409" s="5" t="s">
        <v>47</v>
      </c>
      <c r="C1409" s="6">
        <v>2002</v>
      </c>
      <c r="D1409" s="7">
        <v>62142</v>
      </c>
    </row>
    <row r="1410" spans="1:4" x14ac:dyDescent="0.3">
      <c r="A1410" s="2" t="s">
        <v>46</v>
      </c>
      <c r="B1410" s="2" t="s">
        <v>47</v>
      </c>
      <c r="C1410" s="3">
        <v>2003</v>
      </c>
      <c r="D1410" s="4">
        <v>62386</v>
      </c>
    </row>
    <row r="1411" spans="1:4" x14ac:dyDescent="0.3">
      <c r="A1411" s="5" t="s">
        <v>46</v>
      </c>
      <c r="B1411" s="5" t="s">
        <v>47</v>
      </c>
      <c r="C1411" s="6">
        <v>2004</v>
      </c>
      <c r="D1411" s="7">
        <v>62555</v>
      </c>
    </row>
    <row r="1412" spans="1:4" x14ac:dyDescent="0.3">
      <c r="A1412" s="2" t="s">
        <v>46</v>
      </c>
      <c r="B1412" s="2" t="s">
        <v>47</v>
      </c>
      <c r="C1412" s="3">
        <v>2005</v>
      </c>
      <c r="D1412" s="4">
        <v>62711</v>
      </c>
    </row>
    <row r="1413" spans="1:4" x14ac:dyDescent="0.3">
      <c r="A1413" s="5" t="s">
        <v>46</v>
      </c>
      <c r="B1413" s="5" t="s">
        <v>47</v>
      </c>
      <c r="C1413" s="6">
        <v>2006</v>
      </c>
      <c r="D1413" s="7">
        <v>62834</v>
      </c>
    </row>
    <row r="1414" spans="1:4" x14ac:dyDescent="0.3">
      <c r="A1414" s="2" t="s">
        <v>46</v>
      </c>
      <c r="B1414" s="2" t="s">
        <v>47</v>
      </c>
      <c r="C1414" s="3">
        <v>2007</v>
      </c>
      <c r="D1414" s="4">
        <v>63010</v>
      </c>
    </row>
    <row r="1415" spans="1:4" x14ac:dyDescent="0.3">
      <c r="A1415" s="5" t="s">
        <v>46</v>
      </c>
      <c r="B1415" s="5" t="s">
        <v>47</v>
      </c>
      <c r="C1415" s="6">
        <v>2008</v>
      </c>
      <c r="D1415" s="7">
        <v>63300</v>
      </c>
    </row>
    <row r="1416" spans="1:4" x14ac:dyDescent="0.3">
      <c r="A1416" s="2" t="s">
        <v>46</v>
      </c>
      <c r="B1416" s="2" t="s">
        <v>47</v>
      </c>
      <c r="C1416" s="3">
        <v>2009</v>
      </c>
      <c r="D1416" s="4">
        <v>63565</v>
      </c>
    </row>
    <row r="1417" spans="1:4" x14ac:dyDescent="0.3">
      <c r="A1417" s="5" t="s">
        <v>46</v>
      </c>
      <c r="B1417" s="5" t="s">
        <v>47</v>
      </c>
      <c r="C1417" s="6">
        <v>2010</v>
      </c>
      <c r="D1417" s="7">
        <v>63725</v>
      </c>
    </row>
    <row r="1418" spans="1:4" x14ac:dyDescent="0.3">
      <c r="A1418" s="2" t="s">
        <v>46</v>
      </c>
      <c r="B1418" s="2" t="s">
        <v>47</v>
      </c>
      <c r="C1418" s="3">
        <v>2011</v>
      </c>
      <c r="D1418" s="4">
        <v>63733</v>
      </c>
    </row>
    <row r="1419" spans="1:4" x14ac:dyDescent="0.3">
      <c r="A1419" s="5" t="s">
        <v>46</v>
      </c>
      <c r="B1419" s="5" t="s">
        <v>47</v>
      </c>
      <c r="C1419" s="6">
        <v>2012</v>
      </c>
      <c r="D1419" s="7">
        <v>63646</v>
      </c>
    </row>
    <row r="1420" spans="1:4" x14ac:dyDescent="0.3">
      <c r="A1420" s="2" t="s">
        <v>46</v>
      </c>
      <c r="B1420" s="2" t="s">
        <v>47</v>
      </c>
      <c r="C1420" s="3">
        <v>2013</v>
      </c>
      <c r="D1420" s="4">
        <v>63574</v>
      </c>
    </row>
    <row r="1421" spans="1:4" x14ac:dyDescent="0.3">
      <c r="A1421" s="5" t="s">
        <v>46</v>
      </c>
      <c r="B1421" s="5" t="s">
        <v>47</v>
      </c>
      <c r="C1421" s="6">
        <v>2014</v>
      </c>
      <c r="D1421" s="7">
        <v>63529</v>
      </c>
    </row>
    <row r="1422" spans="1:4" x14ac:dyDescent="0.3">
      <c r="A1422" s="2" t="s">
        <v>46</v>
      </c>
      <c r="B1422" s="2" t="s">
        <v>47</v>
      </c>
      <c r="C1422" s="3">
        <v>2015</v>
      </c>
      <c r="D1422" s="4">
        <v>63464</v>
      </c>
    </row>
    <row r="1423" spans="1:4" x14ac:dyDescent="0.3">
      <c r="A1423" s="5" t="s">
        <v>46</v>
      </c>
      <c r="B1423" s="5" t="s">
        <v>47</v>
      </c>
      <c r="C1423" s="6">
        <v>2016</v>
      </c>
      <c r="D1423" s="7">
        <v>63449</v>
      </c>
    </row>
    <row r="1424" spans="1:4" x14ac:dyDescent="0.3">
      <c r="A1424" s="2" t="s">
        <v>46</v>
      </c>
      <c r="B1424" s="2" t="s">
        <v>47</v>
      </c>
      <c r="C1424" s="3">
        <v>2017</v>
      </c>
      <c r="D1424" s="4">
        <v>63578</v>
      </c>
    </row>
    <row r="1425" spans="1:4" x14ac:dyDescent="0.3">
      <c r="A1425" s="5" t="s">
        <v>46</v>
      </c>
      <c r="B1425" s="5" t="s">
        <v>47</v>
      </c>
      <c r="C1425" s="6">
        <v>2018</v>
      </c>
      <c r="D1425" s="7">
        <v>63831</v>
      </c>
    </row>
    <row r="1426" spans="1:4" x14ac:dyDescent="0.3">
      <c r="A1426" s="2" t="s">
        <v>46</v>
      </c>
      <c r="B1426" s="2" t="s">
        <v>47</v>
      </c>
      <c r="C1426" s="3">
        <v>2019</v>
      </c>
      <c r="D1426" s="4">
        <v>64107</v>
      </c>
    </row>
    <row r="1427" spans="1:4" x14ac:dyDescent="0.3">
      <c r="A1427" s="5" t="s">
        <v>46</v>
      </c>
      <c r="B1427" s="5" t="s">
        <v>47</v>
      </c>
      <c r="C1427" s="6">
        <v>2020</v>
      </c>
      <c r="D1427" s="7">
        <v>64382</v>
      </c>
    </row>
    <row r="1428" spans="1:4" x14ac:dyDescent="0.3">
      <c r="A1428" s="2" t="s">
        <v>46</v>
      </c>
      <c r="B1428" s="2" t="s">
        <v>47</v>
      </c>
      <c r="C1428" s="3">
        <v>2021</v>
      </c>
      <c r="D1428" s="4">
        <v>64648</v>
      </c>
    </row>
    <row r="1429" spans="1:4" x14ac:dyDescent="0.3">
      <c r="A1429" s="5" t="s">
        <v>46</v>
      </c>
      <c r="B1429" s="5" t="s">
        <v>47</v>
      </c>
      <c r="C1429" s="6">
        <v>2022</v>
      </c>
      <c r="D1429" s="7">
        <v>64749</v>
      </c>
    </row>
    <row r="1430" spans="1:4" x14ac:dyDescent="0.3">
      <c r="A1430" s="2" t="s">
        <v>46</v>
      </c>
      <c r="B1430" s="2" t="s">
        <v>47</v>
      </c>
      <c r="C1430" s="3">
        <v>2023</v>
      </c>
      <c r="D1430" s="4">
        <v>64698</v>
      </c>
    </row>
    <row r="1431" spans="1:4" x14ac:dyDescent="0.3">
      <c r="A1431" s="5" t="s">
        <v>46</v>
      </c>
      <c r="B1431" s="5" t="s">
        <v>47</v>
      </c>
      <c r="C1431" s="6">
        <v>2024</v>
      </c>
      <c r="D1431" s="7">
        <v>64636</v>
      </c>
    </row>
    <row r="1432" spans="1:4" x14ac:dyDescent="0.3">
      <c r="A1432" s="2" t="s">
        <v>48</v>
      </c>
      <c r="B1432" s="2" t="s">
        <v>49</v>
      </c>
      <c r="C1432" s="3">
        <v>1960</v>
      </c>
      <c r="D1432" s="4">
        <v>224084</v>
      </c>
    </row>
    <row r="1433" spans="1:4" x14ac:dyDescent="0.3">
      <c r="A1433" s="5" t="s">
        <v>48</v>
      </c>
      <c r="B1433" s="5" t="s">
        <v>49</v>
      </c>
      <c r="C1433" s="6">
        <v>1961</v>
      </c>
      <c r="D1433" s="7">
        <v>230602</v>
      </c>
    </row>
    <row r="1434" spans="1:4" x14ac:dyDescent="0.3">
      <c r="A1434" s="2" t="s">
        <v>48</v>
      </c>
      <c r="B1434" s="2" t="s">
        <v>49</v>
      </c>
      <c r="C1434" s="3">
        <v>1962</v>
      </c>
      <c r="D1434" s="4">
        <v>237636</v>
      </c>
    </row>
    <row r="1435" spans="1:4" x14ac:dyDescent="0.3">
      <c r="A1435" s="5" t="s">
        <v>48</v>
      </c>
      <c r="B1435" s="5" t="s">
        <v>49</v>
      </c>
      <c r="C1435" s="6">
        <v>1963</v>
      </c>
      <c r="D1435" s="7">
        <v>245156</v>
      </c>
    </row>
    <row r="1436" spans="1:4" x14ac:dyDescent="0.3">
      <c r="A1436" s="2" t="s">
        <v>48</v>
      </c>
      <c r="B1436" s="2" t="s">
        <v>49</v>
      </c>
      <c r="C1436" s="3">
        <v>1964</v>
      </c>
      <c r="D1436" s="4">
        <v>252987</v>
      </c>
    </row>
    <row r="1437" spans="1:4" x14ac:dyDescent="0.3">
      <c r="A1437" s="5" t="s">
        <v>48</v>
      </c>
      <c r="B1437" s="5" t="s">
        <v>49</v>
      </c>
      <c r="C1437" s="6">
        <v>1965</v>
      </c>
      <c r="D1437" s="7">
        <v>261200</v>
      </c>
    </row>
    <row r="1438" spans="1:4" x14ac:dyDescent="0.3">
      <c r="A1438" s="2" t="s">
        <v>48</v>
      </c>
      <c r="B1438" s="2" t="s">
        <v>49</v>
      </c>
      <c r="C1438" s="3">
        <v>1966</v>
      </c>
      <c r="D1438" s="4">
        <v>269820</v>
      </c>
    </row>
    <row r="1439" spans="1:4" x14ac:dyDescent="0.3">
      <c r="A1439" s="5" t="s">
        <v>48</v>
      </c>
      <c r="B1439" s="5" t="s">
        <v>49</v>
      </c>
      <c r="C1439" s="6">
        <v>1967</v>
      </c>
      <c r="D1439" s="7">
        <v>278852</v>
      </c>
    </row>
    <row r="1440" spans="1:4" x14ac:dyDescent="0.3">
      <c r="A1440" s="2" t="s">
        <v>48</v>
      </c>
      <c r="B1440" s="2" t="s">
        <v>49</v>
      </c>
      <c r="C1440" s="3">
        <v>1968</v>
      </c>
      <c r="D1440" s="4">
        <v>288311</v>
      </c>
    </row>
    <row r="1441" spans="1:4" x14ac:dyDescent="0.3">
      <c r="A1441" s="5" t="s">
        <v>48</v>
      </c>
      <c r="B1441" s="5" t="s">
        <v>49</v>
      </c>
      <c r="C1441" s="6">
        <v>1969</v>
      </c>
      <c r="D1441" s="7">
        <v>298214</v>
      </c>
    </row>
    <row r="1442" spans="1:4" x14ac:dyDescent="0.3">
      <c r="A1442" s="2" t="s">
        <v>48</v>
      </c>
      <c r="B1442" s="2" t="s">
        <v>49</v>
      </c>
      <c r="C1442" s="3">
        <v>1970</v>
      </c>
      <c r="D1442" s="4">
        <v>308528</v>
      </c>
    </row>
    <row r="1443" spans="1:4" x14ac:dyDescent="0.3">
      <c r="A1443" s="5" t="s">
        <v>48</v>
      </c>
      <c r="B1443" s="5" t="s">
        <v>49</v>
      </c>
      <c r="C1443" s="6">
        <v>1971</v>
      </c>
      <c r="D1443" s="7">
        <v>319211</v>
      </c>
    </row>
    <row r="1444" spans="1:4" x14ac:dyDescent="0.3">
      <c r="A1444" s="2" t="s">
        <v>48</v>
      </c>
      <c r="B1444" s="2" t="s">
        <v>49</v>
      </c>
      <c r="C1444" s="3">
        <v>1972</v>
      </c>
      <c r="D1444" s="4">
        <v>330264</v>
      </c>
    </row>
    <row r="1445" spans="1:4" x14ac:dyDescent="0.3">
      <c r="A1445" s="5" t="s">
        <v>48</v>
      </c>
      <c r="B1445" s="5" t="s">
        <v>49</v>
      </c>
      <c r="C1445" s="6">
        <v>1973</v>
      </c>
      <c r="D1445" s="7">
        <v>341705</v>
      </c>
    </row>
    <row r="1446" spans="1:4" x14ac:dyDescent="0.3">
      <c r="A1446" s="2" t="s">
        <v>48</v>
      </c>
      <c r="B1446" s="2" t="s">
        <v>49</v>
      </c>
      <c r="C1446" s="3">
        <v>1974</v>
      </c>
      <c r="D1446" s="4">
        <v>353538</v>
      </c>
    </row>
    <row r="1447" spans="1:4" x14ac:dyDescent="0.3">
      <c r="A1447" s="5" t="s">
        <v>48</v>
      </c>
      <c r="B1447" s="5" t="s">
        <v>49</v>
      </c>
      <c r="C1447" s="6">
        <v>1975</v>
      </c>
      <c r="D1447" s="7">
        <v>365791</v>
      </c>
    </row>
    <row r="1448" spans="1:4" x14ac:dyDescent="0.3">
      <c r="A1448" s="2" t="s">
        <v>48</v>
      </c>
      <c r="B1448" s="2" t="s">
        <v>49</v>
      </c>
      <c r="C1448" s="3">
        <v>1976</v>
      </c>
      <c r="D1448" s="4">
        <v>378490</v>
      </c>
    </row>
    <row r="1449" spans="1:4" x14ac:dyDescent="0.3">
      <c r="A1449" s="5" t="s">
        <v>48</v>
      </c>
      <c r="B1449" s="5" t="s">
        <v>49</v>
      </c>
      <c r="C1449" s="6">
        <v>1977</v>
      </c>
      <c r="D1449" s="7">
        <v>391639</v>
      </c>
    </row>
    <row r="1450" spans="1:4" x14ac:dyDescent="0.3">
      <c r="A1450" s="2" t="s">
        <v>48</v>
      </c>
      <c r="B1450" s="2" t="s">
        <v>49</v>
      </c>
      <c r="C1450" s="3">
        <v>1978</v>
      </c>
      <c r="D1450" s="4">
        <v>405243</v>
      </c>
    </row>
    <row r="1451" spans="1:4" x14ac:dyDescent="0.3">
      <c r="A1451" s="5" t="s">
        <v>48</v>
      </c>
      <c r="B1451" s="5" t="s">
        <v>49</v>
      </c>
      <c r="C1451" s="6">
        <v>1979</v>
      </c>
      <c r="D1451" s="7">
        <v>419200</v>
      </c>
    </row>
    <row r="1452" spans="1:4" x14ac:dyDescent="0.3">
      <c r="A1452" s="2" t="s">
        <v>48</v>
      </c>
      <c r="B1452" s="2" t="s">
        <v>49</v>
      </c>
      <c r="C1452" s="3">
        <v>1980</v>
      </c>
      <c r="D1452" s="4">
        <v>433404</v>
      </c>
    </row>
    <row r="1453" spans="1:4" x14ac:dyDescent="0.3">
      <c r="A1453" s="5" t="s">
        <v>48</v>
      </c>
      <c r="B1453" s="5" t="s">
        <v>49</v>
      </c>
      <c r="C1453" s="6">
        <v>1981</v>
      </c>
      <c r="D1453" s="7">
        <v>447836</v>
      </c>
    </row>
    <row r="1454" spans="1:4" x14ac:dyDescent="0.3">
      <c r="A1454" s="2" t="s">
        <v>48</v>
      </c>
      <c r="B1454" s="2" t="s">
        <v>49</v>
      </c>
      <c r="C1454" s="3">
        <v>1982</v>
      </c>
      <c r="D1454" s="4">
        <v>462485</v>
      </c>
    </row>
    <row r="1455" spans="1:4" x14ac:dyDescent="0.3">
      <c r="A1455" s="5" t="s">
        <v>48</v>
      </c>
      <c r="B1455" s="5" t="s">
        <v>49</v>
      </c>
      <c r="C1455" s="6">
        <v>1983</v>
      </c>
      <c r="D1455" s="7">
        <v>477460</v>
      </c>
    </row>
    <row r="1456" spans="1:4" x14ac:dyDescent="0.3">
      <c r="A1456" s="2" t="s">
        <v>48</v>
      </c>
      <c r="B1456" s="2" t="s">
        <v>49</v>
      </c>
      <c r="C1456" s="3">
        <v>1984</v>
      </c>
      <c r="D1456" s="4">
        <v>492784</v>
      </c>
    </row>
    <row r="1457" spans="1:4" x14ac:dyDescent="0.3">
      <c r="A1457" s="5" t="s">
        <v>48</v>
      </c>
      <c r="B1457" s="5" t="s">
        <v>49</v>
      </c>
      <c r="C1457" s="6">
        <v>1985</v>
      </c>
      <c r="D1457" s="7">
        <v>508392</v>
      </c>
    </row>
    <row r="1458" spans="1:4" x14ac:dyDescent="0.3">
      <c r="A1458" s="2" t="s">
        <v>48</v>
      </c>
      <c r="B1458" s="2" t="s">
        <v>49</v>
      </c>
      <c r="C1458" s="3">
        <v>1986</v>
      </c>
      <c r="D1458" s="4">
        <v>524324</v>
      </c>
    </row>
    <row r="1459" spans="1:4" x14ac:dyDescent="0.3">
      <c r="A1459" s="5" t="s">
        <v>48</v>
      </c>
      <c r="B1459" s="5" t="s">
        <v>49</v>
      </c>
      <c r="C1459" s="6">
        <v>1987</v>
      </c>
      <c r="D1459" s="7">
        <v>540557</v>
      </c>
    </row>
    <row r="1460" spans="1:4" x14ac:dyDescent="0.3">
      <c r="A1460" s="2" t="s">
        <v>48</v>
      </c>
      <c r="B1460" s="2" t="s">
        <v>49</v>
      </c>
      <c r="C1460" s="3">
        <v>1988</v>
      </c>
      <c r="D1460" s="4">
        <v>556986</v>
      </c>
    </row>
    <row r="1461" spans="1:4" x14ac:dyDescent="0.3">
      <c r="A1461" s="5" t="s">
        <v>48</v>
      </c>
      <c r="B1461" s="5" t="s">
        <v>49</v>
      </c>
      <c r="C1461" s="6">
        <v>1989</v>
      </c>
      <c r="D1461" s="7">
        <v>573586</v>
      </c>
    </row>
    <row r="1462" spans="1:4" x14ac:dyDescent="0.3">
      <c r="A1462" s="2" t="s">
        <v>48</v>
      </c>
      <c r="B1462" s="2" t="s">
        <v>49</v>
      </c>
      <c r="C1462" s="3">
        <v>1990</v>
      </c>
      <c r="D1462" s="4">
        <v>589287</v>
      </c>
    </row>
    <row r="1463" spans="1:4" x14ac:dyDescent="0.3">
      <c r="A1463" s="5" t="s">
        <v>48</v>
      </c>
      <c r="B1463" s="5" t="s">
        <v>49</v>
      </c>
      <c r="C1463" s="6">
        <v>1991</v>
      </c>
      <c r="D1463" s="7">
        <v>599784</v>
      </c>
    </row>
    <row r="1464" spans="1:4" x14ac:dyDescent="0.3">
      <c r="A1464" s="2" t="s">
        <v>48</v>
      </c>
      <c r="B1464" s="2" t="s">
        <v>49</v>
      </c>
      <c r="C1464" s="3">
        <v>1992</v>
      </c>
      <c r="D1464" s="4">
        <v>577774</v>
      </c>
    </row>
    <row r="1465" spans="1:4" x14ac:dyDescent="0.3">
      <c r="A1465" s="5" t="s">
        <v>48</v>
      </c>
      <c r="B1465" s="5" t="s">
        <v>49</v>
      </c>
      <c r="C1465" s="6">
        <v>1993</v>
      </c>
      <c r="D1465" s="7">
        <v>554673</v>
      </c>
    </row>
    <row r="1466" spans="1:4" x14ac:dyDescent="0.3">
      <c r="A1466" s="2" t="s">
        <v>48</v>
      </c>
      <c r="B1466" s="2" t="s">
        <v>49</v>
      </c>
      <c r="C1466" s="3">
        <v>1994</v>
      </c>
      <c r="D1466" s="4">
        <v>554497</v>
      </c>
    </row>
    <row r="1467" spans="1:4" x14ac:dyDescent="0.3">
      <c r="A1467" s="5" t="s">
        <v>48</v>
      </c>
      <c r="B1467" s="5" t="s">
        <v>49</v>
      </c>
      <c r="C1467" s="6">
        <v>1995</v>
      </c>
      <c r="D1467" s="7">
        <v>547989</v>
      </c>
    </row>
    <row r="1468" spans="1:4" x14ac:dyDescent="0.3">
      <c r="A1468" s="2" t="s">
        <v>48</v>
      </c>
      <c r="B1468" s="2" t="s">
        <v>49</v>
      </c>
      <c r="C1468" s="3">
        <v>1996</v>
      </c>
      <c r="D1468" s="4">
        <v>548784</v>
      </c>
    </row>
    <row r="1469" spans="1:4" x14ac:dyDescent="0.3">
      <c r="A1469" s="5" t="s">
        <v>48</v>
      </c>
      <c r="B1469" s="5" t="s">
        <v>49</v>
      </c>
      <c r="C1469" s="6">
        <v>1997</v>
      </c>
      <c r="D1469" s="7">
        <v>558697</v>
      </c>
    </row>
    <row r="1470" spans="1:4" x14ac:dyDescent="0.3">
      <c r="A1470" s="2" t="s">
        <v>48</v>
      </c>
      <c r="B1470" s="2" t="s">
        <v>49</v>
      </c>
      <c r="C1470" s="3">
        <v>1998</v>
      </c>
      <c r="D1470" s="4">
        <v>569435</v>
      </c>
    </row>
    <row r="1471" spans="1:4" x14ac:dyDescent="0.3">
      <c r="A1471" s="5" t="s">
        <v>48</v>
      </c>
      <c r="B1471" s="5" t="s">
        <v>49</v>
      </c>
      <c r="C1471" s="6">
        <v>1999</v>
      </c>
      <c r="D1471" s="7">
        <v>582579</v>
      </c>
    </row>
    <row r="1472" spans="1:4" x14ac:dyDescent="0.3">
      <c r="A1472" s="2" t="s">
        <v>48</v>
      </c>
      <c r="B1472" s="2" t="s">
        <v>49</v>
      </c>
      <c r="C1472" s="3">
        <v>2000</v>
      </c>
      <c r="D1472" s="4">
        <v>596863</v>
      </c>
    </row>
    <row r="1473" spans="1:4" x14ac:dyDescent="0.3">
      <c r="A1473" s="5" t="s">
        <v>48</v>
      </c>
      <c r="B1473" s="5" t="s">
        <v>49</v>
      </c>
      <c r="C1473" s="6">
        <v>2001</v>
      </c>
      <c r="D1473" s="7">
        <v>610794</v>
      </c>
    </row>
    <row r="1474" spans="1:4" x14ac:dyDescent="0.3">
      <c r="A1474" s="2" t="s">
        <v>48</v>
      </c>
      <c r="B1474" s="2" t="s">
        <v>49</v>
      </c>
      <c r="C1474" s="3">
        <v>2002</v>
      </c>
      <c r="D1474" s="4">
        <v>624409</v>
      </c>
    </row>
    <row r="1475" spans="1:4" x14ac:dyDescent="0.3">
      <c r="A1475" s="5" t="s">
        <v>48</v>
      </c>
      <c r="B1475" s="5" t="s">
        <v>49</v>
      </c>
      <c r="C1475" s="6">
        <v>2003</v>
      </c>
      <c r="D1475" s="7">
        <v>637663</v>
      </c>
    </row>
    <row r="1476" spans="1:4" x14ac:dyDescent="0.3">
      <c r="A1476" s="2" t="s">
        <v>48</v>
      </c>
      <c r="B1476" s="2" t="s">
        <v>49</v>
      </c>
      <c r="C1476" s="3">
        <v>2004</v>
      </c>
      <c r="D1476" s="4">
        <v>650544</v>
      </c>
    </row>
    <row r="1477" spans="1:4" x14ac:dyDescent="0.3">
      <c r="A1477" s="5" t="s">
        <v>48</v>
      </c>
      <c r="B1477" s="5" t="s">
        <v>49</v>
      </c>
      <c r="C1477" s="6">
        <v>2005</v>
      </c>
      <c r="D1477" s="7">
        <v>661865</v>
      </c>
    </row>
    <row r="1478" spans="1:4" x14ac:dyDescent="0.3">
      <c r="A1478" s="2" t="s">
        <v>48</v>
      </c>
      <c r="B1478" s="2" t="s">
        <v>49</v>
      </c>
      <c r="C1478" s="3">
        <v>2006</v>
      </c>
      <c r="D1478" s="4">
        <v>670799</v>
      </c>
    </row>
    <row r="1479" spans="1:4" x14ac:dyDescent="0.3">
      <c r="A1479" s="5" t="s">
        <v>48</v>
      </c>
      <c r="B1479" s="5" t="s">
        <v>49</v>
      </c>
      <c r="C1479" s="6">
        <v>2007</v>
      </c>
      <c r="D1479" s="7">
        <v>678641</v>
      </c>
    </row>
    <row r="1480" spans="1:4" x14ac:dyDescent="0.3">
      <c r="A1480" s="2" t="s">
        <v>48</v>
      </c>
      <c r="B1480" s="2" t="s">
        <v>49</v>
      </c>
      <c r="C1480" s="3">
        <v>2008</v>
      </c>
      <c r="D1480" s="4">
        <v>686351</v>
      </c>
    </row>
    <row r="1481" spans="1:4" x14ac:dyDescent="0.3">
      <c r="A1481" s="5" t="s">
        <v>48</v>
      </c>
      <c r="B1481" s="5" t="s">
        <v>49</v>
      </c>
      <c r="C1481" s="6">
        <v>2009</v>
      </c>
      <c r="D1481" s="7">
        <v>693988</v>
      </c>
    </row>
    <row r="1482" spans="1:4" x14ac:dyDescent="0.3">
      <c r="A1482" s="2" t="s">
        <v>48</v>
      </c>
      <c r="B1482" s="2" t="s">
        <v>49</v>
      </c>
      <c r="C1482" s="3">
        <v>2010</v>
      </c>
      <c r="D1482" s="4">
        <v>701632</v>
      </c>
    </row>
    <row r="1483" spans="1:4" x14ac:dyDescent="0.3">
      <c r="A1483" s="5" t="s">
        <v>48</v>
      </c>
      <c r="B1483" s="5" t="s">
        <v>49</v>
      </c>
      <c r="C1483" s="6">
        <v>2011</v>
      </c>
      <c r="D1483" s="7">
        <v>709377</v>
      </c>
    </row>
    <row r="1484" spans="1:4" x14ac:dyDescent="0.3">
      <c r="A1484" s="2" t="s">
        <v>48</v>
      </c>
      <c r="B1484" s="2" t="s">
        <v>49</v>
      </c>
      <c r="C1484" s="3">
        <v>2012</v>
      </c>
      <c r="D1484" s="4">
        <v>717279</v>
      </c>
    </row>
    <row r="1485" spans="1:4" x14ac:dyDescent="0.3">
      <c r="A1485" s="5" t="s">
        <v>48</v>
      </c>
      <c r="B1485" s="5" t="s">
        <v>49</v>
      </c>
      <c r="C1485" s="6">
        <v>2013</v>
      </c>
      <c r="D1485" s="7">
        <v>725273</v>
      </c>
    </row>
    <row r="1486" spans="1:4" x14ac:dyDescent="0.3">
      <c r="A1486" s="2" t="s">
        <v>48</v>
      </c>
      <c r="B1486" s="2" t="s">
        <v>49</v>
      </c>
      <c r="C1486" s="3">
        <v>2014</v>
      </c>
      <c r="D1486" s="4">
        <v>733139</v>
      </c>
    </row>
    <row r="1487" spans="1:4" x14ac:dyDescent="0.3">
      <c r="A1487" s="5" t="s">
        <v>48</v>
      </c>
      <c r="B1487" s="5" t="s">
        <v>49</v>
      </c>
      <c r="C1487" s="6">
        <v>2015</v>
      </c>
      <c r="D1487" s="7">
        <v>740618</v>
      </c>
    </row>
    <row r="1488" spans="1:4" x14ac:dyDescent="0.3">
      <c r="A1488" s="2" t="s">
        <v>48</v>
      </c>
      <c r="B1488" s="2" t="s">
        <v>49</v>
      </c>
      <c r="C1488" s="3">
        <v>2016</v>
      </c>
      <c r="D1488" s="4">
        <v>747866</v>
      </c>
    </row>
    <row r="1489" spans="1:4" x14ac:dyDescent="0.3">
      <c r="A1489" s="5" t="s">
        <v>48</v>
      </c>
      <c r="B1489" s="5" t="s">
        <v>49</v>
      </c>
      <c r="C1489" s="6">
        <v>2017</v>
      </c>
      <c r="D1489" s="7">
        <v>754335</v>
      </c>
    </row>
    <row r="1490" spans="1:4" x14ac:dyDescent="0.3">
      <c r="A1490" s="2" t="s">
        <v>48</v>
      </c>
      <c r="B1490" s="2" t="s">
        <v>49</v>
      </c>
      <c r="C1490" s="3">
        <v>2018</v>
      </c>
      <c r="D1490" s="4">
        <v>759759</v>
      </c>
    </row>
    <row r="1491" spans="1:4" x14ac:dyDescent="0.3">
      <c r="A1491" s="5" t="s">
        <v>48</v>
      </c>
      <c r="B1491" s="5" t="s">
        <v>49</v>
      </c>
      <c r="C1491" s="6">
        <v>2019</v>
      </c>
      <c r="D1491" s="7">
        <v>764824</v>
      </c>
    </row>
    <row r="1492" spans="1:4" x14ac:dyDescent="0.3">
      <c r="A1492" s="2" t="s">
        <v>48</v>
      </c>
      <c r="B1492" s="2" t="s">
        <v>49</v>
      </c>
      <c r="C1492" s="3">
        <v>2020</v>
      </c>
      <c r="D1492" s="4">
        <v>770006</v>
      </c>
    </row>
    <row r="1493" spans="1:4" x14ac:dyDescent="0.3">
      <c r="A1493" s="5" t="s">
        <v>48</v>
      </c>
      <c r="B1493" s="5" t="s">
        <v>49</v>
      </c>
      <c r="C1493" s="6">
        <v>2021</v>
      </c>
      <c r="D1493" s="7">
        <v>775442</v>
      </c>
    </row>
    <row r="1494" spans="1:4" x14ac:dyDescent="0.3">
      <c r="A1494" s="2" t="s">
        <v>48</v>
      </c>
      <c r="B1494" s="2" t="s">
        <v>49</v>
      </c>
      <c r="C1494" s="3">
        <v>2022</v>
      </c>
      <c r="D1494" s="4">
        <v>780914</v>
      </c>
    </row>
    <row r="1495" spans="1:4" x14ac:dyDescent="0.3">
      <c r="A1495" s="5" t="s">
        <v>48</v>
      </c>
      <c r="B1495" s="5" t="s">
        <v>49</v>
      </c>
      <c r="C1495" s="6">
        <v>2023</v>
      </c>
      <c r="D1495" s="7">
        <v>786385</v>
      </c>
    </row>
    <row r="1496" spans="1:4" x14ac:dyDescent="0.3">
      <c r="A1496" s="2" t="s">
        <v>48</v>
      </c>
      <c r="B1496" s="2" t="s">
        <v>49</v>
      </c>
      <c r="C1496" s="3">
        <v>2024</v>
      </c>
      <c r="D1496" s="4">
        <v>791524</v>
      </c>
    </row>
    <row r="1497" spans="1:4" x14ac:dyDescent="0.3">
      <c r="A1497" s="5" t="s">
        <v>50</v>
      </c>
      <c r="B1497" s="5" t="s">
        <v>51</v>
      </c>
      <c r="C1497" s="6">
        <v>1960</v>
      </c>
      <c r="D1497" s="7">
        <v>3702323</v>
      </c>
    </row>
    <row r="1498" spans="1:4" x14ac:dyDescent="0.3">
      <c r="A1498" s="2" t="s">
        <v>50</v>
      </c>
      <c r="B1498" s="2" t="s">
        <v>51</v>
      </c>
      <c r="C1498" s="3">
        <v>1961</v>
      </c>
      <c r="D1498" s="4">
        <v>3778731</v>
      </c>
    </row>
    <row r="1499" spans="1:4" x14ac:dyDescent="0.3">
      <c r="A1499" s="5" t="s">
        <v>50</v>
      </c>
      <c r="B1499" s="5" t="s">
        <v>51</v>
      </c>
      <c r="C1499" s="6">
        <v>1962</v>
      </c>
      <c r="D1499" s="7">
        <v>3857493</v>
      </c>
    </row>
    <row r="1500" spans="1:4" x14ac:dyDescent="0.3">
      <c r="A1500" s="2" t="s">
        <v>50</v>
      </c>
      <c r="B1500" s="2" t="s">
        <v>51</v>
      </c>
      <c r="C1500" s="3">
        <v>1963</v>
      </c>
      <c r="D1500" s="4">
        <v>3938913</v>
      </c>
    </row>
    <row r="1501" spans="1:4" x14ac:dyDescent="0.3">
      <c r="A1501" s="5" t="s">
        <v>50</v>
      </c>
      <c r="B1501" s="5" t="s">
        <v>51</v>
      </c>
      <c r="C1501" s="6">
        <v>1964</v>
      </c>
      <c r="D1501" s="7">
        <v>4022996</v>
      </c>
    </row>
    <row r="1502" spans="1:4" x14ac:dyDescent="0.3">
      <c r="A1502" s="2" t="s">
        <v>50</v>
      </c>
      <c r="B1502" s="2" t="s">
        <v>51</v>
      </c>
      <c r="C1502" s="3">
        <v>1965</v>
      </c>
      <c r="D1502" s="4">
        <v>4109796</v>
      </c>
    </row>
    <row r="1503" spans="1:4" x14ac:dyDescent="0.3">
      <c r="A1503" s="5" t="s">
        <v>50</v>
      </c>
      <c r="B1503" s="5" t="s">
        <v>51</v>
      </c>
      <c r="C1503" s="6">
        <v>1966</v>
      </c>
      <c r="D1503" s="7">
        <v>4199550</v>
      </c>
    </row>
    <row r="1504" spans="1:4" x14ac:dyDescent="0.3">
      <c r="A1504" s="2" t="s">
        <v>50</v>
      </c>
      <c r="B1504" s="2" t="s">
        <v>51</v>
      </c>
      <c r="C1504" s="3">
        <v>1967</v>
      </c>
      <c r="D1504" s="4">
        <v>4292572</v>
      </c>
    </row>
    <row r="1505" spans="1:4" x14ac:dyDescent="0.3">
      <c r="A1505" s="5" t="s">
        <v>50</v>
      </c>
      <c r="B1505" s="5" t="s">
        <v>51</v>
      </c>
      <c r="C1505" s="6">
        <v>1968</v>
      </c>
      <c r="D1505" s="7">
        <v>4388944</v>
      </c>
    </row>
    <row r="1506" spans="1:4" x14ac:dyDescent="0.3">
      <c r="A1506" s="2" t="s">
        <v>50</v>
      </c>
      <c r="B1506" s="2" t="s">
        <v>51</v>
      </c>
      <c r="C1506" s="3">
        <v>1969</v>
      </c>
      <c r="D1506" s="4">
        <v>4488232</v>
      </c>
    </row>
    <row r="1507" spans="1:4" x14ac:dyDescent="0.3">
      <c r="A1507" s="5" t="s">
        <v>50</v>
      </c>
      <c r="B1507" s="5" t="s">
        <v>51</v>
      </c>
      <c r="C1507" s="6">
        <v>1970</v>
      </c>
      <c r="D1507" s="7">
        <v>4590010</v>
      </c>
    </row>
    <row r="1508" spans="1:4" x14ac:dyDescent="0.3">
      <c r="A1508" s="2" t="s">
        <v>50</v>
      </c>
      <c r="B1508" s="2" t="s">
        <v>51</v>
      </c>
      <c r="C1508" s="3">
        <v>1971</v>
      </c>
      <c r="D1508" s="4">
        <v>4694342</v>
      </c>
    </row>
    <row r="1509" spans="1:4" x14ac:dyDescent="0.3">
      <c r="A1509" s="5" t="s">
        <v>50</v>
      </c>
      <c r="B1509" s="5" t="s">
        <v>51</v>
      </c>
      <c r="C1509" s="6">
        <v>1972</v>
      </c>
      <c r="D1509" s="7">
        <v>4800978</v>
      </c>
    </row>
    <row r="1510" spans="1:4" x14ac:dyDescent="0.3">
      <c r="A1510" s="2" t="s">
        <v>50</v>
      </c>
      <c r="B1510" s="2" t="s">
        <v>51</v>
      </c>
      <c r="C1510" s="3">
        <v>1973</v>
      </c>
      <c r="D1510" s="4">
        <v>4910200</v>
      </c>
    </row>
    <row r="1511" spans="1:4" x14ac:dyDescent="0.3">
      <c r="A1511" s="5" t="s">
        <v>50</v>
      </c>
      <c r="B1511" s="5" t="s">
        <v>51</v>
      </c>
      <c r="C1511" s="6">
        <v>1974</v>
      </c>
      <c r="D1511" s="7">
        <v>5022475</v>
      </c>
    </row>
    <row r="1512" spans="1:4" x14ac:dyDescent="0.3">
      <c r="A1512" s="2" t="s">
        <v>50</v>
      </c>
      <c r="B1512" s="2" t="s">
        <v>51</v>
      </c>
      <c r="C1512" s="3">
        <v>1975</v>
      </c>
      <c r="D1512" s="4">
        <v>5137539</v>
      </c>
    </row>
    <row r="1513" spans="1:4" x14ac:dyDescent="0.3">
      <c r="A1513" s="5" t="s">
        <v>50</v>
      </c>
      <c r="B1513" s="5" t="s">
        <v>51</v>
      </c>
      <c r="C1513" s="6">
        <v>1976</v>
      </c>
      <c r="D1513" s="7">
        <v>5256496</v>
      </c>
    </row>
    <row r="1514" spans="1:4" x14ac:dyDescent="0.3">
      <c r="A1514" s="2" t="s">
        <v>50</v>
      </c>
      <c r="B1514" s="2" t="s">
        <v>51</v>
      </c>
      <c r="C1514" s="3">
        <v>1977</v>
      </c>
      <c r="D1514" s="4">
        <v>5379166</v>
      </c>
    </row>
    <row r="1515" spans="1:4" x14ac:dyDescent="0.3">
      <c r="A1515" s="5" t="s">
        <v>50</v>
      </c>
      <c r="B1515" s="5" t="s">
        <v>51</v>
      </c>
      <c r="C1515" s="6">
        <v>1978</v>
      </c>
      <c r="D1515" s="7">
        <v>5504123</v>
      </c>
    </row>
    <row r="1516" spans="1:4" x14ac:dyDescent="0.3">
      <c r="A1516" s="2" t="s">
        <v>50</v>
      </c>
      <c r="B1516" s="2" t="s">
        <v>51</v>
      </c>
      <c r="C1516" s="3">
        <v>1979</v>
      </c>
      <c r="D1516" s="4">
        <v>5630849</v>
      </c>
    </row>
    <row r="1517" spans="1:4" x14ac:dyDescent="0.3">
      <c r="A1517" s="5" t="s">
        <v>50</v>
      </c>
      <c r="B1517" s="5" t="s">
        <v>51</v>
      </c>
      <c r="C1517" s="6">
        <v>1980</v>
      </c>
      <c r="D1517" s="7">
        <v>5758900</v>
      </c>
    </row>
    <row r="1518" spans="1:4" x14ac:dyDescent="0.3">
      <c r="A1518" s="2" t="s">
        <v>50</v>
      </c>
      <c r="B1518" s="2" t="s">
        <v>51</v>
      </c>
      <c r="C1518" s="3">
        <v>1981</v>
      </c>
      <c r="D1518" s="4">
        <v>5888109</v>
      </c>
    </row>
    <row r="1519" spans="1:4" x14ac:dyDescent="0.3">
      <c r="A1519" s="5" t="s">
        <v>50</v>
      </c>
      <c r="B1519" s="5" t="s">
        <v>51</v>
      </c>
      <c r="C1519" s="6">
        <v>1982</v>
      </c>
      <c r="D1519" s="7">
        <v>6018088</v>
      </c>
    </row>
    <row r="1520" spans="1:4" x14ac:dyDescent="0.3">
      <c r="A1520" s="2" t="s">
        <v>50</v>
      </c>
      <c r="B1520" s="2" t="s">
        <v>51</v>
      </c>
      <c r="C1520" s="3">
        <v>1983</v>
      </c>
      <c r="D1520" s="4">
        <v>6149060</v>
      </c>
    </row>
    <row r="1521" spans="1:4" x14ac:dyDescent="0.3">
      <c r="A1521" s="5" t="s">
        <v>50</v>
      </c>
      <c r="B1521" s="5" t="s">
        <v>51</v>
      </c>
      <c r="C1521" s="6">
        <v>1984</v>
      </c>
      <c r="D1521" s="7">
        <v>6281868</v>
      </c>
    </row>
    <row r="1522" spans="1:4" x14ac:dyDescent="0.3">
      <c r="A1522" s="2" t="s">
        <v>50</v>
      </c>
      <c r="B1522" s="2" t="s">
        <v>51</v>
      </c>
      <c r="C1522" s="3">
        <v>1985</v>
      </c>
      <c r="D1522" s="4">
        <v>6416185</v>
      </c>
    </row>
    <row r="1523" spans="1:4" x14ac:dyDescent="0.3">
      <c r="A1523" s="5" t="s">
        <v>50</v>
      </c>
      <c r="B1523" s="5" t="s">
        <v>51</v>
      </c>
      <c r="C1523" s="6">
        <v>1986</v>
      </c>
      <c r="D1523" s="7">
        <v>6552479</v>
      </c>
    </row>
    <row r="1524" spans="1:4" x14ac:dyDescent="0.3">
      <c r="A1524" s="2" t="s">
        <v>50</v>
      </c>
      <c r="B1524" s="2" t="s">
        <v>51</v>
      </c>
      <c r="C1524" s="3">
        <v>1987</v>
      </c>
      <c r="D1524" s="4">
        <v>6692162</v>
      </c>
    </row>
    <row r="1525" spans="1:4" x14ac:dyDescent="0.3">
      <c r="A1525" s="5" t="s">
        <v>50</v>
      </c>
      <c r="B1525" s="5" t="s">
        <v>51</v>
      </c>
      <c r="C1525" s="6">
        <v>1988</v>
      </c>
      <c r="D1525" s="7">
        <v>6835508</v>
      </c>
    </row>
    <row r="1526" spans="1:4" x14ac:dyDescent="0.3">
      <c r="A1526" s="2" t="s">
        <v>50</v>
      </c>
      <c r="B1526" s="2" t="s">
        <v>51</v>
      </c>
      <c r="C1526" s="3">
        <v>1989</v>
      </c>
      <c r="D1526" s="4">
        <v>6981766</v>
      </c>
    </row>
    <row r="1527" spans="1:4" x14ac:dyDescent="0.3">
      <c r="A1527" s="5" t="s">
        <v>50</v>
      </c>
      <c r="B1527" s="5" t="s">
        <v>51</v>
      </c>
      <c r="C1527" s="6">
        <v>1990</v>
      </c>
      <c r="D1527" s="7">
        <v>7130142</v>
      </c>
    </row>
    <row r="1528" spans="1:4" x14ac:dyDescent="0.3">
      <c r="A1528" s="2" t="s">
        <v>50</v>
      </c>
      <c r="B1528" s="2" t="s">
        <v>51</v>
      </c>
      <c r="C1528" s="3">
        <v>1991</v>
      </c>
      <c r="D1528" s="4">
        <v>7280289</v>
      </c>
    </row>
    <row r="1529" spans="1:4" x14ac:dyDescent="0.3">
      <c r="A1529" s="5" t="s">
        <v>50</v>
      </c>
      <c r="B1529" s="5" t="s">
        <v>51</v>
      </c>
      <c r="C1529" s="6">
        <v>1992</v>
      </c>
      <c r="D1529" s="7">
        <v>7430336</v>
      </c>
    </row>
    <row r="1530" spans="1:4" x14ac:dyDescent="0.3">
      <c r="A1530" s="2" t="s">
        <v>50</v>
      </c>
      <c r="B1530" s="2" t="s">
        <v>51</v>
      </c>
      <c r="C1530" s="3">
        <v>1993</v>
      </c>
      <c r="D1530" s="4">
        <v>7579195</v>
      </c>
    </row>
    <row r="1531" spans="1:4" x14ac:dyDescent="0.3">
      <c r="A1531" s="5" t="s">
        <v>50</v>
      </c>
      <c r="B1531" s="5" t="s">
        <v>51</v>
      </c>
      <c r="C1531" s="6">
        <v>1994</v>
      </c>
      <c r="D1531" s="7">
        <v>7727322</v>
      </c>
    </row>
    <row r="1532" spans="1:4" x14ac:dyDescent="0.3">
      <c r="A1532" s="2" t="s">
        <v>50</v>
      </c>
      <c r="B1532" s="2" t="s">
        <v>51</v>
      </c>
      <c r="C1532" s="3">
        <v>1995</v>
      </c>
      <c r="D1532" s="4">
        <v>7874676</v>
      </c>
    </row>
    <row r="1533" spans="1:4" x14ac:dyDescent="0.3">
      <c r="A1533" s="5" t="s">
        <v>50</v>
      </c>
      <c r="B1533" s="5" t="s">
        <v>51</v>
      </c>
      <c r="C1533" s="6">
        <v>1996</v>
      </c>
      <c r="D1533" s="7">
        <v>8021736</v>
      </c>
    </row>
    <row r="1534" spans="1:4" x14ac:dyDescent="0.3">
      <c r="A1534" s="2" t="s">
        <v>50</v>
      </c>
      <c r="B1534" s="2" t="s">
        <v>51</v>
      </c>
      <c r="C1534" s="3">
        <v>1997</v>
      </c>
      <c r="D1534" s="4">
        <v>8167900</v>
      </c>
    </row>
    <row r="1535" spans="1:4" x14ac:dyDescent="0.3">
      <c r="A1535" s="5" t="s">
        <v>50</v>
      </c>
      <c r="B1535" s="5" t="s">
        <v>51</v>
      </c>
      <c r="C1535" s="6">
        <v>1998</v>
      </c>
      <c r="D1535" s="7">
        <v>8313394</v>
      </c>
    </row>
    <row r="1536" spans="1:4" x14ac:dyDescent="0.3">
      <c r="A1536" s="2" t="s">
        <v>50</v>
      </c>
      <c r="B1536" s="2" t="s">
        <v>51</v>
      </c>
      <c r="C1536" s="3">
        <v>1999</v>
      </c>
      <c r="D1536" s="4">
        <v>8459806</v>
      </c>
    </row>
    <row r="1537" spans="1:4" x14ac:dyDescent="0.3">
      <c r="A1537" s="5" t="s">
        <v>50</v>
      </c>
      <c r="B1537" s="5" t="s">
        <v>51</v>
      </c>
      <c r="C1537" s="6">
        <v>2000</v>
      </c>
      <c r="D1537" s="7">
        <v>8606326</v>
      </c>
    </row>
    <row r="1538" spans="1:4" x14ac:dyDescent="0.3">
      <c r="A1538" s="2" t="s">
        <v>50</v>
      </c>
      <c r="B1538" s="2" t="s">
        <v>51</v>
      </c>
      <c r="C1538" s="3">
        <v>2001</v>
      </c>
      <c r="D1538" s="4">
        <v>8752736</v>
      </c>
    </row>
    <row r="1539" spans="1:4" x14ac:dyDescent="0.3">
      <c r="A1539" s="5" t="s">
        <v>50</v>
      </c>
      <c r="B1539" s="5" t="s">
        <v>51</v>
      </c>
      <c r="C1539" s="6">
        <v>2002</v>
      </c>
      <c r="D1539" s="7">
        <v>8900355</v>
      </c>
    </row>
    <row r="1540" spans="1:4" x14ac:dyDescent="0.3">
      <c r="A1540" s="2" t="s">
        <v>50</v>
      </c>
      <c r="B1540" s="2" t="s">
        <v>51</v>
      </c>
      <c r="C1540" s="3">
        <v>2003</v>
      </c>
      <c r="D1540" s="4">
        <v>9050700</v>
      </c>
    </row>
    <row r="1541" spans="1:4" x14ac:dyDescent="0.3">
      <c r="A1541" s="5" t="s">
        <v>50</v>
      </c>
      <c r="B1541" s="5" t="s">
        <v>51</v>
      </c>
      <c r="C1541" s="6">
        <v>2004</v>
      </c>
      <c r="D1541" s="7">
        <v>9204287</v>
      </c>
    </row>
    <row r="1542" spans="1:4" x14ac:dyDescent="0.3">
      <c r="A1542" s="2" t="s">
        <v>50</v>
      </c>
      <c r="B1542" s="2" t="s">
        <v>51</v>
      </c>
      <c r="C1542" s="3">
        <v>2005</v>
      </c>
      <c r="D1542" s="4">
        <v>9360754</v>
      </c>
    </row>
    <row r="1543" spans="1:4" x14ac:dyDescent="0.3">
      <c r="A1543" s="5" t="s">
        <v>50</v>
      </c>
      <c r="B1543" s="5" t="s">
        <v>51</v>
      </c>
      <c r="C1543" s="6">
        <v>2006</v>
      </c>
      <c r="D1543" s="7">
        <v>9521689</v>
      </c>
    </row>
    <row r="1544" spans="1:4" x14ac:dyDescent="0.3">
      <c r="A1544" s="2" t="s">
        <v>50</v>
      </c>
      <c r="B1544" s="2" t="s">
        <v>51</v>
      </c>
      <c r="C1544" s="3">
        <v>2007</v>
      </c>
      <c r="D1544" s="4">
        <v>9685960</v>
      </c>
    </row>
    <row r="1545" spans="1:4" x14ac:dyDescent="0.3">
      <c r="A1545" s="5" t="s">
        <v>50</v>
      </c>
      <c r="B1545" s="5" t="s">
        <v>51</v>
      </c>
      <c r="C1545" s="6">
        <v>2008</v>
      </c>
      <c r="D1545" s="7">
        <v>9850858</v>
      </c>
    </row>
    <row r="1546" spans="1:4" x14ac:dyDescent="0.3">
      <c r="A1546" s="2" t="s">
        <v>50</v>
      </c>
      <c r="B1546" s="2" t="s">
        <v>51</v>
      </c>
      <c r="C1546" s="3">
        <v>2009</v>
      </c>
      <c r="D1546" s="4">
        <v>10016275</v>
      </c>
    </row>
    <row r="1547" spans="1:4" x14ac:dyDescent="0.3">
      <c r="A1547" s="5" t="s">
        <v>50</v>
      </c>
      <c r="B1547" s="5" t="s">
        <v>51</v>
      </c>
      <c r="C1547" s="6">
        <v>2010</v>
      </c>
      <c r="D1547" s="7">
        <v>10182345</v>
      </c>
    </row>
    <row r="1548" spans="1:4" x14ac:dyDescent="0.3">
      <c r="A1548" s="2" t="s">
        <v>50</v>
      </c>
      <c r="B1548" s="2" t="s">
        <v>51</v>
      </c>
      <c r="C1548" s="3">
        <v>2011</v>
      </c>
      <c r="D1548" s="4">
        <v>10348929</v>
      </c>
    </row>
    <row r="1549" spans="1:4" x14ac:dyDescent="0.3">
      <c r="A1549" s="5" t="s">
        <v>50</v>
      </c>
      <c r="B1549" s="5" t="s">
        <v>51</v>
      </c>
      <c r="C1549" s="6">
        <v>2012</v>
      </c>
      <c r="D1549" s="7">
        <v>10515807</v>
      </c>
    </row>
    <row r="1550" spans="1:4" x14ac:dyDescent="0.3">
      <c r="A1550" s="2" t="s">
        <v>50</v>
      </c>
      <c r="B1550" s="2" t="s">
        <v>51</v>
      </c>
      <c r="C1550" s="3">
        <v>2013</v>
      </c>
      <c r="D1550" s="4">
        <v>10682608</v>
      </c>
    </row>
    <row r="1551" spans="1:4" x14ac:dyDescent="0.3">
      <c r="A1551" s="5" t="s">
        <v>50</v>
      </c>
      <c r="B1551" s="5" t="s">
        <v>51</v>
      </c>
      <c r="C1551" s="6">
        <v>2014</v>
      </c>
      <c r="D1551" s="7">
        <v>10848888</v>
      </c>
    </row>
    <row r="1552" spans="1:4" x14ac:dyDescent="0.3">
      <c r="A1552" s="2" t="s">
        <v>50</v>
      </c>
      <c r="B1552" s="2" t="s">
        <v>51</v>
      </c>
      <c r="C1552" s="3">
        <v>2015</v>
      </c>
      <c r="D1552" s="4">
        <v>11014705</v>
      </c>
    </row>
    <row r="1553" spans="1:4" x14ac:dyDescent="0.3">
      <c r="A1553" s="5" t="s">
        <v>50</v>
      </c>
      <c r="B1553" s="5" t="s">
        <v>51</v>
      </c>
      <c r="C1553" s="6">
        <v>2016</v>
      </c>
      <c r="D1553" s="7">
        <v>11180020</v>
      </c>
    </row>
    <row r="1554" spans="1:4" x14ac:dyDescent="0.3">
      <c r="A1554" s="2" t="s">
        <v>50</v>
      </c>
      <c r="B1554" s="2" t="s">
        <v>51</v>
      </c>
      <c r="C1554" s="3">
        <v>2017</v>
      </c>
      <c r="D1554" s="4">
        <v>11344587</v>
      </c>
    </row>
    <row r="1555" spans="1:4" x14ac:dyDescent="0.3">
      <c r="A1555" s="5" t="s">
        <v>50</v>
      </c>
      <c r="B1555" s="5" t="s">
        <v>51</v>
      </c>
      <c r="C1555" s="6">
        <v>2018</v>
      </c>
      <c r="D1555" s="7">
        <v>11508368</v>
      </c>
    </row>
    <row r="1556" spans="1:4" x14ac:dyDescent="0.3">
      <c r="A1556" s="2" t="s">
        <v>50</v>
      </c>
      <c r="B1556" s="2" t="s">
        <v>51</v>
      </c>
      <c r="C1556" s="3">
        <v>2019</v>
      </c>
      <c r="D1556" s="4">
        <v>11671386</v>
      </c>
    </row>
    <row r="1557" spans="1:4" x14ac:dyDescent="0.3">
      <c r="A1557" s="5" t="s">
        <v>50</v>
      </c>
      <c r="B1557" s="5" t="s">
        <v>51</v>
      </c>
      <c r="C1557" s="6">
        <v>2020</v>
      </c>
      <c r="D1557" s="7">
        <v>11816299</v>
      </c>
    </row>
    <row r="1558" spans="1:4" x14ac:dyDescent="0.3">
      <c r="A1558" s="2" t="s">
        <v>50</v>
      </c>
      <c r="B1558" s="2" t="s">
        <v>51</v>
      </c>
      <c r="C1558" s="3">
        <v>2021</v>
      </c>
      <c r="D1558" s="4">
        <v>11937360</v>
      </c>
    </row>
    <row r="1559" spans="1:4" x14ac:dyDescent="0.3">
      <c r="A1559" s="5" t="s">
        <v>50</v>
      </c>
      <c r="B1559" s="5" t="s">
        <v>51</v>
      </c>
      <c r="C1559" s="6">
        <v>2022</v>
      </c>
      <c r="D1559" s="7">
        <v>12077154</v>
      </c>
    </row>
    <row r="1560" spans="1:4" x14ac:dyDescent="0.3">
      <c r="A1560" s="2" t="s">
        <v>50</v>
      </c>
      <c r="B1560" s="2" t="s">
        <v>51</v>
      </c>
      <c r="C1560" s="3">
        <v>2023</v>
      </c>
      <c r="D1560" s="4">
        <v>12244159</v>
      </c>
    </row>
    <row r="1561" spans="1:4" x14ac:dyDescent="0.3">
      <c r="A1561" s="5" t="s">
        <v>50</v>
      </c>
      <c r="B1561" s="5" t="s">
        <v>51</v>
      </c>
      <c r="C1561" s="6">
        <v>2024</v>
      </c>
      <c r="D1561" s="7">
        <v>12413315</v>
      </c>
    </row>
    <row r="1562" spans="1:4" x14ac:dyDescent="0.3">
      <c r="A1562" s="2" t="s">
        <v>52</v>
      </c>
      <c r="B1562" s="2" t="s">
        <v>53</v>
      </c>
      <c r="C1562" s="3">
        <v>1960</v>
      </c>
      <c r="D1562" s="4">
        <v>3281381</v>
      </c>
    </row>
    <row r="1563" spans="1:4" x14ac:dyDescent="0.3">
      <c r="A1563" s="5" t="s">
        <v>52</v>
      </c>
      <c r="B1563" s="5" t="s">
        <v>53</v>
      </c>
      <c r="C1563" s="6">
        <v>1961</v>
      </c>
      <c r="D1563" s="7">
        <v>3348035</v>
      </c>
    </row>
    <row r="1564" spans="1:4" x14ac:dyDescent="0.3">
      <c r="A1564" s="2" t="s">
        <v>52</v>
      </c>
      <c r="B1564" s="2" t="s">
        <v>53</v>
      </c>
      <c r="C1564" s="3">
        <v>1962</v>
      </c>
      <c r="D1564" s="4">
        <v>3407532</v>
      </c>
    </row>
    <row r="1565" spans="1:4" x14ac:dyDescent="0.3">
      <c r="A1565" s="5" t="s">
        <v>52</v>
      </c>
      <c r="B1565" s="5" t="s">
        <v>53</v>
      </c>
      <c r="C1565" s="6">
        <v>1963</v>
      </c>
      <c r="D1565" s="7">
        <v>3461942</v>
      </c>
    </row>
    <row r="1566" spans="1:4" x14ac:dyDescent="0.3">
      <c r="A1566" s="2" t="s">
        <v>52</v>
      </c>
      <c r="B1566" s="2" t="s">
        <v>53</v>
      </c>
      <c r="C1566" s="3">
        <v>1964</v>
      </c>
      <c r="D1566" s="4">
        <v>3513441</v>
      </c>
    </row>
    <row r="1567" spans="1:4" x14ac:dyDescent="0.3">
      <c r="A1567" s="5" t="s">
        <v>52</v>
      </c>
      <c r="B1567" s="5" t="s">
        <v>53</v>
      </c>
      <c r="C1567" s="6">
        <v>1965</v>
      </c>
      <c r="D1567" s="7">
        <v>3562834</v>
      </c>
    </row>
    <row r="1568" spans="1:4" x14ac:dyDescent="0.3">
      <c r="A1568" s="2" t="s">
        <v>52</v>
      </c>
      <c r="B1568" s="2" t="s">
        <v>53</v>
      </c>
      <c r="C1568" s="3">
        <v>1966</v>
      </c>
      <c r="D1568" s="4">
        <v>3610562</v>
      </c>
    </row>
    <row r="1569" spans="1:4" x14ac:dyDescent="0.3">
      <c r="A1569" s="5" t="s">
        <v>52</v>
      </c>
      <c r="B1569" s="5" t="s">
        <v>53</v>
      </c>
      <c r="C1569" s="6">
        <v>1967</v>
      </c>
      <c r="D1569" s="7">
        <v>3656223</v>
      </c>
    </row>
    <row r="1570" spans="1:4" x14ac:dyDescent="0.3">
      <c r="A1570" s="2" t="s">
        <v>52</v>
      </c>
      <c r="B1570" s="2" t="s">
        <v>53</v>
      </c>
      <c r="C1570" s="3">
        <v>1968</v>
      </c>
      <c r="D1570" s="4">
        <v>3698794</v>
      </c>
    </row>
    <row r="1571" spans="1:4" x14ac:dyDescent="0.3">
      <c r="A1571" s="5" t="s">
        <v>52</v>
      </c>
      <c r="B1571" s="5" t="s">
        <v>53</v>
      </c>
      <c r="C1571" s="6">
        <v>1969</v>
      </c>
      <c r="D1571" s="7">
        <v>3737765</v>
      </c>
    </row>
    <row r="1572" spans="1:4" x14ac:dyDescent="0.3">
      <c r="A1572" s="2" t="s">
        <v>52</v>
      </c>
      <c r="B1572" s="2" t="s">
        <v>53</v>
      </c>
      <c r="C1572" s="3">
        <v>1970</v>
      </c>
      <c r="D1572" s="4">
        <v>3773247</v>
      </c>
    </row>
    <row r="1573" spans="1:4" x14ac:dyDescent="0.3">
      <c r="A1573" s="5" t="s">
        <v>52</v>
      </c>
      <c r="B1573" s="5" t="s">
        <v>53</v>
      </c>
      <c r="C1573" s="6">
        <v>1971</v>
      </c>
      <c r="D1573" s="7">
        <v>3809376</v>
      </c>
    </row>
    <row r="1574" spans="1:4" x14ac:dyDescent="0.3">
      <c r="A1574" s="2" t="s">
        <v>52</v>
      </c>
      <c r="B1574" s="2" t="s">
        <v>53</v>
      </c>
      <c r="C1574" s="3">
        <v>1972</v>
      </c>
      <c r="D1574" s="4">
        <v>3848271</v>
      </c>
    </row>
    <row r="1575" spans="1:4" x14ac:dyDescent="0.3">
      <c r="A1575" s="5" t="s">
        <v>52</v>
      </c>
      <c r="B1575" s="5" t="s">
        <v>53</v>
      </c>
      <c r="C1575" s="6">
        <v>1973</v>
      </c>
      <c r="D1575" s="7">
        <v>3887376</v>
      </c>
    </row>
    <row r="1576" spans="1:4" x14ac:dyDescent="0.3">
      <c r="A1576" s="2" t="s">
        <v>52</v>
      </c>
      <c r="B1576" s="2" t="s">
        <v>53</v>
      </c>
      <c r="C1576" s="3">
        <v>1974</v>
      </c>
      <c r="D1576" s="4">
        <v>3926472</v>
      </c>
    </row>
    <row r="1577" spans="1:4" x14ac:dyDescent="0.3">
      <c r="A1577" s="5" t="s">
        <v>52</v>
      </c>
      <c r="B1577" s="5" t="s">
        <v>53</v>
      </c>
      <c r="C1577" s="6">
        <v>1975</v>
      </c>
      <c r="D1577" s="7">
        <v>3965743</v>
      </c>
    </row>
    <row r="1578" spans="1:4" x14ac:dyDescent="0.3">
      <c r="A1578" s="2" t="s">
        <v>52</v>
      </c>
      <c r="B1578" s="2" t="s">
        <v>53</v>
      </c>
      <c r="C1578" s="3">
        <v>1976</v>
      </c>
      <c r="D1578" s="4">
        <v>4004552</v>
      </c>
    </row>
    <row r="1579" spans="1:4" x14ac:dyDescent="0.3">
      <c r="A1579" s="5" t="s">
        <v>52</v>
      </c>
      <c r="B1579" s="5" t="s">
        <v>53</v>
      </c>
      <c r="C1579" s="6">
        <v>1977</v>
      </c>
      <c r="D1579" s="7">
        <v>4042124</v>
      </c>
    </row>
    <row r="1580" spans="1:4" x14ac:dyDescent="0.3">
      <c r="A1580" s="2" t="s">
        <v>52</v>
      </c>
      <c r="B1580" s="2" t="s">
        <v>53</v>
      </c>
      <c r="C1580" s="3">
        <v>1978</v>
      </c>
      <c r="D1580" s="4">
        <v>4078240</v>
      </c>
    </row>
    <row r="1581" spans="1:4" x14ac:dyDescent="0.3">
      <c r="A1581" s="5" t="s">
        <v>52</v>
      </c>
      <c r="B1581" s="5" t="s">
        <v>53</v>
      </c>
      <c r="C1581" s="6">
        <v>1979</v>
      </c>
      <c r="D1581" s="7">
        <v>4113300</v>
      </c>
    </row>
    <row r="1582" spans="1:4" x14ac:dyDescent="0.3">
      <c r="A1582" s="2" t="s">
        <v>52</v>
      </c>
      <c r="B1582" s="2" t="s">
        <v>53</v>
      </c>
      <c r="C1582" s="3">
        <v>1980</v>
      </c>
      <c r="D1582" s="4">
        <v>4148426</v>
      </c>
    </row>
    <row r="1583" spans="1:4" x14ac:dyDescent="0.3">
      <c r="A1583" s="5" t="s">
        <v>52</v>
      </c>
      <c r="B1583" s="5" t="s">
        <v>53</v>
      </c>
      <c r="C1583" s="6">
        <v>1981</v>
      </c>
      <c r="D1583" s="7">
        <v>4184217</v>
      </c>
    </row>
    <row r="1584" spans="1:4" x14ac:dyDescent="0.3">
      <c r="A1584" s="2" t="s">
        <v>52</v>
      </c>
      <c r="B1584" s="2" t="s">
        <v>53</v>
      </c>
      <c r="C1584" s="3">
        <v>1982</v>
      </c>
      <c r="D1584" s="4">
        <v>4221100</v>
      </c>
    </row>
    <row r="1585" spans="1:4" x14ac:dyDescent="0.3">
      <c r="A1585" s="5" t="s">
        <v>52</v>
      </c>
      <c r="B1585" s="5" t="s">
        <v>53</v>
      </c>
      <c r="C1585" s="6">
        <v>1983</v>
      </c>
      <c r="D1585" s="7">
        <v>4258728</v>
      </c>
    </row>
    <row r="1586" spans="1:4" x14ac:dyDescent="0.3">
      <c r="A1586" s="2" t="s">
        <v>52</v>
      </c>
      <c r="B1586" s="2" t="s">
        <v>53</v>
      </c>
      <c r="C1586" s="3">
        <v>1984</v>
      </c>
      <c r="D1586" s="4">
        <v>4295536</v>
      </c>
    </row>
    <row r="1587" spans="1:4" x14ac:dyDescent="0.3">
      <c r="A1587" s="5" t="s">
        <v>52</v>
      </c>
      <c r="B1587" s="5" t="s">
        <v>53</v>
      </c>
      <c r="C1587" s="6">
        <v>1985</v>
      </c>
      <c r="D1587" s="7">
        <v>4330364</v>
      </c>
    </row>
    <row r="1588" spans="1:4" x14ac:dyDescent="0.3">
      <c r="A1588" s="2" t="s">
        <v>52</v>
      </c>
      <c r="B1588" s="2" t="s">
        <v>53</v>
      </c>
      <c r="C1588" s="3">
        <v>1986</v>
      </c>
      <c r="D1588" s="4">
        <v>4362115</v>
      </c>
    </row>
    <row r="1589" spans="1:4" x14ac:dyDescent="0.3">
      <c r="A1589" s="5" t="s">
        <v>52</v>
      </c>
      <c r="B1589" s="5" t="s">
        <v>53</v>
      </c>
      <c r="C1589" s="6">
        <v>1987</v>
      </c>
      <c r="D1589" s="7">
        <v>4390246</v>
      </c>
    </row>
    <row r="1590" spans="1:4" x14ac:dyDescent="0.3">
      <c r="A1590" s="2" t="s">
        <v>52</v>
      </c>
      <c r="B1590" s="2" t="s">
        <v>53</v>
      </c>
      <c r="C1590" s="3">
        <v>1988</v>
      </c>
      <c r="D1590" s="4">
        <v>4414404</v>
      </c>
    </row>
    <row r="1591" spans="1:4" x14ac:dyDescent="0.3">
      <c r="A1591" s="5" t="s">
        <v>52</v>
      </c>
      <c r="B1591" s="5" t="s">
        <v>53</v>
      </c>
      <c r="C1591" s="6">
        <v>1989</v>
      </c>
      <c r="D1591" s="7">
        <v>4433983</v>
      </c>
    </row>
    <row r="1592" spans="1:4" x14ac:dyDescent="0.3">
      <c r="A1592" s="2" t="s">
        <v>52</v>
      </c>
      <c r="B1592" s="2" t="s">
        <v>53</v>
      </c>
      <c r="C1592" s="3">
        <v>1990</v>
      </c>
      <c r="D1592" s="4">
        <v>4448652</v>
      </c>
    </row>
    <row r="1593" spans="1:4" x14ac:dyDescent="0.3">
      <c r="A1593" s="5" t="s">
        <v>52</v>
      </c>
      <c r="B1593" s="5" t="s">
        <v>53</v>
      </c>
      <c r="C1593" s="6">
        <v>1991</v>
      </c>
      <c r="D1593" s="7">
        <v>4458343</v>
      </c>
    </row>
    <row r="1594" spans="1:4" x14ac:dyDescent="0.3">
      <c r="A1594" s="2" t="s">
        <v>52</v>
      </c>
      <c r="B1594" s="2" t="s">
        <v>53</v>
      </c>
      <c r="C1594" s="3">
        <v>1992</v>
      </c>
      <c r="D1594" s="4">
        <v>4234616</v>
      </c>
    </row>
    <row r="1595" spans="1:4" x14ac:dyDescent="0.3">
      <c r="A1595" s="5" t="s">
        <v>52</v>
      </c>
      <c r="B1595" s="5" t="s">
        <v>53</v>
      </c>
      <c r="C1595" s="6">
        <v>1993</v>
      </c>
      <c r="D1595" s="7">
        <v>3904482</v>
      </c>
    </row>
    <row r="1596" spans="1:4" x14ac:dyDescent="0.3">
      <c r="A1596" s="2" t="s">
        <v>52</v>
      </c>
      <c r="B1596" s="2" t="s">
        <v>53</v>
      </c>
      <c r="C1596" s="3">
        <v>1994</v>
      </c>
      <c r="D1596" s="4">
        <v>3725412</v>
      </c>
    </row>
    <row r="1597" spans="1:4" x14ac:dyDescent="0.3">
      <c r="A1597" s="5" t="s">
        <v>52</v>
      </c>
      <c r="B1597" s="5" t="s">
        <v>53</v>
      </c>
      <c r="C1597" s="6">
        <v>1995</v>
      </c>
      <c r="D1597" s="7">
        <v>3715564</v>
      </c>
    </row>
    <row r="1598" spans="1:4" x14ac:dyDescent="0.3">
      <c r="A1598" s="2" t="s">
        <v>52</v>
      </c>
      <c r="B1598" s="2" t="s">
        <v>53</v>
      </c>
      <c r="C1598" s="3">
        <v>1996</v>
      </c>
      <c r="D1598" s="4">
        <v>3875246</v>
      </c>
    </row>
    <row r="1599" spans="1:4" x14ac:dyDescent="0.3">
      <c r="A1599" s="5" t="s">
        <v>52</v>
      </c>
      <c r="B1599" s="5" t="s">
        <v>53</v>
      </c>
      <c r="C1599" s="6">
        <v>1997</v>
      </c>
      <c r="D1599" s="7">
        <v>4018227</v>
      </c>
    </row>
    <row r="1600" spans="1:4" x14ac:dyDescent="0.3">
      <c r="A1600" s="2" t="s">
        <v>52</v>
      </c>
      <c r="B1600" s="2" t="s">
        <v>53</v>
      </c>
      <c r="C1600" s="3">
        <v>1998</v>
      </c>
      <c r="D1600" s="4">
        <v>4089356</v>
      </c>
    </row>
    <row r="1601" spans="1:4" x14ac:dyDescent="0.3">
      <c r="A1601" s="5" t="s">
        <v>52</v>
      </c>
      <c r="B1601" s="5" t="s">
        <v>53</v>
      </c>
      <c r="C1601" s="6">
        <v>1999</v>
      </c>
      <c r="D1601" s="7">
        <v>4130305</v>
      </c>
    </row>
    <row r="1602" spans="1:4" x14ac:dyDescent="0.3">
      <c r="A1602" s="2" t="s">
        <v>52</v>
      </c>
      <c r="B1602" s="2" t="s">
        <v>53</v>
      </c>
      <c r="C1602" s="3">
        <v>2000</v>
      </c>
      <c r="D1602" s="4">
        <v>4159771</v>
      </c>
    </row>
    <row r="1603" spans="1:4" x14ac:dyDescent="0.3">
      <c r="A1603" s="5" t="s">
        <v>52</v>
      </c>
      <c r="B1603" s="5" t="s">
        <v>53</v>
      </c>
      <c r="C1603" s="6">
        <v>2001</v>
      </c>
      <c r="D1603" s="7">
        <v>4179438</v>
      </c>
    </row>
    <row r="1604" spans="1:4" x14ac:dyDescent="0.3">
      <c r="A1604" s="2" t="s">
        <v>52</v>
      </c>
      <c r="B1604" s="2" t="s">
        <v>53</v>
      </c>
      <c r="C1604" s="3">
        <v>2002</v>
      </c>
      <c r="D1604" s="4">
        <v>4188002</v>
      </c>
    </row>
    <row r="1605" spans="1:4" x14ac:dyDescent="0.3">
      <c r="A1605" s="5" t="s">
        <v>52</v>
      </c>
      <c r="B1605" s="5" t="s">
        <v>53</v>
      </c>
      <c r="C1605" s="6">
        <v>2003</v>
      </c>
      <c r="D1605" s="7">
        <v>4178523</v>
      </c>
    </row>
    <row r="1606" spans="1:4" x14ac:dyDescent="0.3">
      <c r="A1606" s="2" t="s">
        <v>52</v>
      </c>
      <c r="B1606" s="2" t="s">
        <v>53</v>
      </c>
      <c r="C1606" s="3">
        <v>2004</v>
      </c>
      <c r="D1606" s="4">
        <v>4140987</v>
      </c>
    </row>
    <row r="1607" spans="1:4" x14ac:dyDescent="0.3">
      <c r="A1607" s="5" t="s">
        <v>52</v>
      </c>
      <c r="B1607" s="5" t="s">
        <v>53</v>
      </c>
      <c r="C1607" s="6">
        <v>2005</v>
      </c>
      <c r="D1607" s="7">
        <v>4096493</v>
      </c>
    </row>
    <row r="1608" spans="1:4" x14ac:dyDescent="0.3">
      <c r="A1608" s="2" t="s">
        <v>52</v>
      </c>
      <c r="B1608" s="2" t="s">
        <v>53</v>
      </c>
      <c r="C1608" s="3">
        <v>2006</v>
      </c>
      <c r="D1608" s="4">
        <v>4063272</v>
      </c>
    </row>
    <row r="1609" spans="1:4" x14ac:dyDescent="0.3">
      <c r="A1609" s="5" t="s">
        <v>52</v>
      </c>
      <c r="B1609" s="5" t="s">
        <v>53</v>
      </c>
      <c r="C1609" s="6">
        <v>2007</v>
      </c>
      <c r="D1609" s="7">
        <v>4013424</v>
      </c>
    </row>
    <row r="1610" spans="1:4" x14ac:dyDescent="0.3">
      <c r="A1610" s="2" t="s">
        <v>52</v>
      </c>
      <c r="B1610" s="2" t="s">
        <v>53</v>
      </c>
      <c r="C1610" s="3">
        <v>2008</v>
      </c>
      <c r="D1610" s="4">
        <v>3947544</v>
      </c>
    </row>
    <row r="1611" spans="1:4" x14ac:dyDescent="0.3">
      <c r="A1611" s="5" t="s">
        <v>52</v>
      </c>
      <c r="B1611" s="5" t="s">
        <v>53</v>
      </c>
      <c r="C1611" s="6">
        <v>2009</v>
      </c>
      <c r="D1611" s="7">
        <v>3879794</v>
      </c>
    </row>
    <row r="1612" spans="1:4" x14ac:dyDescent="0.3">
      <c r="A1612" s="2" t="s">
        <v>52</v>
      </c>
      <c r="B1612" s="2" t="s">
        <v>53</v>
      </c>
      <c r="C1612" s="3">
        <v>2010</v>
      </c>
      <c r="D1612" s="4">
        <v>3811472</v>
      </c>
    </row>
    <row r="1613" spans="1:4" x14ac:dyDescent="0.3">
      <c r="A1613" s="5" t="s">
        <v>52</v>
      </c>
      <c r="B1613" s="5" t="s">
        <v>53</v>
      </c>
      <c r="C1613" s="6">
        <v>2011</v>
      </c>
      <c r="D1613" s="7">
        <v>3741798</v>
      </c>
    </row>
    <row r="1614" spans="1:4" x14ac:dyDescent="0.3">
      <c r="A1614" s="2" t="s">
        <v>52</v>
      </c>
      <c r="B1614" s="2" t="s">
        <v>53</v>
      </c>
      <c r="C1614" s="3">
        <v>2012</v>
      </c>
      <c r="D1614" s="4">
        <v>3670113</v>
      </c>
    </row>
    <row r="1615" spans="1:4" x14ac:dyDescent="0.3">
      <c r="A1615" s="5" t="s">
        <v>52</v>
      </c>
      <c r="B1615" s="5" t="s">
        <v>53</v>
      </c>
      <c r="C1615" s="6">
        <v>2013</v>
      </c>
      <c r="D1615" s="7">
        <v>3610859</v>
      </c>
    </row>
    <row r="1616" spans="1:4" x14ac:dyDescent="0.3">
      <c r="A1616" s="2" t="s">
        <v>52</v>
      </c>
      <c r="B1616" s="2" t="s">
        <v>53</v>
      </c>
      <c r="C1616" s="3">
        <v>2014</v>
      </c>
      <c r="D1616" s="4">
        <v>3564829</v>
      </c>
    </row>
    <row r="1617" spans="1:4" x14ac:dyDescent="0.3">
      <c r="A1617" s="5" t="s">
        <v>52</v>
      </c>
      <c r="B1617" s="5" t="s">
        <v>53</v>
      </c>
      <c r="C1617" s="6">
        <v>2015</v>
      </c>
      <c r="D1617" s="7">
        <v>3518541</v>
      </c>
    </row>
    <row r="1618" spans="1:4" x14ac:dyDescent="0.3">
      <c r="A1618" s="2" t="s">
        <v>52</v>
      </c>
      <c r="B1618" s="2" t="s">
        <v>53</v>
      </c>
      <c r="C1618" s="3">
        <v>2016</v>
      </c>
      <c r="D1618" s="4">
        <v>3473003</v>
      </c>
    </row>
    <row r="1619" spans="1:4" x14ac:dyDescent="0.3">
      <c r="A1619" s="5" t="s">
        <v>52</v>
      </c>
      <c r="B1619" s="5" t="s">
        <v>53</v>
      </c>
      <c r="C1619" s="6">
        <v>2017</v>
      </c>
      <c r="D1619" s="7">
        <v>3428682</v>
      </c>
    </row>
    <row r="1620" spans="1:4" x14ac:dyDescent="0.3">
      <c r="A1620" s="2" t="s">
        <v>52</v>
      </c>
      <c r="B1620" s="2" t="s">
        <v>53</v>
      </c>
      <c r="C1620" s="3">
        <v>2018</v>
      </c>
      <c r="D1620" s="4">
        <v>3387000</v>
      </c>
    </row>
    <row r="1621" spans="1:4" x14ac:dyDescent="0.3">
      <c r="A1621" s="5" t="s">
        <v>52</v>
      </c>
      <c r="B1621" s="5" t="s">
        <v>53</v>
      </c>
      <c r="C1621" s="6">
        <v>2019</v>
      </c>
      <c r="D1621" s="7">
        <v>3345533</v>
      </c>
    </row>
    <row r="1622" spans="1:4" x14ac:dyDescent="0.3">
      <c r="A1622" s="2" t="s">
        <v>52</v>
      </c>
      <c r="B1622" s="2" t="s">
        <v>53</v>
      </c>
      <c r="C1622" s="3">
        <v>2020</v>
      </c>
      <c r="D1622" s="4">
        <v>3299349</v>
      </c>
    </row>
    <row r="1623" spans="1:4" x14ac:dyDescent="0.3">
      <c r="A1623" s="5" t="s">
        <v>52</v>
      </c>
      <c r="B1623" s="5" t="s">
        <v>53</v>
      </c>
      <c r="C1623" s="6">
        <v>2021</v>
      </c>
      <c r="D1623" s="7">
        <v>3244907</v>
      </c>
    </row>
    <row r="1624" spans="1:4" x14ac:dyDescent="0.3">
      <c r="A1624" s="2" t="s">
        <v>52</v>
      </c>
      <c r="B1624" s="2" t="s">
        <v>53</v>
      </c>
      <c r="C1624" s="3">
        <v>2022</v>
      </c>
      <c r="D1624" s="4">
        <v>3204802</v>
      </c>
    </row>
    <row r="1625" spans="1:4" x14ac:dyDescent="0.3">
      <c r="A1625" s="5" t="s">
        <v>52</v>
      </c>
      <c r="B1625" s="5" t="s">
        <v>53</v>
      </c>
      <c r="C1625" s="6">
        <v>2023</v>
      </c>
      <c r="D1625" s="7">
        <v>3185073</v>
      </c>
    </row>
    <row r="1626" spans="1:4" x14ac:dyDescent="0.3">
      <c r="A1626" s="2" t="s">
        <v>52</v>
      </c>
      <c r="B1626" s="2" t="s">
        <v>53</v>
      </c>
      <c r="C1626" s="3">
        <v>2024</v>
      </c>
      <c r="D1626" s="4">
        <v>3164253</v>
      </c>
    </row>
    <row r="1627" spans="1:4" x14ac:dyDescent="0.3">
      <c r="A1627" s="5" t="s">
        <v>54</v>
      </c>
      <c r="B1627" s="5" t="s">
        <v>55</v>
      </c>
      <c r="C1627" s="6">
        <v>1960</v>
      </c>
      <c r="D1627" s="7">
        <v>516165</v>
      </c>
    </row>
    <row r="1628" spans="1:4" x14ac:dyDescent="0.3">
      <c r="A1628" s="2" t="s">
        <v>54</v>
      </c>
      <c r="B1628" s="2" t="s">
        <v>55</v>
      </c>
      <c r="C1628" s="3">
        <v>1961</v>
      </c>
      <c r="D1628" s="4">
        <v>527942</v>
      </c>
    </row>
    <row r="1629" spans="1:4" x14ac:dyDescent="0.3">
      <c r="A1629" s="5" t="s">
        <v>54</v>
      </c>
      <c r="B1629" s="5" t="s">
        <v>55</v>
      </c>
      <c r="C1629" s="6">
        <v>1962</v>
      </c>
      <c r="D1629" s="7">
        <v>540186</v>
      </c>
    </row>
    <row r="1630" spans="1:4" x14ac:dyDescent="0.3">
      <c r="A1630" s="2" t="s">
        <v>54</v>
      </c>
      <c r="B1630" s="2" t="s">
        <v>55</v>
      </c>
      <c r="C1630" s="3">
        <v>1963</v>
      </c>
      <c r="D1630" s="4">
        <v>552966</v>
      </c>
    </row>
    <row r="1631" spans="1:4" x14ac:dyDescent="0.3">
      <c r="A1631" s="5" t="s">
        <v>54</v>
      </c>
      <c r="B1631" s="5" t="s">
        <v>55</v>
      </c>
      <c r="C1631" s="6">
        <v>1964</v>
      </c>
      <c r="D1631" s="7">
        <v>566266</v>
      </c>
    </row>
    <row r="1632" spans="1:4" x14ac:dyDescent="0.3">
      <c r="A1632" s="2" t="s">
        <v>54</v>
      </c>
      <c r="B1632" s="2" t="s">
        <v>55</v>
      </c>
      <c r="C1632" s="3">
        <v>1965</v>
      </c>
      <c r="D1632" s="4">
        <v>574664</v>
      </c>
    </row>
    <row r="1633" spans="1:4" x14ac:dyDescent="0.3">
      <c r="A1633" s="5" t="s">
        <v>54</v>
      </c>
      <c r="B1633" s="5" t="s">
        <v>55</v>
      </c>
      <c r="C1633" s="6">
        <v>1966</v>
      </c>
      <c r="D1633" s="7">
        <v>577866</v>
      </c>
    </row>
    <row r="1634" spans="1:4" x14ac:dyDescent="0.3">
      <c r="A1634" s="2" t="s">
        <v>54</v>
      </c>
      <c r="B1634" s="2" t="s">
        <v>55</v>
      </c>
      <c r="C1634" s="3">
        <v>1967</v>
      </c>
      <c r="D1634" s="4">
        <v>580933</v>
      </c>
    </row>
    <row r="1635" spans="1:4" x14ac:dyDescent="0.3">
      <c r="A1635" s="5" t="s">
        <v>54</v>
      </c>
      <c r="B1635" s="5" t="s">
        <v>55</v>
      </c>
      <c r="C1635" s="6">
        <v>1968</v>
      </c>
      <c r="D1635" s="7">
        <v>583966</v>
      </c>
    </row>
    <row r="1636" spans="1:4" x14ac:dyDescent="0.3">
      <c r="A1636" s="2" t="s">
        <v>54</v>
      </c>
      <c r="B1636" s="2" t="s">
        <v>55</v>
      </c>
      <c r="C1636" s="3">
        <v>1969</v>
      </c>
      <c r="D1636" s="4">
        <v>587066</v>
      </c>
    </row>
    <row r="1637" spans="1:4" x14ac:dyDescent="0.3">
      <c r="A1637" s="5" t="s">
        <v>54</v>
      </c>
      <c r="B1637" s="5" t="s">
        <v>55</v>
      </c>
      <c r="C1637" s="6">
        <v>1970</v>
      </c>
      <c r="D1637" s="7">
        <v>590334</v>
      </c>
    </row>
    <row r="1638" spans="1:4" x14ac:dyDescent="0.3">
      <c r="A1638" s="2" t="s">
        <v>54</v>
      </c>
      <c r="B1638" s="2" t="s">
        <v>55</v>
      </c>
      <c r="C1638" s="3">
        <v>1971</v>
      </c>
      <c r="D1638" s="4">
        <v>600481</v>
      </c>
    </row>
    <row r="1639" spans="1:4" x14ac:dyDescent="0.3">
      <c r="A1639" s="5" t="s">
        <v>54</v>
      </c>
      <c r="B1639" s="5" t="s">
        <v>55</v>
      </c>
      <c r="C1639" s="6">
        <v>1972</v>
      </c>
      <c r="D1639" s="7">
        <v>622407</v>
      </c>
    </row>
    <row r="1640" spans="1:4" x14ac:dyDescent="0.3">
      <c r="A1640" s="2" t="s">
        <v>54</v>
      </c>
      <c r="B1640" s="2" t="s">
        <v>55</v>
      </c>
      <c r="C1640" s="3">
        <v>1973</v>
      </c>
      <c r="D1640" s="4">
        <v>652408</v>
      </c>
    </row>
    <row r="1641" spans="1:4" x14ac:dyDescent="0.3">
      <c r="A1641" s="5" t="s">
        <v>54</v>
      </c>
      <c r="B1641" s="5" t="s">
        <v>55</v>
      </c>
      <c r="C1641" s="6">
        <v>1974</v>
      </c>
      <c r="D1641" s="7">
        <v>685448</v>
      </c>
    </row>
    <row r="1642" spans="1:4" x14ac:dyDescent="0.3">
      <c r="A1642" s="2" t="s">
        <v>54</v>
      </c>
      <c r="B1642" s="2" t="s">
        <v>55</v>
      </c>
      <c r="C1642" s="3">
        <v>1975</v>
      </c>
      <c r="D1642" s="4">
        <v>720380</v>
      </c>
    </row>
    <row r="1643" spans="1:4" x14ac:dyDescent="0.3">
      <c r="A1643" s="5" t="s">
        <v>54</v>
      </c>
      <c r="B1643" s="5" t="s">
        <v>55</v>
      </c>
      <c r="C1643" s="6">
        <v>1976</v>
      </c>
      <c r="D1643" s="7">
        <v>758508</v>
      </c>
    </row>
    <row r="1644" spans="1:4" x14ac:dyDescent="0.3">
      <c r="A1644" s="2" t="s">
        <v>54</v>
      </c>
      <c r="B1644" s="2" t="s">
        <v>55</v>
      </c>
      <c r="C1644" s="3">
        <v>1977</v>
      </c>
      <c r="D1644" s="4">
        <v>799574</v>
      </c>
    </row>
    <row r="1645" spans="1:4" x14ac:dyDescent="0.3">
      <c r="A1645" s="5" t="s">
        <v>54</v>
      </c>
      <c r="B1645" s="5" t="s">
        <v>55</v>
      </c>
      <c r="C1645" s="6">
        <v>1978</v>
      </c>
      <c r="D1645" s="7">
        <v>849239</v>
      </c>
    </row>
    <row r="1646" spans="1:4" x14ac:dyDescent="0.3">
      <c r="A1646" s="2" t="s">
        <v>54</v>
      </c>
      <c r="B1646" s="2" t="s">
        <v>55</v>
      </c>
      <c r="C1646" s="3">
        <v>1979</v>
      </c>
      <c r="D1646" s="4">
        <v>901742</v>
      </c>
    </row>
    <row r="1647" spans="1:4" x14ac:dyDescent="0.3">
      <c r="A1647" s="5" t="s">
        <v>54</v>
      </c>
      <c r="B1647" s="5" t="s">
        <v>55</v>
      </c>
      <c r="C1647" s="6">
        <v>1980</v>
      </c>
      <c r="D1647" s="7">
        <v>937485</v>
      </c>
    </row>
    <row r="1648" spans="1:4" x14ac:dyDescent="0.3">
      <c r="A1648" s="2" t="s">
        <v>54</v>
      </c>
      <c r="B1648" s="2" t="s">
        <v>55</v>
      </c>
      <c r="C1648" s="3">
        <v>1981</v>
      </c>
      <c r="D1648" s="4">
        <v>969996</v>
      </c>
    </row>
    <row r="1649" spans="1:4" x14ac:dyDescent="0.3">
      <c r="A1649" s="5" t="s">
        <v>54</v>
      </c>
      <c r="B1649" s="5" t="s">
        <v>55</v>
      </c>
      <c r="C1649" s="6">
        <v>1982</v>
      </c>
      <c r="D1649" s="7">
        <v>1009269</v>
      </c>
    </row>
    <row r="1650" spans="1:4" x14ac:dyDescent="0.3">
      <c r="A1650" s="2" t="s">
        <v>54</v>
      </c>
      <c r="B1650" s="2" t="s">
        <v>55</v>
      </c>
      <c r="C1650" s="3">
        <v>1983</v>
      </c>
      <c r="D1650" s="4">
        <v>1046137</v>
      </c>
    </row>
    <row r="1651" spans="1:4" x14ac:dyDescent="0.3">
      <c r="A1651" s="5" t="s">
        <v>54</v>
      </c>
      <c r="B1651" s="5" t="s">
        <v>55</v>
      </c>
      <c r="C1651" s="6">
        <v>1984</v>
      </c>
      <c r="D1651" s="7">
        <v>1083660</v>
      </c>
    </row>
    <row r="1652" spans="1:4" x14ac:dyDescent="0.3">
      <c r="A1652" s="2" t="s">
        <v>54</v>
      </c>
      <c r="B1652" s="2" t="s">
        <v>55</v>
      </c>
      <c r="C1652" s="3">
        <v>1985</v>
      </c>
      <c r="D1652" s="4">
        <v>1121945</v>
      </c>
    </row>
    <row r="1653" spans="1:4" x14ac:dyDescent="0.3">
      <c r="A1653" s="5" t="s">
        <v>54</v>
      </c>
      <c r="B1653" s="5" t="s">
        <v>55</v>
      </c>
      <c r="C1653" s="6">
        <v>1986</v>
      </c>
      <c r="D1653" s="7">
        <v>1160650</v>
      </c>
    </row>
    <row r="1654" spans="1:4" x14ac:dyDescent="0.3">
      <c r="A1654" s="2" t="s">
        <v>54</v>
      </c>
      <c r="B1654" s="2" t="s">
        <v>55</v>
      </c>
      <c r="C1654" s="3">
        <v>1987</v>
      </c>
      <c r="D1654" s="4">
        <v>1199167</v>
      </c>
    </row>
    <row r="1655" spans="1:4" x14ac:dyDescent="0.3">
      <c r="A1655" s="5" t="s">
        <v>54</v>
      </c>
      <c r="B1655" s="5" t="s">
        <v>55</v>
      </c>
      <c r="C1655" s="6">
        <v>1988</v>
      </c>
      <c r="D1655" s="7">
        <v>1235476</v>
      </c>
    </row>
    <row r="1656" spans="1:4" x14ac:dyDescent="0.3">
      <c r="A1656" s="2" t="s">
        <v>54</v>
      </c>
      <c r="B1656" s="2" t="s">
        <v>55</v>
      </c>
      <c r="C1656" s="3">
        <v>1989</v>
      </c>
      <c r="D1656" s="4">
        <v>1270274</v>
      </c>
    </row>
    <row r="1657" spans="1:4" x14ac:dyDescent="0.3">
      <c r="A1657" s="5" t="s">
        <v>54</v>
      </c>
      <c r="B1657" s="5" t="s">
        <v>55</v>
      </c>
      <c r="C1657" s="6">
        <v>1990</v>
      </c>
      <c r="D1657" s="7">
        <v>1305696</v>
      </c>
    </row>
    <row r="1658" spans="1:4" x14ac:dyDescent="0.3">
      <c r="A1658" s="2" t="s">
        <v>54</v>
      </c>
      <c r="B1658" s="2" t="s">
        <v>55</v>
      </c>
      <c r="C1658" s="3">
        <v>1991</v>
      </c>
      <c r="D1658" s="4">
        <v>1341756</v>
      </c>
    </row>
    <row r="1659" spans="1:4" x14ac:dyDescent="0.3">
      <c r="A1659" s="5" t="s">
        <v>54</v>
      </c>
      <c r="B1659" s="5" t="s">
        <v>55</v>
      </c>
      <c r="C1659" s="6">
        <v>1992</v>
      </c>
      <c r="D1659" s="7">
        <v>1380033</v>
      </c>
    </row>
    <row r="1660" spans="1:4" x14ac:dyDescent="0.3">
      <c r="A1660" s="2" t="s">
        <v>54</v>
      </c>
      <c r="B1660" s="2" t="s">
        <v>55</v>
      </c>
      <c r="C1660" s="3">
        <v>1993</v>
      </c>
      <c r="D1660" s="4">
        <v>1420115</v>
      </c>
    </row>
    <row r="1661" spans="1:4" x14ac:dyDescent="0.3">
      <c r="A1661" s="5" t="s">
        <v>54</v>
      </c>
      <c r="B1661" s="5" t="s">
        <v>55</v>
      </c>
      <c r="C1661" s="6">
        <v>1994</v>
      </c>
      <c r="D1661" s="7">
        <v>1460023</v>
      </c>
    </row>
    <row r="1662" spans="1:4" x14ac:dyDescent="0.3">
      <c r="A1662" s="2" t="s">
        <v>54</v>
      </c>
      <c r="B1662" s="2" t="s">
        <v>55</v>
      </c>
      <c r="C1662" s="3">
        <v>1995</v>
      </c>
      <c r="D1662" s="4">
        <v>1498836</v>
      </c>
    </row>
    <row r="1663" spans="1:4" x14ac:dyDescent="0.3">
      <c r="A1663" s="5" t="s">
        <v>54</v>
      </c>
      <c r="B1663" s="5" t="s">
        <v>55</v>
      </c>
      <c r="C1663" s="6">
        <v>1996</v>
      </c>
      <c r="D1663" s="7">
        <v>1535914</v>
      </c>
    </row>
    <row r="1664" spans="1:4" x14ac:dyDescent="0.3">
      <c r="A1664" s="2" t="s">
        <v>54</v>
      </c>
      <c r="B1664" s="2" t="s">
        <v>55</v>
      </c>
      <c r="C1664" s="3">
        <v>1997</v>
      </c>
      <c r="D1664" s="4">
        <v>1571691</v>
      </c>
    </row>
    <row r="1665" spans="1:4" x14ac:dyDescent="0.3">
      <c r="A1665" s="5" t="s">
        <v>54</v>
      </c>
      <c r="B1665" s="5" t="s">
        <v>55</v>
      </c>
      <c r="C1665" s="6">
        <v>1998</v>
      </c>
      <c r="D1665" s="7">
        <v>1606899</v>
      </c>
    </row>
    <row r="1666" spans="1:4" x14ac:dyDescent="0.3">
      <c r="A1666" s="2" t="s">
        <v>54</v>
      </c>
      <c r="B1666" s="2" t="s">
        <v>55</v>
      </c>
      <c r="C1666" s="3">
        <v>1999</v>
      </c>
      <c r="D1666" s="4">
        <v>1641997</v>
      </c>
    </row>
    <row r="1667" spans="1:4" x14ac:dyDescent="0.3">
      <c r="A1667" s="5" t="s">
        <v>54</v>
      </c>
      <c r="B1667" s="5" t="s">
        <v>55</v>
      </c>
      <c r="C1667" s="6">
        <v>2000</v>
      </c>
      <c r="D1667" s="7">
        <v>1677382</v>
      </c>
    </row>
    <row r="1668" spans="1:4" x14ac:dyDescent="0.3">
      <c r="A1668" s="2" t="s">
        <v>54</v>
      </c>
      <c r="B1668" s="2" t="s">
        <v>55</v>
      </c>
      <c r="C1668" s="3">
        <v>2001</v>
      </c>
      <c r="D1668" s="4">
        <v>1712254</v>
      </c>
    </row>
    <row r="1669" spans="1:4" x14ac:dyDescent="0.3">
      <c r="A1669" s="5" t="s">
        <v>54</v>
      </c>
      <c r="B1669" s="5" t="s">
        <v>55</v>
      </c>
      <c r="C1669" s="6">
        <v>2002</v>
      </c>
      <c r="D1669" s="7">
        <v>1744763</v>
      </c>
    </row>
    <row r="1670" spans="1:4" x14ac:dyDescent="0.3">
      <c r="A1670" s="2" t="s">
        <v>54</v>
      </c>
      <c r="B1670" s="2" t="s">
        <v>55</v>
      </c>
      <c r="C1670" s="3">
        <v>2003</v>
      </c>
      <c r="D1670" s="4">
        <v>1775736</v>
      </c>
    </row>
    <row r="1671" spans="1:4" x14ac:dyDescent="0.3">
      <c r="A1671" s="5" t="s">
        <v>54</v>
      </c>
      <c r="B1671" s="5" t="s">
        <v>55</v>
      </c>
      <c r="C1671" s="6">
        <v>2004</v>
      </c>
      <c r="D1671" s="7">
        <v>1807146</v>
      </c>
    </row>
    <row r="1672" spans="1:4" x14ac:dyDescent="0.3">
      <c r="A1672" s="2" t="s">
        <v>54</v>
      </c>
      <c r="B1672" s="2" t="s">
        <v>55</v>
      </c>
      <c r="C1672" s="3">
        <v>2005</v>
      </c>
      <c r="D1672" s="4">
        <v>1839877</v>
      </c>
    </row>
    <row r="1673" spans="1:4" x14ac:dyDescent="0.3">
      <c r="A1673" s="5" t="s">
        <v>54</v>
      </c>
      <c r="B1673" s="5" t="s">
        <v>55</v>
      </c>
      <c r="C1673" s="6">
        <v>2006</v>
      </c>
      <c r="D1673" s="7">
        <v>1874516</v>
      </c>
    </row>
    <row r="1674" spans="1:4" x14ac:dyDescent="0.3">
      <c r="A1674" s="2" t="s">
        <v>54</v>
      </c>
      <c r="B1674" s="2" t="s">
        <v>55</v>
      </c>
      <c r="C1674" s="3">
        <v>2007</v>
      </c>
      <c r="D1674" s="4">
        <v>1911201</v>
      </c>
    </row>
    <row r="1675" spans="1:4" x14ac:dyDescent="0.3">
      <c r="A1675" s="5" t="s">
        <v>54</v>
      </c>
      <c r="B1675" s="5" t="s">
        <v>55</v>
      </c>
      <c r="C1675" s="6">
        <v>2008</v>
      </c>
      <c r="D1675" s="7">
        <v>1949970</v>
      </c>
    </row>
    <row r="1676" spans="1:4" x14ac:dyDescent="0.3">
      <c r="A1676" s="2" t="s">
        <v>54</v>
      </c>
      <c r="B1676" s="2" t="s">
        <v>55</v>
      </c>
      <c r="C1676" s="3">
        <v>2009</v>
      </c>
      <c r="D1676" s="4">
        <v>1990673</v>
      </c>
    </row>
    <row r="1677" spans="1:4" x14ac:dyDescent="0.3">
      <c r="A1677" s="5" t="s">
        <v>54</v>
      </c>
      <c r="B1677" s="5" t="s">
        <v>55</v>
      </c>
      <c r="C1677" s="6">
        <v>2010</v>
      </c>
      <c r="D1677" s="7">
        <v>2033111</v>
      </c>
    </row>
    <row r="1678" spans="1:4" x14ac:dyDescent="0.3">
      <c r="A1678" s="2" t="s">
        <v>54</v>
      </c>
      <c r="B1678" s="2" t="s">
        <v>55</v>
      </c>
      <c r="C1678" s="3">
        <v>2011</v>
      </c>
      <c r="D1678" s="4">
        <v>2073535</v>
      </c>
    </row>
    <row r="1679" spans="1:4" x14ac:dyDescent="0.3">
      <c r="A1679" s="5" t="s">
        <v>54</v>
      </c>
      <c r="B1679" s="5" t="s">
        <v>55</v>
      </c>
      <c r="C1679" s="6">
        <v>2012</v>
      </c>
      <c r="D1679" s="7">
        <v>2108617</v>
      </c>
    </row>
    <row r="1680" spans="1:4" x14ac:dyDescent="0.3">
      <c r="A1680" s="2" t="s">
        <v>54</v>
      </c>
      <c r="B1680" s="2" t="s">
        <v>55</v>
      </c>
      <c r="C1680" s="3">
        <v>2013</v>
      </c>
      <c r="D1680" s="4">
        <v>2140682</v>
      </c>
    </row>
    <row r="1681" spans="1:4" x14ac:dyDescent="0.3">
      <c r="A1681" s="5" t="s">
        <v>54</v>
      </c>
      <c r="B1681" s="5" t="s">
        <v>55</v>
      </c>
      <c r="C1681" s="6">
        <v>2014</v>
      </c>
      <c r="D1681" s="7">
        <v>2172044</v>
      </c>
    </row>
    <row r="1682" spans="1:4" x14ac:dyDescent="0.3">
      <c r="A1682" s="2" t="s">
        <v>54</v>
      </c>
      <c r="B1682" s="2" t="s">
        <v>55</v>
      </c>
      <c r="C1682" s="3">
        <v>2015</v>
      </c>
      <c r="D1682" s="4">
        <v>2203273</v>
      </c>
    </row>
    <row r="1683" spans="1:4" x14ac:dyDescent="0.3">
      <c r="A1683" s="5" t="s">
        <v>54</v>
      </c>
      <c r="B1683" s="5" t="s">
        <v>55</v>
      </c>
      <c r="C1683" s="6">
        <v>2016</v>
      </c>
      <c r="D1683" s="7">
        <v>2234776</v>
      </c>
    </row>
    <row r="1684" spans="1:4" x14ac:dyDescent="0.3">
      <c r="A1684" s="2" t="s">
        <v>54</v>
      </c>
      <c r="B1684" s="2" t="s">
        <v>55</v>
      </c>
      <c r="C1684" s="3">
        <v>2017</v>
      </c>
      <c r="D1684" s="4">
        <v>2266747</v>
      </c>
    </row>
    <row r="1685" spans="1:4" x14ac:dyDescent="0.3">
      <c r="A1685" s="5" t="s">
        <v>54</v>
      </c>
      <c r="B1685" s="5" t="s">
        <v>55</v>
      </c>
      <c r="C1685" s="6">
        <v>2018</v>
      </c>
      <c r="D1685" s="7">
        <v>2299141</v>
      </c>
    </row>
    <row r="1686" spans="1:4" x14ac:dyDescent="0.3">
      <c r="A1686" s="2" t="s">
        <v>54</v>
      </c>
      <c r="B1686" s="2" t="s">
        <v>55</v>
      </c>
      <c r="C1686" s="3">
        <v>2019</v>
      </c>
      <c r="D1686" s="4">
        <v>2332083</v>
      </c>
    </row>
    <row r="1687" spans="1:4" x14ac:dyDescent="0.3">
      <c r="A1687" s="5" t="s">
        <v>54</v>
      </c>
      <c r="B1687" s="5" t="s">
        <v>55</v>
      </c>
      <c r="C1687" s="6">
        <v>2020</v>
      </c>
      <c r="D1687" s="7">
        <v>2365894</v>
      </c>
    </row>
    <row r="1688" spans="1:4" x14ac:dyDescent="0.3">
      <c r="A1688" s="2" t="s">
        <v>54</v>
      </c>
      <c r="B1688" s="2" t="s">
        <v>55</v>
      </c>
      <c r="C1688" s="3">
        <v>2021</v>
      </c>
      <c r="D1688" s="4">
        <v>2401441</v>
      </c>
    </row>
    <row r="1689" spans="1:4" x14ac:dyDescent="0.3">
      <c r="A1689" s="5" t="s">
        <v>54</v>
      </c>
      <c r="B1689" s="5" t="s">
        <v>55</v>
      </c>
      <c r="C1689" s="6">
        <v>2022</v>
      </c>
      <c r="D1689" s="7">
        <v>2439892</v>
      </c>
    </row>
    <row r="1690" spans="1:4" x14ac:dyDescent="0.3">
      <c r="A1690" s="2" t="s">
        <v>54</v>
      </c>
      <c r="B1690" s="2" t="s">
        <v>55</v>
      </c>
      <c r="C1690" s="3">
        <v>2023</v>
      </c>
      <c r="D1690" s="4">
        <v>2480244</v>
      </c>
    </row>
    <row r="1691" spans="1:4" x14ac:dyDescent="0.3">
      <c r="A1691" s="5" t="s">
        <v>54</v>
      </c>
      <c r="B1691" s="5" t="s">
        <v>55</v>
      </c>
      <c r="C1691" s="6">
        <v>2024</v>
      </c>
      <c r="D1691" s="7">
        <v>2521139</v>
      </c>
    </row>
    <row r="1692" spans="1:4" x14ac:dyDescent="0.3">
      <c r="A1692" s="2" t="s">
        <v>56</v>
      </c>
      <c r="B1692" s="2" t="s">
        <v>57</v>
      </c>
      <c r="C1692" s="3">
        <v>1960</v>
      </c>
      <c r="D1692" s="4">
        <v>72388126</v>
      </c>
    </row>
    <row r="1693" spans="1:4" x14ac:dyDescent="0.3">
      <c r="A1693" s="5" t="s">
        <v>56</v>
      </c>
      <c r="B1693" s="5" t="s">
        <v>57</v>
      </c>
      <c r="C1693" s="6">
        <v>1961</v>
      </c>
      <c r="D1693" s="7">
        <v>74605447</v>
      </c>
    </row>
    <row r="1694" spans="1:4" x14ac:dyDescent="0.3">
      <c r="A1694" s="2" t="s">
        <v>56</v>
      </c>
      <c r="B1694" s="2" t="s">
        <v>57</v>
      </c>
      <c r="C1694" s="3">
        <v>1962</v>
      </c>
      <c r="D1694" s="4">
        <v>76865323</v>
      </c>
    </row>
    <row r="1695" spans="1:4" x14ac:dyDescent="0.3">
      <c r="A1695" s="5" t="s">
        <v>56</v>
      </c>
      <c r="B1695" s="5" t="s">
        <v>57</v>
      </c>
      <c r="C1695" s="6">
        <v>1963</v>
      </c>
      <c r="D1695" s="7">
        <v>79164235</v>
      </c>
    </row>
    <row r="1696" spans="1:4" x14ac:dyDescent="0.3">
      <c r="A1696" s="2" t="s">
        <v>56</v>
      </c>
      <c r="B1696" s="2" t="s">
        <v>57</v>
      </c>
      <c r="C1696" s="3">
        <v>1964</v>
      </c>
      <c r="D1696" s="4">
        <v>81488595</v>
      </c>
    </row>
    <row r="1697" spans="1:4" x14ac:dyDescent="0.3">
      <c r="A1697" s="5" t="s">
        <v>56</v>
      </c>
      <c r="B1697" s="5" t="s">
        <v>57</v>
      </c>
      <c r="C1697" s="6">
        <v>1965</v>
      </c>
      <c r="D1697" s="7">
        <v>83817583</v>
      </c>
    </row>
    <row r="1698" spans="1:4" x14ac:dyDescent="0.3">
      <c r="A1698" s="2" t="s">
        <v>56</v>
      </c>
      <c r="B1698" s="2" t="s">
        <v>57</v>
      </c>
      <c r="C1698" s="3">
        <v>1966</v>
      </c>
      <c r="D1698" s="4">
        <v>86139359</v>
      </c>
    </row>
    <row r="1699" spans="1:4" x14ac:dyDescent="0.3">
      <c r="A1699" s="5" t="s">
        <v>56</v>
      </c>
      <c r="B1699" s="5" t="s">
        <v>57</v>
      </c>
      <c r="C1699" s="6">
        <v>1967</v>
      </c>
      <c r="D1699" s="7">
        <v>88446124</v>
      </c>
    </row>
    <row r="1700" spans="1:4" x14ac:dyDescent="0.3">
      <c r="A1700" s="2" t="s">
        <v>56</v>
      </c>
      <c r="B1700" s="2" t="s">
        <v>57</v>
      </c>
      <c r="C1700" s="3">
        <v>1968</v>
      </c>
      <c r="D1700" s="4">
        <v>90741240</v>
      </c>
    </row>
    <row r="1701" spans="1:4" x14ac:dyDescent="0.3">
      <c r="A1701" s="5" t="s">
        <v>56</v>
      </c>
      <c r="B1701" s="5" t="s">
        <v>57</v>
      </c>
      <c r="C1701" s="6">
        <v>1969</v>
      </c>
      <c r="D1701" s="7">
        <v>93045777</v>
      </c>
    </row>
    <row r="1702" spans="1:4" x14ac:dyDescent="0.3">
      <c r="A1702" s="2" t="s">
        <v>56</v>
      </c>
      <c r="B1702" s="2" t="s">
        <v>57</v>
      </c>
      <c r="C1702" s="3">
        <v>1970</v>
      </c>
      <c r="D1702" s="4">
        <v>95375651</v>
      </c>
    </row>
    <row r="1703" spans="1:4" x14ac:dyDescent="0.3">
      <c r="A1703" s="5" t="s">
        <v>56</v>
      </c>
      <c r="B1703" s="5" t="s">
        <v>57</v>
      </c>
      <c r="C1703" s="6">
        <v>1971</v>
      </c>
      <c r="D1703" s="7">
        <v>97739273</v>
      </c>
    </row>
    <row r="1704" spans="1:4" x14ac:dyDescent="0.3">
      <c r="A1704" s="2" t="s">
        <v>56</v>
      </c>
      <c r="B1704" s="2" t="s">
        <v>57</v>
      </c>
      <c r="C1704" s="3">
        <v>1972</v>
      </c>
      <c r="D1704" s="4">
        <v>100146797</v>
      </c>
    </row>
    <row r="1705" spans="1:4" x14ac:dyDescent="0.3">
      <c r="A1705" s="5" t="s">
        <v>56</v>
      </c>
      <c r="B1705" s="5" t="s">
        <v>57</v>
      </c>
      <c r="C1705" s="6">
        <v>1973</v>
      </c>
      <c r="D1705" s="7">
        <v>102600976</v>
      </c>
    </row>
    <row r="1706" spans="1:4" x14ac:dyDescent="0.3">
      <c r="A1706" s="2" t="s">
        <v>56</v>
      </c>
      <c r="B1706" s="2" t="s">
        <v>57</v>
      </c>
      <c r="C1706" s="3">
        <v>1974</v>
      </c>
      <c r="D1706" s="4">
        <v>105089675</v>
      </c>
    </row>
    <row r="1707" spans="1:4" x14ac:dyDescent="0.3">
      <c r="A1707" s="5" t="s">
        <v>56</v>
      </c>
      <c r="B1707" s="5" t="s">
        <v>57</v>
      </c>
      <c r="C1707" s="6">
        <v>1975</v>
      </c>
      <c r="D1707" s="7">
        <v>107619565</v>
      </c>
    </row>
    <row r="1708" spans="1:4" x14ac:dyDescent="0.3">
      <c r="A1708" s="2" t="s">
        <v>56</v>
      </c>
      <c r="B1708" s="2" t="s">
        <v>57</v>
      </c>
      <c r="C1708" s="3">
        <v>1976</v>
      </c>
      <c r="D1708" s="4">
        <v>110213349</v>
      </c>
    </row>
    <row r="1709" spans="1:4" x14ac:dyDescent="0.3">
      <c r="A1709" s="5" t="s">
        <v>56</v>
      </c>
      <c r="B1709" s="5" t="s">
        <v>57</v>
      </c>
      <c r="C1709" s="6">
        <v>1977</v>
      </c>
      <c r="D1709" s="7">
        <v>112875292</v>
      </c>
    </row>
    <row r="1710" spans="1:4" x14ac:dyDescent="0.3">
      <c r="A1710" s="2" t="s">
        <v>56</v>
      </c>
      <c r="B1710" s="2" t="s">
        <v>57</v>
      </c>
      <c r="C1710" s="3">
        <v>1978</v>
      </c>
      <c r="D1710" s="4">
        <v>115600942</v>
      </c>
    </row>
    <row r="1711" spans="1:4" x14ac:dyDescent="0.3">
      <c r="A1711" s="5" t="s">
        <v>56</v>
      </c>
      <c r="B1711" s="5" t="s">
        <v>57</v>
      </c>
      <c r="C1711" s="6">
        <v>1979</v>
      </c>
      <c r="D1711" s="7">
        <v>118380821</v>
      </c>
    </row>
    <row r="1712" spans="1:4" x14ac:dyDescent="0.3">
      <c r="A1712" s="2" t="s">
        <v>56</v>
      </c>
      <c r="B1712" s="2" t="s">
        <v>57</v>
      </c>
      <c r="C1712" s="3">
        <v>1980</v>
      </c>
      <c r="D1712" s="4">
        <v>121207461</v>
      </c>
    </row>
    <row r="1713" spans="1:4" x14ac:dyDescent="0.3">
      <c r="A1713" s="5" t="s">
        <v>56</v>
      </c>
      <c r="B1713" s="5" t="s">
        <v>57</v>
      </c>
      <c r="C1713" s="6">
        <v>1981</v>
      </c>
      <c r="D1713" s="7">
        <v>124063109</v>
      </c>
    </row>
    <row r="1714" spans="1:4" x14ac:dyDescent="0.3">
      <c r="A1714" s="2" t="s">
        <v>56</v>
      </c>
      <c r="B1714" s="2" t="s">
        <v>57</v>
      </c>
      <c r="C1714" s="3">
        <v>1982</v>
      </c>
      <c r="D1714" s="4">
        <v>126923155</v>
      </c>
    </row>
    <row r="1715" spans="1:4" x14ac:dyDescent="0.3">
      <c r="A1715" s="5" t="s">
        <v>56</v>
      </c>
      <c r="B1715" s="5" t="s">
        <v>57</v>
      </c>
      <c r="C1715" s="6">
        <v>1983</v>
      </c>
      <c r="D1715" s="7">
        <v>129790077</v>
      </c>
    </row>
    <row r="1716" spans="1:4" x14ac:dyDescent="0.3">
      <c r="A1716" s="2" t="s">
        <v>56</v>
      </c>
      <c r="B1716" s="2" t="s">
        <v>57</v>
      </c>
      <c r="C1716" s="3">
        <v>1984</v>
      </c>
      <c r="D1716" s="4">
        <v>132658864</v>
      </c>
    </row>
    <row r="1717" spans="1:4" x14ac:dyDescent="0.3">
      <c r="A1717" s="5" t="s">
        <v>56</v>
      </c>
      <c r="B1717" s="5" t="s">
        <v>57</v>
      </c>
      <c r="C1717" s="6">
        <v>1985</v>
      </c>
      <c r="D1717" s="7">
        <v>135515595</v>
      </c>
    </row>
    <row r="1718" spans="1:4" x14ac:dyDescent="0.3">
      <c r="A1718" s="2" t="s">
        <v>56</v>
      </c>
      <c r="B1718" s="2" t="s">
        <v>57</v>
      </c>
      <c r="C1718" s="3">
        <v>1986</v>
      </c>
      <c r="D1718" s="4">
        <v>138336370</v>
      </c>
    </row>
    <row r="1719" spans="1:4" x14ac:dyDescent="0.3">
      <c r="A1719" s="5" t="s">
        <v>56</v>
      </c>
      <c r="B1719" s="5" t="s">
        <v>57</v>
      </c>
      <c r="C1719" s="6">
        <v>1987</v>
      </c>
      <c r="D1719" s="7">
        <v>141104944</v>
      </c>
    </row>
    <row r="1720" spans="1:4" x14ac:dyDescent="0.3">
      <c r="A1720" s="2" t="s">
        <v>56</v>
      </c>
      <c r="B1720" s="2" t="s">
        <v>57</v>
      </c>
      <c r="C1720" s="3">
        <v>1988</v>
      </c>
      <c r="D1720" s="4">
        <v>143826357</v>
      </c>
    </row>
    <row r="1721" spans="1:4" x14ac:dyDescent="0.3">
      <c r="A1721" s="5" t="s">
        <v>56</v>
      </c>
      <c r="B1721" s="5" t="s">
        <v>57</v>
      </c>
      <c r="C1721" s="6">
        <v>1989</v>
      </c>
      <c r="D1721" s="7">
        <v>146502972</v>
      </c>
    </row>
    <row r="1722" spans="1:4" x14ac:dyDescent="0.3">
      <c r="A1722" s="2" t="s">
        <v>56</v>
      </c>
      <c r="B1722" s="2" t="s">
        <v>57</v>
      </c>
      <c r="C1722" s="3">
        <v>1990</v>
      </c>
      <c r="D1722" s="4">
        <v>149143223</v>
      </c>
    </row>
    <row r="1723" spans="1:4" x14ac:dyDescent="0.3">
      <c r="A1723" s="5" t="s">
        <v>56</v>
      </c>
      <c r="B1723" s="5" t="s">
        <v>57</v>
      </c>
      <c r="C1723" s="6">
        <v>1991</v>
      </c>
      <c r="D1723" s="7">
        <v>151724256</v>
      </c>
    </row>
    <row r="1724" spans="1:4" x14ac:dyDescent="0.3">
      <c r="A1724" s="2" t="s">
        <v>56</v>
      </c>
      <c r="B1724" s="2" t="s">
        <v>57</v>
      </c>
      <c r="C1724" s="3">
        <v>1992</v>
      </c>
      <c r="D1724" s="4">
        <v>154275079</v>
      </c>
    </row>
    <row r="1725" spans="1:4" x14ac:dyDescent="0.3">
      <c r="A1725" s="5" t="s">
        <v>56</v>
      </c>
      <c r="B1725" s="5" t="s">
        <v>57</v>
      </c>
      <c r="C1725" s="6">
        <v>1993</v>
      </c>
      <c r="D1725" s="7">
        <v>156794577</v>
      </c>
    </row>
    <row r="1726" spans="1:4" x14ac:dyDescent="0.3">
      <c r="A1726" s="2" t="s">
        <v>56</v>
      </c>
      <c r="B1726" s="2" t="s">
        <v>57</v>
      </c>
      <c r="C1726" s="3">
        <v>1994</v>
      </c>
      <c r="D1726" s="4">
        <v>159265006</v>
      </c>
    </row>
    <row r="1727" spans="1:4" x14ac:dyDescent="0.3">
      <c r="A1727" s="5" t="s">
        <v>56</v>
      </c>
      <c r="B1727" s="5" t="s">
        <v>57</v>
      </c>
      <c r="C1727" s="6">
        <v>1995</v>
      </c>
      <c r="D1727" s="7">
        <v>161735073</v>
      </c>
    </row>
    <row r="1728" spans="1:4" x14ac:dyDescent="0.3">
      <c r="A1728" s="2" t="s">
        <v>56</v>
      </c>
      <c r="B1728" s="2" t="s">
        <v>57</v>
      </c>
      <c r="C1728" s="3">
        <v>1996</v>
      </c>
      <c r="D1728" s="4">
        <v>164202549</v>
      </c>
    </row>
    <row r="1729" spans="1:4" x14ac:dyDescent="0.3">
      <c r="A1729" s="5" t="s">
        <v>56</v>
      </c>
      <c r="B1729" s="5" t="s">
        <v>57</v>
      </c>
      <c r="C1729" s="6">
        <v>1997</v>
      </c>
      <c r="D1729" s="7">
        <v>166661659</v>
      </c>
    </row>
    <row r="1730" spans="1:4" x14ac:dyDescent="0.3">
      <c r="A1730" s="2" t="s">
        <v>56</v>
      </c>
      <c r="B1730" s="2" t="s">
        <v>57</v>
      </c>
      <c r="C1730" s="3">
        <v>1998</v>
      </c>
      <c r="D1730" s="4">
        <v>169159655</v>
      </c>
    </row>
    <row r="1731" spans="1:4" x14ac:dyDescent="0.3">
      <c r="A1731" s="5" t="s">
        <v>56</v>
      </c>
      <c r="B1731" s="5" t="s">
        <v>57</v>
      </c>
      <c r="C1731" s="6">
        <v>1999</v>
      </c>
      <c r="D1731" s="7">
        <v>171641543</v>
      </c>
    </row>
    <row r="1732" spans="1:4" x14ac:dyDescent="0.3">
      <c r="A1732" s="2" t="s">
        <v>56</v>
      </c>
      <c r="B1732" s="2" t="s">
        <v>57</v>
      </c>
      <c r="C1732" s="3">
        <v>2000</v>
      </c>
      <c r="D1732" s="4">
        <v>174018282</v>
      </c>
    </row>
    <row r="1733" spans="1:4" x14ac:dyDescent="0.3">
      <c r="A1733" s="5" t="s">
        <v>56</v>
      </c>
      <c r="B1733" s="5" t="s">
        <v>57</v>
      </c>
      <c r="C1733" s="6">
        <v>2001</v>
      </c>
      <c r="D1733" s="7">
        <v>176301203</v>
      </c>
    </row>
    <row r="1734" spans="1:4" x14ac:dyDescent="0.3">
      <c r="A1734" s="2" t="s">
        <v>56</v>
      </c>
      <c r="B1734" s="2" t="s">
        <v>57</v>
      </c>
      <c r="C1734" s="3">
        <v>2002</v>
      </c>
      <c r="D1734" s="4">
        <v>178503484</v>
      </c>
    </row>
    <row r="1735" spans="1:4" x14ac:dyDescent="0.3">
      <c r="A1735" s="5" t="s">
        <v>56</v>
      </c>
      <c r="B1735" s="5" t="s">
        <v>57</v>
      </c>
      <c r="C1735" s="6">
        <v>2003</v>
      </c>
      <c r="D1735" s="7">
        <v>180622688</v>
      </c>
    </row>
    <row r="1736" spans="1:4" x14ac:dyDescent="0.3">
      <c r="A1736" s="2" t="s">
        <v>56</v>
      </c>
      <c r="B1736" s="2" t="s">
        <v>57</v>
      </c>
      <c r="C1736" s="3">
        <v>2004</v>
      </c>
      <c r="D1736" s="4">
        <v>182675143</v>
      </c>
    </row>
    <row r="1737" spans="1:4" x14ac:dyDescent="0.3">
      <c r="A1737" s="5" t="s">
        <v>56</v>
      </c>
      <c r="B1737" s="5" t="s">
        <v>57</v>
      </c>
      <c r="C1737" s="6">
        <v>2005</v>
      </c>
      <c r="D1737" s="7">
        <v>184688101</v>
      </c>
    </row>
    <row r="1738" spans="1:4" x14ac:dyDescent="0.3">
      <c r="A1738" s="2" t="s">
        <v>56</v>
      </c>
      <c r="B1738" s="2" t="s">
        <v>57</v>
      </c>
      <c r="C1738" s="3">
        <v>2006</v>
      </c>
      <c r="D1738" s="4">
        <v>186653106</v>
      </c>
    </row>
    <row r="1739" spans="1:4" x14ac:dyDescent="0.3">
      <c r="A1739" s="5" t="s">
        <v>56</v>
      </c>
      <c r="B1739" s="5" t="s">
        <v>57</v>
      </c>
      <c r="C1739" s="6">
        <v>2007</v>
      </c>
      <c r="D1739" s="7">
        <v>188552320</v>
      </c>
    </row>
    <row r="1740" spans="1:4" x14ac:dyDescent="0.3">
      <c r="A1740" s="2" t="s">
        <v>56</v>
      </c>
      <c r="B1740" s="2" t="s">
        <v>57</v>
      </c>
      <c r="C1740" s="3">
        <v>2008</v>
      </c>
      <c r="D1740" s="4">
        <v>190367302</v>
      </c>
    </row>
    <row r="1741" spans="1:4" x14ac:dyDescent="0.3">
      <c r="A1741" s="5" t="s">
        <v>56</v>
      </c>
      <c r="B1741" s="5" t="s">
        <v>57</v>
      </c>
      <c r="C1741" s="6">
        <v>2009</v>
      </c>
      <c r="D1741" s="7">
        <v>192079951</v>
      </c>
    </row>
    <row r="1742" spans="1:4" x14ac:dyDescent="0.3">
      <c r="A1742" s="2" t="s">
        <v>56</v>
      </c>
      <c r="B1742" s="2" t="s">
        <v>57</v>
      </c>
      <c r="C1742" s="3">
        <v>2010</v>
      </c>
      <c r="D1742" s="4">
        <v>193701929</v>
      </c>
    </row>
    <row r="1743" spans="1:4" x14ac:dyDescent="0.3">
      <c r="A1743" s="5" t="s">
        <v>56</v>
      </c>
      <c r="B1743" s="5" t="s">
        <v>57</v>
      </c>
      <c r="C1743" s="6">
        <v>2011</v>
      </c>
      <c r="D1743" s="7">
        <v>195284734</v>
      </c>
    </row>
    <row r="1744" spans="1:4" x14ac:dyDescent="0.3">
      <c r="A1744" s="2" t="s">
        <v>56</v>
      </c>
      <c r="B1744" s="2" t="s">
        <v>57</v>
      </c>
      <c r="C1744" s="3">
        <v>2012</v>
      </c>
      <c r="D1744" s="4">
        <v>196876111</v>
      </c>
    </row>
    <row r="1745" spans="1:4" x14ac:dyDescent="0.3">
      <c r="A1745" s="5" t="s">
        <v>56</v>
      </c>
      <c r="B1745" s="5" t="s">
        <v>57</v>
      </c>
      <c r="C1745" s="6">
        <v>2013</v>
      </c>
      <c r="D1745" s="7">
        <v>198478299</v>
      </c>
    </row>
    <row r="1746" spans="1:4" x14ac:dyDescent="0.3">
      <c r="A1746" s="2" t="s">
        <v>56</v>
      </c>
      <c r="B1746" s="2" t="s">
        <v>57</v>
      </c>
      <c r="C1746" s="3">
        <v>2014</v>
      </c>
      <c r="D1746" s="4">
        <v>200085127</v>
      </c>
    </row>
    <row r="1747" spans="1:4" x14ac:dyDescent="0.3">
      <c r="A1747" s="5" t="s">
        <v>56</v>
      </c>
      <c r="B1747" s="5" t="s">
        <v>57</v>
      </c>
      <c r="C1747" s="6">
        <v>2015</v>
      </c>
      <c r="D1747" s="7">
        <v>201675532</v>
      </c>
    </row>
    <row r="1748" spans="1:4" x14ac:dyDescent="0.3">
      <c r="A1748" s="2" t="s">
        <v>56</v>
      </c>
      <c r="B1748" s="2" t="s">
        <v>57</v>
      </c>
      <c r="C1748" s="3">
        <v>2016</v>
      </c>
      <c r="D1748" s="4">
        <v>203218114</v>
      </c>
    </row>
    <row r="1749" spans="1:4" x14ac:dyDescent="0.3">
      <c r="A1749" s="5" t="s">
        <v>56</v>
      </c>
      <c r="B1749" s="5" t="s">
        <v>57</v>
      </c>
      <c r="C1749" s="6">
        <v>2017</v>
      </c>
      <c r="D1749" s="7">
        <v>204703445</v>
      </c>
    </row>
    <row r="1750" spans="1:4" x14ac:dyDescent="0.3">
      <c r="A1750" s="2" t="s">
        <v>56</v>
      </c>
      <c r="B1750" s="2" t="s">
        <v>57</v>
      </c>
      <c r="C1750" s="3">
        <v>2018</v>
      </c>
      <c r="D1750" s="4">
        <v>206107261</v>
      </c>
    </row>
    <row r="1751" spans="1:4" x14ac:dyDescent="0.3">
      <c r="A1751" s="5" t="s">
        <v>56</v>
      </c>
      <c r="B1751" s="5" t="s">
        <v>57</v>
      </c>
      <c r="C1751" s="6">
        <v>2019</v>
      </c>
      <c r="D1751" s="7">
        <v>207455459</v>
      </c>
    </row>
    <row r="1752" spans="1:4" x14ac:dyDescent="0.3">
      <c r="A1752" s="2" t="s">
        <v>56</v>
      </c>
      <c r="B1752" s="2" t="s">
        <v>57</v>
      </c>
      <c r="C1752" s="3">
        <v>2020</v>
      </c>
      <c r="D1752" s="4">
        <v>208660842</v>
      </c>
    </row>
    <row r="1753" spans="1:4" x14ac:dyDescent="0.3">
      <c r="A1753" s="5" t="s">
        <v>56</v>
      </c>
      <c r="B1753" s="5" t="s">
        <v>57</v>
      </c>
      <c r="C1753" s="6">
        <v>2021</v>
      </c>
      <c r="D1753" s="7">
        <v>209550294</v>
      </c>
    </row>
    <row r="1754" spans="1:4" x14ac:dyDescent="0.3">
      <c r="A1754" s="2" t="s">
        <v>56</v>
      </c>
      <c r="B1754" s="2" t="s">
        <v>57</v>
      </c>
      <c r="C1754" s="3">
        <v>2022</v>
      </c>
      <c r="D1754" s="4">
        <v>210306415</v>
      </c>
    </row>
    <row r="1755" spans="1:4" x14ac:dyDescent="0.3">
      <c r="A1755" s="5" t="s">
        <v>56</v>
      </c>
      <c r="B1755" s="5" t="s">
        <v>57</v>
      </c>
      <c r="C1755" s="6">
        <v>2023</v>
      </c>
      <c r="D1755" s="7">
        <v>211140729</v>
      </c>
    </row>
    <row r="1756" spans="1:4" x14ac:dyDescent="0.3">
      <c r="A1756" s="2" t="s">
        <v>56</v>
      </c>
      <c r="B1756" s="2" t="s">
        <v>57</v>
      </c>
      <c r="C1756" s="3">
        <v>2024</v>
      </c>
      <c r="D1756" s="4">
        <v>211998573</v>
      </c>
    </row>
    <row r="1757" spans="1:4" x14ac:dyDescent="0.3">
      <c r="A1757" s="5" t="s">
        <v>58</v>
      </c>
      <c r="B1757" s="5" t="s">
        <v>59</v>
      </c>
      <c r="C1757" s="6">
        <v>1960</v>
      </c>
      <c r="D1757" s="7">
        <v>7950</v>
      </c>
    </row>
    <row r="1758" spans="1:4" x14ac:dyDescent="0.3">
      <c r="A1758" s="2" t="s">
        <v>58</v>
      </c>
      <c r="B1758" s="2" t="s">
        <v>59</v>
      </c>
      <c r="C1758" s="3">
        <v>1961</v>
      </c>
      <c r="D1758" s="4">
        <v>8034</v>
      </c>
    </row>
    <row r="1759" spans="1:4" x14ac:dyDescent="0.3">
      <c r="A1759" s="5" t="s">
        <v>58</v>
      </c>
      <c r="B1759" s="5" t="s">
        <v>59</v>
      </c>
      <c r="C1759" s="6">
        <v>1962</v>
      </c>
      <c r="D1759" s="7">
        <v>8070</v>
      </c>
    </row>
    <row r="1760" spans="1:4" x14ac:dyDescent="0.3">
      <c r="A1760" s="2" t="s">
        <v>58</v>
      </c>
      <c r="B1760" s="2" t="s">
        <v>59</v>
      </c>
      <c r="C1760" s="3">
        <v>1963</v>
      </c>
      <c r="D1760" s="4">
        <v>8114</v>
      </c>
    </row>
    <row r="1761" spans="1:4" x14ac:dyDescent="0.3">
      <c r="A1761" s="5" t="s">
        <v>58</v>
      </c>
      <c r="B1761" s="5" t="s">
        <v>59</v>
      </c>
      <c r="C1761" s="6">
        <v>1964</v>
      </c>
      <c r="D1761" s="7">
        <v>8168</v>
      </c>
    </row>
    <row r="1762" spans="1:4" x14ac:dyDescent="0.3">
      <c r="A1762" s="2" t="s">
        <v>58</v>
      </c>
      <c r="B1762" s="2" t="s">
        <v>59</v>
      </c>
      <c r="C1762" s="3">
        <v>1965</v>
      </c>
      <c r="D1762" s="4">
        <v>8257</v>
      </c>
    </row>
    <row r="1763" spans="1:4" x14ac:dyDescent="0.3">
      <c r="A1763" s="5" t="s">
        <v>58</v>
      </c>
      <c r="B1763" s="5" t="s">
        <v>59</v>
      </c>
      <c r="C1763" s="6">
        <v>1966</v>
      </c>
      <c r="D1763" s="7">
        <v>8413</v>
      </c>
    </row>
    <row r="1764" spans="1:4" x14ac:dyDescent="0.3">
      <c r="A1764" s="2" t="s">
        <v>58</v>
      </c>
      <c r="B1764" s="2" t="s">
        <v>59</v>
      </c>
      <c r="C1764" s="3">
        <v>1967</v>
      </c>
      <c r="D1764" s="4">
        <v>8646</v>
      </c>
    </row>
    <row r="1765" spans="1:4" x14ac:dyDescent="0.3">
      <c r="A1765" s="5" t="s">
        <v>58</v>
      </c>
      <c r="B1765" s="5" t="s">
        <v>59</v>
      </c>
      <c r="C1765" s="6">
        <v>1968</v>
      </c>
      <c r="D1765" s="7">
        <v>9000</v>
      </c>
    </row>
    <row r="1766" spans="1:4" x14ac:dyDescent="0.3">
      <c r="A1766" s="2" t="s">
        <v>58</v>
      </c>
      <c r="B1766" s="2" t="s">
        <v>59</v>
      </c>
      <c r="C1766" s="3">
        <v>1969</v>
      </c>
      <c r="D1766" s="4">
        <v>9533</v>
      </c>
    </row>
    <row r="1767" spans="1:4" x14ac:dyDescent="0.3">
      <c r="A1767" s="5" t="s">
        <v>58</v>
      </c>
      <c r="B1767" s="5" t="s">
        <v>59</v>
      </c>
      <c r="C1767" s="6">
        <v>1970</v>
      </c>
      <c r="D1767" s="7">
        <v>9933</v>
      </c>
    </row>
    <row r="1768" spans="1:4" x14ac:dyDescent="0.3">
      <c r="A1768" s="2" t="s">
        <v>58</v>
      </c>
      <c r="B1768" s="2" t="s">
        <v>59</v>
      </c>
      <c r="C1768" s="3">
        <v>1971</v>
      </c>
      <c r="D1768" s="4">
        <v>10095</v>
      </c>
    </row>
    <row r="1769" spans="1:4" x14ac:dyDescent="0.3">
      <c r="A1769" s="5" t="s">
        <v>58</v>
      </c>
      <c r="B1769" s="5" t="s">
        <v>59</v>
      </c>
      <c r="C1769" s="6">
        <v>1972</v>
      </c>
      <c r="D1769" s="7">
        <v>10235</v>
      </c>
    </row>
    <row r="1770" spans="1:4" x14ac:dyDescent="0.3">
      <c r="A1770" s="2" t="s">
        <v>58</v>
      </c>
      <c r="B1770" s="2" t="s">
        <v>59</v>
      </c>
      <c r="C1770" s="3">
        <v>1973</v>
      </c>
      <c r="D1770" s="4">
        <v>10367</v>
      </c>
    </row>
    <row r="1771" spans="1:4" x14ac:dyDescent="0.3">
      <c r="A1771" s="5" t="s">
        <v>58</v>
      </c>
      <c r="B1771" s="5" t="s">
        <v>59</v>
      </c>
      <c r="C1771" s="6">
        <v>1974</v>
      </c>
      <c r="D1771" s="7">
        <v>10494</v>
      </c>
    </row>
    <row r="1772" spans="1:4" x14ac:dyDescent="0.3">
      <c r="A1772" s="2" t="s">
        <v>58</v>
      </c>
      <c r="B1772" s="2" t="s">
        <v>59</v>
      </c>
      <c r="C1772" s="3">
        <v>1975</v>
      </c>
      <c r="D1772" s="4">
        <v>10606</v>
      </c>
    </row>
    <row r="1773" spans="1:4" x14ac:dyDescent="0.3">
      <c r="A1773" s="5" t="s">
        <v>58</v>
      </c>
      <c r="B1773" s="5" t="s">
        <v>59</v>
      </c>
      <c r="C1773" s="6">
        <v>1976</v>
      </c>
      <c r="D1773" s="7">
        <v>10709</v>
      </c>
    </row>
    <row r="1774" spans="1:4" x14ac:dyDescent="0.3">
      <c r="A1774" s="2" t="s">
        <v>58</v>
      </c>
      <c r="B1774" s="2" t="s">
        <v>59</v>
      </c>
      <c r="C1774" s="3">
        <v>1977</v>
      </c>
      <c r="D1774" s="4">
        <v>10800</v>
      </c>
    </row>
    <row r="1775" spans="1:4" x14ac:dyDescent="0.3">
      <c r="A1775" s="5" t="s">
        <v>58</v>
      </c>
      <c r="B1775" s="5" t="s">
        <v>59</v>
      </c>
      <c r="C1775" s="6">
        <v>1978</v>
      </c>
      <c r="D1775" s="7">
        <v>10886</v>
      </c>
    </row>
    <row r="1776" spans="1:4" x14ac:dyDescent="0.3">
      <c r="A1776" s="2" t="s">
        <v>58</v>
      </c>
      <c r="B1776" s="2" t="s">
        <v>59</v>
      </c>
      <c r="C1776" s="3">
        <v>1979</v>
      </c>
      <c r="D1776" s="4">
        <v>10965</v>
      </c>
    </row>
    <row r="1777" spans="1:4" x14ac:dyDescent="0.3">
      <c r="A1777" s="5" t="s">
        <v>58</v>
      </c>
      <c r="B1777" s="5" t="s">
        <v>59</v>
      </c>
      <c r="C1777" s="6">
        <v>1980</v>
      </c>
      <c r="D1777" s="7">
        <v>11130</v>
      </c>
    </row>
    <row r="1778" spans="1:4" x14ac:dyDescent="0.3">
      <c r="A1778" s="2" t="s">
        <v>58</v>
      </c>
      <c r="B1778" s="2" t="s">
        <v>59</v>
      </c>
      <c r="C1778" s="3">
        <v>1981</v>
      </c>
      <c r="D1778" s="4">
        <v>11479</v>
      </c>
    </row>
    <row r="1779" spans="1:4" x14ac:dyDescent="0.3">
      <c r="A1779" s="5" t="s">
        <v>58</v>
      </c>
      <c r="B1779" s="5" t="s">
        <v>59</v>
      </c>
      <c r="C1779" s="6">
        <v>1982</v>
      </c>
      <c r="D1779" s="7">
        <v>11921</v>
      </c>
    </row>
    <row r="1780" spans="1:4" x14ac:dyDescent="0.3">
      <c r="A1780" s="2" t="s">
        <v>58</v>
      </c>
      <c r="B1780" s="2" t="s">
        <v>59</v>
      </c>
      <c r="C1780" s="3">
        <v>1983</v>
      </c>
      <c r="D1780" s="4">
        <v>12370</v>
      </c>
    </row>
    <row r="1781" spans="1:4" x14ac:dyDescent="0.3">
      <c r="A1781" s="5" t="s">
        <v>58</v>
      </c>
      <c r="B1781" s="5" t="s">
        <v>59</v>
      </c>
      <c r="C1781" s="6">
        <v>1984</v>
      </c>
      <c r="D1781" s="7">
        <v>12820</v>
      </c>
    </row>
    <row r="1782" spans="1:4" x14ac:dyDescent="0.3">
      <c r="A1782" s="2" t="s">
        <v>58</v>
      </c>
      <c r="B1782" s="2" t="s">
        <v>59</v>
      </c>
      <c r="C1782" s="3">
        <v>1985</v>
      </c>
      <c r="D1782" s="4">
        <v>13269</v>
      </c>
    </row>
    <row r="1783" spans="1:4" x14ac:dyDescent="0.3">
      <c r="A1783" s="5" t="s">
        <v>58</v>
      </c>
      <c r="B1783" s="5" t="s">
        <v>59</v>
      </c>
      <c r="C1783" s="6">
        <v>1986</v>
      </c>
      <c r="D1783" s="7">
        <v>13726</v>
      </c>
    </row>
    <row r="1784" spans="1:4" x14ac:dyDescent="0.3">
      <c r="A1784" s="2" t="s">
        <v>58</v>
      </c>
      <c r="B1784" s="2" t="s">
        <v>59</v>
      </c>
      <c r="C1784" s="3">
        <v>1987</v>
      </c>
      <c r="D1784" s="4">
        <v>14194</v>
      </c>
    </row>
    <row r="1785" spans="1:4" x14ac:dyDescent="0.3">
      <c r="A1785" s="5" t="s">
        <v>58</v>
      </c>
      <c r="B1785" s="5" t="s">
        <v>59</v>
      </c>
      <c r="C1785" s="6">
        <v>1988</v>
      </c>
      <c r="D1785" s="7">
        <v>14680</v>
      </c>
    </row>
    <row r="1786" spans="1:4" x14ac:dyDescent="0.3">
      <c r="A1786" s="2" t="s">
        <v>58</v>
      </c>
      <c r="B1786" s="2" t="s">
        <v>59</v>
      </c>
      <c r="C1786" s="3">
        <v>1989</v>
      </c>
      <c r="D1786" s="4">
        <v>15180</v>
      </c>
    </row>
    <row r="1787" spans="1:4" x14ac:dyDescent="0.3">
      <c r="A1787" s="5" t="s">
        <v>58</v>
      </c>
      <c r="B1787" s="5" t="s">
        <v>59</v>
      </c>
      <c r="C1787" s="6">
        <v>1990</v>
      </c>
      <c r="D1787" s="7">
        <v>15704</v>
      </c>
    </row>
    <row r="1788" spans="1:4" x14ac:dyDescent="0.3">
      <c r="A1788" s="2" t="s">
        <v>58</v>
      </c>
      <c r="B1788" s="2" t="s">
        <v>59</v>
      </c>
      <c r="C1788" s="3">
        <v>1991</v>
      </c>
      <c r="D1788" s="4">
        <v>16187</v>
      </c>
    </row>
    <row r="1789" spans="1:4" x14ac:dyDescent="0.3">
      <c r="A1789" s="5" t="s">
        <v>58</v>
      </c>
      <c r="B1789" s="5" t="s">
        <v>59</v>
      </c>
      <c r="C1789" s="6">
        <v>1992</v>
      </c>
      <c r="D1789" s="7">
        <v>16593</v>
      </c>
    </row>
    <row r="1790" spans="1:4" x14ac:dyDescent="0.3">
      <c r="A1790" s="2" t="s">
        <v>58</v>
      </c>
      <c r="B1790" s="2" t="s">
        <v>59</v>
      </c>
      <c r="C1790" s="3">
        <v>1993</v>
      </c>
      <c r="D1790" s="4">
        <v>16989</v>
      </c>
    </row>
    <row r="1791" spans="1:4" x14ac:dyDescent="0.3">
      <c r="A1791" s="5" t="s">
        <v>58</v>
      </c>
      <c r="B1791" s="5" t="s">
        <v>59</v>
      </c>
      <c r="C1791" s="6">
        <v>1994</v>
      </c>
      <c r="D1791" s="7">
        <v>17406</v>
      </c>
    </row>
    <row r="1792" spans="1:4" x14ac:dyDescent="0.3">
      <c r="A1792" s="2" t="s">
        <v>58</v>
      </c>
      <c r="B1792" s="2" t="s">
        <v>59</v>
      </c>
      <c r="C1792" s="3">
        <v>1995</v>
      </c>
      <c r="D1792" s="4">
        <v>17840</v>
      </c>
    </row>
    <row r="1793" spans="1:4" x14ac:dyDescent="0.3">
      <c r="A1793" s="5" t="s">
        <v>58</v>
      </c>
      <c r="B1793" s="5" t="s">
        <v>59</v>
      </c>
      <c r="C1793" s="6">
        <v>1996</v>
      </c>
      <c r="D1793" s="7">
        <v>18287</v>
      </c>
    </row>
    <row r="1794" spans="1:4" x14ac:dyDescent="0.3">
      <c r="A1794" s="2" t="s">
        <v>58</v>
      </c>
      <c r="B1794" s="2" t="s">
        <v>59</v>
      </c>
      <c r="C1794" s="3">
        <v>1997</v>
      </c>
      <c r="D1794" s="4">
        <v>18756</v>
      </c>
    </row>
    <row r="1795" spans="1:4" x14ac:dyDescent="0.3">
      <c r="A1795" s="5" t="s">
        <v>58</v>
      </c>
      <c r="B1795" s="5" t="s">
        <v>59</v>
      </c>
      <c r="C1795" s="6">
        <v>1998</v>
      </c>
      <c r="D1795" s="7">
        <v>19238</v>
      </c>
    </row>
    <row r="1796" spans="1:4" x14ac:dyDescent="0.3">
      <c r="A1796" s="2" t="s">
        <v>58</v>
      </c>
      <c r="B1796" s="2" t="s">
        <v>59</v>
      </c>
      <c r="C1796" s="3">
        <v>1999</v>
      </c>
      <c r="D1796" s="4">
        <v>19730</v>
      </c>
    </row>
    <row r="1797" spans="1:4" x14ac:dyDescent="0.3">
      <c r="A1797" s="5" t="s">
        <v>58</v>
      </c>
      <c r="B1797" s="5" t="s">
        <v>59</v>
      </c>
      <c r="C1797" s="6">
        <v>2000</v>
      </c>
      <c r="D1797" s="7">
        <v>20241</v>
      </c>
    </row>
    <row r="1798" spans="1:4" x14ac:dyDescent="0.3">
      <c r="A1798" s="2" t="s">
        <v>58</v>
      </c>
      <c r="B1798" s="2" t="s">
        <v>59</v>
      </c>
      <c r="C1798" s="3">
        <v>2001</v>
      </c>
      <c r="D1798" s="4">
        <v>20796</v>
      </c>
    </row>
    <row r="1799" spans="1:4" x14ac:dyDescent="0.3">
      <c r="A1799" s="5" t="s">
        <v>58</v>
      </c>
      <c r="B1799" s="5" t="s">
        <v>59</v>
      </c>
      <c r="C1799" s="6">
        <v>2002</v>
      </c>
      <c r="D1799" s="7">
        <v>21430</v>
      </c>
    </row>
    <row r="1800" spans="1:4" x14ac:dyDescent="0.3">
      <c r="A1800" s="2" t="s">
        <v>58</v>
      </c>
      <c r="B1800" s="2" t="s">
        <v>59</v>
      </c>
      <c r="C1800" s="3">
        <v>2003</v>
      </c>
      <c r="D1800" s="4">
        <v>22134</v>
      </c>
    </row>
    <row r="1801" spans="1:4" x14ac:dyDescent="0.3">
      <c r="A1801" s="5" t="s">
        <v>58</v>
      </c>
      <c r="B1801" s="5" t="s">
        <v>59</v>
      </c>
      <c r="C1801" s="6">
        <v>2004</v>
      </c>
      <c r="D1801" s="7">
        <v>22881</v>
      </c>
    </row>
    <row r="1802" spans="1:4" x14ac:dyDescent="0.3">
      <c r="A1802" s="2" t="s">
        <v>58</v>
      </c>
      <c r="B1802" s="2" t="s">
        <v>59</v>
      </c>
      <c r="C1802" s="3">
        <v>2005</v>
      </c>
      <c r="D1802" s="4">
        <v>23665</v>
      </c>
    </row>
    <row r="1803" spans="1:4" x14ac:dyDescent="0.3">
      <c r="A1803" s="5" t="s">
        <v>58</v>
      </c>
      <c r="B1803" s="5" t="s">
        <v>59</v>
      </c>
      <c r="C1803" s="6">
        <v>2006</v>
      </c>
      <c r="D1803" s="7">
        <v>24493</v>
      </c>
    </row>
    <row r="1804" spans="1:4" x14ac:dyDescent="0.3">
      <c r="A1804" s="2" t="s">
        <v>58</v>
      </c>
      <c r="B1804" s="2" t="s">
        <v>59</v>
      </c>
      <c r="C1804" s="3">
        <v>2007</v>
      </c>
      <c r="D1804" s="4">
        <v>25366</v>
      </c>
    </row>
    <row r="1805" spans="1:4" x14ac:dyDescent="0.3">
      <c r="A1805" s="5" t="s">
        <v>58</v>
      </c>
      <c r="B1805" s="5" t="s">
        <v>59</v>
      </c>
      <c r="C1805" s="6">
        <v>2008</v>
      </c>
      <c r="D1805" s="7">
        <v>26288</v>
      </c>
    </row>
    <row r="1806" spans="1:4" x14ac:dyDescent="0.3">
      <c r="A1806" s="2" t="s">
        <v>58</v>
      </c>
      <c r="B1806" s="2" t="s">
        <v>59</v>
      </c>
      <c r="C1806" s="3">
        <v>2009</v>
      </c>
      <c r="D1806" s="4">
        <v>27218</v>
      </c>
    </row>
    <row r="1807" spans="1:4" x14ac:dyDescent="0.3">
      <c r="A1807" s="5" t="s">
        <v>58</v>
      </c>
      <c r="B1807" s="5" t="s">
        <v>59</v>
      </c>
      <c r="C1807" s="6">
        <v>2010</v>
      </c>
      <c r="D1807" s="7">
        <v>27675</v>
      </c>
    </row>
    <row r="1808" spans="1:4" x14ac:dyDescent="0.3">
      <c r="A1808" s="2" t="s">
        <v>58</v>
      </c>
      <c r="B1808" s="2" t="s">
        <v>59</v>
      </c>
      <c r="C1808" s="3">
        <v>2011</v>
      </c>
      <c r="D1808" s="4">
        <v>28710</v>
      </c>
    </row>
    <row r="1809" spans="1:4" x14ac:dyDescent="0.3">
      <c r="A1809" s="5" t="s">
        <v>58</v>
      </c>
      <c r="B1809" s="5" t="s">
        <v>59</v>
      </c>
      <c r="C1809" s="6">
        <v>2012</v>
      </c>
      <c r="D1809" s="7">
        <v>30345</v>
      </c>
    </row>
    <row r="1810" spans="1:4" x14ac:dyDescent="0.3">
      <c r="A1810" s="2" t="s">
        <v>58</v>
      </c>
      <c r="B1810" s="2" t="s">
        <v>59</v>
      </c>
      <c r="C1810" s="3">
        <v>2013</v>
      </c>
      <c r="D1810" s="4">
        <v>31703</v>
      </c>
    </row>
    <row r="1811" spans="1:4" x14ac:dyDescent="0.3">
      <c r="A1811" s="5" t="s">
        <v>58</v>
      </c>
      <c r="B1811" s="5" t="s">
        <v>59</v>
      </c>
      <c r="C1811" s="6">
        <v>2014</v>
      </c>
      <c r="D1811" s="7">
        <v>32962</v>
      </c>
    </row>
    <row r="1812" spans="1:4" x14ac:dyDescent="0.3">
      <c r="A1812" s="2" t="s">
        <v>58</v>
      </c>
      <c r="B1812" s="2" t="s">
        <v>59</v>
      </c>
      <c r="C1812" s="3">
        <v>2015</v>
      </c>
      <c r="D1812" s="4">
        <v>34498</v>
      </c>
    </row>
    <row r="1813" spans="1:4" x14ac:dyDescent="0.3">
      <c r="A1813" s="5" t="s">
        <v>58</v>
      </c>
      <c r="B1813" s="5" t="s">
        <v>59</v>
      </c>
      <c r="C1813" s="6">
        <v>2016</v>
      </c>
      <c r="D1813" s="7">
        <v>33878</v>
      </c>
    </row>
    <row r="1814" spans="1:4" x14ac:dyDescent="0.3">
      <c r="A1814" s="2" t="s">
        <v>58</v>
      </c>
      <c r="B1814" s="2" t="s">
        <v>59</v>
      </c>
      <c r="C1814" s="3">
        <v>2017</v>
      </c>
      <c r="D1814" s="4">
        <v>32699</v>
      </c>
    </row>
    <row r="1815" spans="1:4" x14ac:dyDescent="0.3">
      <c r="A1815" s="5" t="s">
        <v>58</v>
      </c>
      <c r="B1815" s="5" t="s">
        <v>59</v>
      </c>
      <c r="C1815" s="6">
        <v>2018</v>
      </c>
      <c r="D1815" s="7">
        <v>34657</v>
      </c>
    </row>
    <row r="1816" spans="1:4" x14ac:dyDescent="0.3">
      <c r="A1816" s="2" t="s">
        <v>58</v>
      </c>
      <c r="B1816" s="2" t="s">
        <v>59</v>
      </c>
      <c r="C1816" s="3">
        <v>2019</v>
      </c>
      <c r="D1816" s="4">
        <v>36395</v>
      </c>
    </row>
    <row r="1817" spans="1:4" x14ac:dyDescent="0.3">
      <c r="A1817" s="5" t="s">
        <v>58</v>
      </c>
      <c r="B1817" s="5" t="s">
        <v>59</v>
      </c>
      <c r="C1817" s="6">
        <v>2020</v>
      </c>
      <c r="D1817" s="7">
        <v>37135</v>
      </c>
    </row>
    <row r="1818" spans="1:4" x14ac:dyDescent="0.3">
      <c r="A1818" s="2" t="s">
        <v>58</v>
      </c>
      <c r="B1818" s="2" t="s">
        <v>59</v>
      </c>
      <c r="C1818" s="3">
        <v>2021</v>
      </c>
      <c r="D1818" s="4">
        <v>37809</v>
      </c>
    </row>
    <row r="1819" spans="1:4" x14ac:dyDescent="0.3">
      <c r="A1819" s="5" t="s">
        <v>58</v>
      </c>
      <c r="B1819" s="5" t="s">
        <v>59</v>
      </c>
      <c r="C1819" s="6">
        <v>2022</v>
      </c>
      <c r="D1819" s="7">
        <v>38319</v>
      </c>
    </row>
    <row r="1820" spans="1:4" x14ac:dyDescent="0.3">
      <c r="A1820" s="2" t="s">
        <v>58</v>
      </c>
      <c r="B1820" s="2" t="s">
        <v>59</v>
      </c>
      <c r="C1820" s="3">
        <v>2023</v>
      </c>
      <c r="D1820" s="4">
        <v>38985</v>
      </c>
    </row>
    <row r="1821" spans="1:4" x14ac:dyDescent="0.3">
      <c r="A1821" s="5" t="s">
        <v>58</v>
      </c>
      <c r="B1821" s="5" t="s">
        <v>59</v>
      </c>
      <c r="C1821" s="6">
        <v>2024</v>
      </c>
      <c r="D1821" s="7">
        <v>39471</v>
      </c>
    </row>
    <row r="1822" spans="1:4" x14ac:dyDescent="0.3">
      <c r="A1822" s="2" t="s">
        <v>60</v>
      </c>
      <c r="B1822" s="2" t="s">
        <v>61</v>
      </c>
      <c r="C1822" s="3">
        <v>1960</v>
      </c>
      <c r="D1822" s="4">
        <v>88347</v>
      </c>
    </row>
    <row r="1823" spans="1:4" x14ac:dyDescent="0.3">
      <c r="A1823" s="5" t="s">
        <v>60</v>
      </c>
      <c r="B1823" s="5" t="s">
        <v>61</v>
      </c>
      <c r="C1823" s="6">
        <v>1961</v>
      </c>
      <c r="D1823" s="7">
        <v>92517</v>
      </c>
    </row>
    <row r="1824" spans="1:4" x14ac:dyDescent="0.3">
      <c r="A1824" s="2" t="s">
        <v>60</v>
      </c>
      <c r="B1824" s="2" t="s">
        <v>61</v>
      </c>
      <c r="C1824" s="3">
        <v>1962</v>
      </c>
      <c r="D1824" s="4">
        <v>96719</v>
      </c>
    </row>
    <row r="1825" spans="1:4" x14ac:dyDescent="0.3">
      <c r="A1825" s="5" t="s">
        <v>60</v>
      </c>
      <c r="B1825" s="5" t="s">
        <v>61</v>
      </c>
      <c r="C1825" s="6">
        <v>1963</v>
      </c>
      <c r="D1825" s="7">
        <v>101159</v>
      </c>
    </row>
    <row r="1826" spans="1:4" x14ac:dyDescent="0.3">
      <c r="A1826" s="2" t="s">
        <v>60</v>
      </c>
      <c r="B1826" s="2" t="s">
        <v>61</v>
      </c>
      <c r="C1826" s="3">
        <v>1964</v>
      </c>
      <c r="D1826" s="4">
        <v>105922</v>
      </c>
    </row>
    <row r="1827" spans="1:4" x14ac:dyDescent="0.3">
      <c r="A1827" s="5" t="s">
        <v>60</v>
      </c>
      <c r="B1827" s="5" t="s">
        <v>61</v>
      </c>
      <c r="C1827" s="6">
        <v>1965</v>
      </c>
      <c r="D1827" s="7">
        <v>110838</v>
      </c>
    </row>
    <row r="1828" spans="1:4" x14ac:dyDescent="0.3">
      <c r="A1828" s="2" t="s">
        <v>60</v>
      </c>
      <c r="B1828" s="2" t="s">
        <v>61</v>
      </c>
      <c r="C1828" s="3">
        <v>1966</v>
      </c>
      <c r="D1828" s="4">
        <v>115874</v>
      </c>
    </row>
    <row r="1829" spans="1:4" x14ac:dyDescent="0.3">
      <c r="A1829" s="5" t="s">
        <v>60</v>
      </c>
      <c r="B1829" s="5" t="s">
        <v>61</v>
      </c>
      <c r="C1829" s="6">
        <v>1967</v>
      </c>
      <c r="D1829" s="7">
        <v>121017</v>
      </c>
    </row>
    <row r="1830" spans="1:4" x14ac:dyDescent="0.3">
      <c r="A1830" s="2" t="s">
        <v>60</v>
      </c>
      <c r="B1830" s="2" t="s">
        <v>61</v>
      </c>
      <c r="C1830" s="3">
        <v>1968</v>
      </c>
      <c r="D1830" s="4">
        <v>126222</v>
      </c>
    </row>
    <row r="1831" spans="1:4" x14ac:dyDescent="0.3">
      <c r="A1831" s="5" t="s">
        <v>60</v>
      </c>
      <c r="B1831" s="5" t="s">
        <v>61</v>
      </c>
      <c r="C1831" s="6">
        <v>1969</v>
      </c>
      <c r="D1831" s="7">
        <v>131446</v>
      </c>
    </row>
    <row r="1832" spans="1:4" x14ac:dyDescent="0.3">
      <c r="A1832" s="2" t="s">
        <v>60</v>
      </c>
      <c r="B1832" s="2" t="s">
        <v>61</v>
      </c>
      <c r="C1832" s="3">
        <v>1970</v>
      </c>
      <c r="D1832" s="4">
        <v>135138</v>
      </c>
    </row>
    <row r="1833" spans="1:4" x14ac:dyDescent="0.3">
      <c r="A1833" s="5" t="s">
        <v>60</v>
      </c>
      <c r="B1833" s="5" t="s">
        <v>61</v>
      </c>
      <c r="C1833" s="6">
        <v>1971</v>
      </c>
      <c r="D1833" s="7">
        <v>137921</v>
      </c>
    </row>
    <row r="1834" spans="1:4" x14ac:dyDescent="0.3">
      <c r="A1834" s="2" t="s">
        <v>60</v>
      </c>
      <c r="B1834" s="2" t="s">
        <v>61</v>
      </c>
      <c r="C1834" s="3">
        <v>1972</v>
      </c>
      <c r="D1834" s="4">
        <v>142189</v>
      </c>
    </row>
    <row r="1835" spans="1:4" x14ac:dyDescent="0.3">
      <c r="A1835" s="5" t="s">
        <v>60</v>
      </c>
      <c r="B1835" s="5" t="s">
        <v>61</v>
      </c>
      <c r="C1835" s="6">
        <v>1973</v>
      </c>
      <c r="D1835" s="7">
        <v>147369</v>
      </c>
    </row>
    <row r="1836" spans="1:4" x14ac:dyDescent="0.3">
      <c r="A1836" s="2" t="s">
        <v>60</v>
      </c>
      <c r="B1836" s="2" t="s">
        <v>61</v>
      </c>
      <c r="C1836" s="3">
        <v>1974</v>
      </c>
      <c r="D1836" s="4">
        <v>152656</v>
      </c>
    </row>
    <row r="1837" spans="1:4" x14ac:dyDescent="0.3">
      <c r="A1837" s="5" t="s">
        <v>60</v>
      </c>
      <c r="B1837" s="5" t="s">
        <v>61</v>
      </c>
      <c r="C1837" s="6">
        <v>1975</v>
      </c>
      <c r="D1837" s="7">
        <v>158070</v>
      </c>
    </row>
    <row r="1838" spans="1:4" x14ac:dyDescent="0.3">
      <c r="A1838" s="2" t="s">
        <v>60</v>
      </c>
      <c r="B1838" s="2" t="s">
        <v>61</v>
      </c>
      <c r="C1838" s="3">
        <v>1976</v>
      </c>
      <c r="D1838" s="4">
        <v>163607</v>
      </c>
    </row>
    <row r="1839" spans="1:4" x14ac:dyDescent="0.3">
      <c r="A1839" s="5" t="s">
        <v>60</v>
      </c>
      <c r="B1839" s="5" t="s">
        <v>61</v>
      </c>
      <c r="C1839" s="6">
        <v>1977</v>
      </c>
      <c r="D1839" s="7">
        <v>169277</v>
      </c>
    </row>
    <row r="1840" spans="1:4" x14ac:dyDescent="0.3">
      <c r="A1840" s="2" t="s">
        <v>60</v>
      </c>
      <c r="B1840" s="2" t="s">
        <v>61</v>
      </c>
      <c r="C1840" s="3">
        <v>1978</v>
      </c>
      <c r="D1840" s="4">
        <v>174884</v>
      </c>
    </row>
    <row r="1841" spans="1:4" x14ac:dyDescent="0.3">
      <c r="A1841" s="5" t="s">
        <v>60</v>
      </c>
      <c r="B1841" s="5" t="s">
        <v>61</v>
      </c>
      <c r="C1841" s="6">
        <v>1979</v>
      </c>
      <c r="D1841" s="7">
        <v>180422</v>
      </c>
    </row>
    <row r="1842" spans="1:4" x14ac:dyDescent="0.3">
      <c r="A1842" s="2" t="s">
        <v>60</v>
      </c>
      <c r="B1842" s="2" t="s">
        <v>61</v>
      </c>
      <c r="C1842" s="3">
        <v>1980</v>
      </c>
      <c r="D1842" s="4">
        <v>186111</v>
      </c>
    </row>
    <row r="1843" spans="1:4" x14ac:dyDescent="0.3">
      <c r="A1843" s="5" t="s">
        <v>60</v>
      </c>
      <c r="B1843" s="5" t="s">
        <v>61</v>
      </c>
      <c r="C1843" s="6">
        <v>1981</v>
      </c>
      <c r="D1843" s="7">
        <v>191977</v>
      </c>
    </row>
    <row r="1844" spans="1:4" x14ac:dyDescent="0.3">
      <c r="A1844" s="2" t="s">
        <v>60</v>
      </c>
      <c r="B1844" s="2" t="s">
        <v>61</v>
      </c>
      <c r="C1844" s="3">
        <v>1982</v>
      </c>
      <c r="D1844" s="4">
        <v>198165</v>
      </c>
    </row>
    <row r="1845" spans="1:4" x14ac:dyDescent="0.3">
      <c r="A1845" s="5" t="s">
        <v>60</v>
      </c>
      <c r="B1845" s="5" t="s">
        <v>61</v>
      </c>
      <c r="C1845" s="6">
        <v>1983</v>
      </c>
      <c r="D1845" s="7">
        <v>204741</v>
      </c>
    </row>
    <row r="1846" spans="1:4" x14ac:dyDescent="0.3">
      <c r="A1846" s="2" t="s">
        <v>60</v>
      </c>
      <c r="B1846" s="2" t="s">
        <v>61</v>
      </c>
      <c r="C1846" s="3">
        <v>1984</v>
      </c>
      <c r="D1846" s="4">
        <v>211661</v>
      </c>
    </row>
    <row r="1847" spans="1:4" x14ac:dyDescent="0.3">
      <c r="A1847" s="5" t="s">
        <v>60</v>
      </c>
      <c r="B1847" s="5" t="s">
        <v>61</v>
      </c>
      <c r="C1847" s="6">
        <v>1985</v>
      </c>
      <c r="D1847" s="7">
        <v>218919</v>
      </c>
    </row>
    <row r="1848" spans="1:4" x14ac:dyDescent="0.3">
      <c r="A1848" s="2" t="s">
        <v>60</v>
      </c>
      <c r="B1848" s="2" t="s">
        <v>61</v>
      </c>
      <c r="C1848" s="3">
        <v>1986</v>
      </c>
      <c r="D1848" s="4">
        <v>226495</v>
      </c>
    </row>
    <row r="1849" spans="1:4" x14ac:dyDescent="0.3">
      <c r="A1849" s="5" t="s">
        <v>60</v>
      </c>
      <c r="B1849" s="5" t="s">
        <v>61</v>
      </c>
      <c r="C1849" s="6">
        <v>1987</v>
      </c>
      <c r="D1849" s="7">
        <v>233860</v>
      </c>
    </row>
    <row r="1850" spans="1:4" x14ac:dyDescent="0.3">
      <c r="A1850" s="2" t="s">
        <v>60</v>
      </c>
      <c r="B1850" s="2" t="s">
        <v>61</v>
      </c>
      <c r="C1850" s="3">
        <v>1988</v>
      </c>
      <c r="D1850" s="4">
        <v>240913</v>
      </c>
    </row>
    <row r="1851" spans="1:4" x14ac:dyDescent="0.3">
      <c r="A1851" s="5" t="s">
        <v>60</v>
      </c>
      <c r="B1851" s="5" t="s">
        <v>61</v>
      </c>
      <c r="C1851" s="6">
        <v>1989</v>
      </c>
      <c r="D1851" s="7">
        <v>248064</v>
      </c>
    </row>
    <row r="1852" spans="1:4" x14ac:dyDescent="0.3">
      <c r="A1852" s="2" t="s">
        <v>60</v>
      </c>
      <c r="B1852" s="2" t="s">
        <v>61</v>
      </c>
      <c r="C1852" s="3">
        <v>1990</v>
      </c>
      <c r="D1852" s="4">
        <v>255292</v>
      </c>
    </row>
    <row r="1853" spans="1:4" x14ac:dyDescent="0.3">
      <c r="A1853" s="5" t="s">
        <v>60</v>
      </c>
      <c r="B1853" s="5" t="s">
        <v>61</v>
      </c>
      <c r="C1853" s="6">
        <v>1991</v>
      </c>
      <c r="D1853" s="7">
        <v>262596</v>
      </c>
    </row>
    <row r="1854" spans="1:4" x14ac:dyDescent="0.3">
      <c r="A1854" s="2" t="s">
        <v>60</v>
      </c>
      <c r="B1854" s="2" t="s">
        <v>61</v>
      </c>
      <c r="C1854" s="3">
        <v>1992</v>
      </c>
      <c r="D1854" s="4">
        <v>269839</v>
      </c>
    </row>
    <row r="1855" spans="1:4" x14ac:dyDescent="0.3">
      <c r="A1855" s="5" t="s">
        <v>60</v>
      </c>
      <c r="B1855" s="5" t="s">
        <v>61</v>
      </c>
      <c r="C1855" s="6">
        <v>1993</v>
      </c>
      <c r="D1855" s="7">
        <v>276971</v>
      </c>
    </row>
    <row r="1856" spans="1:4" x14ac:dyDescent="0.3">
      <c r="A1856" s="2" t="s">
        <v>60</v>
      </c>
      <c r="B1856" s="2" t="s">
        <v>61</v>
      </c>
      <c r="C1856" s="3">
        <v>1994</v>
      </c>
      <c r="D1856" s="4">
        <v>284091</v>
      </c>
    </row>
    <row r="1857" spans="1:4" x14ac:dyDescent="0.3">
      <c r="A1857" s="5" t="s">
        <v>60</v>
      </c>
      <c r="B1857" s="5" t="s">
        <v>61</v>
      </c>
      <c r="C1857" s="6">
        <v>1995</v>
      </c>
      <c r="D1857" s="7">
        <v>291195</v>
      </c>
    </row>
    <row r="1858" spans="1:4" x14ac:dyDescent="0.3">
      <c r="A1858" s="2" t="s">
        <v>60</v>
      </c>
      <c r="B1858" s="2" t="s">
        <v>61</v>
      </c>
      <c r="C1858" s="3">
        <v>1996</v>
      </c>
      <c r="D1858" s="4">
        <v>298276</v>
      </c>
    </row>
    <row r="1859" spans="1:4" x14ac:dyDescent="0.3">
      <c r="A1859" s="5" t="s">
        <v>60</v>
      </c>
      <c r="B1859" s="5" t="s">
        <v>61</v>
      </c>
      <c r="C1859" s="6">
        <v>1997</v>
      </c>
      <c r="D1859" s="7">
        <v>305341</v>
      </c>
    </row>
    <row r="1860" spans="1:4" x14ac:dyDescent="0.3">
      <c r="A1860" s="2" t="s">
        <v>60</v>
      </c>
      <c r="B1860" s="2" t="s">
        <v>61</v>
      </c>
      <c r="C1860" s="3">
        <v>1998</v>
      </c>
      <c r="D1860" s="4">
        <v>312385</v>
      </c>
    </row>
    <row r="1861" spans="1:4" x14ac:dyDescent="0.3">
      <c r="A1861" s="5" t="s">
        <v>60</v>
      </c>
      <c r="B1861" s="5" t="s">
        <v>61</v>
      </c>
      <c r="C1861" s="6">
        <v>1999</v>
      </c>
      <c r="D1861" s="7">
        <v>319411</v>
      </c>
    </row>
    <row r="1862" spans="1:4" x14ac:dyDescent="0.3">
      <c r="A1862" s="2" t="s">
        <v>60</v>
      </c>
      <c r="B1862" s="2" t="s">
        <v>61</v>
      </c>
      <c r="C1862" s="3">
        <v>2000</v>
      </c>
      <c r="D1862" s="4">
        <v>326424</v>
      </c>
    </row>
    <row r="1863" spans="1:4" x14ac:dyDescent="0.3">
      <c r="A1863" s="5" t="s">
        <v>60</v>
      </c>
      <c r="B1863" s="5" t="s">
        <v>61</v>
      </c>
      <c r="C1863" s="6">
        <v>2001</v>
      </c>
      <c r="D1863" s="7">
        <v>333345</v>
      </c>
    </row>
    <row r="1864" spans="1:4" x14ac:dyDescent="0.3">
      <c r="A1864" s="2" t="s">
        <v>60</v>
      </c>
      <c r="B1864" s="2" t="s">
        <v>61</v>
      </c>
      <c r="C1864" s="3">
        <v>2002</v>
      </c>
      <c r="D1864" s="4">
        <v>340099</v>
      </c>
    </row>
    <row r="1865" spans="1:4" x14ac:dyDescent="0.3">
      <c r="A1865" s="5" t="s">
        <v>60</v>
      </c>
      <c r="B1865" s="5" t="s">
        <v>61</v>
      </c>
      <c r="C1865" s="6">
        <v>2003</v>
      </c>
      <c r="D1865" s="7">
        <v>346637</v>
      </c>
    </row>
    <row r="1866" spans="1:4" x14ac:dyDescent="0.3">
      <c r="A1866" s="2" t="s">
        <v>60</v>
      </c>
      <c r="B1866" s="2" t="s">
        <v>61</v>
      </c>
      <c r="C1866" s="3">
        <v>2004</v>
      </c>
      <c r="D1866" s="4">
        <v>352911</v>
      </c>
    </row>
    <row r="1867" spans="1:4" x14ac:dyDescent="0.3">
      <c r="A1867" s="5" t="s">
        <v>60</v>
      </c>
      <c r="B1867" s="5" t="s">
        <v>61</v>
      </c>
      <c r="C1867" s="6">
        <v>2005</v>
      </c>
      <c r="D1867" s="7">
        <v>358916</v>
      </c>
    </row>
    <row r="1868" spans="1:4" x14ac:dyDescent="0.3">
      <c r="A1868" s="2" t="s">
        <v>60</v>
      </c>
      <c r="B1868" s="2" t="s">
        <v>61</v>
      </c>
      <c r="C1868" s="3">
        <v>2006</v>
      </c>
      <c r="D1868" s="4">
        <v>364663</v>
      </c>
    </row>
    <row r="1869" spans="1:4" x14ac:dyDescent="0.3">
      <c r="A1869" s="5" t="s">
        <v>60</v>
      </c>
      <c r="B1869" s="5" t="s">
        <v>61</v>
      </c>
      <c r="C1869" s="6">
        <v>2007</v>
      </c>
      <c r="D1869" s="7">
        <v>370873</v>
      </c>
    </row>
    <row r="1870" spans="1:4" x14ac:dyDescent="0.3">
      <c r="A1870" s="2" t="s">
        <v>60</v>
      </c>
      <c r="B1870" s="2" t="s">
        <v>61</v>
      </c>
      <c r="C1870" s="3">
        <v>2008</v>
      </c>
      <c r="D1870" s="4">
        <v>377793</v>
      </c>
    </row>
    <row r="1871" spans="1:4" x14ac:dyDescent="0.3">
      <c r="A1871" s="5" t="s">
        <v>60</v>
      </c>
      <c r="B1871" s="5" t="s">
        <v>61</v>
      </c>
      <c r="C1871" s="6">
        <v>2009</v>
      </c>
      <c r="D1871" s="7">
        <v>384952</v>
      </c>
    </row>
    <row r="1872" spans="1:4" x14ac:dyDescent="0.3">
      <c r="A1872" s="2" t="s">
        <v>60</v>
      </c>
      <c r="B1872" s="2" t="s">
        <v>61</v>
      </c>
      <c r="C1872" s="3">
        <v>2010</v>
      </c>
      <c r="D1872" s="4">
        <v>392332</v>
      </c>
    </row>
    <row r="1873" spans="1:4" x14ac:dyDescent="0.3">
      <c r="A1873" s="5" t="s">
        <v>60</v>
      </c>
      <c r="B1873" s="5" t="s">
        <v>61</v>
      </c>
      <c r="C1873" s="6">
        <v>2011</v>
      </c>
      <c r="D1873" s="7">
        <v>399389</v>
      </c>
    </row>
    <row r="1874" spans="1:4" x14ac:dyDescent="0.3">
      <c r="A1874" s="2" t="s">
        <v>60</v>
      </c>
      <c r="B1874" s="2" t="s">
        <v>61</v>
      </c>
      <c r="C1874" s="3">
        <v>2012</v>
      </c>
      <c r="D1874" s="4">
        <v>405557</v>
      </c>
    </row>
    <row r="1875" spans="1:4" x14ac:dyDescent="0.3">
      <c r="A1875" s="5" t="s">
        <v>60</v>
      </c>
      <c r="B1875" s="5" t="s">
        <v>61</v>
      </c>
      <c r="C1875" s="6">
        <v>2013</v>
      </c>
      <c r="D1875" s="7">
        <v>411202</v>
      </c>
    </row>
    <row r="1876" spans="1:4" x14ac:dyDescent="0.3">
      <c r="A1876" s="2" t="s">
        <v>60</v>
      </c>
      <c r="B1876" s="2" t="s">
        <v>61</v>
      </c>
      <c r="C1876" s="3">
        <v>2014</v>
      </c>
      <c r="D1876" s="4">
        <v>416750</v>
      </c>
    </row>
    <row r="1877" spans="1:4" x14ac:dyDescent="0.3">
      <c r="A1877" s="5" t="s">
        <v>60</v>
      </c>
      <c r="B1877" s="5" t="s">
        <v>61</v>
      </c>
      <c r="C1877" s="6">
        <v>2015</v>
      </c>
      <c r="D1877" s="7">
        <v>422212</v>
      </c>
    </row>
    <row r="1878" spans="1:4" x14ac:dyDescent="0.3">
      <c r="A1878" s="2" t="s">
        <v>60</v>
      </c>
      <c r="B1878" s="2" t="s">
        <v>61</v>
      </c>
      <c r="C1878" s="3">
        <v>2016</v>
      </c>
      <c r="D1878" s="4">
        <v>427564</v>
      </c>
    </row>
    <row r="1879" spans="1:4" x14ac:dyDescent="0.3">
      <c r="A1879" s="5" t="s">
        <v>60</v>
      </c>
      <c r="B1879" s="5" t="s">
        <v>61</v>
      </c>
      <c r="C1879" s="6">
        <v>2017</v>
      </c>
      <c r="D1879" s="7">
        <v>432772</v>
      </c>
    </row>
    <row r="1880" spans="1:4" x14ac:dyDescent="0.3">
      <c r="A1880" s="2" t="s">
        <v>60</v>
      </c>
      <c r="B1880" s="2" t="s">
        <v>61</v>
      </c>
      <c r="C1880" s="3">
        <v>2018</v>
      </c>
      <c r="D1880" s="4">
        <v>437810</v>
      </c>
    </row>
    <row r="1881" spans="1:4" x14ac:dyDescent="0.3">
      <c r="A1881" s="5" t="s">
        <v>60</v>
      </c>
      <c r="B1881" s="5" t="s">
        <v>61</v>
      </c>
      <c r="C1881" s="6">
        <v>2019</v>
      </c>
      <c r="D1881" s="7">
        <v>442680</v>
      </c>
    </row>
    <row r="1882" spans="1:4" x14ac:dyDescent="0.3">
      <c r="A1882" s="2" t="s">
        <v>60</v>
      </c>
      <c r="B1882" s="2" t="s">
        <v>61</v>
      </c>
      <c r="C1882" s="3">
        <v>2020</v>
      </c>
      <c r="D1882" s="4">
        <v>447404</v>
      </c>
    </row>
    <row r="1883" spans="1:4" x14ac:dyDescent="0.3">
      <c r="A1883" s="5" t="s">
        <v>60</v>
      </c>
      <c r="B1883" s="5" t="s">
        <v>61</v>
      </c>
      <c r="C1883" s="6">
        <v>2021</v>
      </c>
      <c r="D1883" s="7">
        <v>451721</v>
      </c>
    </row>
    <row r="1884" spans="1:4" x14ac:dyDescent="0.3">
      <c r="A1884" s="2" t="s">
        <v>60</v>
      </c>
      <c r="B1884" s="2" t="s">
        <v>61</v>
      </c>
      <c r="C1884" s="3">
        <v>2022</v>
      </c>
      <c r="D1884" s="4">
        <v>455370</v>
      </c>
    </row>
    <row r="1885" spans="1:4" x14ac:dyDescent="0.3">
      <c r="A1885" s="5" t="s">
        <v>60</v>
      </c>
      <c r="B1885" s="5" t="s">
        <v>61</v>
      </c>
      <c r="C1885" s="6">
        <v>2023</v>
      </c>
      <c r="D1885" s="7">
        <v>458949</v>
      </c>
    </row>
    <row r="1886" spans="1:4" x14ac:dyDescent="0.3">
      <c r="A1886" s="2" t="s">
        <v>60</v>
      </c>
      <c r="B1886" s="2" t="s">
        <v>61</v>
      </c>
      <c r="C1886" s="3">
        <v>2024</v>
      </c>
      <c r="D1886" s="4">
        <v>462721</v>
      </c>
    </row>
    <row r="1887" spans="1:4" x14ac:dyDescent="0.3">
      <c r="A1887" s="5" t="s">
        <v>62</v>
      </c>
      <c r="B1887" s="5" t="s">
        <v>63</v>
      </c>
      <c r="C1887" s="6">
        <v>1960</v>
      </c>
      <c r="D1887" s="7">
        <v>7867374</v>
      </c>
    </row>
    <row r="1888" spans="1:4" x14ac:dyDescent="0.3">
      <c r="A1888" s="2" t="s">
        <v>62</v>
      </c>
      <c r="B1888" s="2" t="s">
        <v>63</v>
      </c>
      <c r="C1888" s="3">
        <v>1961</v>
      </c>
      <c r="D1888" s="4">
        <v>7943118</v>
      </c>
    </row>
    <row r="1889" spans="1:4" x14ac:dyDescent="0.3">
      <c r="A1889" s="5" t="s">
        <v>62</v>
      </c>
      <c r="B1889" s="5" t="s">
        <v>63</v>
      </c>
      <c r="C1889" s="6">
        <v>1962</v>
      </c>
      <c r="D1889" s="7">
        <v>8012946</v>
      </c>
    </row>
    <row r="1890" spans="1:4" x14ac:dyDescent="0.3">
      <c r="A1890" s="2" t="s">
        <v>62</v>
      </c>
      <c r="B1890" s="2" t="s">
        <v>63</v>
      </c>
      <c r="C1890" s="3">
        <v>1963</v>
      </c>
      <c r="D1890" s="4">
        <v>8078145</v>
      </c>
    </row>
    <row r="1891" spans="1:4" x14ac:dyDescent="0.3">
      <c r="A1891" s="5" t="s">
        <v>62</v>
      </c>
      <c r="B1891" s="5" t="s">
        <v>63</v>
      </c>
      <c r="C1891" s="6">
        <v>1964</v>
      </c>
      <c r="D1891" s="7">
        <v>8144340</v>
      </c>
    </row>
    <row r="1892" spans="1:4" x14ac:dyDescent="0.3">
      <c r="A1892" s="2" t="s">
        <v>62</v>
      </c>
      <c r="B1892" s="2" t="s">
        <v>63</v>
      </c>
      <c r="C1892" s="3">
        <v>1965</v>
      </c>
      <c r="D1892" s="4">
        <v>8204168</v>
      </c>
    </row>
    <row r="1893" spans="1:4" x14ac:dyDescent="0.3">
      <c r="A1893" s="5" t="s">
        <v>62</v>
      </c>
      <c r="B1893" s="5" t="s">
        <v>63</v>
      </c>
      <c r="C1893" s="6">
        <v>1966</v>
      </c>
      <c r="D1893" s="7">
        <v>8258057</v>
      </c>
    </row>
    <row r="1894" spans="1:4" x14ac:dyDescent="0.3">
      <c r="A1894" s="2" t="s">
        <v>62</v>
      </c>
      <c r="B1894" s="2" t="s">
        <v>63</v>
      </c>
      <c r="C1894" s="3">
        <v>1967</v>
      </c>
      <c r="D1894" s="4">
        <v>8310226</v>
      </c>
    </row>
    <row r="1895" spans="1:4" x14ac:dyDescent="0.3">
      <c r="A1895" s="5" t="s">
        <v>62</v>
      </c>
      <c r="B1895" s="5" t="s">
        <v>63</v>
      </c>
      <c r="C1895" s="6">
        <v>1968</v>
      </c>
      <c r="D1895" s="7">
        <v>8369603</v>
      </c>
    </row>
    <row r="1896" spans="1:4" x14ac:dyDescent="0.3">
      <c r="A1896" s="2" t="s">
        <v>62</v>
      </c>
      <c r="B1896" s="2" t="s">
        <v>63</v>
      </c>
      <c r="C1896" s="3">
        <v>1969</v>
      </c>
      <c r="D1896" s="4">
        <v>8434172</v>
      </c>
    </row>
    <row r="1897" spans="1:4" x14ac:dyDescent="0.3">
      <c r="A1897" s="5" t="s">
        <v>62</v>
      </c>
      <c r="B1897" s="5" t="s">
        <v>63</v>
      </c>
      <c r="C1897" s="6">
        <v>1970</v>
      </c>
      <c r="D1897" s="7">
        <v>8489574</v>
      </c>
    </row>
    <row r="1898" spans="1:4" x14ac:dyDescent="0.3">
      <c r="A1898" s="2" t="s">
        <v>62</v>
      </c>
      <c r="B1898" s="2" t="s">
        <v>63</v>
      </c>
      <c r="C1898" s="3">
        <v>1971</v>
      </c>
      <c r="D1898" s="4">
        <v>8536395</v>
      </c>
    </row>
    <row r="1899" spans="1:4" x14ac:dyDescent="0.3">
      <c r="A1899" s="5" t="s">
        <v>62</v>
      </c>
      <c r="B1899" s="5" t="s">
        <v>63</v>
      </c>
      <c r="C1899" s="6">
        <v>1972</v>
      </c>
      <c r="D1899" s="7">
        <v>8576200</v>
      </c>
    </row>
    <row r="1900" spans="1:4" x14ac:dyDescent="0.3">
      <c r="A1900" s="2" t="s">
        <v>62</v>
      </c>
      <c r="B1900" s="2" t="s">
        <v>63</v>
      </c>
      <c r="C1900" s="3">
        <v>1973</v>
      </c>
      <c r="D1900" s="4">
        <v>8620967</v>
      </c>
    </row>
    <row r="1901" spans="1:4" x14ac:dyDescent="0.3">
      <c r="A1901" s="5" t="s">
        <v>62</v>
      </c>
      <c r="B1901" s="5" t="s">
        <v>63</v>
      </c>
      <c r="C1901" s="6">
        <v>1974</v>
      </c>
      <c r="D1901" s="7">
        <v>8678745</v>
      </c>
    </row>
    <row r="1902" spans="1:4" x14ac:dyDescent="0.3">
      <c r="A1902" s="2" t="s">
        <v>62</v>
      </c>
      <c r="B1902" s="2" t="s">
        <v>63</v>
      </c>
      <c r="C1902" s="3">
        <v>1975</v>
      </c>
      <c r="D1902" s="4">
        <v>8720742</v>
      </c>
    </row>
    <row r="1903" spans="1:4" x14ac:dyDescent="0.3">
      <c r="A1903" s="5" t="s">
        <v>62</v>
      </c>
      <c r="B1903" s="5" t="s">
        <v>63</v>
      </c>
      <c r="C1903" s="6">
        <v>1976</v>
      </c>
      <c r="D1903" s="7">
        <v>8758599</v>
      </c>
    </row>
    <row r="1904" spans="1:4" x14ac:dyDescent="0.3">
      <c r="A1904" s="2" t="s">
        <v>62</v>
      </c>
      <c r="B1904" s="2" t="s">
        <v>63</v>
      </c>
      <c r="C1904" s="3">
        <v>1977</v>
      </c>
      <c r="D1904" s="4">
        <v>8804183</v>
      </c>
    </row>
    <row r="1905" spans="1:4" x14ac:dyDescent="0.3">
      <c r="A1905" s="5" t="s">
        <v>62</v>
      </c>
      <c r="B1905" s="5" t="s">
        <v>63</v>
      </c>
      <c r="C1905" s="6">
        <v>1978</v>
      </c>
      <c r="D1905" s="7">
        <v>8814032</v>
      </c>
    </row>
    <row r="1906" spans="1:4" x14ac:dyDescent="0.3">
      <c r="A1906" s="2" t="s">
        <v>62</v>
      </c>
      <c r="B1906" s="2" t="s">
        <v>63</v>
      </c>
      <c r="C1906" s="3">
        <v>1979</v>
      </c>
      <c r="D1906" s="4">
        <v>8825940</v>
      </c>
    </row>
    <row r="1907" spans="1:4" x14ac:dyDescent="0.3">
      <c r="A1907" s="5" t="s">
        <v>62</v>
      </c>
      <c r="B1907" s="5" t="s">
        <v>63</v>
      </c>
      <c r="C1907" s="6">
        <v>1980</v>
      </c>
      <c r="D1907" s="7">
        <v>8861535</v>
      </c>
    </row>
    <row r="1908" spans="1:4" x14ac:dyDescent="0.3">
      <c r="A1908" s="2" t="s">
        <v>62</v>
      </c>
      <c r="B1908" s="2" t="s">
        <v>63</v>
      </c>
      <c r="C1908" s="3">
        <v>1981</v>
      </c>
      <c r="D1908" s="4">
        <v>8891117</v>
      </c>
    </row>
    <row r="1909" spans="1:4" x14ac:dyDescent="0.3">
      <c r="A1909" s="5" t="s">
        <v>62</v>
      </c>
      <c r="B1909" s="5" t="s">
        <v>63</v>
      </c>
      <c r="C1909" s="6">
        <v>1982</v>
      </c>
      <c r="D1909" s="7">
        <v>8917457</v>
      </c>
    </row>
    <row r="1910" spans="1:4" x14ac:dyDescent="0.3">
      <c r="A1910" s="2" t="s">
        <v>62</v>
      </c>
      <c r="B1910" s="2" t="s">
        <v>63</v>
      </c>
      <c r="C1910" s="3">
        <v>1983</v>
      </c>
      <c r="D1910" s="4">
        <v>8939738</v>
      </c>
    </row>
    <row r="1911" spans="1:4" x14ac:dyDescent="0.3">
      <c r="A1911" s="5" t="s">
        <v>62</v>
      </c>
      <c r="B1911" s="5" t="s">
        <v>63</v>
      </c>
      <c r="C1911" s="6">
        <v>1984</v>
      </c>
      <c r="D1911" s="7">
        <v>8960679</v>
      </c>
    </row>
    <row r="1912" spans="1:4" x14ac:dyDescent="0.3">
      <c r="A1912" s="2" t="s">
        <v>62</v>
      </c>
      <c r="B1912" s="2" t="s">
        <v>63</v>
      </c>
      <c r="C1912" s="3">
        <v>1985</v>
      </c>
      <c r="D1912" s="4">
        <v>8960547</v>
      </c>
    </row>
    <row r="1913" spans="1:4" x14ac:dyDescent="0.3">
      <c r="A1913" s="5" t="s">
        <v>62</v>
      </c>
      <c r="B1913" s="5" t="s">
        <v>63</v>
      </c>
      <c r="C1913" s="6">
        <v>1986</v>
      </c>
      <c r="D1913" s="7">
        <v>8958171</v>
      </c>
    </row>
    <row r="1914" spans="1:4" x14ac:dyDescent="0.3">
      <c r="A1914" s="2" t="s">
        <v>62</v>
      </c>
      <c r="B1914" s="2" t="s">
        <v>63</v>
      </c>
      <c r="C1914" s="3">
        <v>1987</v>
      </c>
      <c r="D1914" s="4">
        <v>8971359</v>
      </c>
    </row>
    <row r="1915" spans="1:4" x14ac:dyDescent="0.3">
      <c r="A1915" s="5" t="s">
        <v>62</v>
      </c>
      <c r="B1915" s="5" t="s">
        <v>63</v>
      </c>
      <c r="C1915" s="6">
        <v>1988</v>
      </c>
      <c r="D1915" s="7">
        <v>8981446</v>
      </c>
    </row>
    <row r="1916" spans="1:4" x14ac:dyDescent="0.3">
      <c r="A1916" s="2" t="s">
        <v>62</v>
      </c>
      <c r="B1916" s="2" t="s">
        <v>63</v>
      </c>
      <c r="C1916" s="3">
        <v>1989</v>
      </c>
      <c r="D1916" s="4">
        <v>8876972</v>
      </c>
    </row>
    <row r="1917" spans="1:4" x14ac:dyDescent="0.3">
      <c r="A1917" s="5" t="s">
        <v>62</v>
      </c>
      <c r="B1917" s="5" t="s">
        <v>63</v>
      </c>
      <c r="C1917" s="6">
        <v>1990</v>
      </c>
      <c r="D1917" s="7">
        <v>8718289</v>
      </c>
    </row>
    <row r="1918" spans="1:4" x14ac:dyDescent="0.3">
      <c r="A1918" s="2" t="s">
        <v>62</v>
      </c>
      <c r="B1918" s="2" t="s">
        <v>63</v>
      </c>
      <c r="C1918" s="3">
        <v>1991</v>
      </c>
      <c r="D1918" s="4">
        <v>8632367</v>
      </c>
    </row>
    <row r="1919" spans="1:4" x14ac:dyDescent="0.3">
      <c r="A1919" s="5" t="s">
        <v>62</v>
      </c>
      <c r="B1919" s="5" t="s">
        <v>63</v>
      </c>
      <c r="C1919" s="6">
        <v>1992</v>
      </c>
      <c r="D1919" s="7">
        <v>8540164</v>
      </c>
    </row>
    <row r="1920" spans="1:4" x14ac:dyDescent="0.3">
      <c r="A1920" s="2" t="s">
        <v>62</v>
      </c>
      <c r="B1920" s="2" t="s">
        <v>63</v>
      </c>
      <c r="C1920" s="3">
        <v>1993</v>
      </c>
      <c r="D1920" s="4">
        <v>8472313</v>
      </c>
    </row>
    <row r="1921" spans="1:4" x14ac:dyDescent="0.3">
      <c r="A1921" s="5" t="s">
        <v>62</v>
      </c>
      <c r="B1921" s="5" t="s">
        <v>63</v>
      </c>
      <c r="C1921" s="6">
        <v>1994</v>
      </c>
      <c r="D1921" s="7">
        <v>8443591</v>
      </c>
    </row>
    <row r="1922" spans="1:4" x14ac:dyDescent="0.3">
      <c r="A1922" s="2" t="s">
        <v>62</v>
      </c>
      <c r="B1922" s="2" t="s">
        <v>63</v>
      </c>
      <c r="C1922" s="3">
        <v>1995</v>
      </c>
      <c r="D1922" s="4">
        <v>8406067</v>
      </c>
    </row>
    <row r="1923" spans="1:4" x14ac:dyDescent="0.3">
      <c r="A1923" s="5" t="s">
        <v>62</v>
      </c>
      <c r="B1923" s="5" t="s">
        <v>63</v>
      </c>
      <c r="C1923" s="6">
        <v>1996</v>
      </c>
      <c r="D1923" s="7">
        <v>8362826</v>
      </c>
    </row>
    <row r="1924" spans="1:4" x14ac:dyDescent="0.3">
      <c r="A1924" s="2" t="s">
        <v>62</v>
      </c>
      <c r="B1924" s="2" t="s">
        <v>63</v>
      </c>
      <c r="C1924" s="3">
        <v>1997</v>
      </c>
      <c r="D1924" s="4">
        <v>8312068</v>
      </c>
    </row>
    <row r="1925" spans="1:4" x14ac:dyDescent="0.3">
      <c r="A1925" s="5" t="s">
        <v>62</v>
      </c>
      <c r="B1925" s="5" t="s">
        <v>63</v>
      </c>
      <c r="C1925" s="6">
        <v>1998</v>
      </c>
      <c r="D1925" s="7">
        <v>8256786</v>
      </c>
    </row>
    <row r="1926" spans="1:4" x14ac:dyDescent="0.3">
      <c r="A1926" s="2" t="s">
        <v>62</v>
      </c>
      <c r="B1926" s="2" t="s">
        <v>63</v>
      </c>
      <c r="C1926" s="3">
        <v>1999</v>
      </c>
      <c r="D1926" s="4">
        <v>8210624</v>
      </c>
    </row>
    <row r="1927" spans="1:4" x14ac:dyDescent="0.3">
      <c r="A1927" s="5" t="s">
        <v>62</v>
      </c>
      <c r="B1927" s="5" t="s">
        <v>63</v>
      </c>
      <c r="C1927" s="6">
        <v>2000</v>
      </c>
      <c r="D1927" s="7">
        <v>8170172</v>
      </c>
    </row>
    <row r="1928" spans="1:4" x14ac:dyDescent="0.3">
      <c r="A1928" s="2" t="s">
        <v>62</v>
      </c>
      <c r="B1928" s="2" t="s">
        <v>63</v>
      </c>
      <c r="C1928" s="3">
        <v>2001</v>
      </c>
      <c r="D1928" s="4">
        <v>8009142</v>
      </c>
    </row>
    <row r="1929" spans="1:4" x14ac:dyDescent="0.3">
      <c r="A1929" s="5" t="s">
        <v>62</v>
      </c>
      <c r="B1929" s="5" t="s">
        <v>63</v>
      </c>
      <c r="C1929" s="6">
        <v>2002</v>
      </c>
      <c r="D1929" s="7">
        <v>7837161</v>
      </c>
    </row>
    <row r="1930" spans="1:4" x14ac:dyDescent="0.3">
      <c r="A1930" s="2" t="s">
        <v>62</v>
      </c>
      <c r="B1930" s="2" t="s">
        <v>63</v>
      </c>
      <c r="C1930" s="3">
        <v>2003</v>
      </c>
      <c r="D1930" s="4">
        <v>7775327</v>
      </c>
    </row>
    <row r="1931" spans="1:4" x14ac:dyDescent="0.3">
      <c r="A1931" s="5" t="s">
        <v>62</v>
      </c>
      <c r="B1931" s="5" t="s">
        <v>63</v>
      </c>
      <c r="C1931" s="6">
        <v>2004</v>
      </c>
      <c r="D1931" s="7">
        <v>7716860</v>
      </c>
    </row>
    <row r="1932" spans="1:4" x14ac:dyDescent="0.3">
      <c r="A1932" s="2" t="s">
        <v>62</v>
      </c>
      <c r="B1932" s="2" t="s">
        <v>63</v>
      </c>
      <c r="C1932" s="3">
        <v>2005</v>
      </c>
      <c r="D1932" s="4">
        <v>7658972</v>
      </c>
    </row>
    <row r="1933" spans="1:4" x14ac:dyDescent="0.3">
      <c r="A1933" s="5" t="s">
        <v>62</v>
      </c>
      <c r="B1933" s="5" t="s">
        <v>63</v>
      </c>
      <c r="C1933" s="6">
        <v>2006</v>
      </c>
      <c r="D1933" s="7">
        <v>7601022</v>
      </c>
    </row>
    <row r="1934" spans="1:4" x14ac:dyDescent="0.3">
      <c r="A1934" s="2" t="s">
        <v>62</v>
      </c>
      <c r="B1934" s="2" t="s">
        <v>63</v>
      </c>
      <c r="C1934" s="3">
        <v>2007</v>
      </c>
      <c r="D1934" s="4">
        <v>7545338</v>
      </c>
    </row>
    <row r="1935" spans="1:4" x14ac:dyDescent="0.3">
      <c r="A1935" s="5" t="s">
        <v>62</v>
      </c>
      <c r="B1935" s="5" t="s">
        <v>63</v>
      </c>
      <c r="C1935" s="6">
        <v>2008</v>
      </c>
      <c r="D1935" s="7">
        <v>7492561</v>
      </c>
    </row>
    <row r="1936" spans="1:4" x14ac:dyDescent="0.3">
      <c r="A1936" s="2" t="s">
        <v>62</v>
      </c>
      <c r="B1936" s="2" t="s">
        <v>63</v>
      </c>
      <c r="C1936" s="3">
        <v>2009</v>
      </c>
      <c r="D1936" s="4">
        <v>7444443</v>
      </c>
    </row>
    <row r="1937" spans="1:4" x14ac:dyDescent="0.3">
      <c r="A1937" s="5" t="s">
        <v>62</v>
      </c>
      <c r="B1937" s="5" t="s">
        <v>63</v>
      </c>
      <c r="C1937" s="6">
        <v>2010</v>
      </c>
      <c r="D1937" s="7">
        <v>7395599</v>
      </c>
    </row>
    <row r="1938" spans="1:4" x14ac:dyDescent="0.3">
      <c r="A1938" s="2" t="s">
        <v>62</v>
      </c>
      <c r="B1938" s="2" t="s">
        <v>63</v>
      </c>
      <c r="C1938" s="3">
        <v>2011</v>
      </c>
      <c r="D1938" s="4">
        <v>7348328</v>
      </c>
    </row>
    <row r="1939" spans="1:4" x14ac:dyDescent="0.3">
      <c r="A1939" s="5" t="s">
        <v>62</v>
      </c>
      <c r="B1939" s="5" t="s">
        <v>63</v>
      </c>
      <c r="C1939" s="6">
        <v>2012</v>
      </c>
      <c r="D1939" s="7">
        <v>7305888</v>
      </c>
    </row>
    <row r="1940" spans="1:4" x14ac:dyDescent="0.3">
      <c r="A1940" s="2" t="s">
        <v>62</v>
      </c>
      <c r="B1940" s="2" t="s">
        <v>63</v>
      </c>
      <c r="C1940" s="3">
        <v>2013</v>
      </c>
      <c r="D1940" s="4">
        <v>7160005</v>
      </c>
    </row>
    <row r="1941" spans="1:4" x14ac:dyDescent="0.3">
      <c r="A1941" s="5" t="s">
        <v>62</v>
      </c>
      <c r="B1941" s="5" t="s">
        <v>63</v>
      </c>
      <c r="C1941" s="6">
        <v>2014</v>
      </c>
      <c r="D1941" s="7">
        <v>7073572</v>
      </c>
    </row>
    <row r="1942" spans="1:4" x14ac:dyDescent="0.3">
      <c r="A1942" s="2" t="s">
        <v>62</v>
      </c>
      <c r="B1942" s="2" t="s">
        <v>63</v>
      </c>
      <c r="C1942" s="3">
        <v>2015</v>
      </c>
      <c r="D1942" s="4">
        <v>6984225</v>
      </c>
    </row>
    <row r="1943" spans="1:4" x14ac:dyDescent="0.3">
      <c r="A1943" s="5" t="s">
        <v>62</v>
      </c>
      <c r="B1943" s="5" t="s">
        <v>63</v>
      </c>
      <c r="C1943" s="6">
        <v>2016</v>
      </c>
      <c r="D1943" s="7">
        <v>6894139</v>
      </c>
    </row>
    <row r="1944" spans="1:4" x14ac:dyDescent="0.3">
      <c r="A1944" s="2" t="s">
        <v>62</v>
      </c>
      <c r="B1944" s="2" t="s">
        <v>63</v>
      </c>
      <c r="C1944" s="3">
        <v>2017</v>
      </c>
      <c r="D1944" s="4">
        <v>6803468</v>
      </c>
    </row>
    <row r="1945" spans="1:4" x14ac:dyDescent="0.3">
      <c r="A1945" s="5" t="s">
        <v>62</v>
      </c>
      <c r="B1945" s="5" t="s">
        <v>63</v>
      </c>
      <c r="C1945" s="6">
        <v>2018</v>
      </c>
      <c r="D1945" s="7">
        <v>6710798</v>
      </c>
    </row>
    <row r="1946" spans="1:4" x14ac:dyDescent="0.3">
      <c r="A1946" s="2" t="s">
        <v>62</v>
      </c>
      <c r="B1946" s="2" t="s">
        <v>63</v>
      </c>
      <c r="C1946" s="3">
        <v>2019</v>
      </c>
      <c r="D1946" s="4">
        <v>6616726</v>
      </c>
    </row>
    <row r="1947" spans="1:4" x14ac:dyDescent="0.3">
      <c r="A1947" s="5" t="s">
        <v>62</v>
      </c>
      <c r="B1947" s="5" t="s">
        <v>63</v>
      </c>
      <c r="C1947" s="6">
        <v>2020</v>
      </c>
      <c r="D1947" s="7">
        <v>6550696</v>
      </c>
    </row>
    <row r="1948" spans="1:4" x14ac:dyDescent="0.3">
      <c r="A1948" s="2" t="s">
        <v>62</v>
      </c>
      <c r="B1948" s="2" t="s">
        <v>63</v>
      </c>
      <c r="C1948" s="3">
        <v>2021</v>
      </c>
      <c r="D1948" s="4">
        <v>6507301</v>
      </c>
    </row>
    <row r="1949" spans="1:4" x14ac:dyDescent="0.3">
      <c r="A1949" s="5" t="s">
        <v>62</v>
      </c>
      <c r="B1949" s="5" t="s">
        <v>63</v>
      </c>
      <c r="C1949" s="6">
        <v>2022</v>
      </c>
      <c r="D1949" s="7">
        <v>6465097</v>
      </c>
    </row>
    <row r="1950" spans="1:4" x14ac:dyDescent="0.3">
      <c r="A1950" s="2" t="s">
        <v>62</v>
      </c>
      <c r="B1950" s="2" t="s">
        <v>63</v>
      </c>
      <c r="C1950" s="3">
        <v>2023</v>
      </c>
      <c r="D1950" s="4">
        <v>6446596</v>
      </c>
    </row>
    <row r="1951" spans="1:4" x14ac:dyDescent="0.3">
      <c r="A1951" s="5" t="s">
        <v>62</v>
      </c>
      <c r="B1951" s="5" t="s">
        <v>63</v>
      </c>
      <c r="C1951" s="6">
        <v>2024</v>
      </c>
      <c r="D1951" s="7">
        <v>6444366</v>
      </c>
    </row>
    <row r="1952" spans="1:4" x14ac:dyDescent="0.3">
      <c r="A1952" s="2" t="s">
        <v>64</v>
      </c>
      <c r="B1952" s="2" t="s">
        <v>65</v>
      </c>
      <c r="C1952" s="3">
        <v>1960</v>
      </c>
      <c r="D1952" s="4">
        <v>4778621</v>
      </c>
    </row>
    <row r="1953" spans="1:4" x14ac:dyDescent="0.3">
      <c r="A1953" s="5" t="s">
        <v>64</v>
      </c>
      <c r="B1953" s="5" t="s">
        <v>65</v>
      </c>
      <c r="C1953" s="6">
        <v>1961</v>
      </c>
      <c r="D1953" s="7">
        <v>4848224</v>
      </c>
    </row>
    <row r="1954" spans="1:4" x14ac:dyDescent="0.3">
      <c r="A1954" s="2" t="s">
        <v>64</v>
      </c>
      <c r="B1954" s="2" t="s">
        <v>65</v>
      </c>
      <c r="C1954" s="3">
        <v>1962</v>
      </c>
      <c r="D1954" s="4">
        <v>4919672</v>
      </c>
    </row>
    <row r="1955" spans="1:4" x14ac:dyDescent="0.3">
      <c r="A1955" s="5" t="s">
        <v>64</v>
      </c>
      <c r="B1955" s="5" t="s">
        <v>65</v>
      </c>
      <c r="C1955" s="6">
        <v>1963</v>
      </c>
      <c r="D1955" s="7">
        <v>4993623</v>
      </c>
    </row>
    <row r="1956" spans="1:4" x14ac:dyDescent="0.3">
      <c r="A1956" s="2" t="s">
        <v>64</v>
      </c>
      <c r="B1956" s="2" t="s">
        <v>65</v>
      </c>
      <c r="C1956" s="3">
        <v>1964</v>
      </c>
      <c r="D1956" s="4">
        <v>5071034</v>
      </c>
    </row>
    <row r="1957" spans="1:4" x14ac:dyDescent="0.3">
      <c r="A1957" s="5" t="s">
        <v>64</v>
      </c>
      <c r="B1957" s="5" t="s">
        <v>65</v>
      </c>
      <c r="C1957" s="6">
        <v>1965</v>
      </c>
      <c r="D1957" s="7">
        <v>5152833</v>
      </c>
    </row>
    <row r="1958" spans="1:4" x14ac:dyDescent="0.3">
      <c r="A1958" s="2" t="s">
        <v>64</v>
      </c>
      <c r="B1958" s="2" t="s">
        <v>65</v>
      </c>
      <c r="C1958" s="3">
        <v>1966</v>
      </c>
      <c r="D1958" s="4">
        <v>5237933</v>
      </c>
    </row>
    <row r="1959" spans="1:4" x14ac:dyDescent="0.3">
      <c r="A1959" s="5" t="s">
        <v>64</v>
      </c>
      <c r="B1959" s="5" t="s">
        <v>65</v>
      </c>
      <c r="C1959" s="6">
        <v>1967</v>
      </c>
      <c r="D1959" s="7">
        <v>5326348</v>
      </c>
    </row>
    <row r="1960" spans="1:4" x14ac:dyDescent="0.3">
      <c r="A1960" s="2" t="s">
        <v>64</v>
      </c>
      <c r="B1960" s="2" t="s">
        <v>65</v>
      </c>
      <c r="C1960" s="3">
        <v>1968</v>
      </c>
      <c r="D1960" s="4">
        <v>5418644</v>
      </c>
    </row>
    <row r="1961" spans="1:4" x14ac:dyDescent="0.3">
      <c r="A1961" s="5" t="s">
        <v>64</v>
      </c>
      <c r="B1961" s="5" t="s">
        <v>65</v>
      </c>
      <c r="C1961" s="6">
        <v>1969</v>
      </c>
      <c r="D1961" s="7">
        <v>5513177</v>
      </c>
    </row>
    <row r="1962" spans="1:4" x14ac:dyDescent="0.3">
      <c r="A1962" s="2" t="s">
        <v>64</v>
      </c>
      <c r="B1962" s="2" t="s">
        <v>65</v>
      </c>
      <c r="C1962" s="3">
        <v>1970</v>
      </c>
      <c r="D1962" s="4">
        <v>5610304</v>
      </c>
    </row>
    <row r="1963" spans="1:4" x14ac:dyDescent="0.3">
      <c r="A1963" s="5" t="s">
        <v>64</v>
      </c>
      <c r="B1963" s="5" t="s">
        <v>65</v>
      </c>
      <c r="C1963" s="6">
        <v>1971</v>
      </c>
      <c r="D1963" s="7">
        <v>5707999</v>
      </c>
    </row>
    <row r="1964" spans="1:4" x14ac:dyDescent="0.3">
      <c r="A1964" s="2" t="s">
        <v>64</v>
      </c>
      <c r="B1964" s="2" t="s">
        <v>65</v>
      </c>
      <c r="C1964" s="3">
        <v>1972</v>
      </c>
      <c r="D1964" s="4">
        <v>5807234</v>
      </c>
    </row>
    <row r="1965" spans="1:4" x14ac:dyDescent="0.3">
      <c r="A1965" s="5" t="s">
        <v>64</v>
      </c>
      <c r="B1965" s="5" t="s">
        <v>65</v>
      </c>
      <c r="C1965" s="6">
        <v>1973</v>
      </c>
      <c r="D1965" s="7">
        <v>5911927</v>
      </c>
    </row>
    <row r="1966" spans="1:4" x14ac:dyDescent="0.3">
      <c r="A1966" s="2" t="s">
        <v>64</v>
      </c>
      <c r="B1966" s="2" t="s">
        <v>65</v>
      </c>
      <c r="C1966" s="3">
        <v>1974</v>
      </c>
      <c r="D1966" s="4">
        <v>6024904</v>
      </c>
    </row>
    <row r="1967" spans="1:4" x14ac:dyDescent="0.3">
      <c r="A1967" s="5" t="s">
        <v>64</v>
      </c>
      <c r="B1967" s="5" t="s">
        <v>65</v>
      </c>
      <c r="C1967" s="6">
        <v>1975</v>
      </c>
      <c r="D1967" s="7">
        <v>6147569</v>
      </c>
    </row>
    <row r="1968" spans="1:4" x14ac:dyDescent="0.3">
      <c r="A1968" s="2" t="s">
        <v>64</v>
      </c>
      <c r="B1968" s="2" t="s">
        <v>65</v>
      </c>
      <c r="C1968" s="3">
        <v>1976</v>
      </c>
      <c r="D1968" s="4">
        <v>6280635</v>
      </c>
    </row>
    <row r="1969" spans="1:4" x14ac:dyDescent="0.3">
      <c r="A1969" s="5" t="s">
        <v>64</v>
      </c>
      <c r="B1969" s="5" t="s">
        <v>65</v>
      </c>
      <c r="C1969" s="6">
        <v>1977</v>
      </c>
      <c r="D1969" s="7">
        <v>6428734</v>
      </c>
    </row>
    <row r="1970" spans="1:4" x14ac:dyDescent="0.3">
      <c r="A1970" s="2" t="s">
        <v>64</v>
      </c>
      <c r="B1970" s="2" t="s">
        <v>65</v>
      </c>
      <c r="C1970" s="3">
        <v>1978</v>
      </c>
      <c r="D1970" s="4">
        <v>6590984</v>
      </c>
    </row>
    <row r="1971" spans="1:4" x14ac:dyDescent="0.3">
      <c r="A1971" s="5" t="s">
        <v>64</v>
      </c>
      <c r="B1971" s="5" t="s">
        <v>65</v>
      </c>
      <c r="C1971" s="6">
        <v>1979</v>
      </c>
      <c r="D1971" s="7">
        <v>6763903</v>
      </c>
    </row>
    <row r="1972" spans="1:4" x14ac:dyDescent="0.3">
      <c r="A1972" s="2" t="s">
        <v>64</v>
      </c>
      <c r="B1972" s="2" t="s">
        <v>65</v>
      </c>
      <c r="C1972" s="3">
        <v>1980</v>
      </c>
      <c r="D1972" s="4">
        <v>6947900</v>
      </c>
    </row>
    <row r="1973" spans="1:4" x14ac:dyDescent="0.3">
      <c r="A1973" s="5" t="s">
        <v>64</v>
      </c>
      <c r="B1973" s="5" t="s">
        <v>65</v>
      </c>
      <c r="C1973" s="6">
        <v>1981</v>
      </c>
      <c r="D1973" s="7">
        <v>7140271</v>
      </c>
    </row>
    <row r="1974" spans="1:4" x14ac:dyDescent="0.3">
      <c r="A1974" s="2" t="s">
        <v>64</v>
      </c>
      <c r="B1974" s="2" t="s">
        <v>65</v>
      </c>
      <c r="C1974" s="3">
        <v>1982</v>
      </c>
      <c r="D1974" s="4">
        <v>7340197</v>
      </c>
    </row>
    <row r="1975" spans="1:4" x14ac:dyDescent="0.3">
      <c r="A1975" s="5" t="s">
        <v>64</v>
      </c>
      <c r="B1975" s="5" t="s">
        <v>65</v>
      </c>
      <c r="C1975" s="6">
        <v>1983</v>
      </c>
      <c r="D1975" s="7">
        <v>7551129</v>
      </c>
    </row>
    <row r="1976" spans="1:4" x14ac:dyDescent="0.3">
      <c r="A1976" s="2" t="s">
        <v>64</v>
      </c>
      <c r="B1976" s="2" t="s">
        <v>65</v>
      </c>
      <c r="C1976" s="3">
        <v>1984</v>
      </c>
      <c r="D1976" s="4">
        <v>7772256</v>
      </c>
    </row>
    <row r="1977" spans="1:4" x14ac:dyDescent="0.3">
      <c r="A1977" s="5" t="s">
        <v>64</v>
      </c>
      <c r="B1977" s="5" t="s">
        <v>65</v>
      </c>
      <c r="C1977" s="6">
        <v>1985</v>
      </c>
      <c r="D1977" s="7">
        <v>7999935</v>
      </c>
    </row>
    <row r="1978" spans="1:4" x14ac:dyDescent="0.3">
      <c r="A1978" s="2" t="s">
        <v>64</v>
      </c>
      <c r="B1978" s="2" t="s">
        <v>65</v>
      </c>
      <c r="C1978" s="3">
        <v>1986</v>
      </c>
      <c r="D1978" s="4">
        <v>8228847</v>
      </c>
    </row>
    <row r="1979" spans="1:4" x14ac:dyDescent="0.3">
      <c r="A1979" s="5" t="s">
        <v>64</v>
      </c>
      <c r="B1979" s="5" t="s">
        <v>65</v>
      </c>
      <c r="C1979" s="6">
        <v>1987</v>
      </c>
      <c r="D1979" s="7">
        <v>8457109</v>
      </c>
    </row>
    <row r="1980" spans="1:4" x14ac:dyDescent="0.3">
      <c r="A1980" s="2" t="s">
        <v>64</v>
      </c>
      <c r="B1980" s="2" t="s">
        <v>65</v>
      </c>
      <c r="C1980" s="3">
        <v>1988</v>
      </c>
      <c r="D1980" s="4">
        <v>8687435</v>
      </c>
    </row>
    <row r="1981" spans="1:4" x14ac:dyDescent="0.3">
      <c r="A1981" s="5" t="s">
        <v>64</v>
      </c>
      <c r="B1981" s="5" t="s">
        <v>65</v>
      </c>
      <c r="C1981" s="6">
        <v>1989</v>
      </c>
      <c r="D1981" s="7">
        <v>8921175</v>
      </c>
    </row>
    <row r="1982" spans="1:4" x14ac:dyDescent="0.3">
      <c r="A1982" s="2" t="s">
        <v>64</v>
      </c>
      <c r="B1982" s="2" t="s">
        <v>65</v>
      </c>
      <c r="C1982" s="3">
        <v>1990</v>
      </c>
      <c r="D1982" s="4">
        <v>9159356</v>
      </c>
    </row>
    <row r="1983" spans="1:4" x14ac:dyDescent="0.3">
      <c r="A1983" s="5" t="s">
        <v>64</v>
      </c>
      <c r="B1983" s="5" t="s">
        <v>65</v>
      </c>
      <c r="C1983" s="6">
        <v>1991</v>
      </c>
      <c r="D1983" s="7">
        <v>9394632</v>
      </c>
    </row>
    <row r="1984" spans="1:4" x14ac:dyDescent="0.3">
      <c r="A1984" s="2" t="s">
        <v>64</v>
      </c>
      <c r="B1984" s="2" t="s">
        <v>65</v>
      </c>
      <c r="C1984" s="3">
        <v>1992</v>
      </c>
      <c r="D1984" s="4">
        <v>9629275</v>
      </c>
    </row>
    <row r="1985" spans="1:4" x14ac:dyDescent="0.3">
      <c r="A1985" s="5" t="s">
        <v>64</v>
      </c>
      <c r="B1985" s="5" t="s">
        <v>65</v>
      </c>
      <c r="C1985" s="6">
        <v>1993</v>
      </c>
      <c r="D1985" s="7">
        <v>9871713</v>
      </c>
    </row>
    <row r="1986" spans="1:4" x14ac:dyDescent="0.3">
      <c r="A1986" s="2" t="s">
        <v>64</v>
      </c>
      <c r="B1986" s="2" t="s">
        <v>65</v>
      </c>
      <c r="C1986" s="3">
        <v>1994</v>
      </c>
      <c r="D1986" s="4">
        <v>10123798</v>
      </c>
    </row>
    <row r="1987" spans="1:4" x14ac:dyDescent="0.3">
      <c r="A1987" s="5" t="s">
        <v>64</v>
      </c>
      <c r="B1987" s="5" t="s">
        <v>65</v>
      </c>
      <c r="C1987" s="6">
        <v>1995</v>
      </c>
      <c r="D1987" s="7">
        <v>10386722</v>
      </c>
    </row>
    <row r="1988" spans="1:4" x14ac:dyDescent="0.3">
      <c r="A1988" s="2" t="s">
        <v>64</v>
      </c>
      <c r="B1988" s="2" t="s">
        <v>65</v>
      </c>
      <c r="C1988" s="3">
        <v>1996</v>
      </c>
      <c r="D1988" s="4">
        <v>10655942</v>
      </c>
    </row>
    <row r="1989" spans="1:4" x14ac:dyDescent="0.3">
      <c r="A1989" s="5" t="s">
        <v>64</v>
      </c>
      <c r="B1989" s="5" t="s">
        <v>65</v>
      </c>
      <c r="C1989" s="6">
        <v>1997</v>
      </c>
      <c r="D1989" s="7">
        <v>10934223</v>
      </c>
    </row>
    <row r="1990" spans="1:4" x14ac:dyDescent="0.3">
      <c r="A1990" s="2" t="s">
        <v>64</v>
      </c>
      <c r="B1990" s="2" t="s">
        <v>65</v>
      </c>
      <c r="C1990" s="3">
        <v>1998</v>
      </c>
      <c r="D1990" s="4">
        <v>11240664</v>
      </c>
    </row>
    <row r="1991" spans="1:4" x14ac:dyDescent="0.3">
      <c r="A1991" s="5" t="s">
        <v>64</v>
      </c>
      <c r="B1991" s="5" t="s">
        <v>65</v>
      </c>
      <c r="C1991" s="6">
        <v>1999</v>
      </c>
      <c r="D1991" s="7">
        <v>11574928</v>
      </c>
    </row>
    <row r="1992" spans="1:4" x14ac:dyDescent="0.3">
      <c r="A1992" s="2" t="s">
        <v>64</v>
      </c>
      <c r="B1992" s="2" t="s">
        <v>65</v>
      </c>
      <c r="C1992" s="3">
        <v>2000</v>
      </c>
      <c r="D1992" s="4">
        <v>11925546</v>
      </c>
    </row>
    <row r="1993" spans="1:4" x14ac:dyDescent="0.3">
      <c r="A1993" s="5" t="s">
        <v>64</v>
      </c>
      <c r="B1993" s="5" t="s">
        <v>65</v>
      </c>
      <c r="C1993" s="6">
        <v>2001</v>
      </c>
      <c r="D1993" s="7">
        <v>12295001</v>
      </c>
    </row>
    <row r="1994" spans="1:4" x14ac:dyDescent="0.3">
      <c r="A1994" s="2" t="s">
        <v>64</v>
      </c>
      <c r="B1994" s="2" t="s">
        <v>65</v>
      </c>
      <c r="C1994" s="3">
        <v>2002</v>
      </c>
      <c r="D1994" s="4">
        <v>12680897</v>
      </c>
    </row>
    <row r="1995" spans="1:4" x14ac:dyDescent="0.3">
      <c r="A1995" s="5" t="s">
        <v>64</v>
      </c>
      <c r="B1995" s="5" t="s">
        <v>65</v>
      </c>
      <c r="C1995" s="6">
        <v>2003</v>
      </c>
      <c r="D1995" s="7">
        <v>13082532</v>
      </c>
    </row>
    <row r="1996" spans="1:4" x14ac:dyDescent="0.3">
      <c r="A1996" s="2" t="s">
        <v>64</v>
      </c>
      <c r="B1996" s="2" t="s">
        <v>65</v>
      </c>
      <c r="C1996" s="3">
        <v>2004</v>
      </c>
      <c r="D1996" s="4">
        <v>13500533</v>
      </c>
    </row>
    <row r="1997" spans="1:4" x14ac:dyDescent="0.3">
      <c r="A1997" s="5" t="s">
        <v>64</v>
      </c>
      <c r="B1997" s="5" t="s">
        <v>65</v>
      </c>
      <c r="C1997" s="6">
        <v>2005</v>
      </c>
      <c r="D1997" s="7">
        <v>13932123</v>
      </c>
    </row>
    <row r="1998" spans="1:4" x14ac:dyDescent="0.3">
      <c r="A1998" s="2" t="s">
        <v>64</v>
      </c>
      <c r="B1998" s="2" t="s">
        <v>65</v>
      </c>
      <c r="C1998" s="3">
        <v>2006</v>
      </c>
      <c r="D1998" s="4">
        <v>14373707</v>
      </c>
    </row>
    <row r="1999" spans="1:4" x14ac:dyDescent="0.3">
      <c r="A1999" s="5" t="s">
        <v>64</v>
      </c>
      <c r="B1999" s="5" t="s">
        <v>65</v>
      </c>
      <c r="C1999" s="6">
        <v>2007</v>
      </c>
      <c r="D1999" s="7">
        <v>14816307</v>
      </c>
    </row>
    <row r="2000" spans="1:4" x14ac:dyDescent="0.3">
      <c r="A2000" s="2" t="s">
        <v>64</v>
      </c>
      <c r="B2000" s="2" t="s">
        <v>65</v>
      </c>
      <c r="C2000" s="3">
        <v>2008</v>
      </c>
      <c r="D2000" s="4">
        <v>15258093</v>
      </c>
    </row>
    <row r="2001" spans="1:4" x14ac:dyDescent="0.3">
      <c r="A2001" s="5" t="s">
        <v>64</v>
      </c>
      <c r="B2001" s="5" t="s">
        <v>65</v>
      </c>
      <c r="C2001" s="6">
        <v>2009</v>
      </c>
      <c r="D2001" s="7">
        <v>15710066</v>
      </c>
    </row>
    <row r="2002" spans="1:4" x14ac:dyDescent="0.3">
      <c r="A2002" s="2" t="s">
        <v>64</v>
      </c>
      <c r="B2002" s="2" t="s">
        <v>65</v>
      </c>
      <c r="C2002" s="3">
        <v>2010</v>
      </c>
      <c r="D2002" s="4">
        <v>16176498</v>
      </c>
    </row>
    <row r="2003" spans="1:4" x14ac:dyDescent="0.3">
      <c r="A2003" s="5" t="s">
        <v>64</v>
      </c>
      <c r="B2003" s="5" t="s">
        <v>65</v>
      </c>
      <c r="C2003" s="6">
        <v>2011</v>
      </c>
      <c r="D2003" s="7">
        <v>16661908</v>
      </c>
    </row>
    <row r="2004" spans="1:4" x14ac:dyDescent="0.3">
      <c r="A2004" s="2" t="s">
        <v>64</v>
      </c>
      <c r="B2004" s="2" t="s">
        <v>65</v>
      </c>
      <c r="C2004" s="3">
        <v>2012</v>
      </c>
      <c r="D2004" s="4">
        <v>17172287</v>
      </c>
    </row>
    <row r="2005" spans="1:4" x14ac:dyDescent="0.3">
      <c r="A2005" s="5" t="s">
        <v>64</v>
      </c>
      <c r="B2005" s="5" t="s">
        <v>65</v>
      </c>
      <c r="C2005" s="6">
        <v>2013</v>
      </c>
      <c r="D2005" s="7">
        <v>17695409</v>
      </c>
    </row>
    <row r="2006" spans="1:4" x14ac:dyDescent="0.3">
      <c r="A2006" s="2" t="s">
        <v>64</v>
      </c>
      <c r="B2006" s="2" t="s">
        <v>65</v>
      </c>
      <c r="C2006" s="3">
        <v>2014</v>
      </c>
      <c r="D2006" s="4">
        <v>18229461</v>
      </c>
    </row>
    <row r="2007" spans="1:4" x14ac:dyDescent="0.3">
      <c r="A2007" s="5" t="s">
        <v>64</v>
      </c>
      <c r="B2007" s="5" t="s">
        <v>65</v>
      </c>
      <c r="C2007" s="6">
        <v>2015</v>
      </c>
      <c r="D2007" s="7">
        <v>18777487</v>
      </c>
    </row>
    <row r="2008" spans="1:4" x14ac:dyDescent="0.3">
      <c r="A2008" s="2" t="s">
        <v>64</v>
      </c>
      <c r="B2008" s="2" t="s">
        <v>65</v>
      </c>
      <c r="C2008" s="3">
        <v>2016</v>
      </c>
      <c r="D2008" s="4">
        <v>19334856</v>
      </c>
    </row>
    <row r="2009" spans="1:4" x14ac:dyDescent="0.3">
      <c r="A2009" s="5" t="s">
        <v>64</v>
      </c>
      <c r="B2009" s="5" t="s">
        <v>65</v>
      </c>
      <c r="C2009" s="6">
        <v>2017</v>
      </c>
      <c r="D2009" s="7">
        <v>19894407</v>
      </c>
    </row>
    <row r="2010" spans="1:4" x14ac:dyDescent="0.3">
      <c r="A2010" s="2" t="s">
        <v>64</v>
      </c>
      <c r="B2010" s="2" t="s">
        <v>65</v>
      </c>
      <c r="C2010" s="3">
        <v>2018</v>
      </c>
      <c r="D2010" s="4">
        <v>20438288</v>
      </c>
    </row>
    <row r="2011" spans="1:4" x14ac:dyDescent="0.3">
      <c r="A2011" s="5" t="s">
        <v>64</v>
      </c>
      <c r="B2011" s="5" t="s">
        <v>65</v>
      </c>
      <c r="C2011" s="6">
        <v>2019</v>
      </c>
      <c r="D2011" s="7">
        <v>20961952</v>
      </c>
    </row>
    <row r="2012" spans="1:4" x14ac:dyDescent="0.3">
      <c r="A2012" s="2" t="s">
        <v>64</v>
      </c>
      <c r="B2012" s="2" t="s">
        <v>65</v>
      </c>
      <c r="C2012" s="3">
        <v>2020</v>
      </c>
      <c r="D2012" s="4">
        <v>21478690</v>
      </c>
    </row>
    <row r="2013" spans="1:4" x14ac:dyDescent="0.3">
      <c r="A2013" s="5" t="s">
        <v>64</v>
      </c>
      <c r="B2013" s="5" t="s">
        <v>65</v>
      </c>
      <c r="C2013" s="6">
        <v>2021</v>
      </c>
      <c r="D2013" s="7">
        <v>21995243</v>
      </c>
    </row>
    <row r="2014" spans="1:4" x14ac:dyDescent="0.3">
      <c r="A2014" s="2" t="s">
        <v>64</v>
      </c>
      <c r="B2014" s="2" t="s">
        <v>65</v>
      </c>
      <c r="C2014" s="3">
        <v>2022</v>
      </c>
      <c r="D2014" s="4">
        <v>22509038</v>
      </c>
    </row>
    <row r="2015" spans="1:4" x14ac:dyDescent="0.3">
      <c r="A2015" s="5" t="s">
        <v>64</v>
      </c>
      <c r="B2015" s="5" t="s">
        <v>65</v>
      </c>
      <c r="C2015" s="6">
        <v>2023</v>
      </c>
      <c r="D2015" s="7">
        <v>23025776</v>
      </c>
    </row>
    <row r="2016" spans="1:4" x14ac:dyDescent="0.3">
      <c r="A2016" s="2" t="s">
        <v>64</v>
      </c>
      <c r="B2016" s="2" t="s">
        <v>65</v>
      </c>
      <c r="C2016" s="3">
        <v>2024</v>
      </c>
      <c r="D2016" s="4">
        <v>23548781</v>
      </c>
    </row>
    <row r="2017" spans="1:4" x14ac:dyDescent="0.3">
      <c r="A2017" s="5" t="s">
        <v>66</v>
      </c>
      <c r="B2017" s="5" t="s">
        <v>67</v>
      </c>
      <c r="C2017" s="6">
        <v>1960</v>
      </c>
      <c r="D2017" s="7">
        <v>2764258</v>
      </c>
    </row>
    <row r="2018" spans="1:4" x14ac:dyDescent="0.3">
      <c r="A2018" s="2" t="s">
        <v>66</v>
      </c>
      <c r="B2018" s="2" t="s">
        <v>67</v>
      </c>
      <c r="C2018" s="3">
        <v>1961</v>
      </c>
      <c r="D2018" s="4">
        <v>2835119</v>
      </c>
    </row>
    <row r="2019" spans="1:4" x14ac:dyDescent="0.3">
      <c r="A2019" s="5" t="s">
        <v>66</v>
      </c>
      <c r="B2019" s="5" t="s">
        <v>67</v>
      </c>
      <c r="C2019" s="6">
        <v>1962</v>
      </c>
      <c r="D2019" s="7">
        <v>2907943</v>
      </c>
    </row>
    <row r="2020" spans="1:4" x14ac:dyDescent="0.3">
      <c r="A2020" s="2" t="s">
        <v>66</v>
      </c>
      <c r="B2020" s="2" t="s">
        <v>67</v>
      </c>
      <c r="C2020" s="3">
        <v>1963</v>
      </c>
      <c r="D2020" s="4">
        <v>2969841</v>
      </c>
    </row>
    <row r="2021" spans="1:4" x14ac:dyDescent="0.3">
      <c r="A2021" s="5" t="s">
        <v>66</v>
      </c>
      <c r="B2021" s="5" t="s">
        <v>67</v>
      </c>
      <c r="C2021" s="6">
        <v>1964</v>
      </c>
      <c r="D2021" s="7">
        <v>3055650</v>
      </c>
    </row>
    <row r="2022" spans="1:4" x14ac:dyDescent="0.3">
      <c r="A2022" s="2" t="s">
        <v>66</v>
      </c>
      <c r="B2022" s="2" t="s">
        <v>67</v>
      </c>
      <c r="C2022" s="3">
        <v>1965</v>
      </c>
      <c r="D2022" s="4">
        <v>3141367</v>
      </c>
    </row>
    <row r="2023" spans="1:4" x14ac:dyDescent="0.3">
      <c r="A2023" s="5" t="s">
        <v>66</v>
      </c>
      <c r="B2023" s="5" t="s">
        <v>67</v>
      </c>
      <c r="C2023" s="6">
        <v>1966</v>
      </c>
      <c r="D2023" s="7">
        <v>3217960</v>
      </c>
    </row>
    <row r="2024" spans="1:4" x14ac:dyDescent="0.3">
      <c r="A2024" s="2" t="s">
        <v>66</v>
      </c>
      <c r="B2024" s="2" t="s">
        <v>67</v>
      </c>
      <c r="C2024" s="3">
        <v>1967</v>
      </c>
      <c r="D2024" s="4">
        <v>3300690</v>
      </c>
    </row>
    <row r="2025" spans="1:4" x14ac:dyDescent="0.3">
      <c r="A2025" s="5" t="s">
        <v>66</v>
      </c>
      <c r="B2025" s="5" t="s">
        <v>67</v>
      </c>
      <c r="C2025" s="6">
        <v>1968</v>
      </c>
      <c r="D2025" s="7">
        <v>3380387</v>
      </c>
    </row>
    <row r="2026" spans="1:4" x14ac:dyDescent="0.3">
      <c r="A2026" s="2" t="s">
        <v>66</v>
      </c>
      <c r="B2026" s="2" t="s">
        <v>67</v>
      </c>
      <c r="C2026" s="3">
        <v>1969</v>
      </c>
      <c r="D2026" s="4">
        <v>3454590</v>
      </c>
    </row>
    <row r="2027" spans="1:4" x14ac:dyDescent="0.3">
      <c r="A2027" s="5" t="s">
        <v>66</v>
      </c>
      <c r="B2027" s="5" t="s">
        <v>67</v>
      </c>
      <c r="C2027" s="6">
        <v>1970</v>
      </c>
      <c r="D2027" s="7">
        <v>3530432</v>
      </c>
    </row>
    <row r="2028" spans="1:4" x14ac:dyDescent="0.3">
      <c r="A2028" s="2" t="s">
        <v>66</v>
      </c>
      <c r="B2028" s="2" t="s">
        <v>67</v>
      </c>
      <c r="C2028" s="3">
        <v>1971</v>
      </c>
      <c r="D2028" s="4">
        <v>3617289</v>
      </c>
    </row>
    <row r="2029" spans="1:4" x14ac:dyDescent="0.3">
      <c r="A2029" s="5" t="s">
        <v>66</v>
      </c>
      <c r="B2029" s="5" t="s">
        <v>67</v>
      </c>
      <c r="C2029" s="6">
        <v>1972</v>
      </c>
      <c r="D2029" s="7">
        <v>3617128</v>
      </c>
    </row>
    <row r="2030" spans="1:4" x14ac:dyDescent="0.3">
      <c r="A2030" s="2" t="s">
        <v>66</v>
      </c>
      <c r="B2030" s="2" t="s">
        <v>67</v>
      </c>
      <c r="C2030" s="3">
        <v>1973</v>
      </c>
      <c r="D2030" s="4">
        <v>3611991</v>
      </c>
    </row>
    <row r="2031" spans="1:4" x14ac:dyDescent="0.3">
      <c r="A2031" s="5" t="s">
        <v>66</v>
      </c>
      <c r="B2031" s="5" t="s">
        <v>67</v>
      </c>
      <c r="C2031" s="6">
        <v>1974</v>
      </c>
      <c r="D2031" s="7">
        <v>3703590</v>
      </c>
    </row>
    <row r="2032" spans="1:4" x14ac:dyDescent="0.3">
      <c r="A2032" s="2" t="s">
        <v>66</v>
      </c>
      <c r="B2032" s="2" t="s">
        <v>67</v>
      </c>
      <c r="C2032" s="3">
        <v>1975</v>
      </c>
      <c r="D2032" s="4">
        <v>3796612</v>
      </c>
    </row>
    <row r="2033" spans="1:4" x14ac:dyDescent="0.3">
      <c r="A2033" s="5" t="s">
        <v>66</v>
      </c>
      <c r="B2033" s="5" t="s">
        <v>67</v>
      </c>
      <c r="C2033" s="6">
        <v>1976</v>
      </c>
      <c r="D2033" s="7">
        <v>3882626</v>
      </c>
    </row>
    <row r="2034" spans="1:4" x14ac:dyDescent="0.3">
      <c r="A2034" s="2" t="s">
        <v>66</v>
      </c>
      <c r="B2034" s="2" t="s">
        <v>67</v>
      </c>
      <c r="C2034" s="3">
        <v>1977</v>
      </c>
      <c r="D2034" s="4">
        <v>3983582</v>
      </c>
    </row>
    <row r="2035" spans="1:4" x14ac:dyDescent="0.3">
      <c r="A2035" s="5" t="s">
        <v>66</v>
      </c>
      <c r="B2035" s="5" t="s">
        <v>67</v>
      </c>
      <c r="C2035" s="6">
        <v>1978</v>
      </c>
      <c r="D2035" s="7">
        <v>4100338</v>
      </c>
    </row>
    <row r="2036" spans="1:4" x14ac:dyDescent="0.3">
      <c r="A2036" s="2" t="s">
        <v>66</v>
      </c>
      <c r="B2036" s="2" t="s">
        <v>67</v>
      </c>
      <c r="C2036" s="3">
        <v>1979</v>
      </c>
      <c r="D2036" s="4">
        <v>4203530</v>
      </c>
    </row>
    <row r="2037" spans="1:4" x14ac:dyDescent="0.3">
      <c r="A2037" s="5" t="s">
        <v>66</v>
      </c>
      <c r="B2037" s="5" t="s">
        <v>67</v>
      </c>
      <c r="C2037" s="6">
        <v>1980</v>
      </c>
      <c r="D2037" s="7">
        <v>4383706</v>
      </c>
    </row>
    <row r="2038" spans="1:4" x14ac:dyDescent="0.3">
      <c r="A2038" s="2" t="s">
        <v>66</v>
      </c>
      <c r="B2038" s="2" t="s">
        <v>67</v>
      </c>
      <c r="C2038" s="3">
        <v>1981</v>
      </c>
      <c r="D2038" s="4">
        <v>4566014</v>
      </c>
    </row>
    <row r="2039" spans="1:4" x14ac:dyDescent="0.3">
      <c r="A2039" s="5" t="s">
        <v>66</v>
      </c>
      <c r="B2039" s="5" t="s">
        <v>67</v>
      </c>
      <c r="C2039" s="6">
        <v>1982</v>
      </c>
      <c r="D2039" s="7">
        <v>4681390</v>
      </c>
    </row>
    <row r="2040" spans="1:4" x14ac:dyDescent="0.3">
      <c r="A2040" s="2" t="s">
        <v>66</v>
      </c>
      <c r="B2040" s="2" t="s">
        <v>67</v>
      </c>
      <c r="C2040" s="3">
        <v>1983</v>
      </c>
      <c r="D2040" s="4">
        <v>4808528</v>
      </c>
    </row>
    <row r="2041" spans="1:4" x14ac:dyDescent="0.3">
      <c r="A2041" s="5" t="s">
        <v>66</v>
      </c>
      <c r="B2041" s="5" t="s">
        <v>67</v>
      </c>
      <c r="C2041" s="6">
        <v>1984</v>
      </c>
      <c r="D2041" s="7">
        <v>4926465</v>
      </c>
    </row>
    <row r="2042" spans="1:4" x14ac:dyDescent="0.3">
      <c r="A2042" s="2" t="s">
        <v>66</v>
      </c>
      <c r="B2042" s="2" t="s">
        <v>67</v>
      </c>
      <c r="C2042" s="3">
        <v>1985</v>
      </c>
      <c r="D2042" s="4">
        <v>5034042</v>
      </c>
    </row>
    <row r="2043" spans="1:4" x14ac:dyDescent="0.3">
      <c r="A2043" s="5" t="s">
        <v>66</v>
      </c>
      <c r="B2043" s="5" t="s">
        <v>67</v>
      </c>
      <c r="C2043" s="6">
        <v>1986</v>
      </c>
      <c r="D2043" s="7">
        <v>5129414</v>
      </c>
    </row>
    <row r="2044" spans="1:4" x14ac:dyDescent="0.3">
      <c r="A2044" s="2" t="s">
        <v>66</v>
      </c>
      <c r="B2044" s="2" t="s">
        <v>67</v>
      </c>
      <c r="C2044" s="3">
        <v>1987</v>
      </c>
      <c r="D2044" s="4">
        <v>5247787</v>
      </c>
    </row>
    <row r="2045" spans="1:4" x14ac:dyDescent="0.3">
      <c r="A2045" s="5" t="s">
        <v>66</v>
      </c>
      <c r="B2045" s="5" t="s">
        <v>67</v>
      </c>
      <c r="C2045" s="6">
        <v>1988</v>
      </c>
      <c r="D2045" s="7">
        <v>5365327</v>
      </c>
    </row>
    <row r="2046" spans="1:4" x14ac:dyDescent="0.3">
      <c r="A2046" s="2" t="s">
        <v>66</v>
      </c>
      <c r="B2046" s="2" t="s">
        <v>67</v>
      </c>
      <c r="C2046" s="3">
        <v>1989</v>
      </c>
      <c r="D2046" s="4">
        <v>5471706</v>
      </c>
    </row>
    <row r="2047" spans="1:4" x14ac:dyDescent="0.3">
      <c r="A2047" s="5" t="s">
        <v>66</v>
      </c>
      <c r="B2047" s="5" t="s">
        <v>67</v>
      </c>
      <c r="C2047" s="6">
        <v>1990</v>
      </c>
      <c r="D2047" s="7">
        <v>5587052</v>
      </c>
    </row>
    <row r="2048" spans="1:4" x14ac:dyDescent="0.3">
      <c r="A2048" s="2" t="s">
        <v>66</v>
      </c>
      <c r="B2048" s="2" t="s">
        <v>67</v>
      </c>
      <c r="C2048" s="3">
        <v>1991</v>
      </c>
      <c r="D2048" s="4">
        <v>5703857</v>
      </c>
    </row>
    <row r="2049" spans="1:4" x14ac:dyDescent="0.3">
      <c r="A2049" s="5" t="s">
        <v>66</v>
      </c>
      <c r="B2049" s="5" t="s">
        <v>67</v>
      </c>
      <c r="C2049" s="6">
        <v>1992</v>
      </c>
      <c r="D2049" s="7">
        <v>5858407</v>
      </c>
    </row>
    <row r="2050" spans="1:4" x14ac:dyDescent="0.3">
      <c r="A2050" s="2" t="s">
        <v>66</v>
      </c>
      <c r="B2050" s="2" t="s">
        <v>67</v>
      </c>
      <c r="C2050" s="3">
        <v>1993</v>
      </c>
      <c r="D2050" s="4">
        <v>5676843</v>
      </c>
    </row>
    <row r="2051" spans="1:4" x14ac:dyDescent="0.3">
      <c r="A2051" s="5" t="s">
        <v>66</v>
      </c>
      <c r="B2051" s="5" t="s">
        <v>67</v>
      </c>
      <c r="C2051" s="6">
        <v>1994</v>
      </c>
      <c r="D2051" s="7">
        <v>5713854</v>
      </c>
    </row>
    <row r="2052" spans="1:4" x14ac:dyDescent="0.3">
      <c r="A2052" s="2" t="s">
        <v>66</v>
      </c>
      <c r="B2052" s="2" t="s">
        <v>67</v>
      </c>
      <c r="C2052" s="3">
        <v>1995</v>
      </c>
      <c r="D2052" s="4">
        <v>6066316</v>
      </c>
    </row>
    <row r="2053" spans="1:4" x14ac:dyDescent="0.3">
      <c r="A2053" s="5" t="s">
        <v>66</v>
      </c>
      <c r="B2053" s="5" t="s">
        <v>67</v>
      </c>
      <c r="C2053" s="6">
        <v>1996</v>
      </c>
      <c r="D2053" s="7">
        <v>6070506</v>
      </c>
    </row>
    <row r="2054" spans="1:4" x14ac:dyDescent="0.3">
      <c r="A2054" s="2" t="s">
        <v>66</v>
      </c>
      <c r="B2054" s="2" t="s">
        <v>67</v>
      </c>
      <c r="C2054" s="3">
        <v>1997</v>
      </c>
      <c r="D2054" s="4">
        <v>6070042</v>
      </c>
    </row>
    <row r="2055" spans="1:4" x14ac:dyDescent="0.3">
      <c r="A2055" s="5" t="s">
        <v>66</v>
      </c>
      <c r="B2055" s="5" t="s">
        <v>67</v>
      </c>
      <c r="C2055" s="6">
        <v>1998</v>
      </c>
      <c r="D2055" s="7">
        <v>6187108</v>
      </c>
    </row>
    <row r="2056" spans="1:4" x14ac:dyDescent="0.3">
      <c r="A2056" s="2" t="s">
        <v>66</v>
      </c>
      <c r="B2056" s="2" t="s">
        <v>67</v>
      </c>
      <c r="C2056" s="3">
        <v>1999</v>
      </c>
      <c r="D2056" s="4">
        <v>6337155</v>
      </c>
    </row>
    <row r="2057" spans="1:4" x14ac:dyDescent="0.3">
      <c r="A2057" s="5" t="s">
        <v>66</v>
      </c>
      <c r="B2057" s="5" t="s">
        <v>67</v>
      </c>
      <c r="C2057" s="6">
        <v>2000</v>
      </c>
      <c r="D2057" s="7">
        <v>6470194</v>
      </c>
    </row>
    <row r="2058" spans="1:4" x14ac:dyDescent="0.3">
      <c r="A2058" s="2" t="s">
        <v>66</v>
      </c>
      <c r="B2058" s="2" t="s">
        <v>67</v>
      </c>
      <c r="C2058" s="3">
        <v>2001</v>
      </c>
      <c r="D2058" s="4">
        <v>6634365</v>
      </c>
    </row>
    <row r="2059" spans="1:4" x14ac:dyDescent="0.3">
      <c r="A2059" s="5" t="s">
        <v>66</v>
      </c>
      <c r="B2059" s="5" t="s">
        <v>67</v>
      </c>
      <c r="C2059" s="6">
        <v>2002</v>
      </c>
      <c r="D2059" s="7">
        <v>6824132</v>
      </c>
    </row>
    <row r="2060" spans="1:4" x14ac:dyDescent="0.3">
      <c r="A2060" s="2" t="s">
        <v>66</v>
      </c>
      <c r="B2060" s="2" t="s">
        <v>67</v>
      </c>
      <c r="C2060" s="3">
        <v>2003</v>
      </c>
      <c r="D2060" s="4">
        <v>7043154</v>
      </c>
    </row>
    <row r="2061" spans="1:4" x14ac:dyDescent="0.3">
      <c r="A2061" s="5" t="s">
        <v>66</v>
      </c>
      <c r="B2061" s="5" t="s">
        <v>67</v>
      </c>
      <c r="C2061" s="6">
        <v>2004</v>
      </c>
      <c r="D2061" s="7">
        <v>7310656</v>
      </c>
    </row>
    <row r="2062" spans="1:4" x14ac:dyDescent="0.3">
      <c r="A2062" s="2" t="s">
        <v>66</v>
      </c>
      <c r="B2062" s="2" t="s">
        <v>67</v>
      </c>
      <c r="C2062" s="3">
        <v>2005</v>
      </c>
      <c r="D2062" s="4">
        <v>7587299</v>
      </c>
    </row>
    <row r="2063" spans="1:4" x14ac:dyDescent="0.3">
      <c r="A2063" s="5" t="s">
        <v>66</v>
      </c>
      <c r="B2063" s="5" t="s">
        <v>67</v>
      </c>
      <c r="C2063" s="6">
        <v>2006</v>
      </c>
      <c r="D2063" s="7">
        <v>7865547</v>
      </c>
    </row>
    <row r="2064" spans="1:4" x14ac:dyDescent="0.3">
      <c r="A2064" s="2" t="s">
        <v>66</v>
      </c>
      <c r="B2064" s="2" t="s">
        <v>67</v>
      </c>
      <c r="C2064" s="3">
        <v>2007</v>
      </c>
      <c r="D2064" s="4">
        <v>8161874</v>
      </c>
    </row>
    <row r="2065" spans="1:4" x14ac:dyDescent="0.3">
      <c r="A2065" s="5" t="s">
        <v>66</v>
      </c>
      <c r="B2065" s="5" t="s">
        <v>67</v>
      </c>
      <c r="C2065" s="6">
        <v>2008</v>
      </c>
      <c r="D2065" s="7">
        <v>8505637</v>
      </c>
    </row>
    <row r="2066" spans="1:4" x14ac:dyDescent="0.3">
      <c r="A2066" s="2" t="s">
        <v>66</v>
      </c>
      <c r="B2066" s="2" t="s">
        <v>67</v>
      </c>
      <c r="C2066" s="3">
        <v>2009</v>
      </c>
      <c r="D2066" s="4">
        <v>8947646</v>
      </c>
    </row>
    <row r="2067" spans="1:4" x14ac:dyDescent="0.3">
      <c r="A2067" s="5" t="s">
        <v>66</v>
      </c>
      <c r="B2067" s="5" t="s">
        <v>67</v>
      </c>
      <c r="C2067" s="6">
        <v>2010</v>
      </c>
      <c r="D2067" s="7">
        <v>9376444</v>
      </c>
    </row>
    <row r="2068" spans="1:4" x14ac:dyDescent="0.3">
      <c r="A2068" s="2" t="s">
        <v>66</v>
      </c>
      <c r="B2068" s="2" t="s">
        <v>67</v>
      </c>
      <c r="C2068" s="3">
        <v>2011</v>
      </c>
      <c r="D2068" s="4">
        <v>9717978</v>
      </c>
    </row>
    <row r="2069" spans="1:4" x14ac:dyDescent="0.3">
      <c r="A2069" s="5" t="s">
        <v>66</v>
      </c>
      <c r="B2069" s="5" t="s">
        <v>67</v>
      </c>
      <c r="C2069" s="6">
        <v>2012</v>
      </c>
      <c r="D2069" s="7">
        <v>10071028</v>
      </c>
    </row>
    <row r="2070" spans="1:4" x14ac:dyDescent="0.3">
      <c r="A2070" s="2" t="s">
        <v>66</v>
      </c>
      <c r="B2070" s="2" t="s">
        <v>67</v>
      </c>
      <c r="C2070" s="3">
        <v>2013</v>
      </c>
      <c r="D2070" s="4">
        <v>10439341</v>
      </c>
    </row>
    <row r="2071" spans="1:4" x14ac:dyDescent="0.3">
      <c r="A2071" s="5" t="s">
        <v>66</v>
      </c>
      <c r="B2071" s="5" t="s">
        <v>67</v>
      </c>
      <c r="C2071" s="6">
        <v>2014</v>
      </c>
      <c r="D2071" s="7">
        <v>10799785</v>
      </c>
    </row>
    <row r="2072" spans="1:4" x14ac:dyDescent="0.3">
      <c r="A2072" s="2" t="s">
        <v>66</v>
      </c>
      <c r="B2072" s="2" t="s">
        <v>67</v>
      </c>
      <c r="C2072" s="3">
        <v>2015</v>
      </c>
      <c r="D2072" s="4">
        <v>11047580</v>
      </c>
    </row>
    <row r="2073" spans="1:4" x14ac:dyDescent="0.3">
      <c r="A2073" s="5" t="s">
        <v>66</v>
      </c>
      <c r="B2073" s="5" t="s">
        <v>67</v>
      </c>
      <c r="C2073" s="6">
        <v>2016</v>
      </c>
      <c r="D2073" s="7">
        <v>11239451</v>
      </c>
    </row>
    <row r="2074" spans="1:4" x14ac:dyDescent="0.3">
      <c r="A2074" s="2" t="s">
        <v>66</v>
      </c>
      <c r="B2074" s="2" t="s">
        <v>67</v>
      </c>
      <c r="C2074" s="3">
        <v>2017</v>
      </c>
      <c r="D2074" s="4">
        <v>11506762</v>
      </c>
    </row>
    <row r="2075" spans="1:4" x14ac:dyDescent="0.3">
      <c r="A2075" s="5" t="s">
        <v>66</v>
      </c>
      <c r="B2075" s="5" t="s">
        <v>67</v>
      </c>
      <c r="C2075" s="6">
        <v>2018</v>
      </c>
      <c r="D2075" s="7">
        <v>11859446</v>
      </c>
    </row>
    <row r="2076" spans="1:4" x14ac:dyDescent="0.3">
      <c r="A2076" s="2" t="s">
        <v>66</v>
      </c>
      <c r="B2076" s="2" t="s">
        <v>67</v>
      </c>
      <c r="C2076" s="3">
        <v>2019</v>
      </c>
      <c r="D2076" s="4">
        <v>12255336</v>
      </c>
    </row>
    <row r="2077" spans="1:4" x14ac:dyDescent="0.3">
      <c r="A2077" s="5" t="s">
        <v>66</v>
      </c>
      <c r="B2077" s="5" t="s">
        <v>67</v>
      </c>
      <c r="C2077" s="6">
        <v>2020</v>
      </c>
      <c r="D2077" s="7">
        <v>12617036</v>
      </c>
    </row>
    <row r="2078" spans="1:4" x14ac:dyDescent="0.3">
      <c r="A2078" s="2" t="s">
        <v>66</v>
      </c>
      <c r="B2078" s="2" t="s">
        <v>67</v>
      </c>
      <c r="C2078" s="3">
        <v>2021</v>
      </c>
      <c r="D2078" s="4">
        <v>12965481</v>
      </c>
    </row>
    <row r="2079" spans="1:4" x14ac:dyDescent="0.3">
      <c r="A2079" s="5" t="s">
        <v>66</v>
      </c>
      <c r="B2079" s="5" t="s">
        <v>67</v>
      </c>
      <c r="C2079" s="6">
        <v>2022</v>
      </c>
      <c r="D2079" s="7">
        <v>13321097</v>
      </c>
    </row>
    <row r="2080" spans="1:4" x14ac:dyDescent="0.3">
      <c r="A2080" s="2" t="s">
        <v>66</v>
      </c>
      <c r="B2080" s="2" t="s">
        <v>67</v>
      </c>
      <c r="C2080" s="3">
        <v>2023</v>
      </c>
      <c r="D2080" s="4">
        <v>13689450</v>
      </c>
    </row>
    <row r="2081" spans="1:4" x14ac:dyDescent="0.3">
      <c r="A2081" s="5" t="s">
        <v>66</v>
      </c>
      <c r="B2081" s="5" t="s">
        <v>67</v>
      </c>
      <c r="C2081" s="6">
        <v>2024</v>
      </c>
      <c r="D2081" s="7">
        <v>14047786</v>
      </c>
    </row>
    <row r="2082" spans="1:4" x14ac:dyDescent="0.3">
      <c r="A2082" s="2" t="s">
        <v>68</v>
      </c>
      <c r="B2082" s="2" t="s">
        <v>69</v>
      </c>
      <c r="C2082" s="3">
        <v>1960</v>
      </c>
      <c r="D2082" s="4">
        <v>210024</v>
      </c>
    </row>
    <row r="2083" spans="1:4" x14ac:dyDescent="0.3">
      <c r="A2083" s="5" t="s">
        <v>68</v>
      </c>
      <c r="B2083" s="5" t="s">
        <v>69</v>
      </c>
      <c r="C2083" s="6">
        <v>1961</v>
      </c>
      <c r="D2083" s="7">
        <v>215087</v>
      </c>
    </row>
    <row r="2084" spans="1:4" x14ac:dyDescent="0.3">
      <c r="A2084" s="2" t="s">
        <v>68</v>
      </c>
      <c r="B2084" s="2" t="s">
        <v>69</v>
      </c>
      <c r="C2084" s="3">
        <v>1962</v>
      </c>
      <c r="D2084" s="4">
        <v>221919</v>
      </c>
    </row>
    <row r="2085" spans="1:4" x14ac:dyDescent="0.3">
      <c r="A2085" s="5" t="s">
        <v>68</v>
      </c>
      <c r="B2085" s="5" t="s">
        <v>69</v>
      </c>
      <c r="C2085" s="6">
        <v>1963</v>
      </c>
      <c r="D2085" s="7">
        <v>229373</v>
      </c>
    </row>
    <row r="2086" spans="1:4" x14ac:dyDescent="0.3">
      <c r="A2086" s="2" t="s">
        <v>68</v>
      </c>
      <c r="B2086" s="2" t="s">
        <v>69</v>
      </c>
      <c r="C2086" s="3">
        <v>1964</v>
      </c>
      <c r="D2086" s="4">
        <v>237006</v>
      </c>
    </row>
    <row r="2087" spans="1:4" x14ac:dyDescent="0.3">
      <c r="A2087" s="5" t="s">
        <v>68</v>
      </c>
      <c r="B2087" s="5" t="s">
        <v>69</v>
      </c>
      <c r="C2087" s="6">
        <v>1965</v>
      </c>
      <c r="D2087" s="7">
        <v>244856</v>
      </c>
    </row>
    <row r="2088" spans="1:4" x14ac:dyDescent="0.3">
      <c r="A2088" s="2" t="s">
        <v>68</v>
      </c>
      <c r="B2088" s="2" t="s">
        <v>69</v>
      </c>
      <c r="C2088" s="3">
        <v>1966</v>
      </c>
      <c r="D2088" s="4">
        <v>252976</v>
      </c>
    </row>
    <row r="2089" spans="1:4" x14ac:dyDescent="0.3">
      <c r="A2089" s="5" t="s">
        <v>68</v>
      </c>
      <c r="B2089" s="5" t="s">
        <v>69</v>
      </c>
      <c r="C2089" s="6">
        <v>1967</v>
      </c>
      <c r="D2089" s="7">
        <v>261404</v>
      </c>
    </row>
    <row r="2090" spans="1:4" x14ac:dyDescent="0.3">
      <c r="A2090" s="2" t="s">
        <v>68</v>
      </c>
      <c r="B2090" s="2" t="s">
        <v>69</v>
      </c>
      <c r="C2090" s="3">
        <v>1968</v>
      </c>
      <c r="D2090" s="4">
        <v>270164</v>
      </c>
    </row>
    <row r="2091" spans="1:4" x14ac:dyDescent="0.3">
      <c r="A2091" s="5" t="s">
        <v>68</v>
      </c>
      <c r="B2091" s="5" t="s">
        <v>69</v>
      </c>
      <c r="C2091" s="6">
        <v>1969</v>
      </c>
      <c r="D2091" s="7">
        <v>279248</v>
      </c>
    </row>
    <row r="2092" spans="1:4" x14ac:dyDescent="0.3">
      <c r="A2092" s="2" t="s">
        <v>68</v>
      </c>
      <c r="B2092" s="2" t="s">
        <v>69</v>
      </c>
      <c r="C2092" s="3">
        <v>1970</v>
      </c>
      <c r="D2092" s="4">
        <v>287885</v>
      </c>
    </row>
    <row r="2093" spans="1:4" x14ac:dyDescent="0.3">
      <c r="A2093" s="5" t="s">
        <v>68</v>
      </c>
      <c r="B2093" s="5" t="s">
        <v>69</v>
      </c>
      <c r="C2093" s="6">
        <v>1971</v>
      </c>
      <c r="D2093" s="7">
        <v>294046</v>
      </c>
    </row>
    <row r="2094" spans="1:4" x14ac:dyDescent="0.3">
      <c r="A2094" s="2" t="s">
        <v>68</v>
      </c>
      <c r="B2094" s="2" t="s">
        <v>69</v>
      </c>
      <c r="C2094" s="3">
        <v>1972</v>
      </c>
      <c r="D2094" s="4">
        <v>297386</v>
      </c>
    </row>
    <row r="2095" spans="1:4" x14ac:dyDescent="0.3">
      <c r="A2095" s="5" t="s">
        <v>68</v>
      </c>
      <c r="B2095" s="5" t="s">
        <v>69</v>
      </c>
      <c r="C2095" s="6">
        <v>1973</v>
      </c>
      <c r="D2095" s="7">
        <v>299881</v>
      </c>
    </row>
    <row r="2096" spans="1:4" x14ac:dyDescent="0.3">
      <c r="A2096" s="2" t="s">
        <v>68</v>
      </c>
      <c r="B2096" s="2" t="s">
        <v>69</v>
      </c>
      <c r="C2096" s="3">
        <v>1974</v>
      </c>
      <c r="D2096" s="4">
        <v>302570</v>
      </c>
    </row>
    <row r="2097" spans="1:4" x14ac:dyDescent="0.3">
      <c r="A2097" s="5" t="s">
        <v>68</v>
      </c>
      <c r="B2097" s="5" t="s">
        <v>69</v>
      </c>
      <c r="C2097" s="6">
        <v>1975</v>
      </c>
      <c r="D2097" s="7">
        <v>305847</v>
      </c>
    </row>
    <row r="2098" spans="1:4" x14ac:dyDescent="0.3">
      <c r="A2098" s="2" t="s">
        <v>68</v>
      </c>
      <c r="B2098" s="2" t="s">
        <v>69</v>
      </c>
      <c r="C2098" s="3">
        <v>1976</v>
      </c>
      <c r="D2098" s="4">
        <v>309455</v>
      </c>
    </row>
    <row r="2099" spans="1:4" x14ac:dyDescent="0.3">
      <c r="A2099" s="5" t="s">
        <v>68</v>
      </c>
      <c r="B2099" s="5" t="s">
        <v>69</v>
      </c>
      <c r="C2099" s="6">
        <v>1977</v>
      </c>
      <c r="D2099" s="7">
        <v>312834</v>
      </c>
    </row>
    <row r="2100" spans="1:4" x14ac:dyDescent="0.3">
      <c r="A2100" s="2" t="s">
        <v>68</v>
      </c>
      <c r="B2100" s="2" t="s">
        <v>69</v>
      </c>
      <c r="C2100" s="3">
        <v>1978</v>
      </c>
      <c r="D2100" s="4">
        <v>316147</v>
      </c>
    </row>
    <row r="2101" spans="1:4" x14ac:dyDescent="0.3">
      <c r="A2101" s="5" t="s">
        <v>68</v>
      </c>
      <c r="B2101" s="5" t="s">
        <v>69</v>
      </c>
      <c r="C2101" s="6">
        <v>1979</v>
      </c>
      <c r="D2101" s="7">
        <v>319480</v>
      </c>
    </row>
    <row r="2102" spans="1:4" x14ac:dyDescent="0.3">
      <c r="A2102" s="2" t="s">
        <v>68</v>
      </c>
      <c r="B2102" s="2" t="s">
        <v>69</v>
      </c>
      <c r="C2102" s="3">
        <v>1980</v>
      </c>
      <c r="D2102" s="4">
        <v>323301</v>
      </c>
    </row>
    <row r="2103" spans="1:4" x14ac:dyDescent="0.3">
      <c r="A2103" s="5" t="s">
        <v>68</v>
      </c>
      <c r="B2103" s="5" t="s">
        <v>69</v>
      </c>
      <c r="C2103" s="6">
        <v>1981</v>
      </c>
      <c r="D2103" s="7">
        <v>327846</v>
      </c>
    </row>
    <row r="2104" spans="1:4" x14ac:dyDescent="0.3">
      <c r="A2104" s="2" t="s">
        <v>68</v>
      </c>
      <c r="B2104" s="2" t="s">
        <v>69</v>
      </c>
      <c r="C2104" s="3">
        <v>1982</v>
      </c>
      <c r="D2104" s="4">
        <v>332724</v>
      </c>
    </row>
    <row r="2105" spans="1:4" x14ac:dyDescent="0.3">
      <c r="A2105" s="5" t="s">
        <v>68</v>
      </c>
      <c r="B2105" s="5" t="s">
        <v>69</v>
      </c>
      <c r="C2105" s="6">
        <v>1983</v>
      </c>
      <c r="D2105" s="7">
        <v>337654</v>
      </c>
    </row>
    <row r="2106" spans="1:4" x14ac:dyDescent="0.3">
      <c r="A2106" s="2" t="s">
        <v>68</v>
      </c>
      <c r="B2106" s="2" t="s">
        <v>69</v>
      </c>
      <c r="C2106" s="3">
        <v>1984</v>
      </c>
      <c r="D2106" s="4">
        <v>342505</v>
      </c>
    </row>
    <row r="2107" spans="1:4" x14ac:dyDescent="0.3">
      <c r="A2107" s="5" t="s">
        <v>68</v>
      </c>
      <c r="B2107" s="5" t="s">
        <v>69</v>
      </c>
      <c r="C2107" s="6">
        <v>1985</v>
      </c>
      <c r="D2107" s="7">
        <v>347365</v>
      </c>
    </row>
    <row r="2108" spans="1:4" x14ac:dyDescent="0.3">
      <c r="A2108" s="2" t="s">
        <v>68</v>
      </c>
      <c r="B2108" s="2" t="s">
        <v>69</v>
      </c>
      <c r="C2108" s="3">
        <v>1986</v>
      </c>
      <c r="D2108" s="4">
        <v>352312</v>
      </c>
    </row>
    <row r="2109" spans="1:4" x14ac:dyDescent="0.3">
      <c r="A2109" s="5" t="s">
        <v>68</v>
      </c>
      <c r="B2109" s="5" t="s">
        <v>69</v>
      </c>
      <c r="C2109" s="6">
        <v>1987</v>
      </c>
      <c r="D2109" s="7">
        <v>357302</v>
      </c>
    </row>
    <row r="2110" spans="1:4" x14ac:dyDescent="0.3">
      <c r="A2110" s="2" t="s">
        <v>68</v>
      </c>
      <c r="B2110" s="2" t="s">
        <v>69</v>
      </c>
      <c r="C2110" s="3">
        <v>1988</v>
      </c>
      <c r="D2110" s="4">
        <v>362329</v>
      </c>
    </row>
    <row r="2111" spans="1:4" x14ac:dyDescent="0.3">
      <c r="A2111" s="5" t="s">
        <v>68</v>
      </c>
      <c r="B2111" s="5" t="s">
        <v>69</v>
      </c>
      <c r="C2111" s="6">
        <v>1989</v>
      </c>
      <c r="D2111" s="7">
        <v>367803</v>
      </c>
    </row>
    <row r="2112" spans="1:4" x14ac:dyDescent="0.3">
      <c r="A2112" s="2" t="s">
        <v>68</v>
      </c>
      <c r="B2112" s="2" t="s">
        <v>69</v>
      </c>
      <c r="C2112" s="3">
        <v>1990</v>
      </c>
      <c r="D2112" s="4">
        <v>375428</v>
      </c>
    </row>
    <row r="2113" spans="1:4" x14ac:dyDescent="0.3">
      <c r="A2113" s="5" t="s">
        <v>68</v>
      </c>
      <c r="B2113" s="5" t="s">
        <v>69</v>
      </c>
      <c r="C2113" s="6">
        <v>1991</v>
      </c>
      <c r="D2113" s="7">
        <v>384586</v>
      </c>
    </row>
    <row r="2114" spans="1:4" x14ac:dyDescent="0.3">
      <c r="A2114" s="2" t="s">
        <v>68</v>
      </c>
      <c r="B2114" s="2" t="s">
        <v>69</v>
      </c>
      <c r="C2114" s="3">
        <v>1992</v>
      </c>
      <c r="D2114" s="4">
        <v>393415</v>
      </c>
    </row>
    <row r="2115" spans="1:4" x14ac:dyDescent="0.3">
      <c r="A2115" s="5" t="s">
        <v>68</v>
      </c>
      <c r="B2115" s="5" t="s">
        <v>69</v>
      </c>
      <c r="C2115" s="6">
        <v>1993</v>
      </c>
      <c r="D2115" s="7">
        <v>401965</v>
      </c>
    </row>
    <row r="2116" spans="1:4" x14ac:dyDescent="0.3">
      <c r="A2116" s="2" t="s">
        <v>68</v>
      </c>
      <c r="B2116" s="2" t="s">
        <v>69</v>
      </c>
      <c r="C2116" s="3">
        <v>1994</v>
      </c>
      <c r="D2116" s="4">
        <v>410228</v>
      </c>
    </row>
    <row r="2117" spans="1:4" x14ac:dyDescent="0.3">
      <c r="A2117" s="5" t="s">
        <v>68</v>
      </c>
      <c r="B2117" s="5" t="s">
        <v>69</v>
      </c>
      <c r="C2117" s="6">
        <v>1995</v>
      </c>
      <c r="D2117" s="7">
        <v>418104</v>
      </c>
    </row>
    <row r="2118" spans="1:4" x14ac:dyDescent="0.3">
      <c r="A2118" s="2" t="s">
        <v>68</v>
      </c>
      <c r="B2118" s="2" t="s">
        <v>69</v>
      </c>
      <c r="C2118" s="3">
        <v>1996</v>
      </c>
      <c r="D2118" s="4">
        <v>425581</v>
      </c>
    </row>
    <row r="2119" spans="1:4" x14ac:dyDescent="0.3">
      <c r="A2119" s="5" t="s">
        <v>68</v>
      </c>
      <c r="B2119" s="5" t="s">
        <v>69</v>
      </c>
      <c r="C2119" s="6">
        <v>1997</v>
      </c>
      <c r="D2119" s="7">
        <v>432798</v>
      </c>
    </row>
    <row r="2120" spans="1:4" x14ac:dyDescent="0.3">
      <c r="A2120" s="2" t="s">
        <v>68</v>
      </c>
      <c r="B2120" s="2" t="s">
        <v>69</v>
      </c>
      <c r="C2120" s="3">
        <v>1998</v>
      </c>
      <c r="D2120" s="4">
        <v>439784</v>
      </c>
    </row>
    <row r="2121" spans="1:4" x14ac:dyDescent="0.3">
      <c r="A2121" s="5" t="s">
        <v>68</v>
      </c>
      <c r="B2121" s="5" t="s">
        <v>69</v>
      </c>
      <c r="C2121" s="6">
        <v>1999</v>
      </c>
      <c r="D2121" s="7">
        <v>446519</v>
      </c>
    </row>
    <row r="2122" spans="1:4" x14ac:dyDescent="0.3">
      <c r="A2122" s="2" t="s">
        <v>68</v>
      </c>
      <c r="B2122" s="2" t="s">
        <v>69</v>
      </c>
      <c r="C2122" s="3">
        <v>2000</v>
      </c>
      <c r="D2122" s="4">
        <v>453317</v>
      </c>
    </row>
    <row r="2123" spans="1:4" x14ac:dyDescent="0.3">
      <c r="A2123" s="5" t="s">
        <v>68</v>
      </c>
      <c r="B2123" s="5" t="s">
        <v>69</v>
      </c>
      <c r="C2123" s="6">
        <v>2001</v>
      </c>
      <c r="D2123" s="7">
        <v>460293</v>
      </c>
    </row>
    <row r="2124" spans="1:4" x14ac:dyDescent="0.3">
      <c r="A2124" s="2" t="s">
        <v>68</v>
      </c>
      <c r="B2124" s="2" t="s">
        <v>69</v>
      </c>
      <c r="C2124" s="3">
        <v>2002</v>
      </c>
      <c r="D2124" s="4">
        <v>467046</v>
      </c>
    </row>
    <row r="2125" spans="1:4" x14ac:dyDescent="0.3">
      <c r="A2125" s="5" t="s">
        <v>68</v>
      </c>
      <c r="B2125" s="5" t="s">
        <v>69</v>
      </c>
      <c r="C2125" s="6">
        <v>2003</v>
      </c>
      <c r="D2125" s="7">
        <v>473383</v>
      </c>
    </row>
    <row r="2126" spans="1:4" x14ac:dyDescent="0.3">
      <c r="A2126" s="2" t="s">
        <v>68</v>
      </c>
      <c r="B2126" s="2" t="s">
        <v>69</v>
      </c>
      <c r="C2126" s="3">
        <v>2004</v>
      </c>
      <c r="D2126" s="4">
        <v>479370</v>
      </c>
    </row>
    <row r="2127" spans="1:4" x14ac:dyDescent="0.3">
      <c r="A2127" s="5" t="s">
        <v>68</v>
      </c>
      <c r="B2127" s="5" t="s">
        <v>69</v>
      </c>
      <c r="C2127" s="6">
        <v>2005</v>
      </c>
      <c r="D2127" s="7">
        <v>485115</v>
      </c>
    </row>
    <row r="2128" spans="1:4" x14ac:dyDescent="0.3">
      <c r="A2128" s="2" t="s">
        <v>68</v>
      </c>
      <c r="B2128" s="2" t="s">
        <v>69</v>
      </c>
      <c r="C2128" s="3">
        <v>2006</v>
      </c>
      <c r="D2128" s="4">
        <v>490728</v>
      </c>
    </row>
    <row r="2129" spans="1:4" x14ac:dyDescent="0.3">
      <c r="A2129" s="5" t="s">
        <v>68</v>
      </c>
      <c r="B2129" s="5" t="s">
        <v>69</v>
      </c>
      <c r="C2129" s="6">
        <v>2007</v>
      </c>
      <c r="D2129" s="7">
        <v>496190</v>
      </c>
    </row>
    <row r="2130" spans="1:4" x14ac:dyDescent="0.3">
      <c r="A2130" s="2" t="s">
        <v>68</v>
      </c>
      <c r="B2130" s="2" t="s">
        <v>69</v>
      </c>
      <c r="C2130" s="3">
        <v>2008</v>
      </c>
      <c r="D2130" s="4">
        <v>501355</v>
      </c>
    </row>
    <row r="2131" spans="1:4" x14ac:dyDescent="0.3">
      <c r="A2131" s="5" t="s">
        <v>68</v>
      </c>
      <c r="B2131" s="5" t="s">
        <v>69</v>
      </c>
      <c r="C2131" s="6">
        <v>2009</v>
      </c>
      <c r="D2131" s="7">
        <v>506141</v>
      </c>
    </row>
    <row r="2132" spans="1:4" x14ac:dyDescent="0.3">
      <c r="A2132" s="2" t="s">
        <v>68</v>
      </c>
      <c r="B2132" s="2" t="s">
        <v>69</v>
      </c>
      <c r="C2132" s="3">
        <v>2010</v>
      </c>
      <c r="D2132" s="4">
        <v>509784</v>
      </c>
    </row>
    <row r="2133" spans="1:4" x14ac:dyDescent="0.3">
      <c r="A2133" s="5" t="s">
        <v>68</v>
      </c>
      <c r="B2133" s="5" t="s">
        <v>69</v>
      </c>
      <c r="C2133" s="6">
        <v>2011</v>
      </c>
      <c r="D2133" s="7">
        <v>511447</v>
      </c>
    </row>
    <row r="2134" spans="1:4" x14ac:dyDescent="0.3">
      <c r="A2134" s="2" t="s">
        <v>68</v>
      </c>
      <c r="B2134" s="2" t="s">
        <v>69</v>
      </c>
      <c r="C2134" s="3">
        <v>2012</v>
      </c>
      <c r="D2134" s="4">
        <v>511955</v>
      </c>
    </row>
    <row r="2135" spans="1:4" x14ac:dyDescent="0.3">
      <c r="A2135" s="5" t="s">
        <v>68</v>
      </c>
      <c r="B2135" s="5" t="s">
        <v>69</v>
      </c>
      <c r="C2135" s="6">
        <v>2013</v>
      </c>
      <c r="D2135" s="7">
        <v>512225</v>
      </c>
    </row>
    <row r="2136" spans="1:4" x14ac:dyDescent="0.3">
      <c r="A2136" s="2" t="s">
        <v>68</v>
      </c>
      <c r="B2136" s="2" t="s">
        <v>69</v>
      </c>
      <c r="C2136" s="3">
        <v>2014</v>
      </c>
      <c r="D2136" s="4">
        <v>512326</v>
      </c>
    </row>
    <row r="2137" spans="1:4" x14ac:dyDescent="0.3">
      <c r="A2137" s="5" t="s">
        <v>68</v>
      </c>
      <c r="B2137" s="5" t="s">
        <v>69</v>
      </c>
      <c r="C2137" s="6">
        <v>2015</v>
      </c>
      <c r="D2137" s="7">
        <v>512394</v>
      </c>
    </row>
    <row r="2138" spans="1:4" x14ac:dyDescent="0.3">
      <c r="A2138" s="2" t="s">
        <v>68</v>
      </c>
      <c r="B2138" s="2" t="s">
        <v>69</v>
      </c>
      <c r="C2138" s="3">
        <v>2016</v>
      </c>
      <c r="D2138" s="4">
        <v>512554</v>
      </c>
    </row>
    <row r="2139" spans="1:4" x14ac:dyDescent="0.3">
      <c r="A2139" s="5" t="s">
        <v>68</v>
      </c>
      <c r="B2139" s="5" t="s">
        <v>69</v>
      </c>
      <c r="C2139" s="6">
        <v>2017</v>
      </c>
      <c r="D2139" s="7">
        <v>512893</v>
      </c>
    </row>
    <row r="2140" spans="1:4" x14ac:dyDescent="0.3">
      <c r="A2140" s="2" t="s">
        <v>68</v>
      </c>
      <c r="B2140" s="2" t="s">
        <v>69</v>
      </c>
      <c r="C2140" s="3">
        <v>2018</v>
      </c>
      <c r="D2140" s="4">
        <v>513415</v>
      </c>
    </row>
    <row r="2141" spans="1:4" x14ac:dyDescent="0.3">
      <c r="A2141" s="5" t="s">
        <v>68</v>
      </c>
      <c r="B2141" s="5" t="s">
        <v>69</v>
      </c>
      <c r="C2141" s="6">
        <v>2019</v>
      </c>
      <c r="D2141" s="7">
        <v>514104</v>
      </c>
    </row>
    <row r="2142" spans="1:4" x14ac:dyDescent="0.3">
      <c r="A2142" s="2" t="s">
        <v>68</v>
      </c>
      <c r="B2142" s="2" t="s">
        <v>69</v>
      </c>
      <c r="C2142" s="3">
        <v>2020</v>
      </c>
      <c r="D2142" s="4">
        <v>514679</v>
      </c>
    </row>
    <row r="2143" spans="1:4" x14ac:dyDescent="0.3">
      <c r="A2143" s="5" t="s">
        <v>68</v>
      </c>
      <c r="B2143" s="5" t="s">
        <v>69</v>
      </c>
      <c r="C2143" s="6">
        <v>2021</v>
      </c>
      <c r="D2143" s="7">
        <v>516649</v>
      </c>
    </row>
    <row r="2144" spans="1:4" x14ac:dyDescent="0.3">
      <c r="A2144" s="2" t="s">
        <v>68</v>
      </c>
      <c r="B2144" s="2" t="s">
        <v>69</v>
      </c>
      <c r="C2144" s="3">
        <v>2022</v>
      </c>
      <c r="D2144" s="4">
        <v>519741</v>
      </c>
    </row>
    <row r="2145" spans="1:4" x14ac:dyDescent="0.3">
      <c r="A2145" s="5" t="s">
        <v>68</v>
      </c>
      <c r="B2145" s="5" t="s">
        <v>69</v>
      </c>
      <c r="C2145" s="6">
        <v>2023</v>
      </c>
      <c r="D2145" s="7">
        <v>522331</v>
      </c>
    </row>
    <row r="2146" spans="1:4" x14ac:dyDescent="0.3">
      <c r="A2146" s="2" t="s">
        <v>68</v>
      </c>
      <c r="B2146" s="2" t="s">
        <v>69</v>
      </c>
      <c r="C2146" s="3">
        <v>2024</v>
      </c>
      <c r="D2146" s="4">
        <v>524877</v>
      </c>
    </row>
    <row r="2147" spans="1:4" x14ac:dyDescent="0.3">
      <c r="A2147" s="5" t="s">
        <v>70</v>
      </c>
      <c r="B2147" s="5" t="s">
        <v>71</v>
      </c>
      <c r="C2147" s="6">
        <v>1960</v>
      </c>
      <c r="D2147" s="7">
        <v>5449966</v>
      </c>
    </row>
    <row r="2148" spans="1:4" x14ac:dyDescent="0.3">
      <c r="A2148" s="2" t="s">
        <v>70</v>
      </c>
      <c r="B2148" s="2" t="s">
        <v>71</v>
      </c>
      <c r="C2148" s="3">
        <v>1961</v>
      </c>
      <c r="D2148" s="4">
        <v>5571168</v>
      </c>
    </row>
    <row r="2149" spans="1:4" x14ac:dyDescent="0.3">
      <c r="A2149" s="5" t="s">
        <v>70</v>
      </c>
      <c r="B2149" s="5" t="s">
        <v>71</v>
      </c>
      <c r="C2149" s="6">
        <v>1962</v>
      </c>
      <c r="D2149" s="7">
        <v>5697558</v>
      </c>
    </row>
    <row r="2150" spans="1:4" x14ac:dyDescent="0.3">
      <c r="A2150" s="2" t="s">
        <v>70</v>
      </c>
      <c r="B2150" s="2" t="s">
        <v>71</v>
      </c>
      <c r="C2150" s="3">
        <v>1963</v>
      </c>
      <c r="D2150" s="4">
        <v>5823010</v>
      </c>
    </row>
    <row r="2151" spans="1:4" x14ac:dyDescent="0.3">
      <c r="A2151" s="5" t="s">
        <v>70</v>
      </c>
      <c r="B2151" s="5" t="s">
        <v>71</v>
      </c>
      <c r="C2151" s="6">
        <v>1964</v>
      </c>
      <c r="D2151" s="7">
        <v>5946178</v>
      </c>
    </row>
    <row r="2152" spans="1:4" x14ac:dyDescent="0.3">
      <c r="A2152" s="2" t="s">
        <v>70</v>
      </c>
      <c r="B2152" s="2" t="s">
        <v>71</v>
      </c>
      <c r="C2152" s="3">
        <v>1965</v>
      </c>
      <c r="D2152" s="4">
        <v>6072289</v>
      </c>
    </row>
    <row r="2153" spans="1:4" x14ac:dyDescent="0.3">
      <c r="A2153" s="5" t="s">
        <v>70</v>
      </c>
      <c r="B2153" s="5" t="s">
        <v>71</v>
      </c>
      <c r="C2153" s="6">
        <v>1966</v>
      </c>
      <c r="D2153" s="7">
        <v>6201232</v>
      </c>
    </row>
    <row r="2154" spans="1:4" x14ac:dyDescent="0.3">
      <c r="A2154" s="2" t="s">
        <v>70</v>
      </c>
      <c r="B2154" s="2" t="s">
        <v>71</v>
      </c>
      <c r="C2154" s="3">
        <v>1967</v>
      </c>
      <c r="D2154" s="4">
        <v>6332944</v>
      </c>
    </row>
    <row r="2155" spans="1:4" x14ac:dyDescent="0.3">
      <c r="A2155" s="5" t="s">
        <v>70</v>
      </c>
      <c r="B2155" s="5" t="s">
        <v>71</v>
      </c>
      <c r="C2155" s="6">
        <v>1968</v>
      </c>
      <c r="D2155" s="7">
        <v>6467324</v>
      </c>
    </row>
    <row r="2156" spans="1:4" x14ac:dyDescent="0.3">
      <c r="A2156" s="2" t="s">
        <v>70</v>
      </c>
      <c r="B2156" s="2" t="s">
        <v>71</v>
      </c>
      <c r="C2156" s="3">
        <v>1969</v>
      </c>
      <c r="D2156" s="4">
        <v>6604725</v>
      </c>
    </row>
    <row r="2157" spans="1:4" x14ac:dyDescent="0.3">
      <c r="A2157" s="5" t="s">
        <v>70</v>
      </c>
      <c r="B2157" s="5" t="s">
        <v>71</v>
      </c>
      <c r="C2157" s="6">
        <v>1970</v>
      </c>
      <c r="D2157" s="7">
        <v>6639182</v>
      </c>
    </row>
    <row r="2158" spans="1:4" x14ac:dyDescent="0.3">
      <c r="A2158" s="2" t="s">
        <v>70</v>
      </c>
      <c r="B2158" s="2" t="s">
        <v>71</v>
      </c>
      <c r="C2158" s="3">
        <v>1971</v>
      </c>
      <c r="D2158" s="4">
        <v>6620880</v>
      </c>
    </row>
    <row r="2159" spans="1:4" x14ac:dyDescent="0.3">
      <c r="A2159" s="5" t="s">
        <v>70</v>
      </c>
      <c r="B2159" s="5" t="s">
        <v>71</v>
      </c>
      <c r="C2159" s="6">
        <v>1972</v>
      </c>
      <c r="D2159" s="7">
        <v>6673886</v>
      </c>
    </row>
    <row r="2160" spans="1:4" x14ac:dyDescent="0.3">
      <c r="A2160" s="2" t="s">
        <v>70</v>
      </c>
      <c r="B2160" s="2" t="s">
        <v>71</v>
      </c>
      <c r="C2160" s="3">
        <v>1973</v>
      </c>
      <c r="D2160" s="4">
        <v>6739726</v>
      </c>
    </row>
    <row r="2161" spans="1:4" x14ac:dyDescent="0.3">
      <c r="A2161" s="5" t="s">
        <v>70</v>
      </c>
      <c r="B2161" s="5" t="s">
        <v>71</v>
      </c>
      <c r="C2161" s="6">
        <v>1974</v>
      </c>
      <c r="D2161" s="7">
        <v>6783240</v>
      </c>
    </row>
    <row r="2162" spans="1:4" x14ac:dyDescent="0.3">
      <c r="A2162" s="2" t="s">
        <v>70</v>
      </c>
      <c r="B2162" s="2" t="s">
        <v>71</v>
      </c>
      <c r="C2162" s="3">
        <v>1975</v>
      </c>
      <c r="D2162" s="4">
        <v>6581371</v>
      </c>
    </row>
    <row r="2163" spans="1:4" x14ac:dyDescent="0.3">
      <c r="A2163" s="5" t="s">
        <v>70</v>
      </c>
      <c r="B2163" s="5" t="s">
        <v>71</v>
      </c>
      <c r="C2163" s="6">
        <v>1976</v>
      </c>
      <c r="D2163" s="7">
        <v>6134991</v>
      </c>
    </row>
    <row r="2164" spans="1:4" x14ac:dyDescent="0.3">
      <c r="A2164" s="2" t="s">
        <v>70</v>
      </c>
      <c r="B2164" s="2" t="s">
        <v>71</v>
      </c>
      <c r="C2164" s="3">
        <v>1977</v>
      </c>
      <c r="D2164" s="4">
        <v>5668551</v>
      </c>
    </row>
    <row r="2165" spans="1:4" x14ac:dyDescent="0.3">
      <c r="A2165" s="5" t="s">
        <v>70</v>
      </c>
      <c r="B2165" s="5" t="s">
        <v>71</v>
      </c>
      <c r="C2165" s="6">
        <v>1978</v>
      </c>
      <c r="D2165" s="7">
        <v>5211653</v>
      </c>
    </row>
    <row r="2166" spans="1:4" x14ac:dyDescent="0.3">
      <c r="A2166" s="2" t="s">
        <v>70</v>
      </c>
      <c r="B2166" s="2" t="s">
        <v>71</v>
      </c>
      <c r="C2166" s="3">
        <v>1979</v>
      </c>
      <c r="D2166" s="4">
        <v>5088808</v>
      </c>
    </row>
    <row r="2167" spans="1:4" x14ac:dyDescent="0.3">
      <c r="A2167" s="5" t="s">
        <v>70</v>
      </c>
      <c r="B2167" s="5" t="s">
        <v>71</v>
      </c>
      <c r="C2167" s="6">
        <v>1980</v>
      </c>
      <c r="D2167" s="7">
        <v>5199872</v>
      </c>
    </row>
    <row r="2168" spans="1:4" x14ac:dyDescent="0.3">
      <c r="A2168" s="2" t="s">
        <v>70</v>
      </c>
      <c r="B2168" s="2" t="s">
        <v>71</v>
      </c>
      <c r="C2168" s="3">
        <v>1981</v>
      </c>
      <c r="D2168" s="4">
        <v>5284495</v>
      </c>
    </row>
    <row r="2169" spans="1:4" x14ac:dyDescent="0.3">
      <c r="A2169" s="5" t="s">
        <v>70</v>
      </c>
      <c r="B2169" s="5" t="s">
        <v>71</v>
      </c>
      <c r="C2169" s="6">
        <v>1982</v>
      </c>
      <c r="D2169" s="7">
        <v>5436432</v>
      </c>
    </row>
    <row r="2170" spans="1:4" x14ac:dyDescent="0.3">
      <c r="A2170" s="2" t="s">
        <v>70</v>
      </c>
      <c r="B2170" s="2" t="s">
        <v>71</v>
      </c>
      <c r="C2170" s="3">
        <v>1983</v>
      </c>
      <c r="D2170" s="4">
        <v>5636203</v>
      </c>
    </row>
    <row r="2171" spans="1:4" x14ac:dyDescent="0.3">
      <c r="A2171" s="5" t="s">
        <v>70</v>
      </c>
      <c r="B2171" s="5" t="s">
        <v>71</v>
      </c>
      <c r="C2171" s="6">
        <v>1984</v>
      </c>
      <c r="D2171" s="7">
        <v>5845117</v>
      </c>
    </row>
    <row r="2172" spans="1:4" x14ac:dyDescent="0.3">
      <c r="A2172" s="2" t="s">
        <v>70</v>
      </c>
      <c r="B2172" s="2" t="s">
        <v>71</v>
      </c>
      <c r="C2172" s="3">
        <v>1985</v>
      </c>
      <c r="D2172" s="4">
        <v>6043783</v>
      </c>
    </row>
    <row r="2173" spans="1:4" x14ac:dyDescent="0.3">
      <c r="A2173" s="5" t="s">
        <v>70</v>
      </c>
      <c r="B2173" s="5" t="s">
        <v>71</v>
      </c>
      <c r="C2173" s="6">
        <v>1986</v>
      </c>
      <c r="D2173" s="7">
        <v>6285693</v>
      </c>
    </row>
    <row r="2174" spans="1:4" x14ac:dyDescent="0.3">
      <c r="A2174" s="2" t="s">
        <v>70</v>
      </c>
      <c r="B2174" s="2" t="s">
        <v>71</v>
      </c>
      <c r="C2174" s="3">
        <v>1987</v>
      </c>
      <c r="D2174" s="4">
        <v>6557970</v>
      </c>
    </row>
    <row r="2175" spans="1:4" x14ac:dyDescent="0.3">
      <c r="A2175" s="5" t="s">
        <v>70</v>
      </c>
      <c r="B2175" s="5" t="s">
        <v>71</v>
      </c>
      <c r="C2175" s="6">
        <v>1988</v>
      </c>
      <c r="D2175" s="7">
        <v>6812014</v>
      </c>
    </row>
    <row r="2176" spans="1:4" x14ac:dyDescent="0.3">
      <c r="A2176" s="2" t="s">
        <v>70</v>
      </c>
      <c r="B2176" s="2" t="s">
        <v>71</v>
      </c>
      <c r="C2176" s="3">
        <v>1989</v>
      </c>
      <c r="D2176" s="4">
        <v>7073473</v>
      </c>
    </row>
    <row r="2177" spans="1:4" x14ac:dyDescent="0.3">
      <c r="A2177" s="5" t="s">
        <v>70</v>
      </c>
      <c r="B2177" s="5" t="s">
        <v>71</v>
      </c>
      <c r="C2177" s="6">
        <v>1990</v>
      </c>
      <c r="D2177" s="7">
        <v>7374752</v>
      </c>
    </row>
    <row r="2178" spans="1:4" x14ac:dyDescent="0.3">
      <c r="A2178" s="2" t="s">
        <v>70</v>
      </c>
      <c r="B2178" s="2" t="s">
        <v>71</v>
      </c>
      <c r="C2178" s="3">
        <v>1991</v>
      </c>
      <c r="D2178" s="4">
        <v>7686850</v>
      </c>
    </row>
    <row r="2179" spans="1:4" x14ac:dyDescent="0.3">
      <c r="A2179" s="5" t="s">
        <v>70</v>
      </c>
      <c r="B2179" s="5" t="s">
        <v>71</v>
      </c>
      <c r="C2179" s="6">
        <v>1992</v>
      </c>
      <c r="D2179" s="7">
        <v>8113083</v>
      </c>
    </row>
    <row r="2180" spans="1:4" x14ac:dyDescent="0.3">
      <c r="A2180" s="2" t="s">
        <v>70</v>
      </c>
      <c r="B2180" s="2" t="s">
        <v>71</v>
      </c>
      <c r="C2180" s="3">
        <v>1993</v>
      </c>
      <c r="D2180" s="4">
        <v>8616381</v>
      </c>
    </row>
    <row r="2181" spans="1:4" x14ac:dyDescent="0.3">
      <c r="A2181" s="5" t="s">
        <v>70</v>
      </c>
      <c r="B2181" s="5" t="s">
        <v>71</v>
      </c>
      <c r="C2181" s="6">
        <v>1994</v>
      </c>
      <c r="D2181" s="7">
        <v>9239162</v>
      </c>
    </row>
    <row r="2182" spans="1:4" x14ac:dyDescent="0.3">
      <c r="A2182" s="2" t="s">
        <v>70</v>
      </c>
      <c r="B2182" s="2" t="s">
        <v>71</v>
      </c>
      <c r="C2182" s="3">
        <v>1995</v>
      </c>
      <c r="D2182" s="4">
        <v>10018497</v>
      </c>
    </row>
    <row r="2183" spans="1:4" x14ac:dyDescent="0.3">
      <c r="A2183" s="5" t="s">
        <v>70</v>
      </c>
      <c r="B2183" s="5" t="s">
        <v>71</v>
      </c>
      <c r="C2183" s="6">
        <v>1996</v>
      </c>
      <c r="D2183" s="7">
        <v>10801270</v>
      </c>
    </row>
    <row r="2184" spans="1:4" x14ac:dyDescent="0.3">
      <c r="A2184" s="2" t="s">
        <v>70</v>
      </c>
      <c r="B2184" s="2" t="s">
        <v>71</v>
      </c>
      <c r="C2184" s="3">
        <v>1997</v>
      </c>
      <c r="D2184" s="4">
        <v>11570982</v>
      </c>
    </row>
    <row r="2185" spans="1:4" x14ac:dyDescent="0.3">
      <c r="A2185" s="5" t="s">
        <v>70</v>
      </c>
      <c r="B2185" s="5" t="s">
        <v>71</v>
      </c>
      <c r="C2185" s="6">
        <v>1998</v>
      </c>
      <c r="D2185" s="7">
        <v>12058173</v>
      </c>
    </row>
    <row r="2186" spans="1:4" x14ac:dyDescent="0.3">
      <c r="A2186" s="2" t="s">
        <v>70</v>
      </c>
      <c r="B2186" s="2" t="s">
        <v>71</v>
      </c>
      <c r="C2186" s="3">
        <v>1999</v>
      </c>
      <c r="D2186" s="4">
        <v>12265731</v>
      </c>
    </row>
    <row r="2187" spans="1:4" x14ac:dyDescent="0.3">
      <c r="A2187" s="5" t="s">
        <v>70</v>
      </c>
      <c r="B2187" s="5" t="s">
        <v>71</v>
      </c>
      <c r="C2187" s="6">
        <v>2000</v>
      </c>
      <c r="D2187" s="7">
        <v>12462336</v>
      </c>
    </row>
    <row r="2188" spans="1:4" x14ac:dyDescent="0.3">
      <c r="A2188" s="2" t="s">
        <v>70</v>
      </c>
      <c r="B2188" s="2" t="s">
        <v>71</v>
      </c>
      <c r="C2188" s="3">
        <v>2001</v>
      </c>
      <c r="D2188" s="4">
        <v>12658484</v>
      </c>
    </row>
    <row r="2189" spans="1:4" x14ac:dyDescent="0.3">
      <c r="A2189" s="5" t="s">
        <v>70</v>
      </c>
      <c r="B2189" s="5" t="s">
        <v>71</v>
      </c>
      <c r="C2189" s="6">
        <v>2002</v>
      </c>
      <c r="D2189" s="7">
        <v>12855241</v>
      </c>
    </row>
    <row r="2190" spans="1:4" x14ac:dyDescent="0.3">
      <c r="A2190" s="2" t="s">
        <v>70</v>
      </c>
      <c r="B2190" s="2" t="s">
        <v>71</v>
      </c>
      <c r="C2190" s="3">
        <v>2003</v>
      </c>
      <c r="D2190" s="4">
        <v>13050968</v>
      </c>
    </row>
    <row r="2191" spans="1:4" x14ac:dyDescent="0.3">
      <c r="A2191" s="5" t="s">
        <v>70</v>
      </c>
      <c r="B2191" s="5" t="s">
        <v>71</v>
      </c>
      <c r="C2191" s="6">
        <v>2004</v>
      </c>
      <c r="D2191" s="7">
        <v>13244731</v>
      </c>
    </row>
    <row r="2192" spans="1:4" x14ac:dyDescent="0.3">
      <c r="A2192" s="2" t="s">
        <v>70</v>
      </c>
      <c r="B2192" s="2" t="s">
        <v>71</v>
      </c>
      <c r="C2192" s="3">
        <v>2005</v>
      </c>
      <c r="D2192" s="4">
        <v>13439202</v>
      </c>
    </row>
    <row r="2193" spans="1:4" x14ac:dyDescent="0.3">
      <c r="A2193" s="5" t="s">
        <v>70</v>
      </c>
      <c r="B2193" s="5" t="s">
        <v>71</v>
      </c>
      <c r="C2193" s="6">
        <v>2006</v>
      </c>
      <c r="D2193" s="7">
        <v>13639028</v>
      </c>
    </row>
    <row r="2194" spans="1:4" x14ac:dyDescent="0.3">
      <c r="A2194" s="2" t="s">
        <v>70</v>
      </c>
      <c r="B2194" s="2" t="s">
        <v>71</v>
      </c>
      <c r="C2194" s="3">
        <v>2007</v>
      </c>
      <c r="D2194" s="4">
        <v>13841770</v>
      </c>
    </row>
    <row r="2195" spans="1:4" x14ac:dyDescent="0.3">
      <c r="A2195" s="5" t="s">
        <v>70</v>
      </c>
      <c r="B2195" s="5" t="s">
        <v>71</v>
      </c>
      <c r="C2195" s="6">
        <v>2008</v>
      </c>
      <c r="D2195" s="7">
        <v>14053479</v>
      </c>
    </row>
    <row r="2196" spans="1:4" x14ac:dyDescent="0.3">
      <c r="A2196" s="2" t="s">
        <v>70</v>
      </c>
      <c r="B2196" s="2" t="s">
        <v>71</v>
      </c>
      <c r="C2196" s="3">
        <v>2009</v>
      </c>
      <c r="D2196" s="4">
        <v>14276810</v>
      </c>
    </row>
    <row r="2197" spans="1:4" x14ac:dyDescent="0.3">
      <c r="A2197" s="5" t="s">
        <v>70</v>
      </c>
      <c r="B2197" s="5" t="s">
        <v>71</v>
      </c>
      <c r="C2197" s="6">
        <v>2010</v>
      </c>
      <c r="D2197" s="7">
        <v>14500726</v>
      </c>
    </row>
    <row r="2198" spans="1:4" x14ac:dyDescent="0.3">
      <c r="A2198" s="2" t="s">
        <v>70</v>
      </c>
      <c r="B2198" s="2" t="s">
        <v>71</v>
      </c>
      <c r="C2198" s="3">
        <v>2011</v>
      </c>
      <c r="D2198" s="4">
        <v>14722584</v>
      </c>
    </row>
    <row r="2199" spans="1:4" x14ac:dyDescent="0.3">
      <c r="A2199" s="5" t="s">
        <v>70</v>
      </c>
      <c r="B2199" s="5" t="s">
        <v>71</v>
      </c>
      <c r="C2199" s="6">
        <v>2012</v>
      </c>
      <c r="D2199" s="7">
        <v>14945085</v>
      </c>
    </row>
    <row r="2200" spans="1:4" x14ac:dyDescent="0.3">
      <c r="A2200" s="2" t="s">
        <v>70</v>
      </c>
      <c r="B2200" s="2" t="s">
        <v>71</v>
      </c>
      <c r="C2200" s="3">
        <v>2013</v>
      </c>
      <c r="D2200" s="4">
        <v>15170208</v>
      </c>
    </row>
    <row r="2201" spans="1:4" x14ac:dyDescent="0.3">
      <c r="A2201" s="5" t="s">
        <v>70</v>
      </c>
      <c r="B2201" s="5" t="s">
        <v>71</v>
      </c>
      <c r="C2201" s="6">
        <v>2014</v>
      </c>
      <c r="D2201" s="7">
        <v>15396772</v>
      </c>
    </row>
    <row r="2202" spans="1:4" x14ac:dyDescent="0.3">
      <c r="A2202" s="2" t="s">
        <v>70</v>
      </c>
      <c r="B2202" s="2" t="s">
        <v>71</v>
      </c>
      <c r="C2202" s="3">
        <v>2015</v>
      </c>
      <c r="D2202" s="4">
        <v>15623251</v>
      </c>
    </row>
    <row r="2203" spans="1:4" x14ac:dyDescent="0.3">
      <c r="A2203" s="5" t="s">
        <v>70</v>
      </c>
      <c r="B2203" s="5" t="s">
        <v>71</v>
      </c>
      <c r="C2203" s="6">
        <v>2016</v>
      </c>
      <c r="D2203" s="7">
        <v>15852803</v>
      </c>
    </row>
    <row r="2204" spans="1:4" x14ac:dyDescent="0.3">
      <c r="A2204" s="2" t="s">
        <v>70</v>
      </c>
      <c r="B2204" s="2" t="s">
        <v>71</v>
      </c>
      <c r="C2204" s="3">
        <v>2017</v>
      </c>
      <c r="D2204" s="4">
        <v>16073372</v>
      </c>
    </row>
    <row r="2205" spans="1:4" x14ac:dyDescent="0.3">
      <c r="A2205" s="5" t="s">
        <v>70</v>
      </c>
      <c r="B2205" s="5" t="s">
        <v>71</v>
      </c>
      <c r="C2205" s="6">
        <v>2018</v>
      </c>
      <c r="D2205" s="7">
        <v>16274522</v>
      </c>
    </row>
    <row r="2206" spans="1:4" x14ac:dyDescent="0.3">
      <c r="A2206" s="2" t="s">
        <v>70</v>
      </c>
      <c r="B2206" s="2" t="s">
        <v>71</v>
      </c>
      <c r="C2206" s="3">
        <v>2019</v>
      </c>
      <c r="D2206" s="4">
        <v>16481304</v>
      </c>
    </row>
    <row r="2207" spans="1:4" x14ac:dyDescent="0.3">
      <c r="A2207" s="5" t="s">
        <v>70</v>
      </c>
      <c r="B2207" s="5" t="s">
        <v>71</v>
      </c>
      <c r="C2207" s="6">
        <v>2020</v>
      </c>
      <c r="D2207" s="7">
        <v>16725474</v>
      </c>
    </row>
    <row r="2208" spans="1:4" x14ac:dyDescent="0.3">
      <c r="A2208" s="2" t="s">
        <v>70</v>
      </c>
      <c r="B2208" s="2" t="s">
        <v>71</v>
      </c>
      <c r="C2208" s="3">
        <v>2021</v>
      </c>
      <c r="D2208" s="4">
        <v>16974305</v>
      </c>
    </row>
    <row r="2209" spans="1:4" x14ac:dyDescent="0.3">
      <c r="A2209" s="5" t="s">
        <v>70</v>
      </c>
      <c r="B2209" s="5" t="s">
        <v>71</v>
      </c>
      <c r="C2209" s="6">
        <v>2022</v>
      </c>
      <c r="D2209" s="7">
        <v>17201724</v>
      </c>
    </row>
    <row r="2210" spans="1:4" x14ac:dyDescent="0.3">
      <c r="A2210" s="2" t="s">
        <v>70</v>
      </c>
      <c r="B2210" s="2" t="s">
        <v>71</v>
      </c>
      <c r="C2210" s="3">
        <v>2023</v>
      </c>
      <c r="D2210" s="4">
        <v>17423880</v>
      </c>
    </row>
    <row r="2211" spans="1:4" x14ac:dyDescent="0.3">
      <c r="A2211" s="5" t="s">
        <v>70</v>
      </c>
      <c r="B2211" s="5" t="s">
        <v>71</v>
      </c>
      <c r="C2211" s="6">
        <v>2024</v>
      </c>
      <c r="D2211" s="7">
        <v>17638801</v>
      </c>
    </row>
    <row r="2212" spans="1:4" x14ac:dyDescent="0.3">
      <c r="A2212" s="2" t="s">
        <v>72</v>
      </c>
      <c r="B2212" s="2" t="s">
        <v>73</v>
      </c>
      <c r="C2212" s="3">
        <v>1960</v>
      </c>
      <c r="D2212" s="4">
        <v>5159057</v>
      </c>
    </row>
    <row r="2213" spans="1:4" x14ac:dyDescent="0.3">
      <c r="A2213" s="5" t="s">
        <v>72</v>
      </c>
      <c r="B2213" s="5" t="s">
        <v>73</v>
      </c>
      <c r="C2213" s="6">
        <v>1961</v>
      </c>
      <c r="D2213" s="7">
        <v>5239273</v>
      </c>
    </row>
    <row r="2214" spans="1:4" x14ac:dyDescent="0.3">
      <c r="A2214" s="2" t="s">
        <v>72</v>
      </c>
      <c r="B2214" s="2" t="s">
        <v>73</v>
      </c>
      <c r="C2214" s="3">
        <v>1962</v>
      </c>
      <c r="D2214" s="4">
        <v>5338620</v>
      </c>
    </row>
    <row r="2215" spans="1:4" x14ac:dyDescent="0.3">
      <c r="A2215" s="5" t="s">
        <v>72</v>
      </c>
      <c r="B2215" s="5" t="s">
        <v>73</v>
      </c>
      <c r="C2215" s="6">
        <v>1963</v>
      </c>
      <c r="D2215" s="7">
        <v>5456623</v>
      </c>
    </row>
    <row r="2216" spans="1:4" x14ac:dyDescent="0.3">
      <c r="A2216" s="2" t="s">
        <v>72</v>
      </c>
      <c r="B2216" s="2" t="s">
        <v>73</v>
      </c>
      <c r="C2216" s="3">
        <v>1964</v>
      </c>
      <c r="D2216" s="4">
        <v>5578257</v>
      </c>
    </row>
    <row r="2217" spans="1:4" x14ac:dyDescent="0.3">
      <c r="A2217" s="5" t="s">
        <v>72</v>
      </c>
      <c r="B2217" s="5" t="s">
        <v>73</v>
      </c>
      <c r="C2217" s="6">
        <v>1965</v>
      </c>
      <c r="D2217" s="7">
        <v>5704686</v>
      </c>
    </row>
    <row r="2218" spans="1:4" x14ac:dyDescent="0.3">
      <c r="A2218" s="2" t="s">
        <v>72</v>
      </c>
      <c r="B2218" s="2" t="s">
        <v>73</v>
      </c>
      <c r="C2218" s="3">
        <v>1966</v>
      </c>
      <c r="D2218" s="4">
        <v>5837295</v>
      </c>
    </row>
    <row r="2219" spans="1:4" x14ac:dyDescent="0.3">
      <c r="A2219" s="5" t="s">
        <v>72</v>
      </c>
      <c r="B2219" s="5" t="s">
        <v>73</v>
      </c>
      <c r="C2219" s="6">
        <v>1967</v>
      </c>
      <c r="D2219" s="7">
        <v>5977318</v>
      </c>
    </row>
    <row r="2220" spans="1:4" x14ac:dyDescent="0.3">
      <c r="A2220" s="2" t="s">
        <v>72</v>
      </c>
      <c r="B2220" s="2" t="s">
        <v>73</v>
      </c>
      <c r="C2220" s="3">
        <v>1968</v>
      </c>
      <c r="D2220" s="4">
        <v>6125863</v>
      </c>
    </row>
    <row r="2221" spans="1:4" x14ac:dyDescent="0.3">
      <c r="A2221" s="5" t="s">
        <v>72</v>
      </c>
      <c r="B2221" s="5" t="s">
        <v>73</v>
      </c>
      <c r="C2221" s="6">
        <v>1969</v>
      </c>
      <c r="D2221" s="7">
        <v>6283462</v>
      </c>
    </row>
    <row r="2222" spans="1:4" x14ac:dyDescent="0.3">
      <c r="A2222" s="2" t="s">
        <v>72</v>
      </c>
      <c r="B2222" s="2" t="s">
        <v>73</v>
      </c>
      <c r="C2222" s="3">
        <v>1970</v>
      </c>
      <c r="D2222" s="4">
        <v>6449793</v>
      </c>
    </row>
    <row r="2223" spans="1:4" x14ac:dyDescent="0.3">
      <c r="A2223" s="5" t="s">
        <v>72</v>
      </c>
      <c r="B2223" s="5" t="s">
        <v>73</v>
      </c>
      <c r="C2223" s="6">
        <v>1971</v>
      </c>
      <c r="D2223" s="7">
        <v>6624408</v>
      </c>
    </row>
    <row r="2224" spans="1:4" x14ac:dyDescent="0.3">
      <c r="A2224" s="2" t="s">
        <v>72</v>
      </c>
      <c r="B2224" s="2" t="s">
        <v>73</v>
      </c>
      <c r="C2224" s="3">
        <v>1972</v>
      </c>
      <c r="D2224" s="4">
        <v>6806872</v>
      </c>
    </row>
    <row r="2225" spans="1:4" x14ac:dyDescent="0.3">
      <c r="A2225" s="5" t="s">
        <v>72</v>
      </c>
      <c r="B2225" s="5" t="s">
        <v>73</v>
      </c>
      <c r="C2225" s="6">
        <v>1973</v>
      </c>
      <c r="D2225" s="7">
        <v>6996660</v>
      </c>
    </row>
    <row r="2226" spans="1:4" x14ac:dyDescent="0.3">
      <c r="A2226" s="2" t="s">
        <v>72</v>
      </c>
      <c r="B2226" s="2" t="s">
        <v>73</v>
      </c>
      <c r="C2226" s="3">
        <v>1974</v>
      </c>
      <c r="D2226" s="4">
        <v>7193583</v>
      </c>
    </row>
    <row r="2227" spans="1:4" x14ac:dyDescent="0.3">
      <c r="A2227" s="5" t="s">
        <v>72</v>
      </c>
      <c r="B2227" s="5" t="s">
        <v>73</v>
      </c>
      <c r="C2227" s="6">
        <v>1975</v>
      </c>
      <c r="D2227" s="7">
        <v>7397120</v>
      </c>
    </row>
    <row r="2228" spans="1:4" x14ac:dyDescent="0.3">
      <c r="A2228" s="2" t="s">
        <v>72</v>
      </c>
      <c r="B2228" s="2" t="s">
        <v>73</v>
      </c>
      <c r="C2228" s="3">
        <v>1976</v>
      </c>
      <c r="D2228" s="4">
        <v>7597962</v>
      </c>
    </row>
    <row r="2229" spans="1:4" x14ac:dyDescent="0.3">
      <c r="A2229" s="5" t="s">
        <v>72</v>
      </c>
      <c r="B2229" s="5" t="s">
        <v>73</v>
      </c>
      <c r="C2229" s="6">
        <v>1977</v>
      </c>
      <c r="D2229" s="7">
        <v>7796501</v>
      </c>
    </row>
    <row r="2230" spans="1:4" x14ac:dyDescent="0.3">
      <c r="A2230" s="2" t="s">
        <v>72</v>
      </c>
      <c r="B2230" s="2" t="s">
        <v>73</v>
      </c>
      <c r="C2230" s="3">
        <v>1978</v>
      </c>
      <c r="D2230" s="4">
        <v>8011921</v>
      </c>
    </row>
    <row r="2231" spans="1:4" x14ac:dyDescent="0.3">
      <c r="A2231" s="5" t="s">
        <v>72</v>
      </c>
      <c r="B2231" s="5" t="s">
        <v>73</v>
      </c>
      <c r="C2231" s="6">
        <v>1979</v>
      </c>
      <c r="D2231" s="7">
        <v>8239641</v>
      </c>
    </row>
    <row r="2232" spans="1:4" x14ac:dyDescent="0.3">
      <c r="A2232" s="2" t="s">
        <v>72</v>
      </c>
      <c r="B2232" s="2" t="s">
        <v>73</v>
      </c>
      <c r="C2232" s="3">
        <v>1980</v>
      </c>
      <c r="D2232" s="4">
        <v>8512219</v>
      </c>
    </row>
    <row r="2233" spans="1:4" x14ac:dyDescent="0.3">
      <c r="A2233" s="5" t="s">
        <v>72</v>
      </c>
      <c r="B2233" s="5" t="s">
        <v>73</v>
      </c>
      <c r="C2233" s="6">
        <v>1981</v>
      </c>
      <c r="D2233" s="7">
        <v>8816377</v>
      </c>
    </row>
    <row r="2234" spans="1:4" x14ac:dyDescent="0.3">
      <c r="A2234" s="2" t="s">
        <v>72</v>
      </c>
      <c r="B2234" s="2" t="s">
        <v>73</v>
      </c>
      <c r="C2234" s="3">
        <v>1982</v>
      </c>
      <c r="D2234" s="4">
        <v>9028678</v>
      </c>
    </row>
    <row r="2235" spans="1:4" x14ac:dyDescent="0.3">
      <c r="A2235" s="5" t="s">
        <v>72</v>
      </c>
      <c r="B2235" s="5" t="s">
        <v>73</v>
      </c>
      <c r="C2235" s="6">
        <v>1983</v>
      </c>
      <c r="D2235" s="7">
        <v>9215397</v>
      </c>
    </row>
    <row r="2236" spans="1:4" x14ac:dyDescent="0.3">
      <c r="A2236" s="2" t="s">
        <v>72</v>
      </c>
      <c r="B2236" s="2" t="s">
        <v>73</v>
      </c>
      <c r="C2236" s="3">
        <v>1984</v>
      </c>
      <c r="D2236" s="4">
        <v>9475078</v>
      </c>
    </row>
    <row r="2237" spans="1:4" x14ac:dyDescent="0.3">
      <c r="A2237" s="5" t="s">
        <v>72</v>
      </c>
      <c r="B2237" s="5" t="s">
        <v>73</v>
      </c>
      <c r="C2237" s="6">
        <v>1985</v>
      </c>
      <c r="D2237" s="7">
        <v>9761730</v>
      </c>
    </row>
    <row r="2238" spans="1:4" x14ac:dyDescent="0.3">
      <c r="A2238" s="2" t="s">
        <v>72</v>
      </c>
      <c r="B2238" s="2" t="s">
        <v>73</v>
      </c>
      <c r="C2238" s="3">
        <v>1986</v>
      </c>
      <c r="D2238" s="4">
        <v>10060342</v>
      </c>
    </row>
    <row r="2239" spans="1:4" x14ac:dyDescent="0.3">
      <c r="A2239" s="5" t="s">
        <v>72</v>
      </c>
      <c r="B2239" s="5" t="s">
        <v>73</v>
      </c>
      <c r="C2239" s="6">
        <v>1987</v>
      </c>
      <c r="D2239" s="7">
        <v>10370749</v>
      </c>
    </row>
    <row r="2240" spans="1:4" x14ac:dyDescent="0.3">
      <c r="A2240" s="2" t="s">
        <v>72</v>
      </c>
      <c r="B2240" s="2" t="s">
        <v>73</v>
      </c>
      <c r="C2240" s="3">
        <v>1988</v>
      </c>
      <c r="D2240" s="4">
        <v>10684968</v>
      </c>
    </row>
    <row r="2241" spans="1:4" x14ac:dyDescent="0.3">
      <c r="A2241" s="5" t="s">
        <v>72</v>
      </c>
      <c r="B2241" s="5" t="s">
        <v>73</v>
      </c>
      <c r="C2241" s="6">
        <v>1989</v>
      </c>
      <c r="D2241" s="7">
        <v>11002745</v>
      </c>
    </row>
    <row r="2242" spans="1:4" x14ac:dyDescent="0.3">
      <c r="A2242" s="2" t="s">
        <v>72</v>
      </c>
      <c r="B2242" s="2" t="s">
        <v>73</v>
      </c>
      <c r="C2242" s="3">
        <v>1990</v>
      </c>
      <c r="D2242" s="4">
        <v>11331821</v>
      </c>
    </row>
    <row r="2243" spans="1:4" x14ac:dyDescent="0.3">
      <c r="A2243" s="5" t="s">
        <v>72</v>
      </c>
      <c r="B2243" s="5" t="s">
        <v>73</v>
      </c>
      <c r="C2243" s="6">
        <v>1991</v>
      </c>
      <c r="D2243" s="7">
        <v>11667180</v>
      </c>
    </row>
    <row r="2244" spans="1:4" x14ac:dyDescent="0.3">
      <c r="A2244" s="2" t="s">
        <v>72</v>
      </c>
      <c r="B2244" s="2" t="s">
        <v>73</v>
      </c>
      <c r="C2244" s="3">
        <v>1992</v>
      </c>
      <c r="D2244" s="4">
        <v>12006353</v>
      </c>
    </row>
    <row r="2245" spans="1:4" x14ac:dyDescent="0.3">
      <c r="A2245" s="5" t="s">
        <v>72</v>
      </c>
      <c r="B2245" s="5" t="s">
        <v>73</v>
      </c>
      <c r="C2245" s="6">
        <v>1993</v>
      </c>
      <c r="D2245" s="7">
        <v>12353131</v>
      </c>
    </row>
    <row r="2246" spans="1:4" x14ac:dyDescent="0.3">
      <c r="A2246" s="2" t="s">
        <v>72</v>
      </c>
      <c r="B2246" s="2" t="s">
        <v>73</v>
      </c>
      <c r="C2246" s="3">
        <v>1994</v>
      </c>
      <c r="D2246" s="4">
        <v>12704903</v>
      </c>
    </row>
    <row r="2247" spans="1:4" x14ac:dyDescent="0.3">
      <c r="A2247" s="5" t="s">
        <v>72</v>
      </c>
      <c r="B2247" s="5" t="s">
        <v>73</v>
      </c>
      <c r="C2247" s="6">
        <v>1995</v>
      </c>
      <c r="D2247" s="7">
        <v>13058516</v>
      </c>
    </row>
    <row r="2248" spans="1:4" x14ac:dyDescent="0.3">
      <c r="A2248" s="2" t="s">
        <v>72</v>
      </c>
      <c r="B2248" s="2" t="s">
        <v>73</v>
      </c>
      <c r="C2248" s="3">
        <v>1996</v>
      </c>
      <c r="D2248" s="4">
        <v>13414757</v>
      </c>
    </row>
    <row r="2249" spans="1:4" x14ac:dyDescent="0.3">
      <c r="A2249" s="5" t="s">
        <v>72</v>
      </c>
      <c r="B2249" s="5" t="s">
        <v>73</v>
      </c>
      <c r="C2249" s="6">
        <v>1997</v>
      </c>
      <c r="D2249" s="7">
        <v>13775214</v>
      </c>
    </row>
    <row r="2250" spans="1:4" x14ac:dyDescent="0.3">
      <c r="A2250" s="2" t="s">
        <v>72</v>
      </c>
      <c r="B2250" s="2" t="s">
        <v>73</v>
      </c>
      <c r="C2250" s="3">
        <v>1998</v>
      </c>
      <c r="D2250" s="4">
        <v>14144860</v>
      </c>
    </row>
    <row r="2251" spans="1:4" x14ac:dyDescent="0.3">
      <c r="A2251" s="5" t="s">
        <v>72</v>
      </c>
      <c r="B2251" s="5" t="s">
        <v>73</v>
      </c>
      <c r="C2251" s="6">
        <v>1999</v>
      </c>
      <c r="D2251" s="7">
        <v>14525140</v>
      </c>
    </row>
    <row r="2252" spans="1:4" x14ac:dyDescent="0.3">
      <c r="A2252" s="2" t="s">
        <v>72</v>
      </c>
      <c r="B2252" s="2" t="s">
        <v>73</v>
      </c>
      <c r="C2252" s="3">
        <v>2000</v>
      </c>
      <c r="D2252" s="4">
        <v>14912631</v>
      </c>
    </row>
    <row r="2253" spans="1:4" x14ac:dyDescent="0.3">
      <c r="A2253" s="5" t="s">
        <v>72</v>
      </c>
      <c r="B2253" s="5" t="s">
        <v>73</v>
      </c>
      <c r="C2253" s="6">
        <v>2001</v>
      </c>
      <c r="D2253" s="7">
        <v>15309490</v>
      </c>
    </row>
    <row r="2254" spans="1:4" x14ac:dyDescent="0.3">
      <c r="A2254" s="2" t="s">
        <v>72</v>
      </c>
      <c r="B2254" s="2" t="s">
        <v>73</v>
      </c>
      <c r="C2254" s="3">
        <v>2002</v>
      </c>
      <c r="D2254" s="4">
        <v>15725528</v>
      </c>
    </row>
    <row r="2255" spans="1:4" x14ac:dyDescent="0.3">
      <c r="A2255" s="5" t="s">
        <v>72</v>
      </c>
      <c r="B2255" s="5" t="s">
        <v>73</v>
      </c>
      <c r="C2255" s="6">
        <v>2003</v>
      </c>
      <c r="D2255" s="7">
        <v>16160340</v>
      </c>
    </row>
    <row r="2256" spans="1:4" x14ac:dyDescent="0.3">
      <c r="A2256" s="2" t="s">
        <v>72</v>
      </c>
      <c r="B2256" s="2" t="s">
        <v>73</v>
      </c>
      <c r="C2256" s="3">
        <v>2004</v>
      </c>
      <c r="D2256" s="4">
        <v>16610487</v>
      </c>
    </row>
    <row r="2257" spans="1:4" x14ac:dyDescent="0.3">
      <c r="A2257" s="5" t="s">
        <v>72</v>
      </c>
      <c r="B2257" s="5" t="s">
        <v>73</v>
      </c>
      <c r="C2257" s="6">
        <v>2005</v>
      </c>
      <c r="D2257" s="7">
        <v>17074594</v>
      </c>
    </row>
    <row r="2258" spans="1:4" x14ac:dyDescent="0.3">
      <c r="A2258" s="2" t="s">
        <v>72</v>
      </c>
      <c r="B2258" s="2" t="s">
        <v>73</v>
      </c>
      <c r="C2258" s="3">
        <v>2006</v>
      </c>
      <c r="D2258" s="4">
        <v>17550407</v>
      </c>
    </row>
    <row r="2259" spans="1:4" x14ac:dyDescent="0.3">
      <c r="A2259" s="5" t="s">
        <v>72</v>
      </c>
      <c r="B2259" s="5" t="s">
        <v>73</v>
      </c>
      <c r="C2259" s="6">
        <v>2007</v>
      </c>
      <c r="D2259" s="7">
        <v>18049896</v>
      </c>
    </row>
    <row r="2260" spans="1:4" x14ac:dyDescent="0.3">
      <c r="A2260" s="2" t="s">
        <v>72</v>
      </c>
      <c r="B2260" s="2" t="s">
        <v>73</v>
      </c>
      <c r="C2260" s="3">
        <v>2008</v>
      </c>
      <c r="D2260" s="4">
        <v>18574056</v>
      </c>
    </row>
    <row r="2261" spans="1:4" x14ac:dyDescent="0.3">
      <c r="A2261" s="5" t="s">
        <v>72</v>
      </c>
      <c r="B2261" s="5" t="s">
        <v>73</v>
      </c>
      <c r="C2261" s="6">
        <v>2009</v>
      </c>
      <c r="D2261" s="7">
        <v>19113974</v>
      </c>
    </row>
    <row r="2262" spans="1:4" x14ac:dyDescent="0.3">
      <c r="A2262" s="2" t="s">
        <v>72</v>
      </c>
      <c r="B2262" s="2" t="s">
        <v>73</v>
      </c>
      <c r="C2262" s="3">
        <v>2010</v>
      </c>
      <c r="D2262" s="4">
        <v>19668066</v>
      </c>
    </row>
    <row r="2263" spans="1:4" x14ac:dyDescent="0.3">
      <c r="A2263" s="5" t="s">
        <v>72</v>
      </c>
      <c r="B2263" s="5" t="s">
        <v>73</v>
      </c>
      <c r="C2263" s="6">
        <v>2011</v>
      </c>
      <c r="D2263" s="7">
        <v>20232304</v>
      </c>
    </row>
    <row r="2264" spans="1:4" x14ac:dyDescent="0.3">
      <c r="A2264" s="2" t="s">
        <v>72</v>
      </c>
      <c r="B2264" s="2" t="s">
        <v>73</v>
      </c>
      <c r="C2264" s="3">
        <v>2012</v>
      </c>
      <c r="D2264" s="4">
        <v>20809529</v>
      </c>
    </row>
    <row r="2265" spans="1:4" x14ac:dyDescent="0.3">
      <c r="A2265" s="5" t="s">
        <v>72</v>
      </c>
      <c r="B2265" s="5" t="s">
        <v>73</v>
      </c>
      <c r="C2265" s="6">
        <v>2013</v>
      </c>
      <c r="D2265" s="7">
        <v>21402376</v>
      </c>
    </row>
    <row r="2266" spans="1:4" x14ac:dyDescent="0.3">
      <c r="A2266" s="2" t="s">
        <v>72</v>
      </c>
      <c r="B2266" s="2" t="s">
        <v>73</v>
      </c>
      <c r="C2266" s="3">
        <v>2014</v>
      </c>
      <c r="D2266" s="4">
        <v>22059893</v>
      </c>
    </row>
    <row r="2267" spans="1:4" x14ac:dyDescent="0.3">
      <c r="A2267" s="5" t="s">
        <v>72</v>
      </c>
      <c r="B2267" s="5" t="s">
        <v>73</v>
      </c>
      <c r="C2267" s="6">
        <v>2015</v>
      </c>
      <c r="D2267" s="7">
        <v>22763414</v>
      </c>
    </row>
    <row r="2268" spans="1:4" x14ac:dyDescent="0.3">
      <c r="A2268" s="2" t="s">
        <v>72</v>
      </c>
      <c r="B2268" s="2" t="s">
        <v>73</v>
      </c>
      <c r="C2268" s="3">
        <v>2016</v>
      </c>
      <c r="D2268" s="4">
        <v>23454161</v>
      </c>
    </row>
    <row r="2269" spans="1:4" x14ac:dyDescent="0.3">
      <c r="A2269" s="5" t="s">
        <v>72</v>
      </c>
      <c r="B2269" s="5" t="s">
        <v>73</v>
      </c>
      <c r="C2269" s="6">
        <v>2017</v>
      </c>
      <c r="D2269" s="7">
        <v>24128601</v>
      </c>
    </row>
    <row r="2270" spans="1:4" x14ac:dyDescent="0.3">
      <c r="A2270" s="2" t="s">
        <v>72</v>
      </c>
      <c r="B2270" s="2" t="s">
        <v>73</v>
      </c>
      <c r="C2270" s="3">
        <v>2018</v>
      </c>
      <c r="D2270" s="4">
        <v>24806383</v>
      </c>
    </row>
    <row r="2271" spans="1:4" x14ac:dyDescent="0.3">
      <c r="A2271" s="5" t="s">
        <v>72</v>
      </c>
      <c r="B2271" s="5" t="s">
        <v>73</v>
      </c>
      <c r="C2271" s="6">
        <v>2019</v>
      </c>
      <c r="D2271" s="7">
        <v>25506095</v>
      </c>
    </row>
    <row r="2272" spans="1:4" x14ac:dyDescent="0.3">
      <c r="A2272" s="2" t="s">
        <v>72</v>
      </c>
      <c r="B2272" s="2" t="s">
        <v>73</v>
      </c>
      <c r="C2272" s="3">
        <v>2020</v>
      </c>
      <c r="D2272" s="4">
        <v>26210558</v>
      </c>
    </row>
    <row r="2273" spans="1:4" x14ac:dyDescent="0.3">
      <c r="A2273" s="5" t="s">
        <v>72</v>
      </c>
      <c r="B2273" s="5" t="s">
        <v>73</v>
      </c>
      <c r="C2273" s="6">
        <v>2021</v>
      </c>
      <c r="D2273" s="7">
        <v>26915758</v>
      </c>
    </row>
    <row r="2274" spans="1:4" x14ac:dyDescent="0.3">
      <c r="A2274" s="2" t="s">
        <v>72</v>
      </c>
      <c r="B2274" s="2" t="s">
        <v>73</v>
      </c>
      <c r="C2274" s="3">
        <v>2022</v>
      </c>
      <c r="D2274" s="4">
        <v>27632771</v>
      </c>
    </row>
    <row r="2275" spans="1:4" x14ac:dyDescent="0.3">
      <c r="A2275" s="5" t="s">
        <v>72</v>
      </c>
      <c r="B2275" s="5" t="s">
        <v>73</v>
      </c>
      <c r="C2275" s="6">
        <v>2023</v>
      </c>
      <c r="D2275" s="7">
        <v>28372687</v>
      </c>
    </row>
    <row r="2276" spans="1:4" x14ac:dyDescent="0.3">
      <c r="A2276" s="2" t="s">
        <v>72</v>
      </c>
      <c r="B2276" s="2" t="s">
        <v>73</v>
      </c>
      <c r="C2276" s="3">
        <v>2024</v>
      </c>
      <c r="D2276" s="4">
        <v>29123744</v>
      </c>
    </row>
    <row r="2277" spans="1:4" x14ac:dyDescent="0.3">
      <c r="A2277" s="5" t="s">
        <v>74</v>
      </c>
      <c r="B2277" s="5" t="s">
        <v>75</v>
      </c>
      <c r="C2277" s="6">
        <v>1960</v>
      </c>
      <c r="D2277" s="7">
        <v>17909356</v>
      </c>
    </row>
    <row r="2278" spans="1:4" x14ac:dyDescent="0.3">
      <c r="A2278" s="2" t="s">
        <v>74</v>
      </c>
      <c r="B2278" s="2" t="s">
        <v>75</v>
      </c>
      <c r="C2278" s="3">
        <v>1961</v>
      </c>
      <c r="D2278" s="4">
        <v>18271000</v>
      </c>
    </row>
    <row r="2279" spans="1:4" x14ac:dyDescent="0.3">
      <c r="A2279" s="5" t="s">
        <v>74</v>
      </c>
      <c r="B2279" s="5" t="s">
        <v>75</v>
      </c>
      <c r="C2279" s="6">
        <v>1962</v>
      </c>
      <c r="D2279" s="7">
        <v>18614000</v>
      </c>
    </row>
    <row r="2280" spans="1:4" x14ac:dyDescent="0.3">
      <c r="A2280" s="2" t="s">
        <v>74</v>
      </c>
      <c r="B2280" s="2" t="s">
        <v>75</v>
      </c>
      <c r="C2280" s="3">
        <v>1963</v>
      </c>
      <c r="D2280" s="4">
        <v>18964000</v>
      </c>
    </row>
    <row r="2281" spans="1:4" x14ac:dyDescent="0.3">
      <c r="A2281" s="5" t="s">
        <v>74</v>
      </c>
      <c r="B2281" s="5" t="s">
        <v>75</v>
      </c>
      <c r="C2281" s="6">
        <v>1964</v>
      </c>
      <c r="D2281" s="7">
        <v>19325000</v>
      </c>
    </row>
    <row r="2282" spans="1:4" x14ac:dyDescent="0.3">
      <c r="A2282" s="2" t="s">
        <v>74</v>
      </c>
      <c r="B2282" s="2" t="s">
        <v>75</v>
      </c>
      <c r="C2282" s="3">
        <v>1965</v>
      </c>
      <c r="D2282" s="4">
        <v>19678000</v>
      </c>
    </row>
    <row r="2283" spans="1:4" x14ac:dyDescent="0.3">
      <c r="A2283" s="5" t="s">
        <v>74</v>
      </c>
      <c r="B2283" s="5" t="s">
        <v>75</v>
      </c>
      <c r="C2283" s="6">
        <v>1966</v>
      </c>
      <c r="D2283" s="7">
        <v>20048000</v>
      </c>
    </row>
    <row r="2284" spans="1:4" x14ac:dyDescent="0.3">
      <c r="A2284" s="2" t="s">
        <v>74</v>
      </c>
      <c r="B2284" s="2" t="s">
        <v>75</v>
      </c>
      <c r="C2284" s="3">
        <v>1967</v>
      </c>
      <c r="D2284" s="4">
        <v>20412000</v>
      </c>
    </row>
    <row r="2285" spans="1:4" x14ac:dyDescent="0.3">
      <c r="A2285" s="5" t="s">
        <v>74</v>
      </c>
      <c r="B2285" s="5" t="s">
        <v>75</v>
      </c>
      <c r="C2285" s="6">
        <v>1968</v>
      </c>
      <c r="D2285" s="7">
        <v>20744000</v>
      </c>
    </row>
    <row r="2286" spans="1:4" x14ac:dyDescent="0.3">
      <c r="A2286" s="2" t="s">
        <v>74</v>
      </c>
      <c r="B2286" s="2" t="s">
        <v>75</v>
      </c>
      <c r="C2286" s="3">
        <v>1969</v>
      </c>
      <c r="D2286" s="4">
        <v>21028000</v>
      </c>
    </row>
    <row r="2287" spans="1:4" x14ac:dyDescent="0.3">
      <c r="A2287" s="5" t="s">
        <v>74</v>
      </c>
      <c r="B2287" s="5" t="s">
        <v>75</v>
      </c>
      <c r="C2287" s="6">
        <v>1970</v>
      </c>
      <c r="D2287" s="7">
        <v>21324000</v>
      </c>
    </row>
    <row r="2288" spans="1:4" x14ac:dyDescent="0.3">
      <c r="A2288" s="2" t="s">
        <v>74</v>
      </c>
      <c r="B2288" s="2" t="s">
        <v>75</v>
      </c>
      <c r="C2288" s="3">
        <v>1971</v>
      </c>
      <c r="D2288" s="4">
        <v>21962032</v>
      </c>
    </row>
    <row r="2289" spans="1:4" x14ac:dyDescent="0.3">
      <c r="A2289" s="5" t="s">
        <v>74</v>
      </c>
      <c r="B2289" s="5" t="s">
        <v>75</v>
      </c>
      <c r="C2289" s="6">
        <v>1972</v>
      </c>
      <c r="D2289" s="7">
        <v>22218463</v>
      </c>
    </row>
    <row r="2290" spans="1:4" x14ac:dyDescent="0.3">
      <c r="A2290" s="2" t="s">
        <v>74</v>
      </c>
      <c r="B2290" s="2" t="s">
        <v>75</v>
      </c>
      <c r="C2290" s="3">
        <v>1973</v>
      </c>
      <c r="D2290" s="4">
        <v>22491777</v>
      </c>
    </row>
    <row r="2291" spans="1:4" x14ac:dyDescent="0.3">
      <c r="A2291" s="5" t="s">
        <v>74</v>
      </c>
      <c r="B2291" s="5" t="s">
        <v>75</v>
      </c>
      <c r="C2291" s="6">
        <v>1974</v>
      </c>
      <c r="D2291" s="7">
        <v>22807969</v>
      </c>
    </row>
    <row r="2292" spans="1:4" x14ac:dyDescent="0.3">
      <c r="A2292" s="2" t="s">
        <v>74</v>
      </c>
      <c r="B2292" s="2" t="s">
        <v>75</v>
      </c>
      <c r="C2292" s="3">
        <v>1975</v>
      </c>
      <c r="D2292" s="4">
        <v>23143275</v>
      </c>
    </row>
    <row r="2293" spans="1:4" x14ac:dyDescent="0.3">
      <c r="A2293" s="5" t="s">
        <v>74</v>
      </c>
      <c r="B2293" s="5" t="s">
        <v>75</v>
      </c>
      <c r="C2293" s="6">
        <v>1976</v>
      </c>
      <c r="D2293" s="7">
        <v>23449808</v>
      </c>
    </row>
    <row r="2294" spans="1:4" x14ac:dyDescent="0.3">
      <c r="A2294" s="2" t="s">
        <v>74</v>
      </c>
      <c r="B2294" s="2" t="s">
        <v>75</v>
      </c>
      <c r="C2294" s="3">
        <v>1977</v>
      </c>
      <c r="D2294" s="4">
        <v>23725843</v>
      </c>
    </row>
    <row r="2295" spans="1:4" x14ac:dyDescent="0.3">
      <c r="A2295" s="5" t="s">
        <v>74</v>
      </c>
      <c r="B2295" s="5" t="s">
        <v>75</v>
      </c>
      <c r="C2295" s="6">
        <v>1978</v>
      </c>
      <c r="D2295" s="7">
        <v>23963203</v>
      </c>
    </row>
    <row r="2296" spans="1:4" x14ac:dyDescent="0.3">
      <c r="A2296" s="2" t="s">
        <v>74</v>
      </c>
      <c r="B2296" s="2" t="s">
        <v>75</v>
      </c>
      <c r="C2296" s="3">
        <v>1979</v>
      </c>
      <c r="D2296" s="4">
        <v>24201544</v>
      </c>
    </row>
    <row r="2297" spans="1:4" x14ac:dyDescent="0.3">
      <c r="A2297" s="5" t="s">
        <v>74</v>
      </c>
      <c r="B2297" s="5" t="s">
        <v>75</v>
      </c>
      <c r="C2297" s="6">
        <v>1980</v>
      </c>
      <c r="D2297" s="7">
        <v>24515667</v>
      </c>
    </row>
    <row r="2298" spans="1:4" x14ac:dyDescent="0.3">
      <c r="A2298" s="2" t="s">
        <v>74</v>
      </c>
      <c r="B2298" s="2" t="s">
        <v>75</v>
      </c>
      <c r="C2298" s="3">
        <v>1981</v>
      </c>
      <c r="D2298" s="4">
        <v>24819915</v>
      </c>
    </row>
    <row r="2299" spans="1:4" x14ac:dyDescent="0.3">
      <c r="A2299" s="5" t="s">
        <v>74</v>
      </c>
      <c r="B2299" s="5" t="s">
        <v>75</v>
      </c>
      <c r="C2299" s="6">
        <v>1982</v>
      </c>
      <c r="D2299" s="7">
        <v>25116942</v>
      </c>
    </row>
    <row r="2300" spans="1:4" x14ac:dyDescent="0.3">
      <c r="A2300" s="2" t="s">
        <v>74</v>
      </c>
      <c r="B2300" s="2" t="s">
        <v>75</v>
      </c>
      <c r="C2300" s="3">
        <v>1983</v>
      </c>
      <c r="D2300" s="4">
        <v>25366451</v>
      </c>
    </row>
    <row r="2301" spans="1:4" x14ac:dyDescent="0.3">
      <c r="A2301" s="5" t="s">
        <v>74</v>
      </c>
      <c r="B2301" s="5" t="s">
        <v>75</v>
      </c>
      <c r="C2301" s="6">
        <v>1984</v>
      </c>
      <c r="D2301" s="7">
        <v>25607053</v>
      </c>
    </row>
    <row r="2302" spans="1:4" x14ac:dyDescent="0.3">
      <c r="A2302" s="2" t="s">
        <v>74</v>
      </c>
      <c r="B2302" s="2" t="s">
        <v>75</v>
      </c>
      <c r="C2302" s="3">
        <v>1985</v>
      </c>
      <c r="D2302" s="4">
        <v>25842116</v>
      </c>
    </row>
    <row r="2303" spans="1:4" x14ac:dyDescent="0.3">
      <c r="A2303" s="5" t="s">
        <v>74</v>
      </c>
      <c r="B2303" s="5" t="s">
        <v>75</v>
      </c>
      <c r="C2303" s="6">
        <v>1986</v>
      </c>
      <c r="D2303" s="7">
        <v>26100278</v>
      </c>
    </row>
    <row r="2304" spans="1:4" x14ac:dyDescent="0.3">
      <c r="A2304" s="2" t="s">
        <v>74</v>
      </c>
      <c r="B2304" s="2" t="s">
        <v>75</v>
      </c>
      <c r="C2304" s="3">
        <v>1987</v>
      </c>
      <c r="D2304" s="4">
        <v>26446601</v>
      </c>
    </row>
    <row r="2305" spans="1:4" x14ac:dyDescent="0.3">
      <c r="A2305" s="5" t="s">
        <v>74</v>
      </c>
      <c r="B2305" s="5" t="s">
        <v>75</v>
      </c>
      <c r="C2305" s="6">
        <v>1988</v>
      </c>
      <c r="D2305" s="7">
        <v>26791747</v>
      </c>
    </row>
    <row r="2306" spans="1:4" x14ac:dyDescent="0.3">
      <c r="A2306" s="2" t="s">
        <v>74</v>
      </c>
      <c r="B2306" s="2" t="s">
        <v>75</v>
      </c>
      <c r="C2306" s="3">
        <v>1989</v>
      </c>
      <c r="D2306" s="4">
        <v>27276781</v>
      </c>
    </row>
    <row r="2307" spans="1:4" x14ac:dyDescent="0.3">
      <c r="A2307" s="5" t="s">
        <v>74</v>
      </c>
      <c r="B2307" s="5" t="s">
        <v>75</v>
      </c>
      <c r="C2307" s="6">
        <v>1990</v>
      </c>
      <c r="D2307" s="7">
        <v>27691138</v>
      </c>
    </row>
    <row r="2308" spans="1:4" x14ac:dyDescent="0.3">
      <c r="A2308" s="2" t="s">
        <v>74</v>
      </c>
      <c r="B2308" s="2" t="s">
        <v>75</v>
      </c>
      <c r="C2308" s="3">
        <v>1991</v>
      </c>
      <c r="D2308" s="4">
        <v>28037420</v>
      </c>
    </row>
    <row r="2309" spans="1:4" x14ac:dyDescent="0.3">
      <c r="A2309" s="5" t="s">
        <v>74</v>
      </c>
      <c r="B2309" s="5" t="s">
        <v>75</v>
      </c>
      <c r="C2309" s="6">
        <v>1992</v>
      </c>
      <c r="D2309" s="7">
        <v>28371264</v>
      </c>
    </row>
    <row r="2310" spans="1:4" x14ac:dyDescent="0.3">
      <c r="A2310" s="2" t="s">
        <v>74</v>
      </c>
      <c r="B2310" s="2" t="s">
        <v>75</v>
      </c>
      <c r="C2310" s="3">
        <v>1993</v>
      </c>
      <c r="D2310" s="4">
        <v>28684764</v>
      </c>
    </row>
    <row r="2311" spans="1:4" x14ac:dyDescent="0.3">
      <c r="A2311" s="5" t="s">
        <v>74</v>
      </c>
      <c r="B2311" s="5" t="s">
        <v>75</v>
      </c>
      <c r="C2311" s="6">
        <v>1994</v>
      </c>
      <c r="D2311" s="7">
        <v>29000663</v>
      </c>
    </row>
    <row r="2312" spans="1:4" x14ac:dyDescent="0.3">
      <c r="A2312" s="2" t="s">
        <v>74</v>
      </c>
      <c r="B2312" s="2" t="s">
        <v>75</v>
      </c>
      <c r="C2312" s="3">
        <v>1995</v>
      </c>
      <c r="D2312" s="4">
        <v>29302311</v>
      </c>
    </row>
    <row r="2313" spans="1:4" x14ac:dyDescent="0.3">
      <c r="A2313" s="5" t="s">
        <v>74</v>
      </c>
      <c r="B2313" s="5" t="s">
        <v>75</v>
      </c>
      <c r="C2313" s="6">
        <v>1996</v>
      </c>
      <c r="D2313" s="7">
        <v>29610218</v>
      </c>
    </row>
    <row r="2314" spans="1:4" x14ac:dyDescent="0.3">
      <c r="A2314" s="2" t="s">
        <v>74</v>
      </c>
      <c r="B2314" s="2" t="s">
        <v>75</v>
      </c>
      <c r="C2314" s="3">
        <v>1997</v>
      </c>
      <c r="D2314" s="4">
        <v>29905948</v>
      </c>
    </row>
    <row r="2315" spans="1:4" x14ac:dyDescent="0.3">
      <c r="A2315" s="5" t="s">
        <v>74</v>
      </c>
      <c r="B2315" s="5" t="s">
        <v>75</v>
      </c>
      <c r="C2315" s="6">
        <v>1998</v>
      </c>
      <c r="D2315" s="7">
        <v>30155173</v>
      </c>
    </row>
    <row r="2316" spans="1:4" x14ac:dyDescent="0.3">
      <c r="A2316" s="2" t="s">
        <v>74</v>
      </c>
      <c r="B2316" s="2" t="s">
        <v>75</v>
      </c>
      <c r="C2316" s="3">
        <v>1999</v>
      </c>
      <c r="D2316" s="4">
        <v>30401286</v>
      </c>
    </row>
    <row r="2317" spans="1:4" x14ac:dyDescent="0.3">
      <c r="A2317" s="5" t="s">
        <v>74</v>
      </c>
      <c r="B2317" s="5" t="s">
        <v>75</v>
      </c>
      <c r="C2317" s="6">
        <v>2000</v>
      </c>
      <c r="D2317" s="7">
        <v>30685730</v>
      </c>
    </row>
    <row r="2318" spans="1:4" x14ac:dyDescent="0.3">
      <c r="A2318" s="2" t="s">
        <v>74</v>
      </c>
      <c r="B2318" s="2" t="s">
        <v>75</v>
      </c>
      <c r="C2318" s="3">
        <v>2001</v>
      </c>
      <c r="D2318" s="4">
        <v>31020855</v>
      </c>
    </row>
    <row r="2319" spans="1:4" x14ac:dyDescent="0.3">
      <c r="A2319" s="5" t="s">
        <v>74</v>
      </c>
      <c r="B2319" s="5" t="s">
        <v>75</v>
      </c>
      <c r="C2319" s="6">
        <v>2002</v>
      </c>
      <c r="D2319" s="7">
        <v>31359199</v>
      </c>
    </row>
    <row r="2320" spans="1:4" x14ac:dyDescent="0.3">
      <c r="A2320" s="2" t="s">
        <v>74</v>
      </c>
      <c r="B2320" s="2" t="s">
        <v>75</v>
      </c>
      <c r="C2320" s="3">
        <v>2003</v>
      </c>
      <c r="D2320" s="4">
        <v>31642461</v>
      </c>
    </row>
    <row r="2321" spans="1:4" x14ac:dyDescent="0.3">
      <c r="A2321" s="5" t="s">
        <v>74</v>
      </c>
      <c r="B2321" s="5" t="s">
        <v>75</v>
      </c>
      <c r="C2321" s="6">
        <v>2004</v>
      </c>
      <c r="D2321" s="7">
        <v>31938807</v>
      </c>
    </row>
    <row r="2322" spans="1:4" x14ac:dyDescent="0.3">
      <c r="A2322" s="2" t="s">
        <v>74</v>
      </c>
      <c r="B2322" s="2" t="s">
        <v>75</v>
      </c>
      <c r="C2322" s="3">
        <v>2005</v>
      </c>
      <c r="D2322" s="4">
        <v>32242732</v>
      </c>
    </row>
    <row r="2323" spans="1:4" x14ac:dyDescent="0.3">
      <c r="A2323" s="5" t="s">
        <v>74</v>
      </c>
      <c r="B2323" s="5" t="s">
        <v>75</v>
      </c>
      <c r="C2323" s="6">
        <v>2006</v>
      </c>
      <c r="D2323" s="7">
        <v>32571193</v>
      </c>
    </row>
    <row r="2324" spans="1:4" x14ac:dyDescent="0.3">
      <c r="A2324" s="2" t="s">
        <v>74</v>
      </c>
      <c r="B2324" s="2" t="s">
        <v>75</v>
      </c>
      <c r="C2324" s="3">
        <v>2007</v>
      </c>
      <c r="D2324" s="4">
        <v>32888886</v>
      </c>
    </row>
    <row r="2325" spans="1:4" x14ac:dyDescent="0.3">
      <c r="A2325" s="5" t="s">
        <v>74</v>
      </c>
      <c r="B2325" s="5" t="s">
        <v>75</v>
      </c>
      <c r="C2325" s="6">
        <v>2008</v>
      </c>
      <c r="D2325" s="7">
        <v>33247298</v>
      </c>
    </row>
    <row r="2326" spans="1:4" x14ac:dyDescent="0.3">
      <c r="A2326" s="2" t="s">
        <v>74</v>
      </c>
      <c r="B2326" s="2" t="s">
        <v>75</v>
      </c>
      <c r="C2326" s="3">
        <v>2009</v>
      </c>
      <c r="D2326" s="4">
        <v>33630069</v>
      </c>
    </row>
    <row r="2327" spans="1:4" x14ac:dyDescent="0.3">
      <c r="A2327" s="5" t="s">
        <v>74</v>
      </c>
      <c r="B2327" s="5" t="s">
        <v>75</v>
      </c>
      <c r="C2327" s="6">
        <v>2010</v>
      </c>
      <c r="D2327" s="7">
        <v>34005902</v>
      </c>
    </row>
    <row r="2328" spans="1:4" x14ac:dyDescent="0.3">
      <c r="A2328" s="2" t="s">
        <v>74</v>
      </c>
      <c r="B2328" s="2" t="s">
        <v>75</v>
      </c>
      <c r="C2328" s="3">
        <v>2011</v>
      </c>
      <c r="D2328" s="4">
        <v>34339221</v>
      </c>
    </row>
    <row r="2329" spans="1:4" x14ac:dyDescent="0.3">
      <c r="A2329" s="5" t="s">
        <v>74</v>
      </c>
      <c r="B2329" s="5" t="s">
        <v>75</v>
      </c>
      <c r="C2329" s="6">
        <v>2012</v>
      </c>
      <c r="D2329" s="7">
        <v>34713395</v>
      </c>
    </row>
    <row r="2330" spans="1:4" x14ac:dyDescent="0.3">
      <c r="A2330" s="2" t="s">
        <v>74</v>
      </c>
      <c r="B2330" s="2" t="s">
        <v>75</v>
      </c>
      <c r="C2330" s="3">
        <v>2013</v>
      </c>
      <c r="D2330" s="4">
        <v>35080992</v>
      </c>
    </row>
    <row r="2331" spans="1:4" x14ac:dyDescent="0.3">
      <c r="A2331" s="5" t="s">
        <v>74</v>
      </c>
      <c r="B2331" s="5" t="s">
        <v>75</v>
      </c>
      <c r="C2331" s="6">
        <v>2014</v>
      </c>
      <c r="D2331" s="7">
        <v>35434066</v>
      </c>
    </row>
    <row r="2332" spans="1:4" x14ac:dyDescent="0.3">
      <c r="A2332" s="2" t="s">
        <v>74</v>
      </c>
      <c r="B2332" s="2" t="s">
        <v>75</v>
      </c>
      <c r="C2332" s="3">
        <v>2015</v>
      </c>
      <c r="D2332" s="4">
        <v>35704498</v>
      </c>
    </row>
    <row r="2333" spans="1:4" x14ac:dyDescent="0.3">
      <c r="A2333" s="5" t="s">
        <v>74</v>
      </c>
      <c r="B2333" s="5" t="s">
        <v>75</v>
      </c>
      <c r="C2333" s="6">
        <v>2016</v>
      </c>
      <c r="D2333" s="7">
        <v>36110803</v>
      </c>
    </row>
    <row r="2334" spans="1:4" x14ac:dyDescent="0.3">
      <c r="A2334" s="2" t="s">
        <v>74</v>
      </c>
      <c r="B2334" s="2" t="s">
        <v>75</v>
      </c>
      <c r="C2334" s="3">
        <v>2017</v>
      </c>
      <c r="D2334" s="4">
        <v>36545075</v>
      </c>
    </row>
    <row r="2335" spans="1:4" x14ac:dyDescent="0.3">
      <c r="A2335" s="5" t="s">
        <v>74</v>
      </c>
      <c r="B2335" s="5" t="s">
        <v>75</v>
      </c>
      <c r="C2335" s="6">
        <v>2018</v>
      </c>
      <c r="D2335" s="7">
        <v>37072620</v>
      </c>
    </row>
    <row r="2336" spans="1:4" x14ac:dyDescent="0.3">
      <c r="A2336" s="2" t="s">
        <v>74</v>
      </c>
      <c r="B2336" s="2" t="s">
        <v>75</v>
      </c>
      <c r="C2336" s="3">
        <v>2019</v>
      </c>
      <c r="D2336" s="4">
        <v>37618495</v>
      </c>
    </row>
    <row r="2337" spans="1:4" x14ac:dyDescent="0.3">
      <c r="A2337" s="5" t="s">
        <v>74</v>
      </c>
      <c r="B2337" s="5" t="s">
        <v>75</v>
      </c>
      <c r="C2337" s="6">
        <v>2020</v>
      </c>
      <c r="D2337" s="7">
        <v>38028638</v>
      </c>
    </row>
    <row r="2338" spans="1:4" x14ac:dyDescent="0.3">
      <c r="A2338" s="2" t="s">
        <v>74</v>
      </c>
      <c r="B2338" s="2" t="s">
        <v>75</v>
      </c>
      <c r="C2338" s="3">
        <v>2021</v>
      </c>
      <c r="D2338" s="4">
        <v>38239864</v>
      </c>
    </row>
    <row r="2339" spans="1:4" x14ac:dyDescent="0.3">
      <c r="A2339" s="5" t="s">
        <v>74</v>
      </c>
      <c r="B2339" s="5" t="s">
        <v>75</v>
      </c>
      <c r="C2339" s="6">
        <v>2022</v>
      </c>
      <c r="D2339" s="7">
        <v>38935934</v>
      </c>
    </row>
    <row r="2340" spans="1:4" x14ac:dyDescent="0.3">
      <c r="A2340" s="2" t="s">
        <v>74</v>
      </c>
      <c r="B2340" s="2" t="s">
        <v>75</v>
      </c>
      <c r="C2340" s="3">
        <v>2023</v>
      </c>
      <c r="D2340" s="4">
        <v>40083484</v>
      </c>
    </row>
    <row r="2341" spans="1:4" x14ac:dyDescent="0.3">
      <c r="A2341" s="5" t="s">
        <v>74</v>
      </c>
      <c r="B2341" s="5" t="s">
        <v>75</v>
      </c>
      <c r="C2341" s="6">
        <v>2024</v>
      </c>
      <c r="D2341" s="7">
        <v>41288599</v>
      </c>
    </row>
    <row r="2342" spans="1:4" x14ac:dyDescent="0.3">
      <c r="A2342" s="2" t="s">
        <v>76</v>
      </c>
      <c r="B2342" s="2" t="s">
        <v>77</v>
      </c>
      <c r="C2342" s="3">
        <v>1960</v>
      </c>
      <c r="D2342" s="4">
        <v>8428</v>
      </c>
    </row>
    <row r="2343" spans="1:4" x14ac:dyDescent="0.3">
      <c r="A2343" s="5" t="s">
        <v>76</v>
      </c>
      <c r="B2343" s="5" t="s">
        <v>77</v>
      </c>
      <c r="C2343" s="6">
        <v>1961</v>
      </c>
      <c r="D2343" s="7">
        <v>8601</v>
      </c>
    </row>
    <row r="2344" spans="1:4" x14ac:dyDescent="0.3">
      <c r="A2344" s="2" t="s">
        <v>76</v>
      </c>
      <c r="B2344" s="2" t="s">
        <v>77</v>
      </c>
      <c r="C2344" s="3">
        <v>1962</v>
      </c>
      <c r="D2344" s="4">
        <v>8781</v>
      </c>
    </row>
    <row r="2345" spans="1:4" x14ac:dyDescent="0.3">
      <c r="A2345" s="5" t="s">
        <v>76</v>
      </c>
      <c r="B2345" s="5" t="s">
        <v>77</v>
      </c>
      <c r="C2345" s="6">
        <v>1963</v>
      </c>
      <c r="D2345" s="7">
        <v>8970</v>
      </c>
    </row>
    <row r="2346" spans="1:4" x14ac:dyDescent="0.3">
      <c r="A2346" s="2" t="s">
        <v>76</v>
      </c>
      <c r="B2346" s="2" t="s">
        <v>77</v>
      </c>
      <c r="C2346" s="3">
        <v>1964</v>
      </c>
      <c r="D2346" s="4">
        <v>9166</v>
      </c>
    </row>
    <row r="2347" spans="1:4" x14ac:dyDescent="0.3">
      <c r="A2347" s="5" t="s">
        <v>76</v>
      </c>
      <c r="B2347" s="5" t="s">
        <v>77</v>
      </c>
      <c r="C2347" s="6">
        <v>1965</v>
      </c>
      <c r="D2347" s="7">
        <v>9361</v>
      </c>
    </row>
    <row r="2348" spans="1:4" x14ac:dyDescent="0.3">
      <c r="A2348" s="2" t="s">
        <v>76</v>
      </c>
      <c r="B2348" s="2" t="s">
        <v>77</v>
      </c>
      <c r="C2348" s="3">
        <v>1966</v>
      </c>
      <c r="D2348" s="4">
        <v>9560</v>
      </c>
    </row>
    <row r="2349" spans="1:4" x14ac:dyDescent="0.3">
      <c r="A2349" s="5" t="s">
        <v>76</v>
      </c>
      <c r="B2349" s="5" t="s">
        <v>77</v>
      </c>
      <c r="C2349" s="6">
        <v>1967</v>
      </c>
      <c r="D2349" s="7">
        <v>9769</v>
      </c>
    </row>
    <row r="2350" spans="1:4" x14ac:dyDescent="0.3">
      <c r="A2350" s="2" t="s">
        <v>76</v>
      </c>
      <c r="B2350" s="2" t="s">
        <v>77</v>
      </c>
      <c r="C2350" s="3">
        <v>1968</v>
      </c>
      <c r="D2350" s="4">
        <v>9971</v>
      </c>
    </row>
    <row r="2351" spans="1:4" x14ac:dyDescent="0.3">
      <c r="A2351" s="5" t="s">
        <v>76</v>
      </c>
      <c r="B2351" s="5" t="s">
        <v>77</v>
      </c>
      <c r="C2351" s="6">
        <v>1969</v>
      </c>
      <c r="D2351" s="7">
        <v>10165</v>
      </c>
    </row>
    <row r="2352" spans="1:4" x14ac:dyDescent="0.3">
      <c r="A2352" s="2" t="s">
        <v>76</v>
      </c>
      <c r="B2352" s="2" t="s">
        <v>77</v>
      </c>
      <c r="C2352" s="3">
        <v>1970</v>
      </c>
      <c r="D2352" s="4">
        <v>10517</v>
      </c>
    </row>
    <row r="2353" spans="1:4" x14ac:dyDescent="0.3">
      <c r="A2353" s="5" t="s">
        <v>76</v>
      </c>
      <c r="B2353" s="5" t="s">
        <v>77</v>
      </c>
      <c r="C2353" s="6">
        <v>1971</v>
      </c>
      <c r="D2353" s="7">
        <v>11098</v>
      </c>
    </row>
    <row r="2354" spans="1:4" x14ac:dyDescent="0.3">
      <c r="A2354" s="2" t="s">
        <v>76</v>
      </c>
      <c r="B2354" s="2" t="s">
        <v>77</v>
      </c>
      <c r="C2354" s="3">
        <v>1972</v>
      </c>
      <c r="D2354" s="4">
        <v>11764</v>
      </c>
    </row>
    <row r="2355" spans="1:4" x14ac:dyDescent="0.3">
      <c r="A2355" s="5" t="s">
        <v>76</v>
      </c>
      <c r="B2355" s="5" t="s">
        <v>77</v>
      </c>
      <c r="C2355" s="6">
        <v>1973</v>
      </c>
      <c r="D2355" s="7">
        <v>12438</v>
      </c>
    </row>
    <row r="2356" spans="1:4" x14ac:dyDescent="0.3">
      <c r="A2356" s="2" t="s">
        <v>76</v>
      </c>
      <c r="B2356" s="2" t="s">
        <v>77</v>
      </c>
      <c r="C2356" s="3">
        <v>1974</v>
      </c>
      <c r="D2356" s="4">
        <v>13114</v>
      </c>
    </row>
    <row r="2357" spans="1:4" x14ac:dyDescent="0.3">
      <c r="A2357" s="5" t="s">
        <v>76</v>
      </c>
      <c r="B2357" s="5" t="s">
        <v>77</v>
      </c>
      <c r="C2357" s="6">
        <v>1975</v>
      </c>
      <c r="D2357" s="7">
        <v>13788</v>
      </c>
    </row>
    <row r="2358" spans="1:4" x14ac:dyDescent="0.3">
      <c r="A2358" s="2" t="s">
        <v>76</v>
      </c>
      <c r="B2358" s="2" t="s">
        <v>77</v>
      </c>
      <c r="C2358" s="3">
        <v>1976</v>
      </c>
      <c r="D2358" s="4">
        <v>14454</v>
      </c>
    </row>
    <row r="2359" spans="1:4" x14ac:dyDescent="0.3">
      <c r="A2359" s="5" t="s">
        <v>76</v>
      </c>
      <c r="B2359" s="5" t="s">
        <v>77</v>
      </c>
      <c r="C2359" s="6">
        <v>1977</v>
      </c>
      <c r="D2359" s="7">
        <v>15105</v>
      </c>
    </row>
    <row r="2360" spans="1:4" x14ac:dyDescent="0.3">
      <c r="A2360" s="2" t="s">
        <v>76</v>
      </c>
      <c r="B2360" s="2" t="s">
        <v>77</v>
      </c>
      <c r="C2360" s="3">
        <v>1978</v>
      </c>
      <c r="D2360" s="4">
        <v>15727</v>
      </c>
    </row>
    <row r="2361" spans="1:4" x14ac:dyDescent="0.3">
      <c r="A2361" s="5" t="s">
        <v>76</v>
      </c>
      <c r="B2361" s="5" t="s">
        <v>77</v>
      </c>
      <c r="C2361" s="6">
        <v>1979</v>
      </c>
      <c r="D2361" s="7">
        <v>16351</v>
      </c>
    </row>
    <row r="2362" spans="1:4" x14ac:dyDescent="0.3">
      <c r="A2362" s="2" t="s">
        <v>76</v>
      </c>
      <c r="B2362" s="2" t="s">
        <v>77</v>
      </c>
      <c r="C2362" s="3">
        <v>1980</v>
      </c>
      <c r="D2362" s="4">
        <v>17079</v>
      </c>
    </row>
    <row r="2363" spans="1:4" x14ac:dyDescent="0.3">
      <c r="A2363" s="5" t="s">
        <v>76</v>
      </c>
      <c r="B2363" s="5" t="s">
        <v>77</v>
      </c>
      <c r="C2363" s="6">
        <v>1981</v>
      </c>
      <c r="D2363" s="7">
        <v>17905</v>
      </c>
    </row>
    <row r="2364" spans="1:4" x14ac:dyDescent="0.3">
      <c r="A2364" s="2" t="s">
        <v>76</v>
      </c>
      <c r="B2364" s="2" t="s">
        <v>77</v>
      </c>
      <c r="C2364" s="3">
        <v>1982</v>
      </c>
      <c r="D2364" s="4">
        <v>18750</v>
      </c>
    </row>
    <row r="2365" spans="1:4" x14ac:dyDescent="0.3">
      <c r="A2365" s="5" t="s">
        <v>76</v>
      </c>
      <c r="B2365" s="5" t="s">
        <v>77</v>
      </c>
      <c r="C2365" s="6">
        <v>1983</v>
      </c>
      <c r="D2365" s="7">
        <v>19598</v>
      </c>
    </row>
    <row r="2366" spans="1:4" x14ac:dyDescent="0.3">
      <c r="A2366" s="2" t="s">
        <v>76</v>
      </c>
      <c r="B2366" s="2" t="s">
        <v>77</v>
      </c>
      <c r="C2366" s="3">
        <v>1984</v>
      </c>
      <c r="D2366" s="4">
        <v>20454</v>
      </c>
    </row>
    <row r="2367" spans="1:4" x14ac:dyDescent="0.3">
      <c r="A2367" s="5" t="s">
        <v>76</v>
      </c>
      <c r="B2367" s="5" t="s">
        <v>77</v>
      </c>
      <c r="C2367" s="6">
        <v>1985</v>
      </c>
      <c r="D2367" s="7">
        <v>21324</v>
      </c>
    </row>
    <row r="2368" spans="1:4" x14ac:dyDescent="0.3">
      <c r="A2368" s="2" t="s">
        <v>76</v>
      </c>
      <c r="B2368" s="2" t="s">
        <v>77</v>
      </c>
      <c r="C2368" s="3">
        <v>1986</v>
      </c>
      <c r="D2368" s="4">
        <v>22197</v>
      </c>
    </row>
    <row r="2369" spans="1:4" x14ac:dyDescent="0.3">
      <c r="A2369" s="5" t="s">
        <v>76</v>
      </c>
      <c r="B2369" s="5" t="s">
        <v>77</v>
      </c>
      <c r="C2369" s="6">
        <v>1987</v>
      </c>
      <c r="D2369" s="7">
        <v>23073</v>
      </c>
    </row>
    <row r="2370" spans="1:4" x14ac:dyDescent="0.3">
      <c r="A2370" s="2" t="s">
        <v>76</v>
      </c>
      <c r="B2370" s="2" t="s">
        <v>77</v>
      </c>
      <c r="C2370" s="3">
        <v>1988</v>
      </c>
      <c r="D2370" s="4">
        <v>23951</v>
      </c>
    </row>
    <row r="2371" spans="1:4" x14ac:dyDescent="0.3">
      <c r="A2371" s="5" t="s">
        <v>76</v>
      </c>
      <c r="B2371" s="5" t="s">
        <v>77</v>
      </c>
      <c r="C2371" s="6">
        <v>1989</v>
      </c>
      <c r="D2371" s="7">
        <v>24874</v>
      </c>
    </row>
    <row r="2372" spans="1:4" x14ac:dyDescent="0.3">
      <c r="A2372" s="2" t="s">
        <v>76</v>
      </c>
      <c r="B2372" s="2" t="s">
        <v>77</v>
      </c>
      <c r="C2372" s="3">
        <v>1990</v>
      </c>
      <c r="D2372" s="4">
        <v>25999</v>
      </c>
    </row>
    <row r="2373" spans="1:4" x14ac:dyDescent="0.3">
      <c r="A2373" s="5" t="s">
        <v>76</v>
      </c>
      <c r="B2373" s="5" t="s">
        <v>77</v>
      </c>
      <c r="C2373" s="6">
        <v>1991</v>
      </c>
      <c r="D2373" s="7">
        <v>27294</v>
      </c>
    </row>
    <row r="2374" spans="1:4" x14ac:dyDescent="0.3">
      <c r="A2374" s="2" t="s">
        <v>76</v>
      </c>
      <c r="B2374" s="2" t="s">
        <v>77</v>
      </c>
      <c r="C2374" s="3">
        <v>1992</v>
      </c>
      <c r="D2374" s="4">
        <v>28621</v>
      </c>
    </row>
    <row r="2375" spans="1:4" x14ac:dyDescent="0.3">
      <c r="A2375" s="5" t="s">
        <v>76</v>
      </c>
      <c r="B2375" s="5" t="s">
        <v>77</v>
      </c>
      <c r="C2375" s="6">
        <v>1993</v>
      </c>
      <c r="D2375" s="7">
        <v>29976</v>
      </c>
    </row>
    <row r="2376" spans="1:4" x14ac:dyDescent="0.3">
      <c r="A2376" s="2" t="s">
        <v>76</v>
      </c>
      <c r="B2376" s="2" t="s">
        <v>77</v>
      </c>
      <c r="C2376" s="3">
        <v>1994</v>
      </c>
      <c r="D2376" s="4">
        <v>31352</v>
      </c>
    </row>
    <row r="2377" spans="1:4" x14ac:dyDescent="0.3">
      <c r="A2377" s="5" t="s">
        <v>76</v>
      </c>
      <c r="B2377" s="5" t="s">
        <v>77</v>
      </c>
      <c r="C2377" s="6">
        <v>1995</v>
      </c>
      <c r="D2377" s="7">
        <v>32743</v>
      </c>
    </row>
    <row r="2378" spans="1:4" x14ac:dyDescent="0.3">
      <c r="A2378" s="2" t="s">
        <v>76</v>
      </c>
      <c r="B2378" s="2" t="s">
        <v>77</v>
      </c>
      <c r="C2378" s="3">
        <v>1996</v>
      </c>
      <c r="D2378" s="4">
        <v>34143</v>
      </c>
    </row>
    <row r="2379" spans="1:4" x14ac:dyDescent="0.3">
      <c r="A2379" s="5" t="s">
        <v>76</v>
      </c>
      <c r="B2379" s="5" t="s">
        <v>77</v>
      </c>
      <c r="C2379" s="6">
        <v>1997</v>
      </c>
      <c r="D2379" s="7">
        <v>35543</v>
      </c>
    </row>
    <row r="2380" spans="1:4" x14ac:dyDescent="0.3">
      <c r="A2380" s="2" t="s">
        <v>76</v>
      </c>
      <c r="B2380" s="2" t="s">
        <v>77</v>
      </c>
      <c r="C2380" s="3">
        <v>1998</v>
      </c>
      <c r="D2380" s="4">
        <v>36922</v>
      </c>
    </row>
    <row r="2381" spans="1:4" x14ac:dyDescent="0.3">
      <c r="A2381" s="5" t="s">
        <v>76</v>
      </c>
      <c r="B2381" s="5" t="s">
        <v>77</v>
      </c>
      <c r="C2381" s="6">
        <v>1999</v>
      </c>
      <c r="D2381" s="7">
        <v>38284</v>
      </c>
    </row>
    <row r="2382" spans="1:4" x14ac:dyDescent="0.3">
      <c r="A2382" s="2" t="s">
        <v>76</v>
      </c>
      <c r="B2382" s="2" t="s">
        <v>77</v>
      </c>
      <c r="C2382" s="3">
        <v>2000</v>
      </c>
      <c r="D2382" s="4">
        <v>39674</v>
      </c>
    </row>
    <row r="2383" spans="1:4" x14ac:dyDescent="0.3">
      <c r="A2383" s="5" t="s">
        <v>76</v>
      </c>
      <c r="B2383" s="5" t="s">
        <v>77</v>
      </c>
      <c r="C2383" s="6">
        <v>2001</v>
      </c>
      <c r="D2383" s="7">
        <v>41089</v>
      </c>
    </row>
    <row r="2384" spans="1:4" x14ac:dyDescent="0.3">
      <c r="A2384" s="2" t="s">
        <v>76</v>
      </c>
      <c r="B2384" s="2" t="s">
        <v>77</v>
      </c>
      <c r="C2384" s="3">
        <v>2002</v>
      </c>
      <c r="D2384" s="4">
        <v>42514</v>
      </c>
    </row>
    <row r="2385" spans="1:4" x14ac:dyDescent="0.3">
      <c r="A2385" s="5" t="s">
        <v>76</v>
      </c>
      <c r="B2385" s="5" t="s">
        <v>77</v>
      </c>
      <c r="C2385" s="6">
        <v>2003</v>
      </c>
      <c r="D2385" s="7">
        <v>43934</v>
      </c>
    </row>
    <row r="2386" spans="1:4" x14ac:dyDescent="0.3">
      <c r="A2386" s="2" t="s">
        <v>76</v>
      </c>
      <c r="B2386" s="2" t="s">
        <v>77</v>
      </c>
      <c r="C2386" s="3">
        <v>2004</v>
      </c>
      <c r="D2386" s="4">
        <v>45352</v>
      </c>
    </row>
    <row r="2387" spans="1:4" x14ac:dyDescent="0.3">
      <c r="A2387" s="5" t="s">
        <v>76</v>
      </c>
      <c r="B2387" s="5" t="s">
        <v>77</v>
      </c>
      <c r="C2387" s="6">
        <v>2005</v>
      </c>
      <c r="D2387" s="7">
        <v>46788</v>
      </c>
    </row>
    <row r="2388" spans="1:4" x14ac:dyDescent="0.3">
      <c r="A2388" s="2" t="s">
        <v>76</v>
      </c>
      <c r="B2388" s="2" t="s">
        <v>77</v>
      </c>
      <c r="C2388" s="3">
        <v>2006</v>
      </c>
      <c r="D2388" s="4">
        <v>48232</v>
      </c>
    </row>
    <row r="2389" spans="1:4" x14ac:dyDescent="0.3">
      <c r="A2389" s="5" t="s">
        <v>76</v>
      </c>
      <c r="B2389" s="5" t="s">
        <v>77</v>
      </c>
      <c r="C2389" s="6">
        <v>2007</v>
      </c>
      <c r="D2389" s="7">
        <v>49687</v>
      </c>
    </row>
    <row r="2390" spans="1:4" x14ac:dyDescent="0.3">
      <c r="A2390" s="2" t="s">
        <v>76</v>
      </c>
      <c r="B2390" s="2" t="s">
        <v>77</v>
      </c>
      <c r="C2390" s="3">
        <v>2008</v>
      </c>
      <c r="D2390" s="4">
        <v>51151</v>
      </c>
    </row>
    <row r="2391" spans="1:4" x14ac:dyDescent="0.3">
      <c r="A2391" s="5" t="s">
        <v>76</v>
      </c>
      <c r="B2391" s="5" t="s">
        <v>77</v>
      </c>
      <c r="C2391" s="6">
        <v>2009</v>
      </c>
      <c r="D2391" s="7">
        <v>52618</v>
      </c>
    </row>
    <row r="2392" spans="1:4" x14ac:dyDescent="0.3">
      <c r="A2392" s="2" t="s">
        <v>76</v>
      </c>
      <c r="B2392" s="2" t="s">
        <v>77</v>
      </c>
      <c r="C2392" s="3">
        <v>2010</v>
      </c>
      <c r="D2392" s="4">
        <v>54099</v>
      </c>
    </row>
    <row r="2393" spans="1:4" x14ac:dyDescent="0.3">
      <c r="A2393" s="5" t="s">
        <v>76</v>
      </c>
      <c r="B2393" s="5" t="s">
        <v>77</v>
      </c>
      <c r="C2393" s="6">
        <v>2011</v>
      </c>
      <c r="D2393" s="7">
        <v>55606</v>
      </c>
    </row>
    <row r="2394" spans="1:4" x14ac:dyDescent="0.3">
      <c r="A2394" s="2" t="s">
        <v>76</v>
      </c>
      <c r="B2394" s="2" t="s">
        <v>77</v>
      </c>
      <c r="C2394" s="3">
        <v>2012</v>
      </c>
      <c r="D2394" s="4">
        <v>57136</v>
      </c>
    </row>
    <row r="2395" spans="1:4" x14ac:dyDescent="0.3">
      <c r="A2395" s="5" t="s">
        <v>76</v>
      </c>
      <c r="B2395" s="5" t="s">
        <v>77</v>
      </c>
      <c r="C2395" s="6">
        <v>2013</v>
      </c>
      <c r="D2395" s="7">
        <v>58655</v>
      </c>
    </row>
    <row r="2396" spans="1:4" x14ac:dyDescent="0.3">
      <c r="A2396" s="2" t="s">
        <v>76</v>
      </c>
      <c r="B2396" s="2" t="s">
        <v>77</v>
      </c>
      <c r="C2396" s="3">
        <v>2014</v>
      </c>
      <c r="D2396" s="4">
        <v>60160</v>
      </c>
    </row>
    <row r="2397" spans="1:4" x14ac:dyDescent="0.3">
      <c r="A2397" s="5" t="s">
        <v>76</v>
      </c>
      <c r="B2397" s="5" t="s">
        <v>77</v>
      </c>
      <c r="C2397" s="6">
        <v>2015</v>
      </c>
      <c r="D2397" s="7">
        <v>61642</v>
      </c>
    </row>
    <row r="2398" spans="1:4" x14ac:dyDescent="0.3">
      <c r="A2398" s="2" t="s">
        <v>76</v>
      </c>
      <c r="B2398" s="2" t="s">
        <v>77</v>
      </c>
      <c r="C2398" s="3">
        <v>2016</v>
      </c>
      <c r="D2398" s="4">
        <v>63100</v>
      </c>
    </row>
    <row r="2399" spans="1:4" x14ac:dyDescent="0.3">
      <c r="A2399" s="5" t="s">
        <v>76</v>
      </c>
      <c r="B2399" s="5" t="s">
        <v>77</v>
      </c>
      <c r="C2399" s="6">
        <v>2017</v>
      </c>
      <c r="D2399" s="7">
        <v>64535</v>
      </c>
    </row>
    <row r="2400" spans="1:4" x14ac:dyDescent="0.3">
      <c r="A2400" s="2" t="s">
        <v>76</v>
      </c>
      <c r="B2400" s="2" t="s">
        <v>77</v>
      </c>
      <c r="C2400" s="3">
        <v>2018</v>
      </c>
      <c r="D2400" s="4">
        <v>65941</v>
      </c>
    </row>
    <row r="2401" spans="1:4" x14ac:dyDescent="0.3">
      <c r="A2401" s="5" t="s">
        <v>76</v>
      </c>
      <c r="B2401" s="5" t="s">
        <v>77</v>
      </c>
      <c r="C2401" s="6">
        <v>2019</v>
      </c>
      <c r="D2401" s="7">
        <v>67327</v>
      </c>
    </row>
    <row r="2402" spans="1:4" x14ac:dyDescent="0.3">
      <c r="A2402" s="2" t="s">
        <v>76</v>
      </c>
      <c r="B2402" s="2" t="s">
        <v>77</v>
      </c>
      <c r="C2402" s="3">
        <v>2020</v>
      </c>
      <c r="D2402" s="4">
        <v>68684</v>
      </c>
    </row>
    <row r="2403" spans="1:4" x14ac:dyDescent="0.3">
      <c r="A2403" s="5" t="s">
        <v>76</v>
      </c>
      <c r="B2403" s="5" t="s">
        <v>77</v>
      </c>
      <c r="C2403" s="6">
        <v>2021</v>
      </c>
      <c r="D2403" s="7">
        <v>70108</v>
      </c>
    </row>
    <row r="2404" spans="1:4" x14ac:dyDescent="0.3">
      <c r="A2404" s="2" t="s">
        <v>76</v>
      </c>
      <c r="B2404" s="2" t="s">
        <v>77</v>
      </c>
      <c r="C2404" s="3">
        <v>2022</v>
      </c>
      <c r="D2404" s="4">
        <v>71591</v>
      </c>
    </row>
    <row r="2405" spans="1:4" x14ac:dyDescent="0.3">
      <c r="A2405" s="5" t="s">
        <v>76</v>
      </c>
      <c r="B2405" s="5" t="s">
        <v>77</v>
      </c>
      <c r="C2405" s="6">
        <v>2023</v>
      </c>
      <c r="D2405" s="7">
        <v>73038</v>
      </c>
    </row>
    <row r="2406" spans="1:4" x14ac:dyDescent="0.3">
      <c r="A2406" s="2" t="s">
        <v>76</v>
      </c>
      <c r="B2406" s="2" t="s">
        <v>77</v>
      </c>
      <c r="C2406" s="3">
        <v>2024</v>
      </c>
      <c r="D2406" s="4">
        <v>74457</v>
      </c>
    </row>
    <row r="2407" spans="1:4" x14ac:dyDescent="0.3">
      <c r="A2407" s="5" t="s">
        <v>78</v>
      </c>
      <c r="B2407" s="5" t="s">
        <v>79</v>
      </c>
      <c r="C2407" s="6">
        <v>1960</v>
      </c>
      <c r="D2407" s="7">
        <v>1702346</v>
      </c>
    </row>
    <row r="2408" spans="1:4" x14ac:dyDescent="0.3">
      <c r="A2408" s="2" t="s">
        <v>78</v>
      </c>
      <c r="B2408" s="2" t="s">
        <v>79</v>
      </c>
      <c r="C2408" s="3">
        <v>1961</v>
      </c>
      <c r="D2408" s="4">
        <v>1734580</v>
      </c>
    </row>
    <row r="2409" spans="1:4" x14ac:dyDescent="0.3">
      <c r="A2409" s="5" t="s">
        <v>78</v>
      </c>
      <c r="B2409" s="5" t="s">
        <v>79</v>
      </c>
      <c r="C2409" s="6">
        <v>1962</v>
      </c>
      <c r="D2409" s="7">
        <v>1768115</v>
      </c>
    </row>
    <row r="2410" spans="1:4" x14ac:dyDescent="0.3">
      <c r="A2410" s="2" t="s">
        <v>78</v>
      </c>
      <c r="B2410" s="2" t="s">
        <v>79</v>
      </c>
      <c r="C2410" s="3">
        <v>1963</v>
      </c>
      <c r="D2410" s="4">
        <v>1803063</v>
      </c>
    </row>
    <row r="2411" spans="1:4" x14ac:dyDescent="0.3">
      <c r="A2411" s="5" t="s">
        <v>78</v>
      </c>
      <c r="B2411" s="5" t="s">
        <v>79</v>
      </c>
      <c r="C2411" s="6">
        <v>1964</v>
      </c>
      <c r="D2411" s="7">
        <v>1839583</v>
      </c>
    </row>
    <row r="2412" spans="1:4" x14ac:dyDescent="0.3">
      <c r="A2412" s="2" t="s">
        <v>78</v>
      </c>
      <c r="B2412" s="2" t="s">
        <v>79</v>
      </c>
      <c r="C2412" s="3">
        <v>1965</v>
      </c>
      <c r="D2412" s="4">
        <v>1877854</v>
      </c>
    </row>
    <row r="2413" spans="1:4" x14ac:dyDescent="0.3">
      <c r="A2413" s="5" t="s">
        <v>78</v>
      </c>
      <c r="B2413" s="5" t="s">
        <v>79</v>
      </c>
      <c r="C2413" s="6">
        <v>1966</v>
      </c>
      <c r="D2413" s="7">
        <v>1918082</v>
      </c>
    </row>
    <row r="2414" spans="1:4" x14ac:dyDescent="0.3">
      <c r="A2414" s="2" t="s">
        <v>78</v>
      </c>
      <c r="B2414" s="2" t="s">
        <v>79</v>
      </c>
      <c r="C2414" s="3">
        <v>1967</v>
      </c>
      <c r="D2414" s="4">
        <v>1960444</v>
      </c>
    </row>
    <row r="2415" spans="1:4" x14ac:dyDescent="0.3">
      <c r="A2415" s="5" t="s">
        <v>78</v>
      </c>
      <c r="B2415" s="5" t="s">
        <v>79</v>
      </c>
      <c r="C2415" s="6">
        <v>1968</v>
      </c>
      <c r="D2415" s="7">
        <v>2005100</v>
      </c>
    </row>
    <row r="2416" spans="1:4" x14ac:dyDescent="0.3">
      <c r="A2416" s="2" t="s">
        <v>78</v>
      </c>
      <c r="B2416" s="2" t="s">
        <v>79</v>
      </c>
      <c r="C2416" s="3">
        <v>1969</v>
      </c>
      <c r="D2416" s="4">
        <v>2051515</v>
      </c>
    </row>
    <row r="2417" spans="1:4" x14ac:dyDescent="0.3">
      <c r="A2417" s="5" t="s">
        <v>78</v>
      </c>
      <c r="B2417" s="5" t="s">
        <v>79</v>
      </c>
      <c r="C2417" s="6">
        <v>1970</v>
      </c>
      <c r="D2417" s="7">
        <v>2097505</v>
      </c>
    </row>
    <row r="2418" spans="1:4" x14ac:dyDescent="0.3">
      <c r="A2418" s="2" t="s">
        <v>78</v>
      </c>
      <c r="B2418" s="2" t="s">
        <v>79</v>
      </c>
      <c r="C2418" s="3">
        <v>1971</v>
      </c>
      <c r="D2418" s="4">
        <v>2141450</v>
      </c>
    </row>
    <row r="2419" spans="1:4" x14ac:dyDescent="0.3">
      <c r="A2419" s="5" t="s">
        <v>78</v>
      </c>
      <c r="B2419" s="5" t="s">
        <v>79</v>
      </c>
      <c r="C2419" s="6">
        <v>1972</v>
      </c>
      <c r="D2419" s="7">
        <v>2183769</v>
      </c>
    </row>
    <row r="2420" spans="1:4" x14ac:dyDescent="0.3">
      <c r="A2420" s="2" t="s">
        <v>78</v>
      </c>
      <c r="B2420" s="2" t="s">
        <v>79</v>
      </c>
      <c r="C2420" s="3">
        <v>1973</v>
      </c>
      <c r="D2420" s="4">
        <v>2226008</v>
      </c>
    </row>
    <row r="2421" spans="1:4" x14ac:dyDescent="0.3">
      <c r="A2421" s="5" t="s">
        <v>78</v>
      </c>
      <c r="B2421" s="5" t="s">
        <v>79</v>
      </c>
      <c r="C2421" s="6">
        <v>1974</v>
      </c>
      <c r="D2421" s="7">
        <v>2269338</v>
      </c>
    </row>
    <row r="2422" spans="1:4" x14ac:dyDescent="0.3">
      <c r="A2422" s="2" t="s">
        <v>78</v>
      </c>
      <c r="B2422" s="2" t="s">
        <v>79</v>
      </c>
      <c r="C2422" s="3">
        <v>1975</v>
      </c>
      <c r="D2422" s="4">
        <v>2313916</v>
      </c>
    </row>
    <row r="2423" spans="1:4" x14ac:dyDescent="0.3">
      <c r="A2423" s="5" t="s">
        <v>78</v>
      </c>
      <c r="B2423" s="5" t="s">
        <v>79</v>
      </c>
      <c r="C2423" s="6">
        <v>1976</v>
      </c>
      <c r="D2423" s="7">
        <v>2348566</v>
      </c>
    </row>
    <row r="2424" spans="1:4" x14ac:dyDescent="0.3">
      <c r="A2424" s="2" t="s">
        <v>78</v>
      </c>
      <c r="B2424" s="2" t="s">
        <v>79</v>
      </c>
      <c r="C2424" s="3">
        <v>1977</v>
      </c>
      <c r="D2424" s="4">
        <v>2372930</v>
      </c>
    </row>
    <row r="2425" spans="1:4" x14ac:dyDescent="0.3">
      <c r="A2425" s="5" t="s">
        <v>78</v>
      </c>
      <c r="B2425" s="5" t="s">
        <v>79</v>
      </c>
      <c r="C2425" s="6">
        <v>1978</v>
      </c>
      <c r="D2425" s="7">
        <v>2397961</v>
      </c>
    </row>
    <row r="2426" spans="1:4" x14ac:dyDescent="0.3">
      <c r="A2426" s="2" t="s">
        <v>78</v>
      </c>
      <c r="B2426" s="2" t="s">
        <v>79</v>
      </c>
      <c r="C2426" s="3">
        <v>1979</v>
      </c>
      <c r="D2426" s="4">
        <v>2423794</v>
      </c>
    </row>
    <row r="2427" spans="1:4" x14ac:dyDescent="0.3">
      <c r="A2427" s="5" t="s">
        <v>78</v>
      </c>
      <c r="B2427" s="5" t="s">
        <v>79</v>
      </c>
      <c r="C2427" s="6">
        <v>1980</v>
      </c>
      <c r="D2427" s="7">
        <v>2450535</v>
      </c>
    </row>
    <row r="2428" spans="1:4" x14ac:dyDescent="0.3">
      <c r="A2428" s="2" t="s">
        <v>78</v>
      </c>
      <c r="B2428" s="2" t="s">
        <v>79</v>
      </c>
      <c r="C2428" s="3">
        <v>1981</v>
      </c>
      <c r="D2428" s="4">
        <v>2478402</v>
      </c>
    </row>
    <row r="2429" spans="1:4" x14ac:dyDescent="0.3">
      <c r="A2429" s="5" t="s">
        <v>78</v>
      </c>
      <c r="B2429" s="5" t="s">
        <v>79</v>
      </c>
      <c r="C2429" s="6">
        <v>1982</v>
      </c>
      <c r="D2429" s="7">
        <v>2507375</v>
      </c>
    </row>
    <row r="2430" spans="1:4" x14ac:dyDescent="0.3">
      <c r="A2430" s="2" t="s">
        <v>78</v>
      </c>
      <c r="B2430" s="2" t="s">
        <v>79</v>
      </c>
      <c r="C2430" s="3">
        <v>1983</v>
      </c>
      <c r="D2430" s="4">
        <v>2537399</v>
      </c>
    </row>
    <row r="2431" spans="1:4" x14ac:dyDescent="0.3">
      <c r="A2431" s="5" t="s">
        <v>78</v>
      </c>
      <c r="B2431" s="5" t="s">
        <v>79</v>
      </c>
      <c r="C2431" s="6">
        <v>1984</v>
      </c>
      <c r="D2431" s="7">
        <v>2568610</v>
      </c>
    </row>
    <row r="2432" spans="1:4" x14ac:dyDescent="0.3">
      <c r="A2432" s="2" t="s">
        <v>78</v>
      </c>
      <c r="B2432" s="2" t="s">
        <v>79</v>
      </c>
      <c r="C2432" s="3">
        <v>1985</v>
      </c>
      <c r="D2432" s="4">
        <v>2600932</v>
      </c>
    </row>
    <row r="2433" spans="1:4" x14ac:dyDescent="0.3">
      <c r="A2433" s="5" t="s">
        <v>78</v>
      </c>
      <c r="B2433" s="5" t="s">
        <v>79</v>
      </c>
      <c r="C2433" s="6">
        <v>1986</v>
      </c>
      <c r="D2433" s="7">
        <v>2634258</v>
      </c>
    </row>
    <row r="2434" spans="1:4" x14ac:dyDescent="0.3">
      <c r="A2434" s="2" t="s">
        <v>78</v>
      </c>
      <c r="B2434" s="2" t="s">
        <v>79</v>
      </c>
      <c r="C2434" s="3">
        <v>1987</v>
      </c>
      <c r="D2434" s="4">
        <v>2669155</v>
      </c>
    </row>
    <row r="2435" spans="1:4" x14ac:dyDescent="0.3">
      <c r="A2435" s="5" t="s">
        <v>78</v>
      </c>
      <c r="B2435" s="5" t="s">
        <v>79</v>
      </c>
      <c r="C2435" s="6">
        <v>1988</v>
      </c>
      <c r="D2435" s="7">
        <v>2713965</v>
      </c>
    </row>
    <row r="2436" spans="1:4" x14ac:dyDescent="0.3">
      <c r="A2436" s="2" t="s">
        <v>78</v>
      </c>
      <c r="B2436" s="2" t="s">
        <v>79</v>
      </c>
      <c r="C2436" s="3">
        <v>1989</v>
      </c>
      <c r="D2436" s="4">
        <v>2783970</v>
      </c>
    </row>
    <row r="2437" spans="1:4" x14ac:dyDescent="0.3">
      <c r="A2437" s="5" t="s">
        <v>78</v>
      </c>
      <c r="B2437" s="5" t="s">
        <v>79</v>
      </c>
      <c r="C2437" s="6">
        <v>1990</v>
      </c>
      <c r="D2437" s="7">
        <v>2871910</v>
      </c>
    </row>
    <row r="2438" spans="1:4" x14ac:dyDescent="0.3">
      <c r="A2438" s="2" t="s">
        <v>78</v>
      </c>
      <c r="B2438" s="2" t="s">
        <v>79</v>
      </c>
      <c r="C2438" s="3">
        <v>1991</v>
      </c>
      <c r="D2438" s="4">
        <v>2963191</v>
      </c>
    </row>
    <row r="2439" spans="1:4" x14ac:dyDescent="0.3">
      <c r="A2439" s="5" t="s">
        <v>78</v>
      </c>
      <c r="B2439" s="5" t="s">
        <v>79</v>
      </c>
      <c r="C2439" s="6">
        <v>1992</v>
      </c>
      <c r="D2439" s="7">
        <v>3058831</v>
      </c>
    </row>
    <row r="2440" spans="1:4" x14ac:dyDescent="0.3">
      <c r="A2440" s="2" t="s">
        <v>78</v>
      </c>
      <c r="B2440" s="2" t="s">
        <v>79</v>
      </c>
      <c r="C2440" s="3">
        <v>1993</v>
      </c>
      <c r="D2440" s="4">
        <v>3157839</v>
      </c>
    </row>
    <row r="2441" spans="1:4" x14ac:dyDescent="0.3">
      <c r="A2441" s="5" t="s">
        <v>78</v>
      </c>
      <c r="B2441" s="5" t="s">
        <v>79</v>
      </c>
      <c r="C2441" s="6">
        <v>1994</v>
      </c>
      <c r="D2441" s="7">
        <v>3257954</v>
      </c>
    </row>
    <row r="2442" spans="1:4" x14ac:dyDescent="0.3">
      <c r="A2442" s="2" t="s">
        <v>78</v>
      </c>
      <c r="B2442" s="2" t="s">
        <v>79</v>
      </c>
      <c r="C2442" s="3">
        <v>1995</v>
      </c>
      <c r="D2442" s="4">
        <v>3348052</v>
      </c>
    </row>
    <row r="2443" spans="1:4" x14ac:dyDescent="0.3">
      <c r="A2443" s="5" t="s">
        <v>78</v>
      </c>
      <c r="B2443" s="5" t="s">
        <v>79</v>
      </c>
      <c r="C2443" s="6">
        <v>1996</v>
      </c>
      <c r="D2443" s="7">
        <v>3435965</v>
      </c>
    </row>
    <row r="2444" spans="1:4" x14ac:dyDescent="0.3">
      <c r="A2444" s="2" t="s">
        <v>78</v>
      </c>
      <c r="B2444" s="2" t="s">
        <v>79</v>
      </c>
      <c r="C2444" s="3">
        <v>1997</v>
      </c>
      <c r="D2444" s="4">
        <v>3531700</v>
      </c>
    </row>
    <row r="2445" spans="1:4" x14ac:dyDescent="0.3">
      <c r="A2445" s="5" t="s">
        <v>78</v>
      </c>
      <c r="B2445" s="5" t="s">
        <v>79</v>
      </c>
      <c r="C2445" s="6">
        <v>1998</v>
      </c>
      <c r="D2445" s="7">
        <v>3628827</v>
      </c>
    </row>
    <row r="2446" spans="1:4" x14ac:dyDescent="0.3">
      <c r="A2446" s="2" t="s">
        <v>78</v>
      </c>
      <c r="B2446" s="2" t="s">
        <v>79</v>
      </c>
      <c r="C2446" s="3">
        <v>1999</v>
      </c>
      <c r="D2446" s="4">
        <v>3729450</v>
      </c>
    </row>
    <row r="2447" spans="1:4" x14ac:dyDescent="0.3">
      <c r="A2447" s="5" t="s">
        <v>78</v>
      </c>
      <c r="B2447" s="5" t="s">
        <v>79</v>
      </c>
      <c r="C2447" s="6">
        <v>2000</v>
      </c>
      <c r="D2447" s="7">
        <v>3833416</v>
      </c>
    </row>
    <row r="2448" spans="1:4" x14ac:dyDescent="0.3">
      <c r="A2448" s="2" t="s">
        <v>78</v>
      </c>
      <c r="B2448" s="2" t="s">
        <v>79</v>
      </c>
      <c r="C2448" s="3">
        <v>2001</v>
      </c>
      <c r="D2448" s="4">
        <v>3919487</v>
      </c>
    </row>
    <row r="2449" spans="1:4" x14ac:dyDescent="0.3">
      <c r="A2449" s="5" t="s">
        <v>78</v>
      </c>
      <c r="B2449" s="5" t="s">
        <v>79</v>
      </c>
      <c r="C2449" s="6">
        <v>2002</v>
      </c>
      <c r="D2449" s="7">
        <v>4006077</v>
      </c>
    </row>
    <row r="2450" spans="1:4" x14ac:dyDescent="0.3">
      <c r="A2450" s="2" t="s">
        <v>78</v>
      </c>
      <c r="B2450" s="2" t="s">
        <v>79</v>
      </c>
      <c r="C2450" s="3">
        <v>2003</v>
      </c>
      <c r="D2450" s="4">
        <v>4103086</v>
      </c>
    </row>
    <row r="2451" spans="1:4" x14ac:dyDescent="0.3">
      <c r="A2451" s="5" t="s">
        <v>78</v>
      </c>
      <c r="B2451" s="5" t="s">
        <v>79</v>
      </c>
      <c r="C2451" s="6">
        <v>2004</v>
      </c>
      <c r="D2451" s="7">
        <v>4192826</v>
      </c>
    </row>
    <row r="2452" spans="1:4" x14ac:dyDescent="0.3">
      <c r="A2452" s="2" t="s">
        <v>78</v>
      </c>
      <c r="B2452" s="2" t="s">
        <v>79</v>
      </c>
      <c r="C2452" s="3">
        <v>2005</v>
      </c>
      <c r="D2452" s="4">
        <v>4288810</v>
      </c>
    </row>
    <row r="2453" spans="1:4" x14ac:dyDescent="0.3">
      <c r="A2453" s="5" t="s">
        <v>78</v>
      </c>
      <c r="B2453" s="5" t="s">
        <v>79</v>
      </c>
      <c r="C2453" s="6">
        <v>2006</v>
      </c>
      <c r="D2453" s="7">
        <v>4377579</v>
      </c>
    </row>
    <row r="2454" spans="1:4" x14ac:dyDescent="0.3">
      <c r="A2454" s="2" t="s">
        <v>78</v>
      </c>
      <c r="B2454" s="2" t="s">
        <v>79</v>
      </c>
      <c r="C2454" s="3">
        <v>2007</v>
      </c>
      <c r="D2454" s="4">
        <v>4462770</v>
      </c>
    </row>
    <row r="2455" spans="1:4" x14ac:dyDescent="0.3">
      <c r="A2455" s="5" t="s">
        <v>78</v>
      </c>
      <c r="B2455" s="5" t="s">
        <v>79</v>
      </c>
      <c r="C2455" s="6">
        <v>2008</v>
      </c>
      <c r="D2455" s="7">
        <v>4558984</v>
      </c>
    </row>
    <row r="2456" spans="1:4" x14ac:dyDescent="0.3">
      <c r="A2456" s="2" t="s">
        <v>78</v>
      </c>
      <c r="B2456" s="2" t="s">
        <v>79</v>
      </c>
      <c r="C2456" s="3">
        <v>2009</v>
      </c>
      <c r="D2456" s="4">
        <v>4529047</v>
      </c>
    </row>
    <row r="2457" spans="1:4" x14ac:dyDescent="0.3">
      <c r="A2457" s="5" t="s">
        <v>78</v>
      </c>
      <c r="B2457" s="5" t="s">
        <v>79</v>
      </c>
      <c r="C2457" s="6">
        <v>2010</v>
      </c>
      <c r="D2457" s="7">
        <v>4492995</v>
      </c>
    </row>
    <row r="2458" spans="1:4" x14ac:dyDescent="0.3">
      <c r="A2458" s="2" t="s">
        <v>78</v>
      </c>
      <c r="B2458" s="2" t="s">
        <v>79</v>
      </c>
      <c r="C2458" s="3">
        <v>2011</v>
      </c>
      <c r="D2458" s="4">
        <v>4565021</v>
      </c>
    </row>
    <row r="2459" spans="1:4" x14ac:dyDescent="0.3">
      <c r="A2459" s="5" t="s">
        <v>78</v>
      </c>
      <c r="B2459" s="5" t="s">
        <v>79</v>
      </c>
      <c r="C2459" s="6">
        <v>2012</v>
      </c>
      <c r="D2459" s="7">
        <v>4610848</v>
      </c>
    </row>
    <row r="2460" spans="1:4" x14ac:dyDescent="0.3">
      <c r="A2460" s="2" t="s">
        <v>78</v>
      </c>
      <c r="B2460" s="2" t="s">
        <v>79</v>
      </c>
      <c r="C2460" s="3">
        <v>2013</v>
      </c>
      <c r="D2460" s="4">
        <v>4642419</v>
      </c>
    </row>
    <row r="2461" spans="1:4" x14ac:dyDescent="0.3">
      <c r="A2461" s="5" t="s">
        <v>78</v>
      </c>
      <c r="B2461" s="5" t="s">
        <v>79</v>
      </c>
      <c r="C2461" s="6">
        <v>2014</v>
      </c>
      <c r="D2461" s="7">
        <v>4623182</v>
      </c>
    </row>
    <row r="2462" spans="1:4" x14ac:dyDescent="0.3">
      <c r="A2462" s="2" t="s">
        <v>78</v>
      </c>
      <c r="B2462" s="2" t="s">
        <v>79</v>
      </c>
      <c r="C2462" s="3">
        <v>2015</v>
      </c>
      <c r="D2462" s="4">
        <v>4629320</v>
      </c>
    </row>
    <row r="2463" spans="1:4" x14ac:dyDescent="0.3">
      <c r="A2463" s="5" t="s">
        <v>78</v>
      </c>
      <c r="B2463" s="5" t="s">
        <v>79</v>
      </c>
      <c r="C2463" s="6">
        <v>2016</v>
      </c>
      <c r="D2463" s="7">
        <v>4713663</v>
      </c>
    </row>
    <row r="2464" spans="1:4" x14ac:dyDescent="0.3">
      <c r="A2464" s="2" t="s">
        <v>78</v>
      </c>
      <c r="B2464" s="2" t="s">
        <v>79</v>
      </c>
      <c r="C2464" s="3">
        <v>2017</v>
      </c>
      <c r="D2464" s="4">
        <v>4793511</v>
      </c>
    </row>
    <row r="2465" spans="1:4" x14ac:dyDescent="0.3">
      <c r="A2465" s="5" t="s">
        <v>78</v>
      </c>
      <c r="B2465" s="5" t="s">
        <v>79</v>
      </c>
      <c r="C2465" s="6">
        <v>2018</v>
      </c>
      <c r="D2465" s="7">
        <v>4878657</v>
      </c>
    </row>
    <row r="2466" spans="1:4" x14ac:dyDescent="0.3">
      <c r="A2466" s="2" t="s">
        <v>78</v>
      </c>
      <c r="B2466" s="2" t="s">
        <v>79</v>
      </c>
      <c r="C2466" s="3">
        <v>2019</v>
      </c>
      <c r="D2466" s="4">
        <v>4944703</v>
      </c>
    </row>
    <row r="2467" spans="1:4" x14ac:dyDescent="0.3">
      <c r="A2467" s="5" t="s">
        <v>78</v>
      </c>
      <c r="B2467" s="5" t="s">
        <v>79</v>
      </c>
      <c r="C2467" s="6">
        <v>2020</v>
      </c>
      <c r="D2467" s="7">
        <v>5026628</v>
      </c>
    </row>
    <row r="2468" spans="1:4" x14ac:dyDescent="0.3">
      <c r="A2468" s="2" t="s">
        <v>78</v>
      </c>
      <c r="B2468" s="2" t="s">
        <v>79</v>
      </c>
      <c r="C2468" s="3">
        <v>2021</v>
      </c>
      <c r="D2468" s="4">
        <v>5112100</v>
      </c>
    </row>
    <row r="2469" spans="1:4" x14ac:dyDescent="0.3">
      <c r="A2469" s="5" t="s">
        <v>78</v>
      </c>
      <c r="B2469" s="5" t="s">
        <v>79</v>
      </c>
      <c r="C2469" s="6">
        <v>2022</v>
      </c>
      <c r="D2469" s="7">
        <v>5098039</v>
      </c>
    </row>
    <row r="2470" spans="1:4" x14ac:dyDescent="0.3">
      <c r="A2470" s="2" t="s">
        <v>78</v>
      </c>
      <c r="B2470" s="2" t="s">
        <v>79</v>
      </c>
      <c r="C2470" s="3">
        <v>2023</v>
      </c>
      <c r="D2470" s="4">
        <v>5152421</v>
      </c>
    </row>
    <row r="2471" spans="1:4" x14ac:dyDescent="0.3">
      <c r="A2471" s="5" t="s">
        <v>78</v>
      </c>
      <c r="B2471" s="5" t="s">
        <v>79</v>
      </c>
      <c r="C2471" s="6">
        <v>2024</v>
      </c>
      <c r="D2471" s="7">
        <v>5330690</v>
      </c>
    </row>
    <row r="2472" spans="1:4" x14ac:dyDescent="0.3">
      <c r="A2472" s="2" t="s">
        <v>80</v>
      </c>
      <c r="B2472" s="2" t="s">
        <v>81</v>
      </c>
      <c r="C2472" s="3">
        <v>1960</v>
      </c>
      <c r="D2472" s="4">
        <v>3049838</v>
      </c>
    </row>
    <row r="2473" spans="1:4" x14ac:dyDescent="0.3">
      <c r="A2473" s="5" t="s">
        <v>80</v>
      </c>
      <c r="B2473" s="5" t="s">
        <v>81</v>
      </c>
      <c r="C2473" s="6">
        <v>1961</v>
      </c>
      <c r="D2473" s="7">
        <v>3111947</v>
      </c>
    </row>
    <row r="2474" spans="1:4" x14ac:dyDescent="0.3">
      <c r="A2474" s="2" t="s">
        <v>80</v>
      </c>
      <c r="B2474" s="2" t="s">
        <v>81</v>
      </c>
      <c r="C2474" s="3">
        <v>1962</v>
      </c>
      <c r="D2474" s="4">
        <v>3175598</v>
      </c>
    </row>
    <row r="2475" spans="1:4" x14ac:dyDescent="0.3">
      <c r="A2475" s="5" t="s">
        <v>80</v>
      </c>
      <c r="B2475" s="5" t="s">
        <v>81</v>
      </c>
      <c r="C2475" s="6">
        <v>1963</v>
      </c>
      <c r="D2475" s="7">
        <v>3240905</v>
      </c>
    </row>
    <row r="2476" spans="1:4" x14ac:dyDescent="0.3">
      <c r="A2476" s="2" t="s">
        <v>80</v>
      </c>
      <c r="B2476" s="2" t="s">
        <v>81</v>
      </c>
      <c r="C2476" s="3">
        <v>1964</v>
      </c>
      <c r="D2476" s="4">
        <v>3307479</v>
      </c>
    </row>
    <row r="2477" spans="1:4" x14ac:dyDescent="0.3">
      <c r="A2477" s="5" t="s">
        <v>80</v>
      </c>
      <c r="B2477" s="5" t="s">
        <v>81</v>
      </c>
      <c r="C2477" s="6">
        <v>1965</v>
      </c>
      <c r="D2477" s="7">
        <v>3374220</v>
      </c>
    </row>
    <row r="2478" spans="1:4" x14ac:dyDescent="0.3">
      <c r="A2478" s="2" t="s">
        <v>80</v>
      </c>
      <c r="B2478" s="2" t="s">
        <v>81</v>
      </c>
      <c r="C2478" s="3">
        <v>1966</v>
      </c>
      <c r="D2478" s="4">
        <v>3440903</v>
      </c>
    </row>
    <row r="2479" spans="1:4" x14ac:dyDescent="0.3">
      <c r="A2479" s="5" t="s">
        <v>80</v>
      </c>
      <c r="B2479" s="5" t="s">
        <v>81</v>
      </c>
      <c r="C2479" s="6">
        <v>1967</v>
      </c>
      <c r="D2479" s="7">
        <v>3508512</v>
      </c>
    </row>
    <row r="2480" spans="1:4" x14ac:dyDescent="0.3">
      <c r="A2480" s="2" t="s">
        <v>80</v>
      </c>
      <c r="B2480" s="2" t="s">
        <v>81</v>
      </c>
      <c r="C2480" s="3">
        <v>1968</v>
      </c>
      <c r="D2480" s="4">
        <v>3578231</v>
      </c>
    </row>
    <row r="2481" spans="1:4" x14ac:dyDescent="0.3">
      <c r="A2481" s="5" t="s">
        <v>80</v>
      </c>
      <c r="B2481" s="5" t="s">
        <v>81</v>
      </c>
      <c r="C2481" s="6">
        <v>1969</v>
      </c>
      <c r="D2481" s="7">
        <v>3651113</v>
      </c>
    </row>
    <row r="2482" spans="1:4" x14ac:dyDescent="0.3">
      <c r="A2482" s="2" t="s">
        <v>80</v>
      </c>
      <c r="B2482" s="2" t="s">
        <v>81</v>
      </c>
      <c r="C2482" s="3">
        <v>1970</v>
      </c>
      <c r="D2482" s="4">
        <v>3727828</v>
      </c>
    </row>
    <row r="2483" spans="1:4" x14ac:dyDescent="0.3">
      <c r="A2483" s="5" t="s">
        <v>80</v>
      </c>
      <c r="B2483" s="5" t="s">
        <v>81</v>
      </c>
      <c r="C2483" s="6">
        <v>1971</v>
      </c>
      <c r="D2483" s="7">
        <v>3807316</v>
      </c>
    </row>
    <row r="2484" spans="1:4" x14ac:dyDescent="0.3">
      <c r="A2484" s="2" t="s">
        <v>80</v>
      </c>
      <c r="B2484" s="2" t="s">
        <v>81</v>
      </c>
      <c r="C2484" s="3">
        <v>1972</v>
      </c>
      <c r="D2484" s="4">
        <v>3893252</v>
      </c>
    </row>
    <row r="2485" spans="1:4" x14ac:dyDescent="0.3">
      <c r="A2485" s="5" t="s">
        <v>80</v>
      </c>
      <c r="B2485" s="5" t="s">
        <v>81</v>
      </c>
      <c r="C2485" s="6">
        <v>1973</v>
      </c>
      <c r="D2485" s="7">
        <v>3985909</v>
      </c>
    </row>
    <row r="2486" spans="1:4" x14ac:dyDescent="0.3">
      <c r="A2486" s="2" t="s">
        <v>80</v>
      </c>
      <c r="B2486" s="2" t="s">
        <v>81</v>
      </c>
      <c r="C2486" s="3">
        <v>1974</v>
      </c>
      <c r="D2486" s="4">
        <v>4078356</v>
      </c>
    </row>
    <row r="2487" spans="1:4" x14ac:dyDescent="0.3">
      <c r="A2487" s="5" t="s">
        <v>80</v>
      </c>
      <c r="B2487" s="5" t="s">
        <v>81</v>
      </c>
      <c r="C2487" s="6">
        <v>1975</v>
      </c>
      <c r="D2487" s="7">
        <v>4167234</v>
      </c>
    </row>
    <row r="2488" spans="1:4" x14ac:dyDescent="0.3">
      <c r="A2488" s="2" t="s">
        <v>80</v>
      </c>
      <c r="B2488" s="2" t="s">
        <v>81</v>
      </c>
      <c r="C2488" s="3">
        <v>1976</v>
      </c>
      <c r="D2488" s="4">
        <v>4251297</v>
      </c>
    </row>
    <row r="2489" spans="1:4" x14ac:dyDescent="0.3">
      <c r="A2489" s="5" t="s">
        <v>80</v>
      </c>
      <c r="B2489" s="5" t="s">
        <v>81</v>
      </c>
      <c r="C2489" s="6">
        <v>1977</v>
      </c>
      <c r="D2489" s="7">
        <v>4331667</v>
      </c>
    </row>
    <row r="2490" spans="1:4" x14ac:dyDescent="0.3">
      <c r="A2490" s="2" t="s">
        <v>80</v>
      </c>
      <c r="B2490" s="2" t="s">
        <v>81</v>
      </c>
      <c r="C2490" s="3">
        <v>1978</v>
      </c>
      <c r="D2490" s="4">
        <v>4411366</v>
      </c>
    </row>
    <row r="2491" spans="1:4" x14ac:dyDescent="0.3">
      <c r="A2491" s="5" t="s">
        <v>80</v>
      </c>
      <c r="B2491" s="5" t="s">
        <v>81</v>
      </c>
      <c r="C2491" s="6">
        <v>1979</v>
      </c>
      <c r="D2491" s="7">
        <v>4505384</v>
      </c>
    </row>
    <row r="2492" spans="1:4" x14ac:dyDescent="0.3">
      <c r="A2492" s="2" t="s">
        <v>80</v>
      </c>
      <c r="B2492" s="2" t="s">
        <v>81</v>
      </c>
      <c r="C2492" s="3">
        <v>1980</v>
      </c>
      <c r="D2492" s="4">
        <v>4515453</v>
      </c>
    </row>
    <row r="2493" spans="1:4" x14ac:dyDescent="0.3">
      <c r="A2493" s="5" t="s">
        <v>80</v>
      </c>
      <c r="B2493" s="5" t="s">
        <v>81</v>
      </c>
      <c r="C2493" s="6">
        <v>1981</v>
      </c>
      <c r="D2493" s="7">
        <v>4520959</v>
      </c>
    </row>
    <row r="2494" spans="1:4" x14ac:dyDescent="0.3">
      <c r="A2494" s="2" t="s">
        <v>80</v>
      </c>
      <c r="B2494" s="2" t="s">
        <v>81</v>
      </c>
      <c r="C2494" s="3">
        <v>1982</v>
      </c>
      <c r="D2494" s="4">
        <v>4738483</v>
      </c>
    </row>
    <row r="2495" spans="1:4" x14ac:dyDescent="0.3">
      <c r="A2495" s="5" t="s">
        <v>80</v>
      </c>
      <c r="B2495" s="5" t="s">
        <v>81</v>
      </c>
      <c r="C2495" s="6">
        <v>1983</v>
      </c>
      <c r="D2495" s="7">
        <v>4979130</v>
      </c>
    </row>
    <row r="2496" spans="1:4" x14ac:dyDescent="0.3">
      <c r="A2496" s="2" t="s">
        <v>80</v>
      </c>
      <c r="B2496" s="2" t="s">
        <v>81</v>
      </c>
      <c r="C2496" s="3">
        <v>1984</v>
      </c>
      <c r="D2496" s="4">
        <v>5045145</v>
      </c>
    </row>
    <row r="2497" spans="1:4" x14ac:dyDescent="0.3">
      <c r="A2497" s="5" t="s">
        <v>80</v>
      </c>
      <c r="B2497" s="5" t="s">
        <v>81</v>
      </c>
      <c r="C2497" s="6">
        <v>1985</v>
      </c>
      <c r="D2497" s="7">
        <v>5096269</v>
      </c>
    </row>
    <row r="2498" spans="1:4" x14ac:dyDescent="0.3">
      <c r="A2498" s="2" t="s">
        <v>80</v>
      </c>
      <c r="B2498" s="2" t="s">
        <v>81</v>
      </c>
      <c r="C2498" s="3">
        <v>1986</v>
      </c>
      <c r="D2498" s="4">
        <v>5251069</v>
      </c>
    </row>
    <row r="2499" spans="1:4" x14ac:dyDescent="0.3">
      <c r="A2499" s="5" t="s">
        <v>80</v>
      </c>
      <c r="B2499" s="5" t="s">
        <v>81</v>
      </c>
      <c r="C2499" s="6">
        <v>1987</v>
      </c>
      <c r="D2499" s="7">
        <v>5438309</v>
      </c>
    </row>
    <row r="2500" spans="1:4" x14ac:dyDescent="0.3">
      <c r="A2500" s="2" t="s">
        <v>80</v>
      </c>
      <c r="B2500" s="2" t="s">
        <v>81</v>
      </c>
      <c r="C2500" s="3">
        <v>1988</v>
      </c>
      <c r="D2500" s="4">
        <v>5625602</v>
      </c>
    </row>
    <row r="2501" spans="1:4" x14ac:dyDescent="0.3">
      <c r="A2501" s="5" t="s">
        <v>80</v>
      </c>
      <c r="B2501" s="5" t="s">
        <v>81</v>
      </c>
      <c r="C2501" s="6">
        <v>1989</v>
      </c>
      <c r="D2501" s="7">
        <v>5819586</v>
      </c>
    </row>
    <row r="2502" spans="1:4" x14ac:dyDescent="0.3">
      <c r="A2502" s="2" t="s">
        <v>80</v>
      </c>
      <c r="B2502" s="2" t="s">
        <v>81</v>
      </c>
      <c r="C2502" s="3">
        <v>1990</v>
      </c>
      <c r="D2502" s="4">
        <v>5982833</v>
      </c>
    </row>
    <row r="2503" spans="1:4" x14ac:dyDescent="0.3">
      <c r="A2503" s="5" t="s">
        <v>80</v>
      </c>
      <c r="B2503" s="5" t="s">
        <v>81</v>
      </c>
      <c r="C2503" s="6">
        <v>1991</v>
      </c>
      <c r="D2503" s="7">
        <v>6205676</v>
      </c>
    </row>
    <row r="2504" spans="1:4" x14ac:dyDescent="0.3">
      <c r="A2504" s="2" t="s">
        <v>80</v>
      </c>
      <c r="B2504" s="2" t="s">
        <v>81</v>
      </c>
      <c r="C2504" s="3">
        <v>1992</v>
      </c>
      <c r="D2504" s="4">
        <v>6474656</v>
      </c>
    </row>
    <row r="2505" spans="1:4" x14ac:dyDescent="0.3">
      <c r="A2505" s="5" t="s">
        <v>80</v>
      </c>
      <c r="B2505" s="5" t="s">
        <v>81</v>
      </c>
      <c r="C2505" s="6">
        <v>1993</v>
      </c>
      <c r="D2505" s="7">
        <v>6629146</v>
      </c>
    </row>
    <row r="2506" spans="1:4" x14ac:dyDescent="0.3">
      <c r="A2506" s="2" t="s">
        <v>80</v>
      </c>
      <c r="B2506" s="2" t="s">
        <v>81</v>
      </c>
      <c r="C2506" s="3">
        <v>1994</v>
      </c>
      <c r="D2506" s="4">
        <v>6783450</v>
      </c>
    </row>
    <row r="2507" spans="1:4" x14ac:dyDescent="0.3">
      <c r="A2507" s="5" t="s">
        <v>80</v>
      </c>
      <c r="B2507" s="5" t="s">
        <v>81</v>
      </c>
      <c r="C2507" s="6">
        <v>1995</v>
      </c>
      <c r="D2507" s="7">
        <v>7089064</v>
      </c>
    </row>
    <row r="2508" spans="1:4" x14ac:dyDescent="0.3">
      <c r="A2508" s="2" t="s">
        <v>80</v>
      </c>
      <c r="B2508" s="2" t="s">
        <v>81</v>
      </c>
      <c r="C2508" s="3">
        <v>1996</v>
      </c>
      <c r="D2508" s="4">
        <v>7410108</v>
      </c>
    </row>
    <row r="2509" spans="1:4" x14ac:dyDescent="0.3">
      <c r="A2509" s="5" t="s">
        <v>80</v>
      </c>
      <c r="B2509" s="5" t="s">
        <v>81</v>
      </c>
      <c r="C2509" s="6">
        <v>1997</v>
      </c>
      <c r="D2509" s="7">
        <v>7670366</v>
      </c>
    </row>
    <row r="2510" spans="1:4" x14ac:dyDescent="0.3">
      <c r="A2510" s="2" t="s">
        <v>80</v>
      </c>
      <c r="B2510" s="2" t="s">
        <v>81</v>
      </c>
      <c r="C2510" s="3">
        <v>1998</v>
      </c>
      <c r="D2510" s="4">
        <v>7938840</v>
      </c>
    </row>
    <row r="2511" spans="1:4" x14ac:dyDescent="0.3">
      <c r="A2511" s="5" t="s">
        <v>80</v>
      </c>
      <c r="B2511" s="5" t="s">
        <v>81</v>
      </c>
      <c r="C2511" s="6">
        <v>1999</v>
      </c>
      <c r="D2511" s="7">
        <v>8222705</v>
      </c>
    </row>
    <row r="2512" spans="1:4" x14ac:dyDescent="0.3">
      <c r="A2512" s="2" t="s">
        <v>80</v>
      </c>
      <c r="B2512" s="2" t="s">
        <v>81</v>
      </c>
      <c r="C2512" s="3">
        <v>2000</v>
      </c>
      <c r="D2512" s="4">
        <v>8512093</v>
      </c>
    </row>
    <row r="2513" spans="1:4" x14ac:dyDescent="0.3">
      <c r="A2513" s="5" t="s">
        <v>80</v>
      </c>
      <c r="B2513" s="5" t="s">
        <v>81</v>
      </c>
      <c r="C2513" s="6">
        <v>2001</v>
      </c>
      <c r="D2513" s="7">
        <v>8804124</v>
      </c>
    </row>
    <row r="2514" spans="1:4" x14ac:dyDescent="0.3">
      <c r="A2514" s="2" t="s">
        <v>80</v>
      </c>
      <c r="B2514" s="2" t="s">
        <v>81</v>
      </c>
      <c r="C2514" s="3">
        <v>2002</v>
      </c>
      <c r="D2514" s="4">
        <v>9116192</v>
      </c>
    </row>
    <row r="2515" spans="1:4" x14ac:dyDescent="0.3">
      <c r="A2515" s="5" t="s">
        <v>80</v>
      </c>
      <c r="B2515" s="5" t="s">
        <v>81</v>
      </c>
      <c r="C2515" s="6">
        <v>2003</v>
      </c>
      <c r="D2515" s="7">
        <v>9487833</v>
      </c>
    </row>
    <row r="2516" spans="1:4" x14ac:dyDescent="0.3">
      <c r="A2516" s="2" t="s">
        <v>80</v>
      </c>
      <c r="B2516" s="2" t="s">
        <v>81</v>
      </c>
      <c r="C2516" s="3">
        <v>2004</v>
      </c>
      <c r="D2516" s="4">
        <v>9920036</v>
      </c>
    </row>
    <row r="2517" spans="1:4" x14ac:dyDescent="0.3">
      <c r="A2517" s="5" t="s">
        <v>80</v>
      </c>
      <c r="B2517" s="5" t="s">
        <v>81</v>
      </c>
      <c r="C2517" s="6">
        <v>2005</v>
      </c>
      <c r="D2517" s="7">
        <v>10328092</v>
      </c>
    </row>
    <row r="2518" spans="1:4" x14ac:dyDescent="0.3">
      <c r="A2518" s="2" t="s">
        <v>80</v>
      </c>
      <c r="B2518" s="2" t="s">
        <v>81</v>
      </c>
      <c r="C2518" s="3">
        <v>2006</v>
      </c>
      <c r="D2518" s="4">
        <v>10706424</v>
      </c>
    </row>
    <row r="2519" spans="1:4" x14ac:dyDescent="0.3">
      <c r="A2519" s="5" t="s">
        <v>80</v>
      </c>
      <c r="B2519" s="5" t="s">
        <v>81</v>
      </c>
      <c r="C2519" s="6">
        <v>2007</v>
      </c>
      <c r="D2519" s="7">
        <v>11081660</v>
      </c>
    </row>
    <row r="2520" spans="1:4" x14ac:dyDescent="0.3">
      <c r="A2520" s="2" t="s">
        <v>80</v>
      </c>
      <c r="B2520" s="2" t="s">
        <v>81</v>
      </c>
      <c r="C2520" s="3">
        <v>2008</v>
      </c>
      <c r="D2520" s="4">
        <v>11476296</v>
      </c>
    </row>
    <row r="2521" spans="1:4" x14ac:dyDescent="0.3">
      <c r="A2521" s="5" t="s">
        <v>80</v>
      </c>
      <c r="B2521" s="5" t="s">
        <v>81</v>
      </c>
      <c r="C2521" s="6">
        <v>2009</v>
      </c>
      <c r="D2521" s="7">
        <v>11893754</v>
      </c>
    </row>
    <row r="2522" spans="1:4" x14ac:dyDescent="0.3">
      <c r="A2522" s="2" t="s">
        <v>80</v>
      </c>
      <c r="B2522" s="2" t="s">
        <v>81</v>
      </c>
      <c r="C2522" s="3">
        <v>2010</v>
      </c>
      <c r="D2522" s="4">
        <v>12312575</v>
      </c>
    </row>
    <row r="2523" spans="1:4" x14ac:dyDescent="0.3">
      <c r="A2523" s="5" t="s">
        <v>80</v>
      </c>
      <c r="B2523" s="5" t="s">
        <v>81</v>
      </c>
      <c r="C2523" s="6">
        <v>2011</v>
      </c>
      <c r="D2523" s="7">
        <v>12754997</v>
      </c>
    </row>
    <row r="2524" spans="1:4" x14ac:dyDescent="0.3">
      <c r="A2524" s="2" t="s">
        <v>80</v>
      </c>
      <c r="B2524" s="2" t="s">
        <v>81</v>
      </c>
      <c r="C2524" s="3">
        <v>2012</v>
      </c>
      <c r="D2524" s="4">
        <v>13210998</v>
      </c>
    </row>
    <row r="2525" spans="1:4" x14ac:dyDescent="0.3">
      <c r="A2525" s="5" t="s">
        <v>80</v>
      </c>
      <c r="B2525" s="5" t="s">
        <v>81</v>
      </c>
      <c r="C2525" s="6">
        <v>2013</v>
      </c>
      <c r="D2525" s="7">
        <v>13691079</v>
      </c>
    </row>
    <row r="2526" spans="1:4" x14ac:dyDescent="0.3">
      <c r="A2526" s="2" t="s">
        <v>80</v>
      </c>
      <c r="B2526" s="2" t="s">
        <v>81</v>
      </c>
      <c r="C2526" s="3">
        <v>2014</v>
      </c>
      <c r="D2526" s="4">
        <v>14188678</v>
      </c>
    </row>
    <row r="2527" spans="1:4" x14ac:dyDescent="0.3">
      <c r="A2527" s="5" t="s">
        <v>80</v>
      </c>
      <c r="B2527" s="5" t="s">
        <v>81</v>
      </c>
      <c r="C2527" s="6">
        <v>2015</v>
      </c>
      <c r="D2527" s="7">
        <v>14647621</v>
      </c>
    </row>
    <row r="2528" spans="1:4" x14ac:dyDescent="0.3">
      <c r="A2528" s="2" t="s">
        <v>80</v>
      </c>
      <c r="B2528" s="2" t="s">
        <v>81</v>
      </c>
      <c r="C2528" s="3">
        <v>2016</v>
      </c>
      <c r="D2528" s="4">
        <v>15114655</v>
      </c>
    </row>
    <row r="2529" spans="1:4" x14ac:dyDescent="0.3">
      <c r="A2529" s="5" t="s">
        <v>80</v>
      </c>
      <c r="B2529" s="5" t="s">
        <v>81</v>
      </c>
      <c r="C2529" s="6">
        <v>2017</v>
      </c>
      <c r="D2529" s="7">
        <v>15622759</v>
      </c>
    </row>
    <row r="2530" spans="1:4" x14ac:dyDescent="0.3">
      <c r="A2530" s="2" t="s">
        <v>80</v>
      </c>
      <c r="B2530" s="2" t="s">
        <v>81</v>
      </c>
      <c r="C2530" s="3">
        <v>2018</v>
      </c>
      <c r="D2530" s="4">
        <v>16156531</v>
      </c>
    </row>
    <row r="2531" spans="1:4" x14ac:dyDescent="0.3">
      <c r="A2531" s="5" t="s">
        <v>80</v>
      </c>
      <c r="B2531" s="5" t="s">
        <v>81</v>
      </c>
      <c r="C2531" s="6">
        <v>2019</v>
      </c>
      <c r="D2531" s="7">
        <v>16685223</v>
      </c>
    </row>
    <row r="2532" spans="1:4" x14ac:dyDescent="0.3">
      <c r="A2532" s="2" t="s">
        <v>80</v>
      </c>
      <c r="B2532" s="2" t="s">
        <v>81</v>
      </c>
      <c r="C2532" s="3">
        <v>2020</v>
      </c>
      <c r="D2532" s="4">
        <v>17224679</v>
      </c>
    </row>
    <row r="2533" spans="1:4" x14ac:dyDescent="0.3">
      <c r="A2533" s="5" t="s">
        <v>80</v>
      </c>
      <c r="B2533" s="5" t="s">
        <v>81</v>
      </c>
      <c r="C2533" s="6">
        <v>2021</v>
      </c>
      <c r="D2533" s="7">
        <v>17828273</v>
      </c>
    </row>
    <row r="2534" spans="1:4" x14ac:dyDescent="0.3">
      <c r="A2534" s="2" t="s">
        <v>80</v>
      </c>
      <c r="B2534" s="2" t="s">
        <v>81</v>
      </c>
      <c r="C2534" s="3">
        <v>2022</v>
      </c>
      <c r="D2534" s="4">
        <v>18455316</v>
      </c>
    </row>
    <row r="2535" spans="1:4" x14ac:dyDescent="0.3">
      <c r="A2535" s="5" t="s">
        <v>80</v>
      </c>
      <c r="B2535" s="5" t="s">
        <v>81</v>
      </c>
      <c r="C2535" s="6">
        <v>2023</v>
      </c>
      <c r="D2535" s="7">
        <v>19319064</v>
      </c>
    </row>
    <row r="2536" spans="1:4" x14ac:dyDescent="0.3">
      <c r="A2536" s="2" t="s">
        <v>80</v>
      </c>
      <c r="B2536" s="2" t="s">
        <v>81</v>
      </c>
      <c r="C2536" s="3">
        <v>2024</v>
      </c>
      <c r="D2536" s="4">
        <v>20299123</v>
      </c>
    </row>
    <row r="2537" spans="1:4" x14ac:dyDescent="0.3">
      <c r="A2537" s="5" t="s">
        <v>82</v>
      </c>
      <c r="B2537" s="5" t="s">
        <v>83</v>
      </c>
      <c r="C2537" s="6">
        <v>1960</v>
      </c>
      <c r="D2537" s="7">
        <v>110808</v>
      </c>
    </row>
    <row r="2538" spans="1:4" x14ac:dyDescent="0.3">
      <c r="A2538" s="2" t="s">
        <v>82</v>
      </c>
      <c r="B2538" s="2" t="s">
        <v>83</v>
      </c>
      <c r="C2538" s="3">
        <v>1961</v>
      </c>
      <c r="D2538" s="4">
        <v>111782</v>
      </c>
    </row>
    <row r="2539" spans="1:4" x14ac:dyDescent="0.3">
      <c r="A2539" s="5" t="s">
        <v>82</v>
      </c>
      <c r="B2539" s="5" t="s">
        <v>83</v>
      </c>
      <c r="C2539" s="6">
        <v>1962</v>
      </c>
      <c r="D2539" s="7">
        <v>112953</v>
      </c>
    </row>
    <row r="2540" spans="1:4" x14ac:dyDescent="0.3">
      <c r="A2540" s="2" t="s">
        <v>82</v>
      </c>
      <c r="B2540" s="2" t="s">
        <v>83</v>
      </c>
      <c r="C2540" s="3">
        <v>1963</v>
      </c>
      <c r="D2540" s="4">
        <v>114234</v>
      </c>
    </row>
    <row r="2541" spans="1:4" x14ac:dyDescent="0.3">
      <c r="A2541" s="5" t="s">
        <v>82</v>
      </c>
      <c r="B2541" s="5" t="s">
        <v>83</v>
      </c>
      <c r="C2541" s="6">
        <v>1964</v>
      </c>
      <c r="D2541" s="7">
        <v>115561</v>
      </c>
    </row>
    <row r="2542" spans="1:4" x14ac:dyDescent="0.3">
      <c r="A2542" s="2" t="s">
        <v>82</v>
      </c>
      <c r="B2542" s="2" t="s">
        <v>83</v>
      </c>
      <c r="C2542" s="3">
        <v>1965</v>
      </c>
      <c r="D2542" s="4">
        <v>116879</v>
      </c>
    </row>
    <row r="2543" spans="1:4" x14ac:dyDescent="0.3">
      <c r="A2543" s="5" t="s">
        <v>82</v>
      </c>
      <c r="B2543" s="5" t="s">
        <v>83</v>
      </c>
      <c r="C2543" s="6">
        <v>1966</v>
      </c>
      <c r="D2543" s="7">
        <v>118186</v>
      </c>
    </row>
    <row r="2544" spans="1:4" x14ac:dyDescent="0.3">
      <c r="A2544" s="2" t="s">
        <v>82</v>
      </c>
      <c r="B2544" s="2" t="s">
        <v>83</v>
      </c>
      <c r="C2544" s="3">
        <v>1967</v>
      </c>
      <c r="D2544" s="4">
        <v>119505</v>
      </c>
    </row>
    <row r="2545" spans="1:4" x14ac:dyDescent="0.3">
      <c r="A2545" s="5" t="s">
        <v>82</v>
      </c>
      <c r="B2545" s="5" t="s">
        <v>83</v>
      </c>
      <c r="C2545" s="6">
        <v>1968</v>
      </c>
      <c r="D2545" s="7">
        <v>120793</v>
      </c>
    </row>
    <row r="2546" spans="1:4" x14ac:dyDescent="0.3">
      <c r="A2546" s="2" t="s">
        <v>82</v>
      </c>
      <c r="B2546" s="2" t="s">
        <v>83</v>
      </c>
      <c r="C2546" s="3">
        <v>1969</v>
      </c>
      <c r="D2546" s="4">
        <v>122039</v>
      </c>
    </row>
    <row r="2547" spans="1:4" x14ac:dyDescent="0.3">
      <c r="A2547" s="5" t="s">
        <v>82</v>
      </c>
      <c r="B2547" s="5" t="s">
        <v>83</v>
      </c>
      <c r="C2547" s="6">
        <v>1970</v>
      </c>
      <c r="D2547" s="7">
        <v>123288</v>
      </c>
    </row>
    <row r="2548" spans="1:4" x14ac:dyDescent="0.3">
      <c r="A2548" s="2" t="s">
        <v>82</v>
      </c>
      <c r="B2548" s="2" t="s">
        <v>83</v>
      </c>
      <c r="C2548" s="3">
        <v>1971</v>
      </c>
      <c r="D2548" s="4">
        <v>124555</v>
      </c>
    </row>
    <row r="2549" spans="1:4" x14ac:dyDescent="0.3">
      <c r="A2549" s="5" t="s">
        <v>82</v>
      </c>
      <c r="B2549" s="5" t="s">
        <v>83</v>
      </c>
      <c r="C2549" s="6">
        <v>1972</v>
      </c>
      <c r="D2549" s="7">
        <v>125764</v>
      </c>
    </row>
    <row r="2550" spans="1:4" x14ac:dyDescent="0.3">
      <c r="A2550" s="2" t="s">
        <v>82</v>
      </c>
      <c r="B2550" s="2" t="s">
        <v>83</v>
      </c>
      <c r="C2550" s="3">
        <v>1973</v>
      </c>
      <c r="D2550" s="4">
        <v>126873</v>
      </c>
    </row>
    <row r="2551" spans="1:4" x14ac:dyDescent="0.3">
      <c r="A2551" s="5" t="s">
        <v>82</v>
      </c>
      <c r="B2551" s="5" t="s">
        <v>83</v>
      </c>
      <c r="C2551" s="6">
        <v>1974</v>
      </c>
      <c r="D2551" s="7">
        <v>127893</v>
      </c>
    </row>
    <row r="2552" spans="1:4" x14ac:dyDescent="0.3">
      <c r="A2552" s="2" t="s">
        <v>82</v>
      </c>
      <c r="B2552" s="2" t="s">
        <v>83</v>
      </c>
      <c r="C2552" s="3">
        <v>1975</v>
      </c>
      <c r="D2552" s="4">
        <v>128781</v>
      </c>
    </row>
    <row r="2553" spans="1:4" x14ac:dyDescent="0.3">
      <c r="A2553" s="5" t="s">
        <v>82</v>
      </c>
      <c r="B2553" s="5" t="s">
        <v>83</v>
      </c>
      <c r="C2553" s="6">
        <v>1976</v>
      </c>
      <c r="D2553" s="7">
        <v>129391</v>
      </c>
    </row>
    <row r="2554" spans="1:4" x14ac:dyDescent="0.3">
      <c r="A2554" s="2" t="s">
        <v>82</v>
      </c>
      <c r="B2554" s="2" t="s">
        <v>83</v>
      </c>
      <c r="C2554" s="3">
        <v>1977</v>
      </c>
      <c r="D2554" s="4">
        <v>129726</v>
      </c>
    </row>
    <row r="2555" spans="1:4" x14ac:dyDescent="0.3">
      <c r="A2555" s="5" t="s">
        <v>82</v>
      </c>
      <c r="B2555" s="5" t="s">
        <v>83</v>
      </c>
      <c r="C2555" s="6">
        <v>1978</v>
      </c>
      <c r="D2555" s="7">
        <v>129981</v>
      </c>
    </row>
    <row r="2556" spans="1:4" x14ac:dyDescent="0.3">
      <c r="A2556" s="2" t="s">
        <v>82</v>
      </c>
      <c r="B2556" s="2" t="s">
        <v>83</v>
      </c>
      <c r="C2556" s="3">
        <v>1979</v>
      </c>
      <c r="D2556" s="4">
        <v>130220</v>
      </c>
    </row>
    <row r="2557" spans="1:4" x14ac:dyDescent="0.3">
      <c r="A2557" s="5" t="s">
        <v>82</v>
      </c>
      <c r="B2557" s="5" t="s">
        <v>83</v>
      </c>
      <c r="C2557" s="6">
        <v>1980</v>
      </c>
      <c r="D2557" s="7">
        <v>130462</v>
      </c>
    </row>
    <row r="2558" spans="1:4" x14ac:dyDescent="0.3">
      <c r="A2558" s="2" t="s">
        <v>82</v>
      </c>
      <c r="B2558" s="2" t="s">
        <v>83</v>
      </c>
      <c r="C2558" s="3">
        <v>1981</v>
      </c>
      <c r="D2558" s="4">
        <v>131078</v>
      </c>
    </row>
    <row r="2559" spans="1:4" x14ac:dyDescent="0.3">
      <c r="A2559" s="5" t="s">
        <v>82</v>
      </c>
      <c r="B2559" s="5" t="s">
        <v>83</v>
      </c>
      <c r="C2559" s="6">
        <v>1982</v>
      </c>
      <c r="D2559" s="7">
        <v>132172</v>
      </c>
    </row>
    <row r="2560" spans="1:4" x14ac:dyDescent="0.3">
      <c r="A2560" s="2" t="s">
        <v>82</v>
      </c>
      <c r="B2560" s="2" t="s">
        <v>83</v>
      </c>
      <c r="C2560" s="3">
        <v>1983</v>
      </c>
      <c r="D2560" s="4">
        <v>133413</v>
      </c>
    </row>
    <row r="2561" spans="1:4" x14ac:dyDescent="0.3">
      <c r="A2561" s="5" t="s">
        <v>82</v>
      </c>
      <c r="B2561" s="5" t="s">
        <v>83</v>
      </c>
      <c r="C2561" s="6">
        <v>1984</v>
      </c>
      <c r="D2561" s="7">
        <v>134727</v>
      </c>
    </row>
    <row r="2562" spans="1:4" x14ac:dyDescent="0.3">
      <c r="A2562" s="2" t="s">
        <v>82</v>
      </c>
      <c r="B2562" s="2" t="s">
        <v>83</v>
      </c>
      <c r="C2562" s="3">
        <v>1985</v>
      </c>
      <c r="D2562" s="4">
        <v>136075</v>
      </c>
    </row>
    <row r="2563" spans="1:4" x14ac:dyDescent="0.3">
      <c r="A2563" s="5" t="s">
        <v>82</v>
      </c>
      <c r="B2563" s="5" t="s">
        <v>83</v>
      </c>
      <c r="C2563" s="6">
        <v>1986</v>
      </c>
      <c r="D2563" s="7">
        <v>137413</v>
      </c>
    </row>
    <row r="2564" spans="1:4" x14ac:dyDescent="0.3">
      <c r="A2564" s="2" t="s">
        <v>82</v>
      </c>
      <c r="B2564" s="2" t="s">
        <v>83</v>
      </c>
      <c r="C2564" s="3">
        <v>1987</v>
      </c>
      <c r="D2564" s="4">
        <v>138743</v>
      </c>
    </row>
    <row r="2565" spans="1:4" x14ac:dyDescent="0.3">
      <c r="A2565" s="5" t="s">
        <v>82</v>
      </c>
      <c r="B2565" s="5" t="s">
        <v>83</v>
      </c>
      <c r="C2565" s="6">
        <v>1988</v>
      </c>
      <c r="D2565" s="7">
        <v>140089</v>
      </c>
    </row>
    <row r="2566" spans="1:4" x14ac:dyDescent="0.3">
      <c r="A2566" s="2" t="s">
        <v>82</v>
      </c>
      <c r="B2566" s="2" t="s">
        <v>83</v>
      </c>
      <c r="C2566" s="3">
        <v>1989</v>
      </c>
      <c r="D2566" s="4">
        <v>141501</v>
      </c>
    </row>
    <row r="2567" spans="1:4" x14ac:dyDescent="0.3">
      <c r="A2567" s="5" t="s">
        <v>82</v>
      </c>
      <c r="B2567" s="5" t="s">
        <v>83</v>
      </c>
      <c r="C2567" s="6">
        <v>1990</v>
      </c>
      <c r="D2567" s="7">
        <v>143087</v>
      </c>
    </row>
    <row r="2568" spans="1:4" x14ac:dyDescent="0.3">
      <c r="A2568" s="2" t="s">
        <v>82</v>
      </c>
      <c r="B2568" s="2" t="s">
        <v>83</v>
      </c>
      <c r="C2568" s="3">
        <v>1991</v>
      </c>
      <c r="D2568" s="4">
        <v>144269</v>
      </c>
    </row>
    <row r="2569" spans="1:4" x14ac:dyDescent="0.3">
      <c r="A2569" s="5" t="s">
        <v>82</v>
      </c>
      <c r="B2569" s="5" t="s">
        <v>83</v>
      </c>
      <c r="C2569" s="6">
        <v>1992</v>
      </c>
      <c r="D2569" s="7">
        <v>144733</v>
      </c>
    </row>
    <row r="2570" spans="1:4" x14ac:dyDescent="0.3">
      <c r="A2570" s="2" t="s">
        <v>82</v>
      </c>
      <c r="B2570" s="2" t="s">
        <v>83</v>
      </c>
      <c r="C2570" s="3">
        <v>1993</v>
      </c>
      <c r="D2570" s="4">
        <v>144984</v>
      </c>
    </row>
    <row r="2571" spans="1:4" x14ac:dyDescent="0.3">
      <c r="A2571" s="5" t="s">
        <v>82</v>
      </c>
      <c r="B2571" s="5" t="s">
        <v>83</v>
      </c>
      <c r="C2571" s="6">
        <v>1994</v>
      </c>
      <c r="D2571" s="7">
        <v>145163</v>
      </c>
    </row>
    <row r="2572" spans="1:4" x14ac:dyDescent="0.3">
      <c r="A2572" s="2" t="s">
        <v>82</v>
      </c>
      <c r="B2572" s="2" t="s">
        <v>83</v>
      </c>
      <c r="C2572" s="3">
        <v>1995</v>
      </c>
      <c r="D2572" s="4">
        <v>145247</v>
      </c>
    </row>
    <row r="2573" spans="1:4" x14ac:dyDescent="0.3">
      <c r="A2573" s="5" t="s">
        <v>82</v>
      </c>
      <c r="B2573" s="5" t="s">
        <v>83</v>
      </c>
      <c r="C2573" s="6">
        <v>1996</v>
      </c>
      <c r="D2573" s="7">
        <v>145565</v>
      </c>
    </row>
    <row r="2574" spans="1:4" x14ac:dyDescent="0.3">
      <c r="A2574" s="2" t="s">
        <v>82</v>
      </c>
      <c r="B2574" s="2" t="s">
        <v>83</v>
      </c>
      <c r="C2574" s="3">
        <v>1997</v>
      </c>
      <c r="D2574" s="4">
        <v>146214</v>
      </c>
    </row>
    <row r="2575" spans="1:4" x14ac:dyDescent="0.3">
      <c r="A2575" s="5" t="s">
        <v>82</v>
      </c>
      <c r="B2575" s="5" t="s">
        <v>83</v>
      </c>
      <c r="C2575" s="6">
        <v>1998</v>
      </c>
      <c r="D2575" s="7">
        <v>146906</v>
      </c>
    </row>
    <row r="2576" spans="1:4" x14ac:dyDescent="0.3">
      <c r="A2576" s="2" t="s">
        <v>82</v>
      </c>
      <c r="B2576" s="2" t="s">
        <v>83</v>
      </c>
      <c r="C2576" s="3">
        <v>1999</v>
      </c>
      <c r="D2576" s="4">
        <v>147554</v>
      </c>
    </row>
    <row r="2577" spans="1:4" x14ac:dyDescent="0.3">
      <c r="A2577" s="5" t="s">
        <v>82</v>
      </c>
      <c r="B2577" s="5" t="s">
        <v>83</v>
      </c>
      <c r="C2577" s="6">
        <v>2000</v>
      </c>
      <c r="D2577" s="7">
        <v>148110</v>
      </c>
    </row>
    <row r="2578" spans="1:4" x14ac:dyDescent="0.3">
      <c r="A2578" s="2" t="s">
        <v>82</v>
      </c>
      <c r="B2578" s="2" t="s">
        <v>83</v>
      </c>
      <c r="C2578" s="3">
        <v>2001</v>
      </c>
      <c r="D2578" s="4">
        <v>148850</v>
      </c>
    </row>
    <row r="2579" spans="1:4" x14ac:dyDescent="0.3">
      <c r="A2579" s="5" t="s">
        <v>82</v>
      </c>
      <c r="B2579" s="5" t="s">
        <v>83</v>
      </c>
      <c r="C2579" s="6">
        <v>2002</v>
      </c>
      <c r="D2579" s="7">
        <v>149881</v>
      </c>
    </row>
    <row r="2580" spans="1:4" x14ac:dyDescent="0.3">
      <c r="A2580" s="2" t="s">
        <v>82</v>
      </c>
      <c r="B2580" s="2" t="s">
        <v>83</v>
      </c>
      <c r="C2580" s="3">
        <v>2003</v>
      </c>
      <c r="D2580" s="4">
        <v>150960</v>
      </c>
    </row>
    <row r="2581" spans="1:4" x14ac:dyDescent="0.3">
      <c r="A2581" s="5" t="s">
        <v>82</v>
      </c>
      <c r="B2581" s="5" t="s">
        <v>83</v>
      </c>
      <c r="C2581" s="6">
        <v>2004</v>
      </c>
      <c r="D2581" s="7">
        <v>152039</v>
      </c>
    </row>
    <row r="2582" spans="1:4" x14ac:dyDescent="0.3">
      <c r="A2582" s="2" t="s">
        <v>82</v>
      </c>
      <c r="B2582" s="2" t="s">
        <v>83</v>
      </c>
      <c r="C2582" s="3">
        <v>2005</v>
      </c>
      <c r="D2582" s="4">
        <v>153126</v>
      </c>
    </row>
    <row r="2583" spans="1:4" x14ac:dyDescent="0.3">
      <c r="A2583" s="5" t="s">
        <v>82</v>
      </c>
      <c r="B2583" s="5" t="s">
        <v>83</v>
      </c>
      <c r="C2583" s="6">
        <v>2006</v>
      </c>
      <c r="D2583" s="7">
        <v>154214</v>
      </c>
    </row>
    <row r="2584" spans="1:4" x14ac:dyDescent="0.3">
      <c r="A2584" s="2" t="s">
        <v>82</v>
      </c>
      <c r="B2584" s="2" t="s">
        <v>83</v>
      </c>
      <c r="C2584" s="3">
        <v>2007</v>
      </c>
      <c r="D2584" s="4">
        <v>155309</v>
      </c>
    </row>
    <row r="2585" spans="1:4" x14ac:dyDescent="0.3">
      <c r="A2585" s="5" t="s">
        <v>82</v>
      </c>
      <c r="B2585" s="5" t="s">
        <v>83</v>
      </c>
      <c r="C2585" s="6">
        <v>2008</v>
      </c>
      <c r="D2585" s="7">
        <v>156408</v>
      </c>
    </row>
    <row r="2586" spans="1:4" x14ac:dyDescent="0.3">
      <c r="A2586" s="2" t="s">
        <v>82</v>
      </c>
      <c r="B2586" s="2" t="s">
        <v>83</v>
      </c>
      <c r="C2586" s="3">
        <v>2009</v>
      </c>
      <c r="D2586" s="4">
        <v>157511</v>
      </c>
    </row>
    <row r="2587" spans="1:4" x14ac:dyDescent="0.3">
      <c r="A2587" s="5" t="s">
        <v>82</v>
      </c>
      <c r="B2587" s="5" t="s">
        <v>83</v>
      </c>
      <c r="C2587" s="6">
        <v>2010</v>
      </c>
      <c r="D2587" s="7">
        <v>158621</v>
      </c>
    </row>
    <row r="2588" spans="1:4" x14ac:dyDescent="0.3">
      <c r="A2588" s="2" t="s">
        <v>82</v>
      </c>
      <c r="B2588" s="2" t="s">
        <v>83</v>
      </c>
      <c r="C2588" s="3">
        <v>2011</v>
      </c>
      <c r="D2588" s="4">
        <v>159706</v>
      </c>
    </row>
    <row r="2589" spans="1:4" x14ac:dyDescent="0.3">
      <c r="A2589" s="5" t="s">
        <v>82</v>
      </c>
      <c r="B2589" s="5" t="s">
        <v>83</v>
      </c>
      <c r="C2589" s="6">
        <v>2012</v>
      </c>
      <c r="D2589" s="7">
        <v>160767</v>
      </c>
    </row>
    <row r="2590" spans="1:4" x14ac:dyDescent="0.3">
      <c r="A2590" s="2" t="s">
        <v>82</v>
      </c>
      <c r="B2590" s="2" t="s">
        <v>83</v>
      </c>
      <c r="C2590" s="3">
        <v>2013</v>
      </c>
      <c r="D2590" s="4">
        <v>161777</v>
      </c>
    </row>
    <row r="2591" spans="1:4" x14ac:dyDescent="0.3">
      <c r="A2591" s="5" t="s">
        <v>82</v>
      </c>
      <c r="B2591" s="5" t="s">
        <v>83</v>
      </c>
      <c r="C2591" s="6">
        <v>2014</v>
      </c>
      <c r="D2591" s="7">
        <v>162726</v>
      </c>
    </row>
    <row r="2592" spans="1:4" x14ac:dyDescent="0.3">
      <c r="A2592" s="2" t="s">
        <v>82</v>
      </c>
      <c r="B2592" s="2" t="s">
        <v>83</v>
      </c>
      <c r="C2592" s="3">
        <v>2015</v>
      </c>
      <c r="D2592" s="4">
        <v>163454</v>
      </c>
    </row>
    <row r="2593" spans="1:4" x14ac:dyDescent="0.3">
      <c r="A2593" s="5" t="s">
        <v>82</v>
      </c>
      <c r="B2593" s="5" t="s">
        <v>83</v>
      </c>
      <c r="C2593" s="6">
        <v>2016</v>
      </c>
      <c r="D2593" s="7">
        <v>163883</v>
      </c>
    </row>
    <row r="2594" spans="1:4" x14ac:dyDescent="0.3">
      <c r="A2594" s="2" t="s">
        <v>82</v>
      </c>
      <c r="B2594" s="2" t="s">
        <v>83</v>
      </c>
      <c r="C2594" s="3">
        <v>2017</v>
      </c>
      <c r="D2594" s="4">
        <v>164319</v>
      </c>
    </row>
    <row r="2595" spans="1:4" x14ac:dyDescent="0.3">
      <c r="A2595" s="5" t="s">
        <v>82</v>
      </c>
      <c r="B2595" s="5" t="s">
        <v>83</v>
      </c>
      <c r="C2595" s="6">
        <v>2018</v>
      </c>
      <c r="D2595" s="7">
        <v>164949</v>
      </c>
    </row>
    <row r="2596" spans="1:4" x14ac:dyDescent="0.3">
      <c r="A2596" s="2" t="s">
        <v>82</v>
      </c>
      <c r="B2596" s="2" t="s">
        <v>83</v>
      </c>
      <c r="C2596" s="3">
        <v>2019</v>
      </c>
      <c r="D2596" s="4">
        <v>165639</v>
      </c>
    </row>
    <row r="2597" spans="1:4" x14ac:dyDescent="0.3">
      <c r="A2597" s="5" t="s">
        <v>82</v>
      </c>
      <c r="B2597" s="5" t="s">
        <v>83</v>
      </c>
      <c r="C2597" s="6">
        <v>2020</v>
      </c>
      <c r="D2597" s="7">
        <v>166235</v>
      </c>
    </row>
    <row r="2598" spans="1:4" x14ac:dyDescent="0.3">
      <c r="A2598" s="2" t="s">
        <v>82</v>
      </c>
      <c r="B2598" s="2" t="s">
        <v>83</v>
      </c>
      <c r="C2598" s="3">
        <v>2021</v>
      </c>
      <c r="D2598" s="4">
        <v>166741</v>
      </c>
    </row>
    <row r="2599" spans="1:4" x14ac:dyDescent="0.3">
      <c r="A2599" s="5" t="s">
        <v>82</v>
      </c>
      <c r="B2599" s="5" t="s">
        <v>83</v>
      </c>
      <c r="C2599" s="6">
        <v>2022</v>
      </c>
      <c r="D2599" s="7">
        <v>167215</v>
      </c>
    </row>
    <row r="2600" spans="1:4" x14ac:dyDescent="0.3">
      <c r="A2600" s="2" t="s">
        <v>82</v>
      </c>
      <c r="B2600" s="2" t="s">
        <v>83</v>
      </c>
      <c r="C2600" s="3">
        <v>2023</v>
      </c>
      <c r="D2600" s="4">
        <v>167691</v>
      </c>
    </row>
    <row r="2601" spans="1:4" x14ac:dyDescent="0.3">
      <c r="A2601" s="5" t="s">
        <v>82</v>
      </c>
      <c r="B2601" s="5" t="s">
        <v>83</v>
      </c>
      <c r="C2601" s="6">
        <v>2024</v>
      </c>
      <c r="D2601" s="7">
        <v>168126</v>
      </c>
    </row>
    <row r="2602" spans="1:4" x14ac:dyDescent="0.3">
      <c r="A2602" s="2" t="s">
        <v>84</v>
      </c>
      <c r="B2602" s="2" t="s">
        <v>85</v>
      </c>
      <c r="C2602" s="3">
        <v>1960</v>
      </c>
      <c r="D2602" s="4">
        <v>8153350</v>
      </c>
    </row>
    <row r="2603" spans="1:4" x14ac:dyDescent="0.3">
      <c r="A2603" s="5" t="s">
        <v>84</v>
      </c>
      <c r="B2603" s="5" t="s">
        <v>85</v>
      </c>
      <c r="C2603" s="6">
        <v>1961</v>
      </c>
      <c r="D2603" s="7">
        <v>8324802</v>
      </c>
    </row>
    <row r="2604" spans="1:4" x14ac:dyDescent="0.3">
      <c r="A2604" s="2" t="s">
        <v>84</v>
      </c>
      <c r="B2604" s="2" t="s">
        <v>85</v>
      </c>
      <c r="C2604" s="3">
        <v>1962</v>
      </c>
      <c r="D2604" s="4">
        <v>8497059</v>
      </c>
    </row>
    <row r="2605" spans="1:4" x14ac:dyDescent="0.3">
      <c r="A2605" s="5" t="s">
        <v>84</v>
      </c>
      <c r="B2605" s="5" t="s">
        <v>85</v>
      </c>
      <c r="C2605" s="6">
        <v>1963</v>
      </c>
      <c r="D2605" s="7">
        <v>8670144</v>
      </c>
    </row>
    <row r="2606" spans="1:4" x14ac:dyDescent="0.3">
      <c r="A2606" s="2" t="s">
        <v>84</v>
      </c>
      <c r="B2606" s="2" t="s">
        <v>85</v>
      </c>
      <c r="C2606" s="3">
        <v>1964</v>
      </c>
      <c r="D2606" s="4">
        <v>8842525</v>
      </c>
    </row>
    <row r="2607" spans="1:4" x14ac:dyDescent="0.3">
      <c r="A2607" s="5" t="s">
        <v>84</v>
      </c>
      <c r="B2607" s="5" t="s">
        <v>85</v>
      </c>
      <c r="C2607" s="6">
        <v>1965</v>
      </c>
      <c r="D2607" s="7">
        <v>9012938</v>
      </c>
    </row>
    <row r="2608" spans="1:4" x14ac:dyDescent="0.3">
      <c r="A2608" s="2" t="s">
        <v>84</v>
      </c>
      <c r="B2608" s="2" t="s">
        <v>85</v>
      </c>
      <c r="C2608" s="3">
        <v>1966</v>
      </c>
      <c r="D2608" s="4">
        <v>9181722</v>
      </c>
    </row>
    <row r="2609" spans="1:4" x14ac:dyDescent="0.3">
      <c r="A2609" s="5" t="s">
        <v>84</v>
      </c>
      <c r="B2609" s="5" t="s">
        <v>85</v>
      </c>
      <c r="C2609" s="6">
        <v>1967</v>
      </c>
      <c r="D2609" s="7">
        <v>9348939</v>
      </c>
    </row>
    <row r="2610" spans="1:4" x14ac:dyDescent="0.3">
      <c r="A2610" s="2" t="s">
        <v>84</v>
      </c>
      <c r="B2610" s="2" t="s">
        <v>85</v>
      </c>
      <c r="C2610" s="3">
        <v>1968</v>
      </c>
      <c r="D2610" s="4">
        <v>9514716</v>
      </c>
    </row>
    <row r="2611" spans="1:4" x14ac:dyDescent="0.3">
      <c r="A2611" s="5" t="s">
        <v>84</v>
      </c>
      <c r="B2611" s="5" t="s">
        <v>85</v>
      </c>
      <c r="C2611" s="6">
        <v>1969</v>
      </c>
      <c r="D2611" s="7">
        <v>9680282</v>
      </c>
    </row>
    <row r="2612" spans="1:4" x14ac:dyDescent="0.3">
      <c r="A2612" s="2" t="s">
        <v>84</v>
      </c>
      <c r="B2612" s="2" t="s">
        <v>85</v>
      </c>
      <c r="C2612" s="3">
        <v>1970</v>
      </c>
      <c r="D2612" s="4">
        <v>9845344</v>
      </c>
    </row>
    <row r="2613" spans="1:4" x14ac:dyDescent="0.3">
      <c r="A2613" s="5" t="s">
        <v>84</v>
      </c>
      <c r="B2613" s="5" t="s">
        <v>85</v>
      </c>
      <c r="C2613" s="6">
        <v>1971</v>
      </c>
      <c r="D2613" s="7">
        <v>10009701</v>
      </c>
    </row>
    <row r="2614" spans="1:4" x14ac:dyDescent="0.3">
      <c r="A2614" s="2" t="s">
        <v>84</v>
      </c>
      <c r="B2614" s="2" t="s">
        <v>85</v>
      </c>
      <c r="C2614" s="3">
        <v>1972</v>
      </c>
      <c r="D2614" s="4">
        <v>10174678</v>
      </c>
    </row>
    <row r="2615" spans="1:4" x14ac:dyDescent="0.3">
      <c r="A2615" s="5" t="s">
        <v>84</v>
      </c>
      <c r="B2615" s="5" t="s">
        <v>85</v>
      </c>
      <c r="C2615" s="6">
        <v>1973</v>
      </c>
      <c r="D2615" s="7">
        <v>10340362</v>
      </c>
    </row>
    <row r="2616" spans="1:4" x14ac:dyDescent="0.3">
      <c r="A2616" s="2" t="s">
        <v>84</v>
      </c>
      <c r="B2616" s="2" t="s">
        <v>85</v>
      </c>
      <c r="C2616" s="3">
        <v>1974</v>
      </c>
      <c r="D2616" s="4">
        <v>10505817</v>
      </c>
    </row>
    <row r="2617" spans="1:4" x14ac:dyDescent="0.3">
      <c r="A2617" s="5" t="s">
        <v>84</v>
      </c>
      <c r="B2617" s="5" t="s">
        <v>85</v>
      </c>
      <c r="C2617" s="6">
        <v>1975</v>
      </c>
      <c r="D2617" s="7">
        <v>10671559</v>
      </c>
    </row>
    <row r="2618" spans="1:4" x14ac:dyDescent="0.3">
      <c r="A2618" s="2" t="s">
        <v>84</v>
      </c>
      <c r="B2618" s="2" t="s">
        <v>85</v>
      </c>
      <c r="C2618" s="3">
        <v>1976</v>
      </c>
      <c r="D2618" s="4">
        <v>10838251</v>
      </c>
    </row>
    <row r="2619" spans="1:4" x14ac:dyDescent="0.3">
      <c r="A2619" s="5" t="s">
        <v>84</v>
      </c>
      <c r="B2619" s="5" t="s">
        <v>85</v>
      </c>
      <c r="C2619" s="6">
        <v>1977</v>
      </c>
      <c r="D2619" s="7">
        <v>11005519</v>
      </c>
    </row>
    <row r="2620" spans="1:4" x14ac:dyDescent="0.3">
      <c r="A2620" s="2" t="s">
        <v>84</v>
      </c>
      <c r="B2620" s="2" t="s">
        <v>85</v>
      </c>
      <c r="C2620" s="3">
        <v>1978</v>
      </c>
      <c r="D2620" s="4">
        <v>11172695</v>
      </c>
    </row>
    <row r="2621" spans="1:4" x14ac:dyDescent="0.3">
      <c r="A2621" s="5" t="s">
        <v>84</v>
      </c>
      <c r="B2621" s="5" t="s">
        <v>85</v>
      </c>
      <c r="C2621" s="6">
        <v>1979</v>
      </c>
      <c r="D2621" s="7">
        <v>11339779</v>
      </c>
    </row>
    <row r="2622" spans="1:4" x14ac:dyDescent="0.3">
      <c r="A2622" s="2" t="s">
        <v>84</v>
      </c>
      <c r="B2622" s="2" t="s">
        <v>85</v>
      </c>
      <c r="C2622" s="3">
        <v>1980</v>
      </c>
      <c r="D2622" s="4">
        <v>11508550</v>
      </c>
    </row>
    <row r="2623" spans="1:4" x14ac:dyDescent="0.3">
      <c r="A2623" s="5" t="s">
        <v>84</v>
      </c>
      <c r="B2623" s="5" t="s">
        <v>85</v>
      </c>
      <c r="C2623" s="6">
        <v>1981</v>
      </c>
      <c r="D2623" s="7">
        <v>11678717</v>
      </c>
    </row>
    <row r="2624" spans="1:4" x14ac:dyDescent="0.3">
      <c r="A2624" s="2" t="s">
        <v>84</v>
      </c>
      <c r="B2624" s="2" t="s">
        <v>85</v>
      </c>
      <c r="C2624" s="3">
        <v>1982</v>
      </c>
      <c r="D2624" s="4">
        <v>11850214</v>
      </c>
    </row>
    <row r="2625" spans="1:4" x14ac:dyDescent="0.3">
      <c r="A2625" s="5" t="s">
        <v>84</v>
      </c>
      <c r="B2625" s="5" t="s">
        <v>85</v>
      </c>
      <c r="C2625" s="6">
        <v>1983</v>
      </c>
      <c r="D2625" s="7">
        <v>12026138</v>
      </c>
    </row>
    <row r="2626" spans="1:4" x14ac:dyDescent="0.3">
      <c r="A2626" s="2" t="s">
        <v>84</v>
      </c>
      <c r="B2626" s="2" t="s">
        <v>85</v>
      </c>
      <c r="C2626" s="3">
        <v>1984</v>
      </c>
      <c r="D2626" s="4">
        <v>12207733</v>
      </c>
    </row>
    <row r="2627" spans="1:4" x14ac:dyDescent="0.3">
      <c r="A2627" s="5" t="s">
        <v>84</v>
      </c>
      <c r="B2627" s="5" t="s">
        <v>85</v>
      </c>
      <c r="C2627" s="6">
        <v>1985</v>
      </c>
      <c r="D2627" s="7">
        <v>12395274</v>
      </c>
    </row>
    <row r="2628" spans="1:4" x14ac:dyDescent="0.3">
      <c r="A2628" s="2" t="s">
        <v>84</v>
      </c>
      <c r="B2628" s="2" t="s">
        <v>85</v>
      </c>
      <c r="C2628" s="3">
        <v>1986</v>
      </c>
      <c r="D2628" s="4">
        <v>12588914</v>
      </c>
    </row>
    <row r="2629" spans="1:4" x14ac:dyDescent="0.3">
      <c r="A2629" s="5" t="s">
        <v>84</v>
      </c>
      <c r="B2629" s="5" t="s">
        <v>85</v>
      </c>
      <c r="C2629" s="6">
        <v>1987</v>
      </c>
      <c r="D2629" s="7">
        <v>12790150</v>
      </c>
    </row>
    <row r="2630" spans="1:4" x14ac:dyDescent="0.3">
      <c r="A2630" s="2" t="s">
        <v>84</v>
      </c>
      <c r="B2630" s="2" t="s">
        <v>85</v>
      </c>
      <c r="C2630" s="3">
        <v>1988</v>
      </c>
      <c r="D2630" s="4">
        <v>12999424</v>
      </c>
    </row>
    <row r="2631" spans="1:4" x14ac:dyDescent="0.3">
      <c r="A2631" s="5" t="s">
        <v>84</v>
      </c>
      <c r="B2631" s="5" t="s">
        <v>85</v>
      </c>
      <c r="C2631" s="6">
        <v>1989</v>
      </c>
      <c r="D2631" s="7">
        <v>13215005</v>
      </c>
    </row>
    <row r="2632" spans="1:4" x14ac:dyDescent="0.3">
      <c r="A2632" s="2" t="s">
        <v>84</v>
      </c>
      <c r="B2632" s="2" t="s">
        <v>85</v>
      </c>
      <c r="C2632" s="3">
        <v>1990</v>
      </c>
      <c r="D2632" s="4">
        <v>13437176</v>
      </c>
    </row>
    <row r="2633" spans="1:4" x14ac:dyDescent="0.3">
      <c r="A2633" s="5" t="s">
        <v>84</v>
      </c>
      <c r="B2633" s="5" t="s">
        <v>85</v>
      </c>
      <c r="C2633" s="6">
        <v>1991</v>
      </c>
      <c r="D2633" s="7">
        <v>13662491</v>
      </c>
    </row>
    <row r="2634" spans="1:4" x14ac:dyDescent="0.3">
      <c r="A2634" s="2" t="s">
        <v>84</v>
      </c>
      <c r="B2634" s="2" t="s">
        <v>85</v>
      </c>
      <c r="C2634" s="3">
        <v>1992</v>
      </c>
      <c r="D2634" s="4">
        <v>13884577</v>
      </c>
    </row>
    <row r="2635" spans="1:4" x14ac:dyDescent="0.3">
      <c r="A2635" s="5" t="s">
        <v>84</v>
      </c>
      <c r="B2635" s="5" t="s">
        <v>85</v>
      </c>
      <c r="C2635" s="6">
        <v>1993</v>
      </c>
      <c r="D2635" s="7">
        <v>14102276</v>
      </c>
    </row>
    <row r="2636" spans="1:4" x14ac:dyDescent="0.3">
      <c r="A2636" s="2" t="s">
        <v>84</v>
      </c>
      <c r="B2636" s="2" t="s">
        <v>85</v>
      </c>
      <c r="C2636" s="3">
        <v>1994</v>
      </c>
      <c r="D2636" s="4">
        <v>14316256</v>
      </c>
    </row>
    <row r="2637" spans="1:4" x14ac:dyDescent="0.3">
      <c r="A2637" s="5" t="s">
        <v>84</v>
      </c>
      <c r="B2637" s="5" t="s">
        <v>85</v>
      </c>
      <c r="C2637" s="6">
        <v>1995</v>
      </c>
      <c r="D2637" s="7">
        <v>14527381</v>
      </c>
    </row>
    <row r="2638" spans="1:4" x14ac:dyDescent="0.3">
      <c r="A2638" s="2" t="s">
        <v>84</v>
      </c>
      <c r="B2638" s="2" t="s">
        <v>85</v>
      </c>
      <c r="C2638" s="3">
        <v>1996</v>
      </c>
      <c r="D2638" s="4">
        <v>14734046</v>
      </c>
    </row>
    <row r="2639" spans="1:4" x14ac:dyDescent="0.3">
      <c r="A2639" s="5" t="s">
        <v>84</v>
      </c>
      <c r="B2639" s="5" t="s">
        <v>85</v>
      </c>
      <c r="C2639" s="6">
        <v>1997</v>
      </c>
      <c r="D2639" s="7">
        <v>14932434</v>
      </c>
    </row>
    <row r="2640" spans="1:4" x14ac:dyDescent="0.3">
      <c r="A2640" s="2" t="s">
        <v>84</v>
      </c>
      <c r="B2640" s="2" t="s">
        <v>85</v>
      </c>
      <c r="C2640" s="3">
        <v>1998</v>
      </c>
      <c r="D2640" s="4">
        <v>15127799</v>
      </c>
    </row>
    <row r="2641" spans="1:4" x14ac:dyDescent="0.3">
      <c r="A2641" s="5" t="s">
        <v>84</v>
      </c>
      <c r="B2641" s="5" t="s">
        <v>85</v>
      </c>
      <c r="C2641" s="6">
        <v>1999</v>
      </c>
      <c r="D2641" s="7">
        <v>15319313</v>
      </c>
    </row>
    <row r="2642" spans="1:4" x14ac:dyDescent="0.3">
      <c r="A2642" s="2" t="s">
        <v>84</v>
      </c>
      <c r="B2642" s="2" t="s">
        <v>85</v>
      </c>
      <c r="C2642" s="3">
        <v>2000</v>
      </c>
      <c r="D2642" s="4">
        <v>15503635</v>
      </c>
    </row>
    <row r="2643" spans="1:4" x14ac:dyDescent="0.3">
      <c r="A2643" s="5" t="s">
        <v>84</v>
      </c>
      <c r="B2643" s="5" t="s">
        <v>85</v>
      </c>
      <c r="C2643" s="6">
        <v>2001</v>
      </c>
      <c r="D2643" s="7">
        <v>15683849</v>
      </c>
    </row>
    <row r="2644" spans="1:4" x14ac:dyDescent="0.3">
      <c r="A2644" s="2" t="s">
        <v>84</v>
      </c>
      <c r="B2644" s="2" t="s">
        <v>85</v>
      </c>
      <c r="C2644" s="3">
        <v>2002</v>
      </c>
      <c r="D2644" s="4">
        <v>15857925</v>
      </c>
    </row>
    <row r="2645" spans="1:4" x14ac:dyDescent="0.3">
      <c r="A2645" s="5" t="s">
        <v>84</v>
      </c>
      <c r="B2645" s="5" t="s">
        <v>85</v>
      </c>
      <c r="C2645" s="6">
        <v>2003</v>
      </c>
      <c r="D2645" s="7">
        <v>16024752</v>
      </c>
    </row>
    <row r="2646" spans="1:4" x14ac:dyDescent="0.3">
      <c r="A2646" s="2" t="s">
        <v>84</v>
      </c>
      <c r="B2646" s="2" t="s">
        <v>85</v>
      </c>
      <c r="C2646" s="3">
        <v>2004</v>
      </c>
      <c r="D2646" s="4">
        <v>16187322</v>
      </c>
    </row>
    <row r="2647" spans="1:4" x14ac:dyDescent="0.3">
      <c r="A2647" s="5" t="s">
        <v>84</v>
      </c>
      <c r="B2647" s="5" t="s">
        <v>85</v>
      </c>
      <c r="C2647" s="6">
        <v>2005</v>
      </c>
      <c r="D2647" s="7">
        <v>16348778</v>
      </c>
    </row>
    <row r="2648" spans="1:4" x14ac:dyDescent="0.3">
      <c r="A2648" s="2" t="s">
        <v>84</v>
      </c>
      <c r="B2648" s="2" t="s">
        <v>85</v>
      </c>
      <c r="C2648" s="3">
        <v>2006</v>
      </c>
      <c r="D2648" s="4">
        <v>16509195</v>
      </c>
    </row>
    <row r="2649" spans="1:4" x14ac:dyDescent="0.3">
      <c r="A2649" s="5" t="s">
        <v>84</v>
      </c>
      <c r="B2649" s="5" t="s">
        <v>85</v>
      </c>
      <c r="C2649" s="6">
        <v>2007</v>
      </c>
      <c r="D2649" s="7">
        <v>16671581</v>
      </c>
    </row>
    <row r="2650" spans="1:4" x14ac:dyDescent="0.3">
      <c r="A2650" s="2" t="s">
        <v>84</v>
      </c>
      <c r="B2650" s="2" t="s">
        <v>85</v>
      </c>
      <c r="C2650" s="3">
        <v>2008</v>
      </c>
      <c r="D2650" s="4">
        <v>16838988</v>
      </c>
    </row>
    <row r="2651" spans="1:4" x14ac:dyDescent="0.3">
      <c r="A2651" s="5" t="s">
        <v>84</v>
      </c>
      <c r="B2651" s="5" t="s">
        <v>85</v>
      </c>
      <c r="C2651" s="6">
        <v>2009</v>
      </c>
      <c r="D2651" s="7">
        <v>17009731</v>
      </c>
    </row>
    <row r="2652" spans="1:4" x14ac:dyDescent="0.3">
      <c r="A2652" s="2" t="s">
        <v>84</v>
      </c>
      <c r="B2652" s="2" t="s">
        <v>85</v>
      </c>
      <c r="C2652" s="3">
        <v>2010</v>
      </c>
      <c r="D2652" s="4">
        <v>17181464</v>
      </c>
    </row>
    <row r="2653" spans="1:4" x14ac:dyDescent="0.3">
      <c r="A2653" s="5" t="s">
        <v>84</v>
      </c>
      <c r="B2653" s="5" t="s">
        <v>85</v>
      </c>
      <c r="C2653" s="6">
        <v>2011</v>
      </c>
      <c r="D2653" s="7">
        <v>17351816</v>
      </c>
    </row>
    <row r="2654" spans="1:4" x14ac:dyDescent="0.3">
      <c r="A2654" s="2" t="s">
        <v>84</v>
      </c>
      <c r="B2654" s="2" t="s">
        <v>85</v>
      </c>
      <c r="C2654" s="3">
        <v>2012</v>
      </c>
      <c r="D2654" s="4">
        <v>17519119</v>
      </c>
    </row>
    <row r="2655" spans="1:4" x14ac:dyDescent="0.3">
      <c r="A2655" s="5" t="s">
        <v>84</v>
      </c>
      <c r="B2655" s="5" t="s">
        <v>85</v>
      </c>
      <c r="C2655" s="6">
        <v>2013</v>
      </c>
      <c r="D2655" s="7">
        <v>17687006</v>
      </c>
    </row>
    <row r="2656" spans="1:4" x14ac:dyDescent="0.3">
      <c r="A2656" s="2" t="s">
        <v>84</v>
      </c>
      <c r="B2656" s="2" t="s">
        <v>85</v>
      </c>
      <c r="C2656" s="3">
        <v>2014</v>
      </c>
      <c r="D2656" s="4">
        <v>17864195</v>
      </c>
    </row>
    <row r="2657" spans="1:4" x14ac:dyDescent="0.3">
      <c r="A2657" s="5" t="s">
        <v>84</v>
      </c>
      <c r="B2657" s="5" t="s">
        <v>85</v>
      </c>
      <c r="C2657" s="6">
        <v>2015</v>
      </c>
      <c r="D2657" s="7">
        <v>18047625</v>
      </c>
    </row>
    <row r="2658" spans="1:4" x14ac:dyDescent="0.3">
      <c r="A2658" s="2" t="s">
        <v>84</v>
      </c>
      <c r="B2658" s="2" t="s">
        <v>85</v>
      </c>
      <c r="C2658" s="3">
        <v>2016</v>
      </c>
      <c r="D2658" s="4">
        <v>18267221</v>
      </c>
    </row>
    <row r="2659" spans="1:4" x14ac:dyDescent="0.3">
      <c r="A2659" s="5" t="s">
        <v>84</v>
      </c>
      <c r="B2659" s="5" t="s">
        <v>85</v>
      </c>
      <c r="C2659" s="6">
        <v>2017</v>
      </c>
      <c r="D2659" s="7">
        <v>18558868</v>
      </c>
    </row>
    <row r="2660" spans="1:4" x14ac:dyDescent="0.3">
      <c r="A2660" s="2" t="s">
        <v>84</v>
      </c>
      <c r="B2660" s="2" t="s">
        <v>85</v>
      </c>
      <c r="C2660" s="3">
        <v>2018</v>
      </c>
      <c r="D2660" s="4">
        <v>18893191</v>
      </c>
    </row>
    <row r="2661" spans="1:4" x14ac:dyDescent="0.3">
      <c r="A2661" s="5" t="s">
        <v>84</v>
      </c>
      <c r="B2661" s="5" t="s">
        <v>85</v>
      </c>
      <c r="C2661" s="6">
        <v>2019</v>
      </c>
      <c r="D2661" s="7">
        <v>19197744</v>
      </c>
    </row>
    <row r="2662" spans="1:4" x14ac:dyDescent="0.3">
      <c r="A2662" s="2" t="s">
        <v>84</v>
      </c>
      <c r="B2662" s="2" t="s">
        <v>85</v>
      </c>
      <c r="C2662" s="3">
        <v>2020</v>
      </c>
      <c r="D2662" s="4">
        <v>19370624</v>
      </c>
    </row>
    <row r="2663" spans="1:4" x14ac:dyDescent="0.3">
      <c r="A2663" s="5" t="s">
        <v>84</v>
      </c>
      <c r="B2663" s="5" t="s">
        <v>85</v>
      </c>
      <c r="C2663" s="6">
        <v>2021</v>
      </c>
      <c r="D2663" s="7">
        <v>19456334</v>
      </c>
    </row>
    <row r="2664" spans="1:4" x14ac:dyDescent="0.3">
      <c r="A2664" s="2" t="s">
        <v>84</v>
      </c>
      <c r="B2664" s="2" t="s">
        <v>85</v>
      </c>
      <c r="C2664" s="3">
        <v>2022</v>
      </c>
      <c r="D2664" s="4">
        <v>19553036</v>
      </c>
    </row>
    <row r="2665" spans="1:4" x14ac:dyDescent="0.3">
      <c r="A2665" s="5" t="s">
        <v>84</v>
      </c>
      <c r="B2665" s="5" t="s">
        <v>85</v>
      </c>
      <c r="C2665" s="6">
        <v>2023</v>
      </c>
      <c r="D2665" s="7">
        <v>19658835</v>
      </c>
    </row>
    <row r="2666" spans="1:4" x14ac:dyDescent="0.3">
      <c r="A2666" s="2" t="s">
        <v>84</v>
      </c>
      <c r="B2666" s="2" t="s">
        <v>85</v>
      </c>
      <c r="C2666" s="3">
        <v>2024</v>
      </c>
      <c r="D2666" s="4">
        <v>19764771</v>
      </c>
    </row>
    <row r="2667" spans="1:4" x14ac:dyDescent="0.3">
      <c r="A2667" s="5" t="s">
        <v>86</v>
      </c>
      <c r="B2667" s="5" t="s">
        <v>87</v>
      </c>
      <c r="C2667" s="6">
        <v>1960</v>
      </c>
      <c r="D2667" s="7">
        <v>667070000</v>
      </c>
    </row>
    <row r="2668" spans="1:4" x14ac:dyDescent="0.3">
      <c r="A2668" s="2" t="s">
        <v>86</v>
      </c>
      <c r="B2668" s="2" t="s">
        <v>87</v>
      </c>
      <c r="C2668" s="3">
        <v>1961</v>
      </c>
      <c r="D2668" s="4">
        <v>660330000</v>
      </c>
    </row>
    <row r="2669" spans="1:4" x14ac:dyDescent="0.3">
      <c r="A2669" s="5" t="s">
        <v>86</v>
      </c>
      <c r="B2669" s="5" t="s">
        <v>87</v>
      </c>
      <c r="C2669" s="6">
        <v>1962</v>
      </c>
      <c r="D2669" s="7">
        <v>665770000</v>
      </c>
    </row>
    <row r="2670" spans="1:4" x14ac:dyDescent="0.3">
      <c r="A2670" s="2" t="s">
        <v>86</v>
      </c>
      <c r="B2670" s="2" t="s">
        <v>87</v>
      </c>
      <c r="C2670" s="3">
        <v>1963</v>
      </c>
      <c r="D2670" s="4">
        <v>682335000</v>
      </c>
    </row>
    <row r="2671" spans="1:4" x14ac:dyDescent="0.3">
      <c r="A2671" s="5" t="s">
        <v>86</v>
      </c>
      <c r="B2671" s="5" t="s">
        <v>87</v>
      </c>
      <c r="C2671" s="6">
        <v>1964</v>
      </c>
      <c r="D2671" s="7">
        <v>698355000</v>
      </c>
    </row>
    <row r="2672" spans="1:4" x14ac:dyDescent="0.3">
      <c r="A2672" s="2" t="s">
        <v>86</v>
      </c>
      <c r="B2672" s="2" t="s">
        <v>87</v>
      </c>
      <c r="C2672" s="3">
        <v>1965</v>
      </c>
      <c r="D2672" s="4">
        <v>715185000</v>
      </c>
    </row>
    <row r="2673" spans="1:4" x14ac:dyDescent="0.3">
      <c r="A2673" s="5" t="s">
        <v>86</v>
      </c>
      <c r="B2673" s="5" t="s">
        <v>87</v>
      </c>
      <c r="C2673" s="6">
        <v>1966</v>
      </c>
      <c r="D2673" s="7">
        <v>735400000</v>
      </c>
    </row>
    <row r="2674" spans="1:4" x14ac:dyDescent="0.3">
      <c r="A2674" s="2" t="s">
        <v>86</v>
      </c>
      <c r="B2674" s="2" t="s">
        <v>87</v>
      </c>
      <c r="C2674" s="3">
        <v>1967</v>
      </c>
      <c r="D2674" s="4">
        <v>754550000</v>
      </c>
    </row>
    <row r="2675" spans="1:4" x14ac:dyDescent="0.3">
      <c r="A2675" s="5" t="s">
        <v>86</v>
      </c>
      <c r="B2675" s="5" t="s">
        <v>87</v>
      </c>
      <c r="C2675" s="6">
        <v>1968</v>
      </c>
      <c r="D2675" s="7">
        <v>774510000</v>
      </c>
    </row>
    <row r="2676" spans="1:4" x14ac:dyDescent="0.3">
      <c r="A2676" s="2" t="s">
        <v>86</v>
      </c>
      <c r="B2676" s="2" t="s">
        <v>87</v>
      </c>
      <c r="C2676" s="3">
        <v>1969</v>
      </c>
      <c r="D2676" s="4">
        <v>796025000</v>
      </c>
    </row>
    <row r="2677" spans="1:4" x14ac:dyDescent="0.3">
      <c r="A2677" s="5" t="s">
        <v>86</v>
      </c>
      <c r="B2677" s="5" t="s">
        <v>87</v>
      </c>
      <c r="C2677" s="6">
        <v>1970</v>
      </c>
      <c r="D2677" s="7">
        <v>818315000</v>
      </c>
    </row>
    <row r="2678" spans="1:4" x14ac:dyDescent="0.3">
      <c r="A2678" s="2" t="s">
        <v>86</v>
      </c>
      <c r="B2678" s="2" t="s">
        <v>87</v>
      </c>
      <c r="C2678" s="3">
        <v>1971</v>
      </c>
      <c r="D2678" s="4">
        <v>841105000</v>
      </c>
    </row>
    <row r="2679" spans="1:4" x14ac:dyDescent="0.3">
      <c r="A2679" s="5" t="s">
        <v>86</v>
      </c>
      <c r="B2679" s="5" t="s">
        <v>87</v>
      </c>
      <c r="C2679" s="6">
        <v>1972</v>
      </c>
      <c r="D2679" s="7">
        <v>862030000</v>
      </c>
    </row>
    <row r="2680" spans="1:4" x14ac:dyDescent="0.3">
      <c r="A2680" s="2" t="s">
        <v>86</v>
      </c>
      <c r="B2680" s="2" t="s">
        <v>87</v>
      </c>
      <c r="C2680" s="3">
        <v>1973</v>
      </c>
      <c r="D2680" s="4">
        <v>881940000</v>
      </c>
    </row>
    <row r="2681" spans="1:4" x14ac:dyDescent="0.3">
      <c r="A2681" s="5" t="s">
        <v>86</v>
      </c>
      <c r="B2681" s="5" t="s">
        <v>87</v>
      </c>
      <c r="C2681" s="6">
        <v>1974</v>
      </c>
      <c r="D2681" s="7">
        <v>900350000</v>
      </c>
    </row>
    <row r="2682" spans="1:4" x14ac:dyDescent="0.3">
      <c r="A2682" s="2" t="s">
        <v>86</v>
      </c>
      <c r="B2682" s="2" t="s">
        <v>87</v>
      </c>
      <c r="C2682" s="3">
        <v>1975</v>
      </c>
      <c r="D2682" s="4">
        <v>916395000</v>
      </c>
    </row>
    <row r="2683" spans="1:4" x14ac:dyDescent="0.3">
      <c r="A2683" s="5" t="s">
        <v>86</v>
      </c>
      <c r="B2683" s="5" t="s">
        <v>87</v>
      </c>
      <c r="C2683" s="6">
        <v>1976</v>
      </c>
      <c r="D2683" s="7">
        <v>930685000</v>
      </c>
    </row>
    <row r="2684" spans="1:4" x14ac:dyDescent="0.3">
      <c r="A2684" s="2" t="s">
        <v>86</v>
      </c>
      <c r="B2684" s="2" t="s">
        <v>87</v>
      </c>
      <c r="C2684" s="3">
        <v>1977</v>
      </c>
      <c r="D2684" s="4">
        <v>943455000</v>
      </c>
    </row>
    <row r="2685" spans="1:4" x14ac:dyDescent="0.3">
      <c r="A2685" s="5" t="s">
        <v>86</v>
      </c>
      <c r="B2685" s="5" t="s">
        <v>87</v>
      </c>
      <c r="C2685" s="6">
        <v>1978</v>
      </c>
      <c r="D2685" s="7">
        <v>956165000</v>
      </c>
    </row>
    <row r="2686" spans="1:4" x14ac:dyDescent="0.3">
      <c r="A2686" s="2" t="s">
        <v>86</v>
      </c>
      <c r="B2686" s="2" t="s">
        <v>87</v>
      </c>
      <c r="C2686" s="3">
        <v>1979</v>
      </c>
      <c r="D2686" s="4">
        <v>969005000</v>
      </c>
    </row>
    <row r="2687" spans="1:4" x14ac:dyDescent="0.3">
      <c r="A2687" s="5" t="s">
        <v>86</v>
      </c>
      <c r="B2687" s="5" t="s">
        <v>87</v>
      </c>
      <c r="C2687" s="6">
        <v>1980</v>
      </c>
      <c r="D2687" s="7">
        <v>981235000</v>
      </c>
    </row>
    <row r="2688" spans="1:4" x14ac:dyDescent="0.3">
      <c r="A2688" s="2" t="s">
        <v>86</v>
      </c>
      <c r="B2688" s="2" t="s">
        <v>87</v>
      </c>
      <c r="C2688" s="3">
        <v>1981</v>
      </c>
      <c r="D2688" s="4">
        <v>993885000</v>
      </c>
    </row>
    <row r="2689" spans="1:4" x14ac:dyDescent="0.3">
      <c r="A2689" s="5" t="s">
        <v>86</v>
      </c>
      <c r="B2689" s="5" t="s">
        <v>87</v>
      </c>
      <c r="C2689" s="6">
        <v>1982</v>
      </c>
      <c r="D2689" s="7">
        <v>1008630000</v>
      </c>
    </row>
    <row r="2690" spans="1:4" x14ac:dyDescent="0.3">
      <c r="A2690" s="2" t="s">
        <v>86</v>
      </c>
      <c r="B2690" s="2" t="s">
        <v>87</v>
      </c>
      <c r="C2690" s="3">
        <v>1983</v>
      </c>
      <c r="D2690" s="4">
        <v>1023310000</v>
      </c>
    </row>
    <row r="2691" spans="1:4" x14ac:dyDescent="0.3">
      <c r="A2691" s="5" t="s">
        <v>86</v>
      </c>
      <c r="B2691" s="5" t="s">
        <v>87</v>
      </c>
      <c r="C2691" s="6">
        <v>1984</v>
      </c>
      <c r="D2691" s="7">
        <v>1036825000</v>
      </c>
    </row>
    <row r="2692" spans="1:4" x14ac:dyDescent="0.3">
      <c r="A2692" s="2" t="s">
        <v>86</v>
      </c>
      <c r="B2692" s="2" t="s">
        <v>87</v>
      </c>
      <c r="C2692" s="3">
        <v>1985</v>
      </c>
      <c r="D2692" s="4">
        <v>1051040000</v>
      </c>
    </row>
    <row r="2693" spans="1:4" x14ac:dyDescent="0.3">
      <c r="A2693" s="5" t="s">
        <v>86</v>
      </c>
      <c r="B2693" s="5" t="s">
        <v>87</v>
      </c>
      <c r="C2693" s="6">
        <v>1986</v>
      </c>
      <c r="D2693" s="7">
        <v>1066790000</v>
      </c>
    </row>
    <row r="2694" spans="1:4" x14ac:dyDescent="0.3">
      <c r="A2694" s="2" t="s">
        <v>86</v>
      </c>
      <c r="B2694" s="2" t="s">
        <v>87</v>
      </c>
      <c r="C2694" s="3">
        <v>1987</v>
      </c>
      <c r="D2694" s="4">
        <v>1084035000</v>
      </c>
    </row>
    <row r="2695" spans="1:4" x14ac:dyDescent="0.3">
      <c r="A2695" s="5" t="s">
        <v>86</v>
      </c>
      <c r="B2695" s="5" t="s">
        <v>87</v>
      </c>
      <c r="C2695" s="6">
        <v>1988</v>
      </c>
      <c r="D2695" s="7">
        <v>1101630000</v>
      </c>
    </row>
    <row r="2696" spans="1:4" x14ac:dyDescent="0.3">
      <c r="A2696" s="2" t="s">
        <v>86</v>
      </c>
      <c r="B2696" s="2" t="s">
        <v>87</v>
      </c>
      <c r="C2696" s="3">
        <v>1989</v>
      </c>
      <c r="D2696" s="4">
        <v>1118650000</v>
      </c>
    </row>
    <row r="2697" spans="1:4" x14ac:dyDescent="0.3">
      <c r="A2697" s="5" t="s">
        <v>86</v>
      </c>
      <c r="B2697" s="5" t="s">
        <v>87</v>
      </c>
      <c r="C2697" s="6">
        <v>1990</v>
      </c>
      <c r="D2697" s="7">
        <v>1135185000</v>
      </c>
    </row>
    <row r="2698" spans="1:4" x14ac:dyDescent="0.3">
      <c r="A2698" s="2" t="s">
        <v>86</v>
      </c>
      <c r="B2698" s="2" t="s">
        <v>87</v>
      </c>
      <c r="C2698" s="3">
        <v>1991</v>
      </c>
      <c r="D2698" s="4">
        <v>1150780000</v>
      </c>
    </row>
    <row r="2699" spans="1:4" x14ac:dyDescent="0.3">
      <c r="A2699" s="5" t="s">
        <v>86</v>
      </c>
      <c r="B2699" s="5" t="s">
        <v>87</v>
      </c>
      <c r="C2699" s="6">
        <v>1992</v>
      </c>
      <c r="D2699" s="7">
        <v>1164970000</v>
      </c>
    </row>
    <row r="2700" spans="1:4" x14ac:dyDescent="0.3">
      <c r="A2700" s="2" t="s">
        <v>86</v>
      </c>
      <c r="B2700" s="2" t="s">
        <v>87</v>
      </c>
      <c r="C2700" s="3">
        <v>1993</v>
      </c>
      <c r="D2700" s="4">
        <v>1178440000</v>
      </c>
    </row>
    <row r="2701" spans="1:4" x14ac:dyDescent="0.3">
      <c r="A2701" s="5" t="s">
        <v>86</v>
      </c>
      <c r="B2701" s="5" t="s">
        <v>87</v>
      </c>
      <c r="C2701" s="6">
        <v>1994</v>
      </c>
      <c r="D2701" s="7">
        <v>1191835000</v>
      </c>
    </row>
    <row r="2702" spans="1:4" x14ac:dyDescent="0.3">
      <c r="A2702" s="2" t="s">
        <v>86</v>
      </c>
      <c r="B2702" s="2" t="s">
        <v>87</v>
      </c>
      <c r="C2702" s="3">
        <v>1995</v>
      </c>
      <c r="D2702" s="4">
        <v>1204855000</v>
      </c>
    </row>
    <row r="2703" spans="1:4" x14ac:dyDescent="0.3">
      <c r="A2703" s="5" t="s">
        <v>86</v>
      </c>
      <c r="B2703" s="5" t="s">
        <v>87</v>
      </c>
      <c r="C2703" s="6">
        <v>1996</v>
      </c>
      <c r="D2703" s="7">
        <v>1217550000</v>
      </c>
    </row>
    <row r="2704" spans="1:4" x14ac:dyDescent="0.3">
      <c r="A2704" s="2" t="s">
        <v>86</v>
      </c>
      <c r="B2704" s="2" t="s">
        <v>87</v>
      </c>
      <c r="C2704" s="3">
        <v>1997</v>
      </c>
      <c r="D2704" s="4">
        <v>1230075000</v>
      </c>
    </row>
    <row r="2705" spans="1:4" x14ac:dyDescent="0.3">
      <c r="A2705" s="5" t="s">
        <v>86</v>
      </c>
      <c r="B2705" s="5" t="s">
        <v>87</v>
      </c>
      <c r="C2705" s="6">
        <v>1998</v>
      </c>
      <c r="D2705" s="7">
        <v>1241935000</v>
      </c>
    </row>
    <row r="2706" spans="1:4" x14ac:dyDescent="0.3">
      <c r="A2706" s="2" t="s">
        <v>86</v>
      </c>
      <c r="B2706" s="2" t="s">
        <v>87</v>
      </c>
      <c r="C2706" s="3">
        <v>1999</v>
      </c>
      <c r="D2706" s="4">
        <v>1252735000</v>
      </c>
    </row>
    <row r="2707" spans="1:4" x14ac:dyDescent="0.3">
      <c r="A2707" s="5" t="s">
        <v>86</v>
      </c>
      <c r="B2707" s="5" t="s">
        <v>87</v>
      </c>
      <c r="C2707" s="6">
        <v>2000</v>
      </c>
      <c r="D2707" s="7">
        <v>1262645000</v>
      </c>
    </row>
    <row r="2708" spans="1:4" x14ac:dyDescent="0.3">
      <c r="A2708" s="2" t="s">
        <v>86</v>
      </c>
      <c r="B2708" s="2" t="s">
        <v>87</v>
      </c>
      <c r="C2708" s="3">
        <v>2001</v>
      </c>
      <c r="D2708" s="4">
        <v>1271850000</v>
      </c>
    </row>
    <row r="2709" spans="1:4" x14ac:dyDescent="0.3">
      <c r="A2709" s="5" t="s">
        <v>86</v>
      </c>
      <c r="B2709" s="5" t="s">
        <v>87</v>
      </c>
      <c r="C2709" s="6">
        <v>2002</v>
      </c>
      <c r="D2709" s="7">
        <v>1280400000</v>
      </c>
    </row>
    <row r="2710" spans="1:4" x14ac:dyDescent="0.3">
      <c r="A2710" s="2" t="s">
        <v>86</v>
      </c>
      <c r="B2710" s="2" t="s">
        <v>87</v>
      </c>
      <c r="C2710" s="3">
        <v>2003</v>
      </c>
      <c r="D2710" s="4">
        <v>1288400000</v>
      </c>
    </row>
    <row r="2711" spans="1:4" x14ac:dyDescent="0.3">
      <c r="A2711" s="5" t="s">
        <v>86</v>
      </c>
      <c r="B2711" s="5" t="s">
        <v>87</v>
      </c>
      <c r="C2711" s="6">
        <v>2004</v>
      </c>
      <c r="D2711" s="7">
        <v>1296075000</v>
      </c>
    </row>
    <row r="2712" spans="1:4" x14ac:dyDescent="0.3">
      <c r="A2712" s="2" t="s">
        <v>86</v>
      </c>
      <c r="B2712" s="2" t="s">
        <v>87</v>
      </c>
      <c r="C2712" s="3">
        <v>2005</v>
      </c>
      <c r="D2712" s="4">
        <v>1303720000</v>
      </c>
    </row>
    <row r="2713" spans="1:4" x14ac:dyDescent="0.3">
      <c r="A2713" s="5" t="s">
        <v>86</v>
      </c>
      <c r="B2713" s="5" t="s">
        <v>87</v>
      </c>
      <c r="C2713" s="6">
        <v>2006</v>
      </c>
      <c r="D2713" s="7">
        <v>1311020000</v>
      </c>
    </row>
    <row r="2714" spans="1:4" x14ac:dyDescent="0.3">
      <c r="A2714" s="2" t="s">
        <v>86</v>
      </c>
      <c r="B2714" s="2" t="s">
        <v>87</v>
      </c>
      <c r="C2714" s="3">
        <v>2007</v>
      </c>
      <c r="D2714" s="4">
        <v>1317885000</v>
      </c>
    </row>
    <row r="2715" spans="1:4" x14ac:dyDescent="0.3">
      <c r="A2715" s="5" t="s">
        <v>86</v>
      </c>
      <c r="B2715" s="5" t="s">
        <v>87</v>
      </c>
      <c r="C2715" s="6">
        <v>2008</v>
      </c>
      <c r="D2715" s="7">
        <v>1324655000</v>
      </c>
    </row>
    <row r="2716" spans="1:4" x14ac:dyDescent="0.3">
      <c r="A2716" s="2" t="s">
        <v>86</v>
      </c>
      <c r="B2716" s="2" t="s">
        <v>87</v>
      </c>
      <c r="C2716" s="3">
        <v>2009</v>
      </c>
      <c r="D2716" s="4">
        <v>1331260000</v>
      </c>
    </row>
    <row r="2717" spans="1:4" x14ac:dyDescent="0.3">
      <c r="A2717" s="5" t="s">
        <v>86</v>
      </c>
      <c r="B2717" s="5" t="s">
        <v>87</v>
      </c>
      <c r="C2717" s="6">
        <v>2010</v>
      </c>
      <c r="D2717" s="7">
        <v>1337705000</v>
      </c>
    </row>
    <row r="2718" spans="1:4" x14ac:dyDescent="0.3">
      <c r="A2718" s="2" t="s">
        <v>86</v>
      </c>
      <c r="B2718" s="2" t="s">
        <v>87</v>
      </c>
      <c r="C2718" s="3">
        <v>2011</v>
      </c>
      <c r="D2718" s="4">
        <v>1345035000</v>
      </c>
    </row>
    <row r="2719" spans="1:4" x14ac:dyDescent="0.3">
      <c r="A2719" s="5" t="s">
        <v>86</v>
      </c>
      <c r="B2719" s="5" t="s">
        <v>87</v>
      </c>
      <c r="C2719" s="6">
        <v>2012</v>
      </c>
      <c r="D2719" s="7">
        <v>1354190000</v>
      </c>
    </row>
    <row r="2720" spans="1:4" x14ac:dyDescent="0.3">
      <c r="A2720" s="2" t="s">
        <v>86</v>
      </c>
      <c r="B2720" s="2" t="s">
        <v>87</v>
      </c>
      <c r="C2720" s="3">
        <v>2013</v>
      </c>
      <c r="D2720" s="4">
        <v>1363240000</v>
      </c>
    </row>
    <row r="2721" spans="1:4" x14ac:dyDescent="0.3">
      <c r="A2721" s="5" t="s">
        <v>86</v>
      </c>
      <c r="B2721" s="5" t="s">
        <v>87</v>
      </c>
      <c r="C2721" s="6">
        <v>2014</v>
      </c>
      <c r="D2721" s="7">
        <v>1371860000</v>
      </c>
    </row>
    <row r="2722" spans="1:4" x14ac:dyDescent="0.3">
      <c r="A2722" s="2" t="s">
        <v>86</v>
      </c>
      <c r="B2722" s="2" t="s">
        <v>87</v>
      </c>
      <c r="C2722" s="3">
        <v>2015</v>
      </c>
      <c r="D2722" s="4">
        <v>1379860000</v>
      </c>
    </row>
    <row r="2723" spans="1:4" x14ac:dyDescent="0.3">
      <c r="A2723" s="5" t="s">
        <v>86</v>
      </c>
      <c r="B2723" s="5" t="s">
        <v>87</v>
      </c>
      <c r="C2723" s="6">
        <v>2016</v>
      </c>
      <c r="D2723" s="7">
        <v>1387790000</v>
      </c>
    </row>
    <row r="2724" spans="1:4" x14ac:dyDescent="0.3">
      <c r="A2724" s="2" t="s">
        <v>86</v>
      </c>
      <c r="B2724" s="2" t="s">
        <v>87</v>
      </c>
      <c r="C2724" s="3">
        <v>2017</v>
      </c>
      <c r="D2724" s="4">
        <v>1396215000</v>
      </c>
    </row>
    <row r="2725" spans="1:4" x14ac:dyDescent="0.3">
      <c r="A2725" s="5" t="s">
        <v>86</v>
      </c>
      <c r="B2725" s="5" t="s">
        <v>87</v>
      </c>
      <c r="C2725" s="6">
        <v>2018</v>
      </c>
      <c r="D2725" s="7">
        <v>1402760000</v>
      </c>
    </row>
    <row r="2726" spans="1:4" x14ac:dyDescent="0.3">
      <c r="A2726" s="2" t="s">
        <v>86</v>
      </c>
      <c r="B2726" s="2" t="s">
        <v>87</v>
      </c>
      <c r="C2726" s="3">
        <v>2019</v>
      </c>
      <c r="D2726" s="4">
        <v>1407745000</v>
      </c>
    </row>
    <row r="2727" spans="1:4" x14ac:dyDescent="0.3">
      <c r="A2727" s="5" t="s">
        <v>86</v>
      </c>
      <c r="B2727" s="5" t="s">
        <v>87</v>
      </c>
      <c r="C2727" s="6">
        <v>2020</v>
      </c>
      <c r="D2727" s="7">
        <v>1411100000</v>
      </c>
    </row>
    <row r="2728" spans="1:4" x14ac:dyDescent="0.3">
      <c r="A2728" s="2" t="s">
        <v>86</v>
      </c>
      <c r="B2728" s="2" t="s">
        <v>87</v>
      </c>
      <c r="C2728" s="3">
        <v>2021</v>
      </c>
      <c r="D2728" s="4">
        <v>1412360000</v>
      </c>
    </row>
    <row r="2729" spans="1:4" x14ac:dyDescent="0.3">
      <c r="A2729" s="5" t="s">
        <v>86</v>
      </c>
      <c r="B2729" s="5" t="s">
        <v>87</v>
      </c>
      <c r="C2729" s="6">
        <v>2022</v>
      </c>
      <c r="D2729" s="7">
        <v>1412175000</v>
      </c>
    </row>
    <row r="2730" spans="1:4" x14ac:dyDescent="0.3">
      <c r="A2730" s="2" t="s">
        <v>86</v>
      </c>
      <c r="B2730" s="2" t="s">
        <v>87</v>
      </c>
      <c r="C2730" s="3">
        <v>2023</v>
      </c>
      <c r="D2730" s="4">
        <v>1410710000</v>
      </c>
    </row>
    <row r="2731" spans="1:4" x14ac:dyDescent="0.3">
      <c r="A2731" s="5" t="s">
        <v>86</v>
      </c>
      <c r="B2731" s="5" t="s">
        <v>87</v>
      </c>
      <c r="C2731" s="6">
        <v>2024</v>
      </c>
      <c r="D2731" s="7">
        <v>1408975000</v>
      </c>
    </row>
    <row r="2732" spans="1:4" x14ac:dyDescent="0.3">
      <c r="A2732" s="2" t="s">
        <v>88</v>
      </c>
      <c r="B2732" s="2" t="s">
        <v>89</v>
      </c>
      <c r="C2732" s="3">
        <v>1960</v>
      </c>
      <c r="D2732" s="4">
        <v>15606209</v>
      </c>
    </row>
    <row r="2733" spans="1:4" x14ac:dyDescent="0.3">
      <c r="A2733" s="5" t="s">
        <v>88</v>
      </c>
      <c r="B2733" s="5" t="s">
        <v>89</v>
      </c>
      <c r="C2733" s="6">
        <v>1961</v>
      </c>
      <c r="D2733" s="7">
        <v>16095203</v>
      </c>
    </row>
    <row r="2734" spans="1:4" x14ac:dyDescent="0.3">
      <c r="A2734" s="2" t="s">
        <v>88</v>
      </c>
      <c r="B2734" s="2" t="s">
        <v>89</v>
      </c>
      <c r="C2734" s="3">
        <v>1962</v>
      </c>
      <c r="D2734" s="4">
        <v>16599029</v>
      </c>
    </row>
    <row r="2735" spans="1:4" x14ac:dyDescent="0.3">
      <c r="A2735" s="5" t="s">
        <v>88</v>
      </c>
      <c r="B2735" s="5" t="s">
        <v>89</v>
      </c>
      <c r="C2735" s="6">
        <v>1963</v>
      </c>
      <c r="D2735" s="7">
        <v>17113823</v>
      </c>
    </row>
    <row r="2736" spans="1:4" x14ac:dyDescent="0.3">
      <c r="A2736" s="2" t="s">
        <v>88</v>
      </c>
      <c r="B2736" s="2" t="s">
        <v>89</v>
      </c>
      <c r="C2736" s="3">
        <v>1964</v>
      </c>
      <c r="D2736" s="4">
        <v>17637411</v>
      </c>
    </row>
    <row r="2737" spans="1:4" x14ac:dyDescent="0.3">
      <c r="A2737" s="5" t="s">
        <v>88</v>
      </c>
      <c r="B2737" s="5" t="s">
        <v>89</v>
      </c>
      <c r="C2737" s="6">
        <v>1965</v>
      </c>
      <c r="D2737" s="7">
        <v>18169050</v>
      </c>
    </row>
    <row r="2738" spans="1:4" x14ac:dyDescent="0.3">
      <c r="A2738" s="2" t="s">
        <v>88</v>
      </c>
      <c r="B2738" s="2" t="s">
        <v>89</v>
      </c>
      <c r="C2738" s="3">
        <v>1966</v>
      </c>
      <c r="D2738" s="4">
        <v>18702688</v>
      </c>
    </row>
    <row r="2739" spans="1:4" x14ac:dyDescent="0.3">
      <c r="A2739" s="5" t="s">
        <v>88</v>
      </c>
      <c r="B2739" s="5" t="s">
        <v>89</v>
      </c>
      <c r="C2739" s="6">
        <v>1967</v>
      </c>
      <c r="D2739" s="7">
        <v>19235618</v>
      </c>
    </row>
    <row r="2740" spans="1:4" x14ac:dyDescent="0.3">
      <c r="A2740" s="2" t="s">
        <v>88</v>
      </c>
      <c r="B2740" s="2" t="s">
        <v>89</v>
      </c>
      <c r="C2740" s="3">
        <v>1968</v>
      </c>
      <c r="D2740" s="4">
        <v>19766796</v>
      </c>
    </row>
    <row r="2741" spans="1:4" x14ac:dyDescent="0.3">
      <c r="A2741" s="5" t="s">
        <v>88</v>
      </c>
      <c r="B2741" s="5" t="s">
        <v>89</v>
      </c>
      <c r="C2741" s="6">
        <v>1969</v>
      </c>
      <c r="D2741" s="7">
        <v>20291942</v>
      </c>
    </row>
    <row r="2742" spans="1:4" x14ac:dyDescent="0.3">
      <c r="A2742" s="2" t="s">
        <v>88</v>
      </c>
      <c r="B2742" s="2" t="s">
        <v>89</v>
      </c>
      <c r="C2742" s="3">
        <v>1970</v>
      </c>
      <c r="D2742" s="4">
        <v>20811782</v>
      </c>
    </row>
    <row r="2743" spans="1:4" x14ac:dyDescent="0.3">
      <c r="A2743" s="5" t="s">
        <v>88</v>
      </c>
      <c r="B2743" s="5" t="s">
        <v>89</v>
      </c>
      <c r="C2743" s="6">
        <v>1971</v>
      </c>
      <c r="D2743" s="7">
        <v>21319096</v>
      </c>
    </row>
    <row r="2744" spans="1:4" x14ac:dyDescent="0.3">
      <c r="A2744" s="2" t="s">
        <v>88</v>
      </c>
      <c r="B2744" s="2" t="s">
        <v>89</v>
      </c>
      <c r="C2744" s="3">
        <v>1972</v>
      </c>
      <c r="D2744" s="4">
        <v>21819563</v>
      </c>
    </row>
    <row r="2745" spans="1:4" x14ac:dyDescent="0.3">
      <c r="A2745" s="5" t="s">
        <v>88</v>
      </c>
      <c r="B2745" s="5" t="s">
        <v>89</v>
      </c>
      <c r="C2745" s="6">
        <v>1973</v>
      </c>
      <c r="D2745" s="7">
        <v>22325374</v>
      </c>
    </row>
    <row r="2746" spans="1:4" x14ac:dyDescent="0.3">
      <c r="A2746" s="2" t="s">
        <v>88</v>
      </c>
      <c r="B2746" s="2" t="s">
        <v>89</v>
      </c>
      <c r="C2746" s="3">
        <v>1974</v>
      </c>
      <c r="D2746" s="4">
        <v>22833469</v>
      </c>
    </row>
    <row r="2747" spans="1:4" x14ac:dyDescent="0.3">
      <c r="A2747" s="5" t="s">
        <v>88</v>
      </c>
      <c r="B2747" s="5" t="s">
        <v>89</v>
      </c>
      <c r="C2747" s="6">
        <v>1975</v>
      </c>
      <c r="D2747" s="7">
        <v>23344644</v>
      </c>
    </row>
    <row r="2748" spans="1:4" x14ac:dyDescent="0.3">
      <c r="A2748" s="2" t="s">
        <v>88</v>
      </c>
      <c r="B2748" s="2" t="s">
        <v>89</v>
      </c>
      <c r="C2748" s="3">
        <v>1976</v>
      </c>
      <c r="D2748" s="4">
        <v>23858810</v>
      </c>
    </row>
    <row r="2749" spans="1:4" x14ac:dyDescent="0.3">
      <c r="A2749" s="5" t="s">
        <v>88</v>
      </c>
      <c r="B2749" s="5" t="s">
        <v>89</v>
      </c>
      <c r="C2749" s="6">
        <v>1977</v>
      </c>
      <c r="D2749" s="7">
        <v>24393494</v>
      </c>
    </row>
    <row r="2750" spans="1:4" x14ac:dyDescent="0.3">
      <c r="A2750" s="2" t="s">
        <v>88</v>
      </c>
      <c r="B2750" s="2" t="s">
        <v>89</v>
      </c>
      <c r="C2750" s="3">
        <v>1978</v>
      </c>
      <c r="D2750" s="4">
        <v>24950337</v>
      </c>
    </row>
    <row r="2751" spans="1:4" x14ac:dyDescent="0.3">
      <c r="A2751" s="5" t="s">
        <v>88</v>
      </c>
      <c r="B2751" s="5" t="s">
        <v>89</v>
      </c>
      <c r="C2751" s="6">
        <v>1979</v>
      </c>
      <c r="D2751" s="7">
        <v>25515626</v>
      </c>
    </row>
    <row r="2752" spans="1:4" x14ac:dyDescent="0.3">
      <c r="A2752" s="2" t="s">
        <v>88</v>
      </c>
      <c r="B2752" s="2" t="s">
        <v>89</v>
      </c>
      <c r="C2752" s="3">
        <v>1980</v>
      </c>
      <c r="D2752" s="4">
        <v>26104498</v>
      </c>
    </row>
    <row r="2753" spans="1:4" x14ac:dyDescent="0.3">
      <c r="A2753" s="5" t="s">
        <v>88</v>
      </c>
      <c r="B2753" s="5" t="s">
        <v>89</v>
      </c>
      <c r="C2753" s="6">
        <v>1981</v>
      </c>
      <c r="D2753" s="7">
        <v>26713267</v>
      </c>
    </row>
    <row r="2754" spans="1:4" x14ac:dyDescent="0.3">
      <c r="A2754" s="2" t="s">
        <v>88</v>
      </c>
      <c r="B2754" s="2" t="s">
        <v>89</v>
      </c>
      <c r="C2754" s="3">
        <v>1982</v>
      </c>
      <c r="D2754" s="4">
        <v>27338331</v>
      </c>
    </row>
    <row r="2755" spans="1:4" x14ac:dyDescent="0.3">
      <c r="A2755" s="5" t="s">
        <v>88</v>
      </c>
      <c r="B2755" s="5" t="s">
        <v>89</v>
      </c>
      <c r="C2755" s="6">
        <v>1983</v>
      </c>
      <c r="D2755" s="7">
        <v>27988173</v>
      </c>
    </row>
    <row r="2756" spans="1:4" x14ac:dyDescent="0.3">
      <c r="A2756" s="2" t="s">
        <v>88</v>
      </c>
      <c r="B2756" s="2" t="s">
        <v>89</v>
      </c>
      <c r="C2756" s="3">
        <v>1984</v>
      </c>
      <c r="D2756" s="4">
        <v>28642690</v>
      </c>
    </row>
    <row r="2757" spans="1:4" x14ac:dyDescent="0.3">
      <c r="A2757" s="5" t="s">
        <v>88</v>
      </c>
      <c r="B2757" s="5" t="s">
        <v>89</v>
      </c>
      <c r="C2757" s="6">
        <v>1985</v>
      </c>
      <c r="D2757" s="7">
        <v>29268470</v>
      </c>
    </row>
    <row r="2758" spans="1:4" x14ac:dyDescent="0.3">
      <c r="A2758" s="2" t="s">
        <v>88</v>
      </c>
      <c r="B2758" s="2" t="s">
        <v>89</v>
      </c>
      <c r="C2758" s="3">
        <v>1986</v>
      </c>
      <c r="D2758" s="4">
        <v>29879112</v>
      </c>
    </row>
    <row r="2759" spans="1:4" x14ac:dyDescent="0.3">
      <c r="A2759" s="5" t="s">
        <v>88</v>
      </c>
      <c r="B2759" s="5" t="s">
        <v>89</v>
      </c>
      <c r="C2759" s="6">
        <v>1987</v>
      </c>
      <c r="D2759" s="7">
        <v>30499467</v>
      </c>
    </row>
    <row r="2760" spans="1:4" x14ac:dyDescent="0.3">
      <c r="A2760" s="2" t="s">
        <v>88</v>
      </c>
      <c r="B2760" s="2" t="s">
        <v>89</v>
      </c>
      <c r="C2760" s="3">
        <v>1988</v>
      </c>
      <c r="D2760" s="4">
        <v>31130524</v>
      </c>
    </row>
    <row r="2761" spans="1:4" x14ac:dyDescent="0.3">
      <c r="A2761" s="5" t="s">
        <v>88</v>
      </c>
      <c r="B2761" s="5" t="s">
        <v>89</v>
      </c>
      <c r="C2761" s="6">
        <v>1989</v>
      </c>
      <c r="D2761" s="7">
        <v>31776279</v>
      </c>
    </row>
    <row r="2762" spans="1:4" x14ac:dyDescent="0.3">
      <c r="A2762" s="2" t="s">
        <v>88</v>
      </c>
      <c r="B2762" s="2" t="s">
        <v>89</v>
      </c>
      <c r="C2762" s="3">
        <v>1990</v>
      </c>
      <c r="D2762" s="4">
        <v>32440069</v>
      </c>
    </row>
    <row r="2763" spans="1:4" x14ac:dyDescent="0.3">
      <c r="A2763" s="5" t="s">
        <v>88</v>
      </c>
      <c r="B2763" s="5" t="s">
        <v>89</v>
      </c>
      <c r="C2763" s="6">
        <v>1991</v>
      </c>
      <c r="D2763" s="7">
        <v>33098372</v>
      </c>
    </row>
    <row r="2764" spans="1:4" x14ac:dyDescent="0.3">
      <c r="A2764" s="2" t="s">
        <v>88</v>
      </c>
      <c r="B2764" s="2" t="s">
        <v>89</v>
      </c>
      <c r="C2764" s="3">
        <v>1992</v>
      </c>
      <c r="D2764" s="4">
        <v>33760571</v>
      </c>
    </row>
    <row r="2765" spans="1:4" x14ac:dyDescent="0.3">
      <c r="A2765" s="5" t="s">
        <v>88</v>
      </c>
      <c r="B2765" s="5" t="s">
        <v>89</v>
      </c>
      <c r="C2765" s="6">
        <v>1993</v>
      </c>
      <c r="D2765" s="7">
        <v>34441473</v>
      </c>
    </row>
    <row r="2766" spans="1:4" x14ac:dyDescent="0.3">
      <c r="A2766" s="2" t="s">
        <v>88</v>
      </c>
      <c r="B2766" s="2" t="s">
        <v>89</v>
      </c>
      <c r="C2766" s="3">
        <v>1994</v>
      </c>
      <c r="D2766" s="4">
        <v>35127410</v>
      </c>
    </row>
    <row r="2767" spans="1:4" x14ac:dyDescent="0.3">
      <c r="A2767" s="5" t="s">
        <v>88</v>
      </c>
      <c r="B2767" s="5" t="s">
        <v>89</v>
      </c>
      <c r="C2767" s="6">
        <v>1995</v>
      </c>
      <c r="D2767" s="7">
        <v>35804662</v>
      </c>
    </row>
    <row r="2768" spans="1:4" x14ac:dyDescent="0.3">
      <c r="A2768" s="2" t="s">
        <v>88</v>
      </c>
      <c r="B2768" s="2" t="s">
        <v>89</v>
      </c>
      <c r="C2768" s="3">
        <v>1996</v>
      </c>
      <c r="D2768" s="4">
        <v>36462745</v>
      </c>
    </row>
    <row r="2769" spans="1:4" x14ac:dyDescent="0.3">
      <c r="A2769" s="5" t="s">
        <v>88</v>
      </c>
      <c r="B2769" s="5" t="s">
        <v>89</v>
      </c>
      <c r="C2769" s="6">
        <v>1997</v>
      </c>
      <c r="D2769" s="7">
        <v>37121149</v>
      </c>
    </row>
    <row r="2770" spans="1:4" x14ac:dyDescent="0.3">
      <c r="A2770" s="2" t="s">
        <v>88</v>
      </c>
      <c r="B2770" s="2" t="s">
        <v>89</v>
      </c>
      <c r="C2770" s="3">
        <v>1998</v>
      </c>
      <c r="D2770" s="4">
        <v>37792165</v>
      </c>
    </row>
    <row r="2771" spans="1:4" x14ac:dyDescent="0.3">
      <c r="A2771" s="5" t="s">
        <v>88</v>
      </c>
      <c r="B2771" s="5" t="s">
        <v>89</v>
      </c>
      <c r="C2771" s="6">
        <v>1999</v>
      </c>
      <c r="D2771" s="7">
        <v>38454863</v>
      </c>
    </row>
    <row r="2772" spans="1:4" x14ac:dyDescent="0.3">
      <c r="A2772" s="2" t="s">
        <v>88</v>
      </c>
      <c r="B2772" s="2" t="s">
        <v>89</v>
      </c>
      <c r="C2772" s="3">
        <v>2000</v>
      </c>
      <c r="D2772" s="4">
        <v>39089934</v>
      </c>
    </row>
    <row r="2773" spans="1:4" x14ac:dyDescent="0.3">
      <c r="A2773" s="5" t="s">
        <v>88</v>
      </c>
      <c r="B2773" s="5" t="s">
        <v>89</v>
      </c>
      <c r="C2773" s="6">
        <v>2001</v>
      </c>
      <c r="D2773" s="7">
        <v>39709262</v>
      </c>
    </row>
    <row r="2774" spans="1:4" x14ac:dyDescent="0.3">
      <c r="A2774" s="2" t="s">
        <v>88</v>
      </c>
      <c r="B2774" s="2" t="s">
        <v>89</v>
      </c>
      <c r="C2774" s="3">
        <v>2002</v>
      </c>
      <c r="D2774" s="4">
        <v>40324680</v>
      </c>
    </row>
    <row r="2775" spans="1:4" x14ac:dyDescent="0.3">
      <c r="A2775" s="5" t="s">
        <v>88</v>
      </c>
      <c r="B2775" s="5" t="s">
        <v>89</v>
      </c>
      <c r="C2775" s="6">
        <v>2003</v>
      </c>
      <c r="D2775" s="7">
        <v>40937429</v>
      </c>
    </row>
    <row r="2776" spans="1:4" x14ac:dyDescent="0.3">
      <c r="A2776" s="2" t="s">
        <v>88</v>
      </c>
      <c r="B2776" s="2" t="s">
        <v>89</v>
      </c>
      <c r="C2776" s="3">
        <v>2004</v>
      </c>
      <c r="D2776" s="4">
        <v>41543171</v>
      </c>
    </row>
    <row r="2777" spans="1:4" x14ac:dyDescent="0.3">
      <c r="A2777" s="5" t="s">
        <v>88</v>
      </c>
      <c r="B2777" s="5" t="s">
        <v>89</v>
      </c>
      <c r="C2777" s="6">
        <v>2005</v>
      </c>
      <c r="D2777" s="7">
        <v>42128977</v>
      </c>
    </row>
    <row r="2778" spans="1:4" x14ac:dyDescent="0.3">
      <c r="A2778" s="2" t="s">
        <v>88</v>
      </c>
      <c r="B2778" s="2" t="s">
        <v>89</v>
      </c>
      <c r="C2778" s="3">
        <v>2006</v>
      </c>
      <c r="D2778" s="4">
        <v>42691084</v>
      </c>
    </row>
    <row r="2779" spans="1:4" x14ac:dyDescent="0.3">
      <c r="A2779" s="5" t="s">
        <v>88</v>
      </c>
      <c r="B2779" s="5" t="s">
        <v>89</v>
      </c>
      <c r="C2779" s="6">
        <v>2007</v>
      </c>
      <c r="D2779" s="7">
        <v>43235374</v>
      </c>
    </row>
    <row r="2780" spans="1:4" x14ac:dyDescent="0.3">
      <c r="A2780" s="2" t="s">
        <v>88</v>
      </c>
      <c r="B2780" s="2" t="s">
        <v>89</v>
      </c>
      <c r="C2780" s="3">
        <v>2008</v>
      </c>
      <c r="D2780" s="4">
        <v>43758808</v>
      </c>
    </row>
    <row r="2781" spans="1:4" x14ac:dyDescent="0.3">
      <c r="A2781" s="5" t="s">
        <v>88</v>
      </c>
      <c r="B2781" s="5" t="s">
        <v>89</v>
      </c>
      <c r="C2781" s="6">
        <v>2009</v>
      </c>
      <c r="D2781" s="7">
        <v>44271541</v>
      </c>
    </row>
    <row r="2782" spans="1:4" x14ac:dyDescent="0.3">
      <c r="A2782" s="2" t="s">
        <v>88</v>
      </c>
      <c r="B2782" s="2" t="s">
        <v>89</v>
      </c>
      <c r="C2782" s="3">
        <v>2010</v>
      </c>
      <c r="D2782" s="4">
        <v>44777319</v>
      </c>
    </row>
    <row r="2783" spans="1:4" x14ac:dyDescent="0.3">
      <c r="A2783" s="5" t="s">
        <v>88</v>
      </c>
      <c r="B2783" s="5" t="s">
        <v>89</v>
      </c>
      <c r="C2783" s="6">
        <v>2011</v>
      </c>
      <c r="D2783" s="7">
        <v>45259614</v>
      </c>
    </row>
    <row r="2784" spans="1:4" x14ac:dyDescent="0.3">
      <c r="A2784" s="2" t="s">
        <v>88</v>
      </c>
      <c r="B2784" s="2" t="s">
        <v>89</v>
      </c>
      <c r="C2784" s="3">
        <v>2012</v>
      </c>
      <c r="D2784" s="4">
        <v>45715810</v>
      </c>
    </row>
    <row r="2785" spans="1:4" x14ac:dyDescent="0.3">
      <c r="A2785" s="5" t="s">
        <v>88</v>
      </c>
      <c r="B2785" s="5" t="s">
        <v>89</v>
      </c>
      <c r="C2785" s="6">
        <v>2013</v>
      </c>
      <c r="D2785" s="7">
        <v>46151584</v>
      </c>
    </row>
    <row r="2786" spans="1:4" x14ac:dyDescent="0.3">
      <c r="A2786" s="2" t="s">
        <v>88</v>
      </c>
      <c r="B2786" s="2" t="s">
        <v>89</v>
      </c>
      <c r="C2786" s="3">
        <v>2014</v>
      </c>
      <c r="D2786" s="4">
        <v>46565429</v>
      </c>
    </row>
    <row r="2787" spans="1:4" x14ac:dyDescent="0.3">
      <c r="A2787" s="5" t="s">
        <v>88</v>
      </c>
      <c r="B2787" s="5" t="s">
        <v>89</v>
      </c>
      <c r="C2787" s="6">
        <v>2015</v>
      </c>
      <c r="D2787" s="7">
        <v>46969940</v>
      </c>
    </row>
    <row r="2788" spans="1:4" x14ac:dyDescent="0.3">
      <c r="A2788" s="2" t="s">
        <v>88</v>
      </c>
      <c r="B2788" s="2" t="s">
        <v>89</v>
      </c>
      <c r="C2788" s="3">
        <v>2016</v>
      </c>
      <c r="D2788" s="4">
        <v>47437512</v>
      </c>
    </row>
    <row r="2789" spans="1:4" x14ac:dyDescent="0.3">
      <c r="A2789" s="5" t="s">
        <v>88</v>
      </c>
      <c r="B2789" s="5" t="s">
        <v>89</v>
      </c>
      <c r="C2789" s="6">
        <v>2017</v>
      </c>
      <c r="D2789" s="7">
        <v>48131078</v>
      </c>
    </row>
    <row r="2790" spans="1:4" x14ac:dyDescent="0.3">
      <c r="A2790" s="2" t="s">
        <v>88</v>
      </c>
      <c r="B2790" s="2" t="s">
        <v>89</v>
      </c>
      <c r="C2790" s="3">
        <v>2018</v>
      </c>
      <c r="D2790" s="4">
        <v>49024465</v>
      </c>
    </row>
    <row r="2791" spans="1:4" x14ac:dyDescent="0.3">
      <c r="A2791" s="5" t="s">
        <v>88</v>
      </c>
      <c r="B2791" s="5" t="s">
        <v>89</v>
      </c>
      <c r="C2791" s="6">
        <v>2019</v>
      </c>
      <c r="D2791" s="7">
        <v>49907985</v>
      </c>
    </row>
    <row r="2792" spans="1:4" x14ac:dyDescent="0.3">
      <c r="A2792" s="2" t="s">
        <v>88</v>
      </c>
      <c r="B2792" s="2" t="s">
        <v>89</v>
      </c>
      <c r="C2792" s="3">
        <v>2020</v>
      </c>
      <c r="D2792" s="4">
        <v>50629997</v>
      </c>
    </row>
    <row r="2793" spans="1:4" x14ac:dyDescent="0.3">
      <c r="A2793" s="5" t="s">
        <v>88</v>
      </c>
      <c r="B2793" s="5" t="s">
        <v>89</v>
      </c>
      <c r="C2793" s="6">
        <v>2021</v>
      </c>
      <c r="D2793" s="7">
        <v>51188173</v>
      </c>
    </row>
    <row r="2794" spans="1:4" x14ac:dyDescent="0.3">
      <c r="A2794" s="2" t="s">
        <v>88</v>
      </c>
      <c r="B2794" s="2" t="s">
        <v>89</v>
      </c>
      <c r="C2794" s="3">
        <v>2022</v>
      </c>
      <c r="D2794" s="4">
        <v>51737944</v>
      </c>
    </row>
    <row r="2795" spans="1:4" x14ac:dyDescent="0.3">
      <c r="A2795" s="5" t="s">
        <v>88</v>
      </c>
      <c r="B2795" s="5" t="s">
        <v>89</v>
      </c>
      <c r="C2795" s="6">
        <v>2023</v>
      </c>
      <c r="D2795" s="7">
        <v>52321152</v>
      </c>
    </row>
    <row r="2796" spans="1:4" x14ac:dyDescent="0.3">
      <c r="A2796" s="2" t="s">
        <v>88</v>
      </c>
      <c r="B2796" s="2" t="s">
        <v>89</v>
      </c>
      <c r="C2796" s="3">
        <v>2024</v>
      </c>
      <c r="D2796" s="4">
        <v>52886363</v>
      </c>
    </row>
    <row r="2797" spans="1:4" x14ac:dyDescent="0.3">
      <c r="A2797" s="5" t="s">
        <v>90</v>
      </c>
      <c r="B2797" s="5" t="s">
        <v>91</v>
      </c>
      <c r="C2797" s="6">
        <v>1960</v>
      </c>
      <c r="D2797" s="7">
        <v>197700</v>
      </c>
    </row>
    <row r="2798" spans="1:4" x14ac:dyDescent="0.3">
      <c r="A2798" s="2" t="s">
        <v>90</v>
      </c>
      <c r="B2798" s="2" t="s">
        <v>91</v>
      </c>
      <c r="C2798" s="3">
        <v>1961</v>
      </c>
      <c r="D2798" s="4">
        <v>201201</v>
      </c>
    </row>
    <row r="2799" spans="1:4" x14ac:dyDescent="0.3">
      <c r="A2799" s="5" t="s">
        <v>90</v>
      </c>
      <c r="B2799" s="5" t="s">
        <v>91</v>
      </c>
      <c r="C2799" s="6">
        <v>1962</v>
      </c>
      <c r="D2799" s="7">
        <v>204702</v>
      </c>
    </row>
    <row r="2800" spans="1:4" x14ac:dyDescent="0.3">
      <c r="A2800" s="2" t="s">
        <v>90</v>
      </c>
      <c r="B2800" s="2" t="s">
        <v>91</v>
      </c>
      <c r="C2800" s="3">
        <v>1963</v>
      </c>
      <c r="D2800" s="4">
        <v>208185</v>
      </c>
    </row>
    <row r="2801" spans="1:4" x14ac:dyDescent="0.3">
      <c r="A2801" s="5" t="s">
        <v>90</v>
      </c>
      <c r="B2801" s="5" t="s">
        <v>91</v>
      </c>
      <c r="C2801" s="6">
        <v>1964</v>
      </c>
      <c r="D2801" s="7">
        <v>211644</v>
      </c>
    </row>
    <row r="2802" spans="1:4" x14ac:dyDescent="0.3">
      <c r="A2802" s="2" t="s">
        <v>90</v>
      </c>
      <c r="B2802" s="2" t="s">
        <v>91</v>
      </c>
      <c r="C2802" s="3">
        <v>1965</v>
      </c>
      <c r="D2802" s="4">
        <v>214967</v>
      </c>
    </row>
    <row r="2803" spans="1:4" x14ac:dyDescent="0.3">
      <c r="A2803" s="5" t="s">
        <v>90</v>
      </c>
      <c r="B2803" s="5" t="s">
        <v>91</v>
      </c>
      <c r="C2803" s="6">
        <v>1966</v>
      </c>
      <c r="D2803" s="7">
        <v>218663</v>
      </c>
    </row>
    <row r="2804" spans="1:4" x14ac:dyDescent="0.3">
      <c r="A2804" s="2" t="s">
        <v>90</v>
      </c>
      <c r="B2804" s="2" t="s">
        <v>91</v>
      </c>
      <c r="C2804" s="3">
        <v>1967</v>
      </c>
      <c r="D2804" s="4">
        <v>223859</v>
      </c>
    </row>
    <row r="2805" spans="1:4" x14ac:dyDescent="0.3">
      <c r="A2805" s="5" t="s">
        <v>90</v>
      </c>
      <c r="B2805" s="5" t="s">
        <v>91</v>
      </c>
      <c r="C2805" s="6">
        <v>1968</v>
      </c>
      <c r="D2805" s="7">
        <v>230244</v>
      </c>
    </row>
    <row r="2806" spans="1:4" x14ac:dyDescent="0.3">
      <c r="A2806" s="2" t="s">
        <v>90</v>
      </c>
      <c r="B2806" s="2" t="s">
        <v>91</v>
      </c>
      <c r="C2806" s="3">
        <v>1969</v>
      </c>
      <c r="D2806" s="4">
        <v>237001</v>
      </c>
    </row>
    <row r="2807" spans="1:4" x14ac:dyDescent="0.3">
      <c r="A2807" s="5" t="s">
        <v>90</v>
      </c>
      <c r="B2807" s="5" t="s">
        <v>91</v>
      </c>
      <c r="C2807" s="6">
        <v>1970</v>
      </c>
      <c r="D2807" s="7">
        <v>244185</v>
      </c>
    </row>
    <row r="2808" spans="1:4" x14ac:dyDescent="0.3">
      <c r="A2808" s="2" t="s">
        <v>90</v>
      </c>
      <c r="B2808" s="2" t="s">
        <v>91</v>
      </c>
      <c r="C2808" s="3">
        <v>1971</v>
      </c>
      <c r="D2808" s="4">
        <v>251865</v>
      </c>
    </row>
    <row r="2809" spans="1:4" x14ac:dyDescent="0.3">
      <c r="A2809" s="5" t="s">
        <v>90</v>
      </c>
      <c r="B2809" s="5" t="s">
        <v>91</v>
      </c>
      <c r="C2809" s="6">
        <v>1972</v>
      </c>
      <c r="D2809" s="7">
        <v>260077</v>
      </c>
    </row>
    <row r="2810" spans="1:4" x14ac:dyDescent="0.3">
      <c r="A2810" s="2" t="s">
        <v>90</v>
      </c>
      <c r="B2810" s="2" t="s">
        <v>91</v>
      </c>
      <c r="C2810" s="3">
        <v>1973</v>
      </c>
      <c r="D2810" s="4">
        <v>268820</v>
      </c>
    </row>
    <row r="2811" spans="1:4" x14ac:dyDescent="0.3">
      <c r="A2811" s="5" t="s">
        <v>90</v>
      </c>
      <c r="B2811" s="5" t="s">
        <v>91</v>
      </c>
      <c r="C2811" s="6">
        <v>1974</v>
      </c>
      <c r="D2811" s="7">
        <v>278075</v>
      </c>
    </row>
    <row r="2812" spans="1:4" x14ac:dyDescent="0.3">
      <c r="A2812" s="2" t="s">
        <v>90</v>
      </c>
      <c r="B2812" s="2" t="s">
        <v>91</v>
      </c>
      <c r="C2812" s="3">
        <v>1975</v>
      </c>
      <c r="D2812" s="4">
        <v>287692</v>
      </c>
    </row>
    <row r="2813" spans="1:4" x14ac:dyDescent="0.3">
      <c r="A2813" s="5" t="s">
        <v>90</v>
      </c>
      <c r="B2813" s="5" t="s">
        <v>91</v>
      </c>
      <c r="C2813" s="6">
        <v>1976</v>
      </c>
      <c r="D2813" s="7">
        <v>297538</v>
      </c>
    </row>
    <row r="2814" spans="1:4" x14ac:dyDescent="0.3">
      <c r="A2814" s="2" t="s">
        <v>90</v>
      </c>
      <c r="B2814" s="2" t="s">
        <v>91</v>
      </c>
      <c r="C2814" s="3">
        <v>1977</v>
      </c>
      <c r="D2814" s="4">
        <v>307579</v>
      </c>
    </row>
    <row r="2815" spans="1:4" x14ac:dyDescent="0.3">
      <c r="A2815" s="5" t="s">
        <v>90</v>
      </c>
      <c r="B2815" s="5" t="s">
        <v>91</v>
      </c>
      <c r="C2815" s="6">
        <v>1978</v>
      </c>
      <c r="D2815" s="7">
        <v>317688</v>
      </c>
    </row>
    <row r="2816" spans="1:4" x14ac:dyDescent="0.3">
      <c r="A2816" s="2" t="s">
        <v>90</v>
      </c>
      <c r="B2816" s="2" t="s">
        <v>91</v>
      </c>
      <c r="C2816" s="3">
        <v>1979</v>
      </c>
      <c r="D2816" s="4">
        <v>327791</v>
      </c>
    </row>
    <row r="2817" spans="1:4" x14ac:dyDescent="0.3">
      <c r="A2817" s="5" t="s">
        <v>90</v>
      </c>
      <c r="B2817" s="5" t="s">
        <v>91</v>
      </c>
      <c r="C2817" s="6">
        <v>1980</v>
      </c>
      <c r="D2817" s="7">
        <v>337721</v>
      </c>
    </row>
    <row r="2818" spans="1:4" x14ac:dyDescent="0.3">
      <c r="A2818" s="2" t="s">
        <v>90</v>
      </c>
      <c r="B2818" s="2" t="s">
        <v>91</v>
      </c>
      <c r="C2818" s="3">
        <v>1981</v>
      </c>
      <c r="D2818" s="4">
        <v>347382</v>
      </c>
    </row>
    <row r="2819" spans="1:4" x14ac:dyDescent="0.3">
      <c r="A2819" s="5" t="s">
        <v>90</v>
      </c>
      <c r="B2819" s="5" t="s">
        <v>91</v>
      </c>
      <c r="C2819" s="6">
        <v>1982</v>
      </c>
      <c r="D2819" s="7">
        <v>357139</v>
      </c>
    </row>
    <row r="2820" spans="1:4" x14ac:dyDescent="0.3">
      <c r="A2820" s="2" t="s">
        <v>90</v>
      </c>
      <c r="B2820" s="2" t="s">
        <v>91</v>
      </c>
      <c r="C2820" s="3">
        <v>1983</v>
      </c>
      <c r="D2820" s="4">
        <v>367233</v>
      </c>
    </row>
    <row r="2821" spans="1:4" x14ac:dyDescent="0.3">
      <c r="A2821" s="5" t="s">
        <v>90</v>
      </c>
      <c r="B2821" s="5" t="s">
        <v>91</v>
      </c>
      <c r="C2821" s="6">
        <v>1984</v>
      </c>
      <c r="D2821" s="7">
        <v>377637</v>
      </c>
    </row>
    <row r="2822" spans="1:4" x14ac:dyDescent="0.3">
      <c r="A2822" s="2" t="s">
        <v>90</v>
      </c>
      <c r="B2822" s="2" t="s">
        <v>91</v>
      </c>
      <c r="C2822" s="3">
        <v>1985</v>
      </c>
      <c r="D2822" s="4">
        <v>388352</v>
      </c>
    </row>
    <row r="2823" spans="1:4" x14ac:dyDescent="0.3">
      <c r="A2823" s="5" t="s">
        <v>90</v>
      </c>
      <c r="B2823" s="5" t="s">
        <v>91</v>
      </c>
      <c r="C2823" s="6">
        <v>1986</v>
      </c>
      <c r="D2823" s="7">
        <v>399318</v>
      </c>
    </row>
    <row r="2824" spans="1:4" x14ac:dyDescent="0.3">
      <c r="A2824" s="2" t="s">
        <v>90</v>
      </c>
      <c r="B2824" s="2" t="s">
        <v>91</v>
      </c>
      <c r="C2824" s="3">
        <v>1987</v>
      </c>
      <c r="D2824" s="4">
        <v>410439</v>
      </c>
    </row>
    <row r="2825" spans="1:4" x14ac:dyDescent="0.3">
      <c r="A2825" s="5" t="s">
        <v>90</v>
      </c>
      <c r="B2825" s="5" t="s">
        <v>91</v>
      </c>
      <c r="C2825" s="6">
        <v>1988</v>
      </c>
      <c r="D2825" s="7">
        <v>421687</v>
      </c>
    </row>
    <row r="2826" spans="1:4" x14ac:dyDescent="0.3">
      <c r="A2826" s="2" t="s">
        <v>90</v>
      </c>
      <c r="B2826" s="2" t="s">
        <v>91</v>
      </c>
      <c r="C2826" s="3">
        <v>1989</v>
      </c>
      <c r="D2826" s="4">
        <v>433103</v>
      </c>
    </row>
    <row r="2827" spans="1:4" x14ac:dyDescent="0.3">
      <c r="A2827" s="5" t="s">
        <v>90</v>
      </c>
      <c r="B2827" s="5" t="s">
        <v>91</v>
      </c>
      <c r="C2827" s="6">
        <v>1990</v>
      </c>
      <c r="D2827" s="7">
        <v>444596</v>
      </c>
    </row>
    <row r="2828" spans="1:4" x14ac:dyDescent="0.3">
      <c r="A2828" s="2" t="s">
        <v>90</v>
      </c>
      <c r="B2828" s="2" t="s">
        <v>91</v>
      </c>
      <c r="C2828" s="3">
        <v>1991</v>
      </c>
      <c r="D2828" s="4">
        <v>455556</v>
      </c>
    </row>
    <row r="2829" spans="1:4" x14ac:dyDescent="0.3">
      <c r="A2829" s="5" t="s">
        <v>90</v>
      </c>
      <c r="B2829" s="5" t="s">
        <v>91</v>
      </c>
      <c r="C2829" s="6">
        <v>1992</v>
      </c>
      <c r="D2829" s="7">
        <v>465113</v>
      </c>
    </row>
    <row r="2830" spans="1:4" x14ac:dyDescent="0.3">
      <c r="A2830" s="2" t="s">
        <v>90</v>
      </c>
      <c r="B2830" s="2" t="s">
        <v>91</v>
      </c>
      <c r="C2830" s="3">
        <v>1993</v>
      </c>
      <c r="D2830" s="4">
        <v>473682</v>
      </c>
    </row>
    <row r="2831" spans="1:4" x14ac:dyDescent="0.3">
      <c r="A2831" s="5" t="s">
        <v>90</v>
      </c>
      <c r="B2831" s="5" t="s">
        <v>91</v>
      </c>
      <c r="C2831" s="6">
        <v>1994</v>
      </c>
      <c r="D2831" s="7">
        <v>482142</v>
      </c>
    </row>
    <row r="2832" spans="1:4" x14ac:dyDescent="0.3">
      <c r="A2832" s="2" t="s">
        <v>90</v>
      </c>
      <c r="B2832" s="2" t="s">
        <v>91</v>
      </c>
      <c r="C2832" s="3">
        <v>1995</v>
      </c>
      <c r="D2832" s="4">
        <v>490586</v>
      </c>
    </row>
    <row r="2833" spans="1:4" x14ac:dyDescent="0.3">
      <c r="A2833" s="5" t="s">
        <v>90</v>
      </c>
      <c r="B2833" s="5" t="s">
        <v>91</v>
      </c>
      <c r="C2833" s="6">
        <v>1996</v>
      </c>
      <c r="D2833" s="7">
        <v>499107</v>
      </c>
    </row>
    <row r="2834" spans="1:4" x14ac:dyDescent="0.3">
      <c r="A2834" s="2" t="s">
        <v>90</v>
      </c>
      <c r="B2834" s="2" t="s">
        <v>91</v>
      </c>
      <c r="C2834" s="3">
        <v>1997</v>
      </c>
      <c r="D2834" s="4">
        <v>507777</v>
      </c>
    </row>
    <row r="2835" spans="1:4" x14ac:dyDescent="0.3">
      <c r="A2835" s="5" t="s">
        <v>90</v>
      </c>
      <c r="B2835" s="5" t="s">
        <v>91</v>
      </c>
      <c r="C2835" s="6">
        <v>1998</v>
      </c>
      <c r="D2835" s="7">
        <v>516597</v>
      </c>
    </row>
    <row r="2836" spans="1:4" x14ac:dyDescent="0.3">
      <c r="A2836" s="2" t="s">
        <v>90</v>
      </c>
      <c r="B2836" s="2" t="s">
        <v>91</v>
      </c>
      <c r="C2836" s="3">
        <v>1999</v>
      </c>
      <c r="D2836" s="4">
        <v>525886</v>
      </c>
    </row>
    <row r="2837" spans="1:4" x14ac:dyDescent="0.3">
      <c r="A2837" s="5" t="s">
        <v>90</v>
      </c>
      <c r="B2837" s="5" t="s">
        <v>91</v>
      </c>
      <c r="C2837" s="6">
        <v>2000</v>
      </c>
      <c r="D2837" s="7">
        <v>536080</v>
      </c>
    </row>
    <row r="2838" spans="1:4" x14ac:dyDescent="0.3">
      <c r="A2838" s="2" t="s">
        <v>90</v>
      </c>
      <c r="B2838" s="2" t="s">
        <v>91</v>
      </c>
      <c r="C2838" s="3">
        <v>2001</v>
      </c>
      <c r="D2838" s="4">
        <v>547220</v>
      </c>
    </row>
    <row r="2839" spans="1:4" x14ac:dyDescent="0.3">
      <c r="A2839" s="5" t="s">
        <v>90</v>
      </c>
      <c r="B2839" s="5" t="s">
        <v>91</v>
      </c>
      <c r="C2839" s="6">
        <v>2002</v>
      </c>
      <c r="D2839" s="7">
        <v>558923</v>
      </c>
    </row>
    <row r="2840" spans="1:4" x14ac:dyDescent="0.3">
      <c r="A2840" s="2" t="s">
        <v>90</v>
      </c>
      <c r="B2840" s="2" t="s">
        <v>91</v>
      </c>
      <c r="C2840" s="3">
        <v>2003</v>
      </c>
      <c r="D2840" s="4">
        <v>569798</v>
      </c>
    </row>
    <row r="2841" spans="1:4" x14ac:dyDescent="0.3">
      <c r="A2841" s="5" t="s">
        <v>90</v>
      </c>
      <c r="B2841" s="5" t="s">
        <v>91</v>
      </c>
      <c r="C2841" s="6">
        <v>2004</v>
      </c>
      <c r="D2841" s="7">
        <v>580704</v>
      </c>
    </row>
    <row r="2842" spans="1:4" x14ac:dyDescent="0.3">
      <c r="A2842" s="2" t="s">
        <v>90</v>
      </c>
      <c r="B2842" s="2" t="s">
        <v>91</v>
      </c>
      <c r="C2842" s="3">
        <v>2005</v>
      </c>
      <c r="D2842" s="4">
        <v>592677</v>
      </c>
    </row>
    <row r="2843" spans="1:4" x14ac:dyDescent="0.3">
      <c r="A2843" s="5" t="s">
        <v>90</v>
      </c>
      <c r="B2843" s="5" t="s">
        <v>91</v>
      </c>
      <c r="C2843" s="6">
        <v>2006</v>
      </c>
      <c r="D2843" s="7">
        <v>604753</v>
      </c>
    </row>
    <row r="2844" spans="1:4" x14ac:dyDescent="0.3">
      <c r="A2844" s="2" t="s">
        <v>90</v>
      </c>
      <c r="B2844" s="2" t="s">
        <v>91</v>
      </c>
      <c r="C2844" s="3">
        <v>2007</v>
      </c>
      <c r="D2844" s="4">
        <v>616927</v>
      </c>
    </row>
    <row r="2845" spans="1:4" x14ac:dyDescent="0.3">
      <c r="A2845" s="5" t="s">
        <v>90</v>
      </c>
      <c r="B2845" s="5" t="s">
        <v>91</v>
      </c>
      <c r="C2845" s="6">
        <v>2008</v>
      </c>
      <c r="D2845" s="7">
        <v>629307</v>
      </c>
    </row>
    <row r="2846" spans="1:4" x14ac:dyDescent="0.3">
      <c r="A2846" s="2" t="s">
        <v>90</v>
      </c>
      <c r="B2846" s="2" t="s">
        <v>91</v>
      </c>
      <c r="C2846" s="3">
        <v>2009</v>
      </c>
      <c r="D2846" s="4">
        <v>641947</v>
      </c>
    </row>
    <row r="2847" spans="1:4" x14ac:dyDescent="0.3">
      <c r="A2847" s="5" t="s">
        <v>90</v>
      </c>
      <c r="B2847" s="5" t="s">
        <v>91</v>
      </c>
      <c r="C2847" s="6">
        <v>2010</v>
      </c>
      <c r="D2847" s="7">
        <v>654836</v>
      </c>
    </row>
    <row r="2848" spans="1:4" x14ac:dyDescent="0.3">
      <c r="A2848" s="2" t="s">
        <v>90</v>
      </c>
      <c r="B2848" s="2" t="s">
        <v>91</v>
      </c>
      <c r="C2848" s="3">
        <v>2011</v>
      </c>
      <c r="D2848" s="4">
        <v>668056</v>
      </c>
    </row>
    <row r="2849" spans="1:4" x14ac:dyDescent="0.3">
      <c r="A2849" s="5" t="s">
        <v>90</v>
      </c>
      <c r="B2849" s="5" t="s">
        <v>91</v>
      </c>
      <c r="C2849" s="6">
        <v>2012</v>
      </c>
      <c r="D2849" s="7">
        <v>681630</v>
      </c>
    </row>
    <row r="2850" spans="1:4" x14ac:dyDescent="0.3">
      <c r="A2850" s="2" t="s">
        <v>90</v>
      </c>
      <c r="B2850" s="2" t="s">
        <v>91</v>
      </c>
      <c r="C2850" s="3">
        <v>2013</v>
      </c>
      <c r="D2850" s="4">
        <v>696192</v>
      </c>
    </row>
    <row r="2851" spans="1:4" x14ac:dyDescent="0.3">
      <c r="A2851" s="5" t="s">
        <v>90</v>
      </c>
      <c r="B2851" s="5" t="s">
        <v>91</v>
      </c>
      <c r="C2851" s="6">
        <v>2014</v>
      </c>
      <c r="D2851" s="7">
        <v>711503</v>
      </c>
    </row>
    <row r="2852" spans="1:4" x14ac:dyDescent="0.3">
      <c r="A2852" s="2" t="s">
        <v>90</v>
      </c>
      <c r="B2852" s="2" t="s">
        <v>91</v>
      </c>
      <c r="C2852" s="3">
        <v>2015</v>
      </c>
      <c r="D2852" s="4">
        <v>726682</v>
      </c>
    </row>
    <row r="2853" spans="1:4" x14ac:dyDescent="0.3">
      <c r="A2853" s="5" t="s">
        <v>90</v>
      </c>
      <c r="B2853" s="5" t="s">
        <v>91</v>
      </c>
      <c r="C2853" s="6">
        <v>2016</v>
      </c>
      <c r="D2853" s="7">
        <v>741741</v>
      </c>
    </row>
    <row r="2854" spans="1:4" x14ac:dyDescent="0.3">
      <c r="A2854" s="2" t="s">
        <v>90</v>
      </c>
      <c r="B2854" s="2" t="s">
        <v>91</v>
      </c>
      <c r="C2854" s="3">
        <v>2017</v>
      </c>
      <c r="D2854" s="4">
        <v>756669</v>
      </c>
    </row>
    <row r="2855" spans="1:4" x14ac:dyDescent="0.3">
      <c r="A2855" s="5" t="s">
        <v>90</v>
      </c>
      <c r="B2855" s="5" t="s">
        <v>91</v>
      </c>
      <c r="C2855" s="6">
        <v>2018</v>
      </c>
      <c r="D2855" s="7">
        <v>771590</v>
      </c>
    </row>
    <row r="2856" spans="1:4" x14ac:dyDescent="0.3">
      <c r="A2856" s="2" t="s">
        <v>90</v>
      </c>
      <c r="B2856" s="2" t="s">
        <v>91</v>
      </c>
      <c r="C2856" s="3">
        <v>2019</v>
      </c>
      <c r="D2856" s="4">
        <v>786578</v>
      </c>
    </row>
    <row r="2857" spans="1:4" x14ac:dyDescent="0.3">
      <c r="A2857" s="5" t="s">
        <v>90</v>
      </c>
      <c r="B2857" s="5" t="s">
        <v>91</v>
      </c>
      <c r="C2857" s="6">
        <v>2020</v>
      </c>
      <c r="D2857" s="7">
        <v>802163</v>
      </c>
    </row>
    <row r="2858" spans="1:4" x14ac:dyDescent="0.3">
      <c r="A2858" s="2" t="s">
        <v>90</v>
      </c>
      <c r="B2858" s="2" t="s">
        <v>91</v>
      </c>
      <c r="C2858" s="3">
        <v>2021</v>
      </c>
      <c r="D2858" s="4">
        <v>818174</v>
      </c>
    </row>
    <row r="2859" spans="1:4" x14ac:dyDescent="0.3">
      <c r="A2859" s="5" t="s">
        <v>90</v>
      </c>
      <c r="B2859" s="5" t="s">
        <v>91</v>
      </c>
      <c r="C2859" s="6">
        <v>2022</v>
      </c>
      <c r="D2859" s="7">
        <v>834188</v>
      </c>
    </row>
    <row r="2860" spans="1:4" x14ac:dyDescent="0.3">
      <c r="A2860" s="2" t="s">
        <v>90</v>
      </c>
      <c r="B2860" s="2" t="s">
        <v>91</v>
      </c>
      <c r="C2860" s="3">
        <v>2023</v>
      </c>
      <c r="D2860" s="4">
        <v>850387</v>
      </c>
    </row>
    <row r="2861" spans="1:4" x14ac:dyDescent="0.3">
      <c r="A2861" s="5" t="s">
        <v>90</v>
      </c>
      <c r="B2861" s="5" t="s">
        <v>91</v>
      </c>
      <c r="C2861" s="6">
        <v>2024</v>
      </c>
      <c r="D2861" s="7">
        <v>866628</v>
      </c>
    </row>
    <row r="2862" spans="1:4" x14ac:dyDescent="0.3">
      <c r="A2862" s="2" t="s">
        <v>92</v>
      </c>
      <c r="B2862" s="2" t="s">
        <v>93</v>
      </c>
      <c r="C2862" s="3">
        <v>1960</v>
      </c>
      <c r="D2862" s="4">
        <v>15264846</v>
      </c>
    </row>
    <row r="2863" spans="1:4" x14ac:dyDescent="0.3">
      <c r="A2863" s="5" t="s">
        <v>92</v>
      </c>
      <c r="B2863" s="5" t="s">
        <v>93</v>
      </c>
      <c r="C2863" s="6">
        <v>1961</v>
      </c>
      <c r="D2863" s="7">
        <v>15662374</v>
      </c>
    </row>
    <row r="2864" spans="1:4" x14ac:dyDescent="0.3">
      <c r="A2864" s="2" t="s">
        <v>92</v>
      </c>
      <c r="B2864" s="2" t="s">
        <v>93</v>
      </c>
      <c r="C2864" s="3">
        <v>1962</v>
      </c>
      <c r="D2864" s="4">
        <v>16075724</v>
      </c>
    </row>
    <row r="2865" spans="1:4" x14ac:dyDescent="0.3">
      <c r="A2865" s="5" t="s">
        <v>92</v>
      </c>
      <c r="B2865" s="5" t="s">
        <v>93</v>
      </c>
      <c r="C2865" s="6">
        <v>1963</v>
      </c>
      <c r="D2865" s="7">
        <v>16507599</v>
      </c>
    </row>
    <row r="2866" spans="1:4" x14ac:dyDescent="0.3">
      <c r="A2866" s="2" t="s">
        <v>92</v>
      </c>
      <c r="B2866" s="2" t="s">
        <v>93</v>
      </c>
      <c r="C2866" s="3">
        <v>1964</v>
      </c>
      <c r="D2866" s="4">
        <v>16955327</v>
      </c>
    </row>
    <row r="2867" spans="1:4" x14ac:dyDescent="0.3">
      <c r="A2867" s="5" t="s">
        <v>92</v>
      </c>
      <c r="B2867" s="5" t="s">
        <v>93</v>
      </c>
      <c r="C2867" s="6">
        <v>1965</v>
      </c>
      <c r="D2867" s="7">
        <v>17427802</v>
      </c>
    </row>
    <row r="2868" spans="1:4" x14ac:dyDescent="0.3">
      <c r="A2868" s="2" t="s">
        <v>92</v>
      </c>
      <c r="B2868" s="2" t="s">
        <v>93</v>
      </c>
      <c r="C2868" s="3">
        <v>1966</v>
      </c>
      <c r="D2868" s="4">
        <v>17931929</v>
      </c>
    </row>
    <row r="2869" spans="1:4" x14ac:dyDescent="0.3">
      <c r="A2869" s="5" t="s">
        <v>92</v>
      </c>
      <c r="B2869" s="5" t="s">
        <v>93</v>
      </c>
      <c r="C2869" s="6">
        <v>1967</v>
      </c>
      <c r="D2869" s="7">
        <v>18462782</v>
      </c>
    </row>
    <row r="2870" spans="1:4" x14ac:dyDescent="0.3">
      <c r="A2870" s="2" t="s">
        <v>92</v>
      </c>
      <c r="B2870" s="2" t="s">
        <v>93</v>
      </c>
      <c r="C2870" s="3">
        <v>1968</v>
      </c>
      <c r="D2870" s="4">
        <v>19012189</v>
      </c>
    </row>
    <row r="2871" spans="1:4" x14ac:dyDescent="0.3">
      <c r="A2871" s="5" t="s">
        <v>92</v>
      </c>
      <c r="B2871" s="5" t="s">
        <v>93</v>
      </c>
      <c r="C2871" s="6">
        <v>1969</v>
      </c>
      <c r="D2871" s="7">
        <v>19570445</v>
      </c>
    </row>
    <row r="2872" spans="1:4" x14ac:dyDescent="0.3">
      <c r="A2872" s="2" t="s">
        <v>92</v>
      </c>
      <c r="B2872" s="2" t="s">
        <v>93</v>
      </c>
      <c r="C2872" s="3">
        <v>1970</v>
      </c>
      <c r="D2872" s="4">
        <v>20137436</v>
      </c>
    </row>
    <row r="2873" spans="1:4" x14ac:dyDescent="0.3">
      <c r="A2873" s="5" t="s">
        <v>92</v>
      </c>
      <c r="B2873" s="5" t="s">
        <v>93</v>
      </c>
      <c r="C2873" s="6">
        <v>1971</v>
      </c>
      <c r="D2873" s="7">
        <v>20695569</v>
      </c>
    </row>
    <row r="2874" spans="1:4" x14ac:dyDescent="0.3">
      <c r="A2874" s="2" t="s">
        <v>92</v>
      </c>
      <c r="B2874" s="2" t="s">
        <v>93</v>
      </c>
      <c r="C2874" s="3">
        <v>1972</v>
      </c>
      <c r="D2874" s="4">
        <v>21251160</v>
      </c>
    </row>
    <row r="2875" spans="1:4" x14ac:dyDescent="0.3">
      <c r="A2875" s="5" t="s">
        <v>92</v>
      </c>
      <c r="B2875" s="5" t="s">
        <v>93</v>
      </c>
      <c r="C2875" s="6">
        <v>1973</v>
      </c>
      <c r="D2875" s="7">
        <v>21827665</v>
      </c>
    </row>
    <row r="2876" spans="1:4" x14ac:dyDescent="0.3">
      <c r="A2876" s="2" t="s">
        <v>92</v>
      </c>
      <c r="B2876" s="2" t="s">
        <v>93</v>
      </c>
      <c r="C2876" s="3">
        <v>1974</v>
      </c>
      <c r="D2876" s="4">
        <v>22418878</v>
      </c>
    </row>
    <row r="2877" spans="1:4" x14ac:dyDescent="0.3">
      <c r="A2877" s="5" t="s">
        <v>92</v>
      </c>
      <c r="B2877" s="5" t="s">
        <v>93</v>
      </c>
      <c r="C2877" s="6">
        <v>1975</v>
      </c>
      <c r="D2877" s="7">
        <v>23021101</v>
      </c>
    </row>
    <row r="2878" spans="1:4" x14ac:dyDescent="0.3">
      <c r="A2878" s="2" t="s">
        <v>92</v>
      </c>
      <c r="B2878" s="2" t="s">
        <v>93</v>
      </c>
      <c r="C2878" s="3">
        <v>1976</v>
      </c>
      <c r="D2878" s="4">
        <v>23624031</v>
      </c>
    </row>
    <row r="2879" spans="1:4" x14ac:dyDescent="0.3">
      <c r="A2879" s="5" t="s">
        <v>92</v>
      </c>
      <c r="B2879" s="5" t="s">
        <v>93</v>
      </c>
      <c r="C2879" s="6">
        <v>1977</v>
      </c>
      <c r="D2879" s="7">
        <v>24229061</v>
      </c>
    </row>
    <row r="2880" spans="1:4" x14ac:dyDescent="0.3">
      <c r="A2880" s="2" t="s">
        <v>92</v>
      </c>
      <c r="B2880" s="2" t="s">
        <v>93</v>
      </c>
      <c r="C2880" s="3">
        <v>1978</v>
      </c>
      <c r="D2880" s="4">
        <v>24992689</v>
      </c>
    </row>
    <row r="2881" spans="1:4" x14ac:dyDescent="0.3">
      <c r="A2881" s="5" t="s">
        <v>92</v>
      </c>
      <c r="B2881" s="5" t="s">
        <v>93</v>
      </c>
      <c r="C2881" s="6">
        <v>1979</v>
      </c>
      <c r="D2881" s="7">
        <v>25886782</v>
      </c>
    </row>
    <row r="2882" spans="1:4" x14ac:dyDescent="0.3">
      <c r="A2882" s="2" t="s">
        <v>92</v>
      </c>
      <c r="B2882" s="2" t="s">
        <v>93</v>
      </c>
      <c r="C2882" s="3">
        <v>1980</v>
      </c>
      <c r="D2882" s="4">
        <v>26711099</v>
      </c>
    </row>
    <row r="2883" spans="1:4" x14ac:dyDescent="0.3">
      <c r="A2883" s="5" t="s">
        <v>92</v>
      </c>
      <c r="B2883" s="5" t="s">
        <v>93</v>
      </c>
      <c r="C2883" s="6">
        <v>1981</v>
      </c>
      <c r="D2883" s="7">
        <v>27500515</v>
      </c>
    </row>
    <row r="2884" spans="1:4" x14ac:dyDescent="0.3">
      <c r="A2884" s="2" t="s">
        <v>92</v>
      </c>
      <c r="B2884" s="2" t="s">
        <v>93</v>
      </c>
      <c r="C2884" s="3">
        <v>1982</v>
      </c>
      <c r="D2884" s="4">
        <v>28338190</v>
      </c>
    </row>
    <row r="2885" spans="1:4" x14ac:dyDescent="0.3">
      <c r="A2885" s="5" t="s">
        <v>92</v>
      </c>
      <c r="B2885" s="5" t="s">
        <v>93</v>
      </c>
      <c r="C2885" s="6">
        <v>1983</v>
      </c>
      <c r="D2885" s="7">
        <v>29250963</v>
      </c>
    </row>
    <row r="2886" spans="1:4" x14ac:dyDescent="0.3">
      <c r="A2886" s="2" t="s">
        <v>92</v>
      </c>
      <c r="B2886" s="2" t="s">
        <v>93</v>
      </c>
      <c r="C2886" s="3">
        <v>1984</v>
      </c>
      <c r="D2886" s="4">
        <v>30245081</v>
      </c>
    </row>
    <row r="2887" spans="1:4" x14ac:dyDescent="0.3">
      <c r="A2887" s="5" t="s">
        <v>92</v>
      </c>
      <c r="B2887" s="5" t="s">
        <v>93</v>
      </c>
      <c r="C2887" s="6">
        <v>1985</v>
      </c>
      <c r="D2887" s="7">
        <v>31264816</v>
      </c>
    </row>
    <row r="2888" spans="1:4" x14ac:dyDescent="0.3">
      <c r="A2888" s="2" t="s">
        <v>92</v>
      </c>
      <c r="B2888" s="2" t="s">
        <v>93</v>
      </c>
      <c r="C2888" s="3">
        <v>1986</v>
      </c>
      <c r="D2888" s="4">
        <v>32265196</v>
      </c>
    </row>
    <row r="2889" spans="1:4" x14ac:dyDescent="0.3">
      <c r="A2889" s="5" t="s">
        <v>92</v>
      </c>
      <c r="B2889" s="5" t="s">
        <v>93</v>
      </c>
      <c r="C2889" s="6">
        <v>1987</v>
      </c>
      <c r="D2889" s="7">
        <v>33298904</v>
      </c>
    </row>
    <row r="2890" spans="1:4" x14ac:dyDescent="0.3">
      <c r="A2890" s="2" t="s">
        <v>92</v>
      </c>
      <c r="B2890" s="2" t="s">
        <v>93</v>
      </c>
      <c r="C2890" s="3">
        <v>1988</v>
      </c>
      <c r="D2890" s="4">
        <v>34382752</v>
      </c>
    </row>
    <row r="2891" spans="1:4" x14ac:dyDescent="0.3">
      <c r="A2891" s="5" t="s">
        <v>92</v>
      </c>
      <c r="B2891" s="5" t="s">
        <v>93</v>
      </c>
      <c r="C2891" s="6">
        <v>1989</v>
      </c>
      <c r="D2891" s="7">
        <v>35486866</v>
      </c>
    </row>
    <row r="2892" spans="1:4" x14ac:dyDescent="0.3">
      <c r="A2892" s="2" t="s">
        <v>92</v>
      </c>
      <c r="B2892" s="2" t="s">
        <v>93</v>
      </c>
      <c r="C2892" s="3">
        <v>1990</v>
      </c>
      <c r="D2892" s="4">
        <v>36684063</v>
      </c>
    </row>
    <row r="2893" spans="1:4" x14ac:dyDescent="0.3">
      <c r="A2893" s="5" t="s">
        <v>92</v>
      </c>
      <c r="B2893" s="5" t="s">
        <v>93</v>
      </c>
      <c r="C2893" s="6">
        <v>1991</v>
      </c>
      <c r="D2893" s="7">
        <v>37925817</v>
      </c>
    </row>
    <row r="2894" spans="1:4" x14ac:dyDescent="0.3">
      <c r="A2894" s="2" t="s">
        <v>92</v>
      </c>
      <c r="B2894" s="2" t="s">
        <v>93</v>
      </c>
      <c r="C2894" s="3">
        <v>1992</v>
      </c>
      <c r="D2894" s="4">
        <v>39228910</v>
      </c>
    </row>
    <row r="2895" spans="1:4" x14ac:dyDescent="0.3">
      <c r="A2895" s="5" t="s">
        <v>92</v>
      </c>
      <c r="B2895" s="5" t="s">
        <v>93</v>
      </c>
      <c r="C2895" s="6">
        <v>1993</v>
      </c>
      <c r="D2895" s="7">
        <v>40656336</v>
      </c>
    </row>
    <row r="2896" spans="1:4" x14ac:dyDescent="0.3">
      <c r="A2896" s="2" t="s">
        <v>92</v>
      </c>
      <c r="B2896" s="2" t="s">
        <v>93</v>
      </c>
      <c r="C2896" s="3">
        <v>1994</v>
      </c>
      <c r="D2896" s="4">
        <v>42626876</v>
      </c>
    </row>
    <row r="2897" spans="1:4" x14ac:dyDescent="0.3">
      <c r="A2897" s="5" t="s">
        <v>92</v>
      </c>
      <c r="B2897" s="5" t="s">
        <v>93</v>
      </c>
      <c r="C2897" s="6">
        <v>1995</v>
      </c>
      <c r="D2897" s="7">
        <v>44433704</v>
      </c>
    </row>
    <row r="2898" spans="1:4" x14ac:dyDescent="0.3">
      <c r="A2898" s="2" t="s">
        <v>92</v>
      </c>
      <c r="B2898" s="2" t="s">
        <v>93</v>
      </c>
      <c r="C2898" s="3">
        <v>1996</v>
      </c>
      <c r="D2898" s="4">
        <v>45296124</v>
      </c>
    </row>
    <row r="2899" spans="1:4" x14ac:dyDescent="0.3">
      <c r="A2899" s="5" t="s">
        <v>92</v>
      </c>
      <c r="B2899" s="5" t="s">
        <v>93</v>
      </c>
      <c r="C2899" s="6">
        <v>1997</v>
      </c>
      <c r="D2899" s="7">
        <v>46029902</v>
      </c>
    </row>
    <row r="2900" spans="1:4" x14ac:dyDescent="0.3">
      <c r="A2900" s="2" t="s">
        <v>92</v>
      </c>
      <c r="B2900" s="2" t="s">
        <v>93</v>
      </c>
      <c r="C2900" s="3">
        <v>1998</v>
      </c>
      <c r="D2900" s="4">
        <v>47297600</v>
      </c>
    </row>
    <row r="2901" spans="1:4" x14ac:dyDescent="0.3">
      <c r="A2901" s="5" t="s">
        <v>92</v>
      </c>
      <c r="B2901" s="5" t="s">
        <v>93</v>
      </c>
      <c r="C2901" s="6">
        <v>1999</v>
      </c>
      <c r="D2901" s="7">
        <v>48912971</v>
      </c>
    </row>
    <row r="2902" spans="1:4" x14ac:dyDescent="0.3">
      <c r="A2902" s="2" t="s">
        <v>92</v>
      </c>
      <c r="B2902" s="2" t="s">
        <v>93</v>
      </c>
      <c r="C2902" s="3">
        <v>2000</v>
      </c>
      <c r="D2902" s="4">
        <v>50507442</v>
      </c>
    </row>
    <row r="2903" spans="1:4" x14ac:dyDescent="0.3">
      <c r="A2903" s="5" t="s">
        <v>92</v>
      </c>
      <c r="B2903" s="5" t="s">
        <v>93</v>
      </c>
      <c r="C2903" s="6">
        <v>2001</v>
      </c>
      <c r="D2903" s="7">
        <v>52132646</v>
      </c>
    </row>
    <row r="2904" spans="1:4" x14ac:dyDescent="0.3">
      <c r="A2904" s="2" t="s">
        <v>92</v>
      </c>
      <c r="B2904" s="2" t="s">
        <v>93</v>
      </c>
      <c r="C2904" s="3">
        <v>2002</v>
      </c>
      <c r="D2904" s="4">
        <v>53750524</v>
      </c>
    </row>
    <row r="2905" spans="1:4" x14ac:dyDescent="0.3">
      <c r="A2905" s="5" t="s">
        <v>92</v>
      </c>
      <c r="B2905" s="5" t="s">
        <v>93</v>
      </c>
      <c r="C2905" s="6">
        <v>2003</v>
      </c>
      <c r="D2905" s="7">
        <v>55343867</v>
      </c>
    </row>
    <row r="2906" spans="1:4" x14ac:dyDescent="0.3">
      <c r="A2906" s="2" t="s">
        <v>92</v>
      </c>
      <c r="B2906" s="2" t="s">
        <v>93</v>
      </c>
      <c r="C2906" s="3">
        <v>2004</v>
      </c>
      <c r="D2906" s="4">
        <v>56997741</v>
      </c>
    </row>
    <row r="2907" spans="1:4" x14ac:dyDescent="0.3">
      <c r="A2907" s="5" t="s">
        <v>92</v>
      </c>
      <c r="B2907" s="5" t="s">
        <v>93</v>
      </c>
      <c r="C2907" s="6">
        <v>2005</v>
      </c>
      <c r="D2907" s="7">
        <v>58775724</v>
      </c>
    </row>
    <row r="2908" spans="1:4" x14ac:dyDescent="0.3">
      <c r="A2908" s="2" t="s">
        <v>92</v>
      </c>
      <c r="B2908" s="2" t="s">
        <v>93</v>
      </c>
      <c r="C2908" s="3">
        <v>2006</v>
      </c>
      <c r="D2908" s="4">
        <v>60615908</v>
      </c>
    </row>
    <row r="2909" spans="1:4" x14ac:dyDescent="0.3">
      <c r="A2909" s="5" t="s">
        <v>92</v>
      </c>
      <c r="B2909" s="5" t="s">
        <v>93</v>
      </c>
      <c r="C2909" s="6">
        <v>2007</v>
      </c>
      <c r="D2909" s="7">
        <v>62477752</v>
      </c>
    </row>
    <row r="2910" spans="1:4" x14ac:dyDescent="0.3">
      <c r="A2910" s="2" t="s">
        <v>92</v>
      </c>
      <c r="B2910" s="2" t="s">
        <v>93</v>
      </c>
      <c r="C2910" s="3">
        <v>2008</v>
      </c>
      <c r="D2910" s="4">
        <v>64390664</v>
      </c>
    </row>
    <row r="2911" spans="1:4" x14ac:dyDescent="0.3">
      <c r="A2911" s="5" t="s">
        <v>92</v>
      </c>
      <c r="B2911" s="5" t="s">
        <v>93</v>
      </c>
      <c r="C2911" s="6">
        <v>2009</v>
      </c>
      <c r="D2911" s="7">
        <v>66412044</v>
      </c>
    </row>
    <row r="2912" spans="1:4" x14ac:dyDescent="0.3">
      <c r="A2912" s="2" t="s">
        <v>92</v>
      </c>
      <c r="B2912" s="2" t="s">
        <v>93</v>
      </c>
      <c r="C2912" s="3">
        <v>2010</v>
      </c>
      <c r="D2912" s="4">
        <v>68563038</v>
      </c>
    </row>
    <row r="2913" spans="1:4" x14ac:dyDescent="0.3">
      <c r="A2913" s="5" t="s">
        <v>92</v>
      </c>
      <c r="B2913" s="5" t="s">
        <v>93</v>
      </c>
      <c r="C2913" s="6">
        <v>2011</v>
      </c>
      <c r="D2913" s="7">
        <v>70849311</v>
      </c>
    </row>
    <row r="2914" spans="1:4" x14ac:dyDescent="0.3">
      <c r="A2914" s="2" t="s">
        <v>92</v>
      </c>
      <c r="B2914" s="2" t="s">
        <v>93</v>
      </c>
      <c r="C2914" s="3">
        <v>2012</v>
      </c>
      <c r="D2914" s="4">
        <v>73254618</v>
      </c>
    </row>
    <row r="2915" spans="1:4" x14ac:dyDescent="0.3">
      <c r="A2915" s="5" t="s">
        <v>92</v>
      </c>
      <c r="B2915" s="5" t="s">
        <v>93</v>
      </c>
      <c r="C2915" s="6">
        <v>2013</v>
      </c>
      <c r="D2915" s="7">
        <v>75789395</v>
      </c>
    </row>
    <row r="2916" spans="1:4" x14ac:dyDescent="0.3">
      <c r="A2916" s="2" t="s">
        <v>92</v>
      </c>
      <c r="B2916" s="2" t="s">
        <v>93</v>
      </c>
      <c r="C2916" s="3">
        <v>2014</v>
      </c>
      <c r="D2916" s="4">
        <v>78403242</v>
      </c>
    </row>
    <row r="2917" spans="1:4" x14ac:dyDescent="0.3">
      <c r="A2917" s="5" t="s">
        <v>92</v>
      </c>
      <c r="B2917" s="5" t="s">
        <v>93</v>
      </c>
      <c r="C2917" s="6">
        <v>2015</v>
      </c>
      <c r="D2917" s="7">
        <v>81035531</v>
      </c>
    </row>
    <row r="2918" spans="1:4" x14ac:dyDescent="0.3">
      <c r="A2918" s="2" t="s">
        <v>92</v>
      </c>
      <c r="B2918" s="2" t="s">
        <v>93</v>
      </c>
      <c r="C2918" s="3">
        <v>2016</v>
      </c>
      <c r="D2918" s="4">
        <v>83956415</v>
      </c>
    </row>
    <row r="2919" spans="1:4" x14ac:dyDescent="0.3">
      <c r="A2919" s="5" t="s">
        <v>92</v>
      </c>
      <c r="B2919" s="5" t="s">
        <v>93</v>
      </c>
      <c r="C2919" s="6">
        <v>2017</v>
      </c>
      <c r="D2919" s="7">
        <v>87083398</v>
      </c>
    </row>
    <row r="2920" spans="1:4" x14ac:dyDescent="0.3">
      <c r="A2920" s="2" t="s">
        <v>92</v>
      </c>
      <c r="B2920" s="2" t="s">
        <v>93</v>
      </c>
      <c r="C2920" s="3">
        <v>2018</v>
      </c>
      <c r="D2920" s="4">
        <v>90047644</v>
      </c>
    </row>
    <row r="2921" spans="1:4" x14ac:dyDescent="0.3">
      <c r="A2921" s="5" t="s">
        <v>92</v>
      </c>
      <c r="B2921" s="5" t="s">
        <v>93</v>
      </c>
      <c r="C2921" s="6">
        <v>2019</v>
      </c>
      <c r="D2921" s="7">
        <v>92947442</v>
      </c>
    </row>
    <row r="2922" spans="1:4" x14ac:dyDescent="0.3">
      <c r="A2922" s="2" t="s">
        <v>92</v>
      </c>
      <c r="B2922" s="2" t="s">
        <v>93</v>
      </c>
      <c r="C2922" s="3">
        <v>2020</v>
      </c>
      <c r="D2922" s="4">
        <v>95989998</v>
      </c>
    </row>
    <row r="2923" spans="1:4" x14ac:dyDescent="0.3">
      <c r="A2923" s="5" t="s">
        <v>92</v>
      </c>
      <c r="B2923" s="5" t="s">
        <v>93</v>
      </c>
      <c r="C2923" s="6">
        <v>2021</v>
      </c>
      <c r="D2923" s="7">
        <v>99148932</v>
      </c>
    </row>
    <row r="2924" spans="1:4" x14ac:dyDescent="0.3">
      <c r="A2924" s="2" t="s">
        <v>92</v>
      </c>
      <c r="B2924" s="2" t="s">
        <v>93</v>
      </c>
      <c r="C2924" s="3">
        <v>2022</v>
      </c>
      <c r="D2924" s="4">
        <v>102396968</v>
      </c>
    </row>
    <row r="2925" spans="1:4" x14ac:dyDescent="0.3">
      <c r="A2925" s="5" t="s">
        <v>92</v>
      </c>
      <c r="B2925" s="5" t="s">
        <v>93</v>
      </c>
      <c r="C2925" s="6">
        <v>2023</v>
      </c>
      <c r="D2925" s="7">
        <v>105789731</v>
      </c>
    </row>
    <row r="2926" spans="1:4" x14ac:dyDescent="0.3">
      <c r="A2926" s="2" t="s">
        <v>92</v>
      </c>
      <c r="B2926" s="2" t="s">
        <v>93</v>
      </c>
      <c r="C2926" s="3">
        <v>2024</v>
      </c>
      <c r="D2926" s="4">
        <v>109276265</v>
      </c>
    </row>
    <row r="2927" spans="1:4" x14ac:dyDescent="0.3">
      <c r="A2927" s="5" t="s">
        <v>94</v>
      </c>
      <c r="B2927" s="5" t="s">
        <v>95</v>
      </c>
      <c r="C2927" s="6">
        <v>1960</v>
      </c>
      <c r="D2927" s="7">
        <v>1056732</v>
      </c>
    </row>
    <row r="2928" spans="1:4" x14ac:dyDescent="0.3">
      <c r="A2928" s="2" t="s">
        <v>94</v>
      </c>
      <c r="B2928" s="2" t="s">
        <v>95</v>
      </c>
      <c r="C2928" s="3">
        <v>1961</v>
      </c>
      <c r="D2928" s="4">
        <v>1084389</v>
      </c>
    </row>
    <row r="2929" spans="1:4" x14ac:dyDescent="0.3">
      <c r="A2929" s="5" t="s">
        <v>94</v>
      </c>
      <c r="B2929" s="5" t="s">
        <v>95</v>
      </c>
      <c r="C2929" s="6">
        <v>1962</v>
      </c>
      <c r="D2929" s="7">
        <v>1113175</v>
      </c>
    </row>
    <row r="2930" spans="1:4" x14ac:dyDescent="0.3">
      <c r="A2930" s="2" t="s">
        <v>94</v>
      </c>
      <c r="B2930" s="2" t="s">
        <v>95</v>
      </c>
      <c r="C2930" s="3">
        <v>1963</v>
      </c>
      <c r="D2930" s="4">
        <v>1143263</v>
      </c>
    </row>
    <row r="2931" spans="1:4" x14ac:dyDescent="0.3">
      <c r="A2931" s="5" t="s">
        <v>94</v>
      </c>
      <c r="B2931" s="5" t="s">
        <v>95</v>
      </c>
      <c r="C2931" s="6">
        <v>1964</v>
      </c>
      <c r="D2931" s="7">
        <v>1174816</v>
      </c>
    </row>
    <row r="2932" spans="1:4" x14ac:dyDescent="0.3">
      <c r="A2932" s="2" t="s">
        <v>94</v>
      </c>
      <c r="B2932" s="2" t="s">
        <v>95</v>
      </c>
      <c r="C2932" s="3">
        <v>1965</v>
      </c>
      <c r="D2932" s="4">
        <v>1207880</v>
      </c>
    </row>
    <row r="2933" spans="1:4" x14ac:dyDescent="0.3">
      <c r="A2933" s="5" t="s">
        <v>94</v>
      </c>
      <c r="B2933" s="5" t="s">
        <v>95</v>
      </c>
      <c r="C2933" s="6">
        <v>1966</v>
      </c>
      <c r="D2933" s="7">
        <v>1242534</v>
      </c>
    </row>
    <row r="2934" spans="1:4" x14ac:dyDescent="0.3">
      <c r="A2934" s="2" t="s">
        <v>94</v>
      </c>
      <c r="B2934" s="2" t="s">
        <v>95</v>
      </c>
      <c r="C2934" s="3">
        <v>1967</v>
      </c>
      <c r="D2934" s="4">
        <v>1278691</v>
      </c>
    </row>
    <row r="2935" spans="1:4" x14ac:dyDescent="0.3">
      <c r="A2935" s="5" t="s">
        <v>94</v>
      </c>
      <c r="B2935" s="5" t="s">
        <v>95</v>
      </c>
      <c r="C2935" s="6">
        <v>1968</v>
      </c>
      <c r="D2935" s="7">
        <v>1316519</v>
      </c>
    </row>
    <row r="2936" spans="1:4" x14ac:dyDescent="0.3">
      <c r="A2936" s="2" t="s">
        <v>94</v>
      </c>
      <c r="B2936" s="2" t="s">
        <v>95</v>
      </c>
      <c r="C2936" s="3">
        <v>1969</v>
      </c>
      <c r="D2936" s="4">
        <v>1356182</v>
      </c>
    </row>
    <row r="2937" spans="1:4" x14ac:dyDescent="0.3">
      <c r="A2937" s="5" t="s">
        <v>94</v>
      </c>
      <c r="B2937" s="5" t="s">
        <v>95</v>
      </c>
      <c r="C2937" s="6">
        <v>1970</v>
      </c>
      <c r="D2937" s="7">
        <v>1397638</v>
      </c>
    </row>
    <row r="2938" spans="1:4" x14ac:dyDescent="0.3">
      <c r="A2938" s="2" t="s">
        <v>94</v>
      </c>
      <c r="B2938" s="2" t="s">
        <v>95</v>
      </c>
      <c r="C2938" s="3">
        <v>1971</v>
      </c>
      <c r="D2938" s="4">
        <v>1441039</v>
      </c>
    </row>
    <row r="2939" spans="1:4" x14ac:dyDescent="0.3">
      <c r="A2939" s="5" t="s">
        <v>94</v>
      </c>
      <c r="B2939" s="5" t="s">
        <v>95</v>
      </c>
      <c r="C2939" s="6">
        <v>1972</v>
      </c>
      <c r="D2939" s="7">
        <v>1486468</v>
      </c>
    </row>
    <row r="2940" spans="1:4" x14ac:dyDescent="0.3">
      <c r="A2940" s="2" t="s">
        <v>94</v>
      </c>
      <c r="B2940" s="2" t="s">
        <v>95</v>
      </c>
      <c r="C2940" s="3">
        <v>1973</v>
      </c>
      <c r="D2940" s="4">
        <v>1533680</v>
      </c>
    </row>
    <row r="2941" spans="1:4" x14ac:dyDescent="0.3">
      <c r="A2941" s="5" t="s">
        <v>94</v>
      </c>
      <c r="B2941" s="5" t="s">
        <v>95</v>
      </c>
      <c r="C2941" s="6">
        <v>1974</v>
      </c>
      <c r="D2941" s="7">
        <v>1582301</v>
      </c>
    </row>
    <row r="2942" spans="1:4" x14ac:dyDescent="0.3">
      <c r="A2942" s="2" t="s">
        <v>94</v>
      </c>
      <c r="B2942" s="2" t="s">
        <v>95</v>
      </c>
      <c r="C2942" s="3">
        <v>1975</v>
      </c>
      <c r="D2942" s="4">
        <v>1627032</v>
      </c>
    </row>
    <row r="2943" spans="1:4" x14ac:dyDescent="0.3">
      <c r="A2943" s="5" t="s">
        <v>94</v>
      </c>
      <c r="B2943" s="5" t="s">
        <v>95</v>
      </c>
      <c r="C2943" s="6">
        <v>1976</v>
      </c>
      <c r="D2943" s="7">
        <v>1667225</v>
      </c>
    </row>
    <row r="2944" spans="1:4" x14ac:dyDescent="0.3">
      <c r="A2944" s="2" t="s">
        <v>94</v>
      </c>
      <c r="B2944" s="2" t="s">
        <v>95</v>
      </c>
      <c r="C2944" s="3">
        <v>1977</v>
      </c>
      <c r="D2944" s="4">
        <v>1707568</v>
      </c>
    </row>
    <row r="2945" spans="1:4" x14ac:dyDescent="0.3">
      <c r="A2945" s="5" t="s">
        <v>94</v>
      </c>
      <c r="B2945" s="5" t="s">
        <v>95</v>
      </c>
      <c r="C2945" s="6">
        <v>1978</v>
      </c>
      <c r="D2945" s="7">
        <v>1748089</v>
      </c>
    </row>
    <row r="2946" spans="1:4" x14ac:dyDescent="0.3">
      <c r="A2946" s="2" t="s">
        <v>94</v>
      </c>
      <c r="B2946" s="2" t="s">
        <v>95</v>
      </c>
      <c r="C2946" s="3">
        <v>1979</v>
      </c>
      <c r="D2946" s="4">
        <v>1788524</v>
      </c>
    </row>
    <row r="2947" spans="1:4" x14ac:dyDescent="0.3">
      <c r="A2947" s="5" t="s">
        <v>94</v>
      </c>
      <c r="B2947" s="5" t="s">
        <v>95</v>
      </c>
      <c r="C2947" s="6">
        <v>1980</v>
      </c>
      <c r="D2947" s="7">
        <v>1828985</v>
      </c>
    </row>
    <row r="2948" spans="1:4" x14ac:dyDescent="0.3">
      <c r="A2948" s="2" t="s">
        <v>94</v>
      </c>
      <c r="B2948" s="2" t="s">
        <v>95</v>
      </c>
      <c r="C2948" s="3">
        <v>1981</v>
      </c>
      <c r="D2948" s="4">
        <v>1869759</v>
      </c>
    </row>
    <row r="2949" spans="1:4" x14ac:dyDescent="0.3">
      <c r="A2949" s="5" t="s">
        <v>94</v>
      </c>
      <c r="B2949" s="5" t="s">
        <v>95</v>
      </c>
      <c r="C2949" s="6">
        <v>1982</v>
      </c>
      <c r="D2949" s="7">
        <v>1910430</v>
      </c>
    </row>
    <row r="2950" spans="1:4" x14ac:dyDescent="0.3">
      <c r="A2950" s="2" t="s">
        <v>94</v>
      </c>
      <c r="B2950" s="2" t="s">
        <v>95</v>
      </c>
      <c r="C2950" s="3">
        <v>1983</v>
      </c>
      <c r="D2950" s="4">
        <v>1950321</v>
      </c>
    </row>
    <row r="2951" spans="1:4" x14ac:dyDescent="0.3">
      <c r="A2951" s="5" t="s">
        <v>94</v>
      </c>
      <c r="B2951" s="5" t="s">
        <v>95</v>
      </c>
      <c r="C2951" s="6">
        <v>1984</v>
      </c>
      <c r="D2951" s="7">
        <v>1999528</v>
      </c>
    </row>
    <row r="2952" spans="1:4" x14ac:dyDescent="0.3">
      <c r="A2952" s="2" t="s">
        <v>94</v>
      </c>
      <c r="B2952" s="2" t="s">
        <v>95</v>
      </c>
      <c r="C2952" s="3">
        <v>1985</v>
      </c>
      <c r="D2952" s="4">
        <v>2059311</v>
      </c>
    </row>
    <row r="2953" spans="1:4" x14ac:dyDescent="0.3">
      <c r="A2953" s="5" t="s">
        <v>94</v>
      </c>
      <c r="B2953" s="5" t="s">
        <v>95</v>
      </c>
      <c r="C2953" s="6">
        <v>1986</v>
      </c>
      <c r="D2953" s="7">
        <v>2120602</v>
      </c>
    </row>
    <row r="2954" spans="1:4" x14ac:dyDescent="0.3">
      <c r="A2954" s="2" t="s">
        <v>94</v>
      </c>
      <c r="B2954" s="2" t="s">
        <v>95</v>
      </c>
      <c r="C2954" s="3">
        <v>1987</v>
      </c>
      <c r="D2954" s="4">
        <v>2183473</v>
      </c>
    </row>
    <row r="2955" spans="1:4" x14ac:dyDescent="0.3">
      <c r="A2955" s="5" t="s">
        <v>94</v>
      </c>
      <c r="B2955" s="5" t="s">
        <v>95</v>
      </c>
      <c r="C2955" s="6">
        <v>1988</v>
      </c>
      <c r="D2955" s="7">
        <v>2247653</v>
      </c>
    </row>
    <row r="2956" spans="1:4" x14ac:dyDescent="0.3">
      <c r="A2956" s="2" t="s">
        <v>94</v>
      </c>
      <c r="B2956" s="2" t="s">
        <v>95</v>
      </c>
      <c r="C2956" s="3">
        <v>1989</v>
      </c>
      <c r="D2956" s="4">
        <v>2313558</v>
      </c>
    </row>
    <row r="2957" spans="1:4" x14ac:dyDescent="0.3">
      <c r="A2957" s="5" t="s">
        <v>94</v>
      </c>
      <c r="B2957" s="5" t="s">
        <v>95</v>
      </c>
      <c r="C2957" s="6">
        <v>1990</v>
      </c>
      <c r="D2957" s="7">
        <v>2380560</v>
      </c>
    </row>
    <row r="2958" spans="1:4" x14ac:dyDescent="0.3">
      <c r="A2958" s="2" t="s">
        <v>94</v>
      </c>
      <c r="B2958" s="2" t="s">
        <v>95</v>
      </c>
      <c r="C2958" s="3">
        <v>1991</v>
      </c>
      <c r="D2958" s="4">
        <v>2449229</v>
      </c>
    </row>
    <row r="2959" spans="1:4" x14ac:dyDescent="0.3">
      <c r="A2959" s="5" t="s">
        <v>94</v>
      </c>
      <c r="B2959" s="5" t="s">
        <v>95</v>
      </c>
      <c r="C2959" s="6">
        <v>1992</v>
      </c>
      <c r="D2959" s="7">
        <v>2519465</v>
      </c>
    </row>
    <row r="2960" spans="1:4" x14ac:dyDescent="0.3">
      <c r="A2960" s="2" t="s">
        <v>94</v>
      </c>
      <c r="B2960" s="2" t="s">
        <v>95</v>
      </c>
      <c r="C2960" s="3">
        <v>1993</v>
      </c>
      <c r="D2960" s="4">
        <v>2595124</v>
      </c>
    </row>
    <row r="2961" spans="1:4" x14ac:dyDescent="0.3">
      <c r="A2961" s="5" t="s">
        <v>94</v>
      </c>
      <c r="B2961" s="5" t="s">
        <v>95</v>
      </c>
      <c r="C2961" s="6">
        <v>1994</v>
      </c>
      <c r="D2961" s="7">
        <v>2673144</v>
      </c>
    </row>
    <row r="2962" spans="1:4" x14ac:dyDescent="0.3">
      <c r="A2962" s="2" t="s">
        <v>94</v>
      </c>
      <c r="B2962" s="2" t="s">
        <v>95</v>
      </c>
      <c r="C2962" s="3">
        <v>1995</v>
      </c>
      <c r="D2962" s="4">
        <v>2749461</v>
      </c>
    </row>
    <row r="2963" spans="1:4" x14ac:dyDescent="0.3">
      <c r="A2963" s="5" t="s">
        <v>94</v>
      </c>
      <c r="B2963" s="5" t="s">
        <v>95</v>
      </c>
      <c r="C2963" s="6">
        <v>1996</v>
      </c>
      <c r="D2963" s="7">
        <v>2826785</v>
      </c>
    </row>
    <row r="2964" spans="1:4" x14ac:dyDescent="0.3">
      <c r="A2964" s="2" t="s">
        <v>94</v>
      </c>
      <c r="B2964" s="2" t="s">
        <v>95</v>
      </c>
      <c r="C2964" s="3">
        <v>1997</v>
      </c>
      <c r="D2964" s="4">
        <v>2887862</v>
      </c>
    </row>
    <row r="2965" spans="1:4" x14ac:dyDescent="0.3">
      <c r="A2965" s="5" t="s">
        <v>94</v>
      </c>
      <c r="B2965" s="5" t="s">
        <v>95</v>
      </c>
      <c r="C2965" s="6">
        <v>1998</v>
      </c>
      <c r="D2965" s="7">
        <v>2952061</v>
      </c>
    </row>
    <row r="2966" spans="1:4" x14ac:dyDescent="0.3">
      <c r="A2966" s="2" t="s">
        <v>94</v>
      </c>
      <c r="B2966" s="2" t="s">
        <v>95</v>
      </c>
      <c r="C2966" s="3">
        <v>1999</v>
      </c>
      <c r="D2966" s="4">
        <v>3032874</v>
      </c>
    </row>
    <row r="2967" spans="1:4" x14ac:dyDescent="0.3">
      <c r="A2967" s="5" t="s">
        <v>94</v>
      </c>
      <c r="B2967" s="5" t="s">
        <v>95</v>
      </c>
      <c r="C2967" s="6">
        <v>2000</v>
      </c>
      <c r="D2967" s="7">
        <v>3151345</v>
      </c>
    </row>
    <row r="2968" spans="1:4" x14ac:dyDescent="0.3">
      <c r="A2968" s="2" t="s">
        <v>94</v>
      </c>
      <c r="B2968" s="2" t="s">
        <v>95</v>
      </c>
      <c r="C2968" s="3">
        <v>2001</v>
      </c>
      <c r="D2968" s="4">
        <v>3272537</v>
      </c>
    </row>
    <row r="2969" spans="1:4" x14ac:dyDescent="0.3">
      <c r="A2969" s="5" t="s">
        <v>94</v>
      </c>
      <c r="B2969" s="5" t="s">
        <v>95</v>
      </c>
      <c r="C2969" s="6">
        <v>2002</v>
      </c>
      <c r="D2969" s="7">
        <v>3350771</v>
      </c>
    </row>
    <row r="2970" spans="1:4" x14ac:dyDescent="0.3">
      <c r="A2970" s="2" t="s">
        <v>94</v>
      </c>
      <c r="B2970" s="2" t="s">
        <v>95</v>
      </c>
      <c r="C2970" s="3">
        <v>2003</v>
      </c>
      <c r="D2970" s="4">
        <v>3445753</v>
      </c>
    </row>
    <row r="2971" spans="1:4" x14ac:dyDescent="0.3">
      <c r="A2971" s="5" t="s">
        <v>94</v>
      </c>
      <c r="B2971" s="5" t="s">
        <v>95</v>
      </c>
      <c r="C2971" s="6">
        <v>2004</v>
      </c>
      <c r="D2971" s="7">
        <v>3565554</v>
      </c>
    </row>
    <row r="2972" spans="1:4" x14ac:dyDescent="0.3">
      <c r="A2972" s="2" t="s">
        <v>94</v>
      </c>
      <c r="B2972" s="2" t="s">
        <v>95</v>
      </c>
      <c r="C2972" s="3">
        <v>2005</v>
      </c>
      <c r="D2972" s="4">
        <v>3696393</v>
      </c>
    </row>
    <row r="2973" spans="1:4" x14ac:dyDescent="0.3">
      <c r="A2973" s="5" t="s">
        <v>94</v>
      </c>
      <c r="B2973" s="5" t="s">
        <v>95</v>
      </c>
      <c r="C2973" s="6">
        <v>2006</v>
      </c>
      <c r="D2973" s="7">
        <v>3837409</v>
      </c>
    </row>
    <row r="2974" spans="1:4" x14ac:dyDescent="0.3">
      <c r="A2974" s="2" t="s">
        <v>94</v>
      </c>
      <c r="B2974" s="2" t="s">
        <v>95</v>
      </c>
      <c r="C2974" s="3">
        <v>2007</v>
      </c>
      <c r="D2974" s="4">
        <v>3980430</v>
      </c>
    </row>
    <row r="2975" spans="1:4" x14ac:dyDescent="0.3">
      <c r="A2975" s="5" t="s">
        <v>94</v>
      </c>
      <c r="B2975" s="5" t="s">
        <v>95</v>
      </c>
      <c r="C2975" s="6">
        <v>2008</v>
      </c>
      <c r="D2975" s="7">
        <v>4113517</v>
      </c>
    </row>
    <row r="2976" spans="1:4" x14ac:dyDescent="0.3">
      <c r="A2976" s="2" t="s">
        <v>94</v>
      </c>
      <c r="B2976" s="2" t="s">
        <v>95</v>
      </c>
      <c r="C2976" s="3">
        <v>2009</v>
      </c>
      <c r="D2976" s="4">
        <v>4281219</v>
      </c>
    </row>
    <row r="2977" spans="1:4" x14ac:dyDescent="0.3">
      <c r="A2977" s="5" t="s">
        <v>94</v>
      </c>
      <c r="B2977" s="5" t="s">
        <v>95</v>
      </c>
      <c r="C2977" s="6">
        <v>2010</v>
      </c>
      <c r="D2977" s="7">
        <v>4462290</v>
      </c>
    </row>
    <row r="2978" spans="1:4" x14ac:dyDescent="0.3">
      <c r="A2978" s="2" t="s">
        <v>94</v>
      </c>
      <c r="B2978" s="2" t="s">
        <v>95</v>
      </c>
      <c r="C2978" s="3">
        <v>2011</v>
      </c>
      <c r="D2978" s="4">
        <v>4609724</v>
      </c>
    </row>
    <row r="2979" spans="1:4" x14ac:dyDescent="0.3">
      <c r="A2979" s="5" t="s">
        <v>94</v>
      </c>
      <c r="B2979" s="5" t="s">
        <v>95</v>
      </c>
      <c r="C2979" s="6">
        <v>2012</v>
      </c>
      <c r="D2979" s="7">
        <v>4740450</v>
      </c>
    </row>
    <row r="2980" spans="1:4" x14ac:dyDescent="0.3">
      <c r="A2980" s="2" t="s">
        <v>94</v>
      </c>
      <c r="B2980" s="2" t="s">
        <v>95</v>
      </c>
      <c r="C2980" s="3">
        <v>2013</v>
      </c>
      <c r="D2980" s="4">
        <v>4857099</v>
      </c>
    </row>
    <row r="2981" spans="1:4" x14ac:dyDescent="0.3">
      <c r="A2981" s="5" t="s">
        <v>94</v>
      </c>
      <c r="B2981" s="5" t="s">
        <v>95</v>
      </c>
      <c r="C2981" s="6">
        <v>2014</v>
      </c>
      <c r="D2981" s="7">
        <v>4975880</v>
      </c>
    </row>
    <row r="2982" spans="1:4" x14ac:dyDescent="0.3">
      <c r="A2982" s="2" t="s">
        <v>94</v>
      </c>
      <c r="B2982" s="2" t="s">
        <v>95</v>
      </c>
      <c r="C2982" s="3">
        <v>2015</v>
      </c>
      <c r="D2982" s="4">
        <v>5097581</v>
      </c>
    </row>
    <row r="2983" spans="1:4" x14ac:dyDescent="0.3">
      <c r="A2983" s="5" t="s">
        <v>94</v>
      </c>
      <c r="B2983" s="5" t="s">
        <v>95</v>
      </c>
      <c r="C2983" s="6">
        <v>2016</v>
      </c>
      <c r="D2983" s="7">
        <v>5222536</v>
      </c>
    </row>
    <row r="2984" spans="1:4" x14ac:dyDescent="0.3">
      <c r="A2984" s="2" t="s">
        <v>94</v>
      </c>
      <c r="B2984" s="2" t="s">
        <v>95</v>
      </c>
      <c r="C2984" s="3">
        <v>2017</v>
      </c>
      <c r="D2984" s="4">
        <v>5351011</v>
      </c>
    </row>
    <row r="2985" spans="1:4" x14ac:dyDescent="0.3">
      <c r="A2985" s="5" t="s">
        <v>94</v>
      </c>
      <c r="B2985" s="5" t="s">
        <v>95</v>
      </c>
      <c r="C2985" s="6">
        <v>2018</v>
      </c>
      <c r="D2985" s="7">
        <v>5483118</v>
      </c>
    </row>
    <row r="2986" spans="1:4" x14ac:dyDescent="0.3">
      <c r="A2986" s="2" t="s">
        <v>94</v>
      </c>
      <c r="B2986" s="2" t="s">
        <v>95</v>
      </c>
      <c r="C2986" s="3">
        <v>2019</v>
      </c>
      <c r="D2986" s="4">
        <v>5616661</v>
      </c>
    </row>
    <row r="2987" spans="1:4" x14ac:dyDescent="0.3">
      <c r="A2987" s="5" t="s">
        <v>94</v>
      </c>
      <c r="B2987" s="5" t="s">
        <v>95</v>
      </c>
      <c r="C2987" s="6">
        <v>2020</v>
      </c>
      <c r="D2987" s="7">
        <v>5752791</v>
      </c>
    </row>
    <row r="2988" spans="1:4" x14ac:dyDescent="0.3">
      <c r="A2988" s="2" t="s">
        <v>94</v>
      </c>
      <c r="B2988" s="2" t="s">
        <v>95</v>
      </c>
      <c r="C2988" s="3">
        <v>2021</v>
      </c>
      <c r="D2988" s="4">
        <v>5892183</v>
      </c>
    </row>
    <row r="2989" spans="1:4" x14ac:dyDescent="0.3">
      <c r="A2989" s="5" t="s">
        <v>94</v>
      </c>
      <c r="B2989" s="5" t="s">
        <v>95</v>
      </c>
      <c r="C2989" s="6">
        <v>2022</v>
      </c>
      <c r="D2989" s="7">
        <v>6035104</v>
      </c>
    </row>
    <row r="2990" spans="1:4" x14ac:dyDescent="0.3">
      <c r="A2990" s="2" t="s">
        <v>94</v>
      </c>
      <c r="B2990" s="2" t="s">
        <v>95</v>
      </c>
      <c r="C2990" s="3">
        <v>2023</v>
      </c>
      <c r="D2990" s="4">
        <v>6182885</v>
      </c>
    </row>
    <row r="2991" spans="1:4" x14ac:dyDescent="0.3">
      <c r="A2991" s="5" t="s">
        <v>94</v>
      </c>
      <c r="B2991" s="5" t="s">
        <v>95</v>
      </c>
      <c r="C2991" s="6">
        <v>2024</v>
      </c>
      <c r="D2991" s="7">
        <v>6332961</v>
      </c>
    </row>
    <row r="2992" spans="1:4" x14ac:dyDescent="0.3">
      <c r="A2992" s="2" t="s">
        <v>96</v>
      </c>
      <c r="B2992" s="2" t="s">
        <v>97</v>
      </c>
      <c r="C2992" s="3">
        <v>1960</v>
      </c>
      <c r="D2992" s="4">
        <v>1327496</v>
      </c>
    </row>
    <row r="2993" spans="1:4" x14ac:dyDescent="0.3">
      <c r="A2993" s="5" t="s">
        <v>96</v>
      </c>
      <c r="B2993" s="5" t="s">
        <v>97</v>
      </c>
      <c r="C2993" s="6">
        <v>1961</v>
      </c>
      <c r="D2993" s="7">
        <v>1377920</v>
      </c>
    </row>
    <row r="2994" spans="1:4" x14ac:dyDescent="0.3">
      <c r="A2994" s="2" t="s">
        <v>96</v>
      </c>
      <c r="B2994" s="2" t="s">
        <v>97</v>
      </c>
      <c r="C2994" s="3">
        <v>1962</v>
      </c>
      <c r="D2994" s="4">
        <v>1429445</v>
      </c>
    </row>
    <row r="2995" spans="1:4" x14ac:dyDescent="0.3">
      <c r="A2995" s="5" t="s">
        <v>96</v>
      </c>
      <c r="B2995" s="5" t="s">
        <v>97</v>
      </c>
      <c r="C2995" s="6">
        <v>1963</v>
      </c>
      <c r="D2995" s="7">
        <v>1481604</v>
      </c>
    </row>
    <row r="2996" spans="1:4" x14ac:dyDescent="0.3">
      <c r="A2996" s="2" t="s">
        <v>96</v>
      </c>
      <c r="B2996" s="2" t="s">
        <v>97</v>
      </c>
      <c r="C2996" s="3">
        <v>1964</v>
      </c>
      <c r="D2996" s="4">
        <v>1533960</v>
      </c>
    </row>
    <row r="2997" spans="1:4" x14ac:dyDescent="0.3">
      <c r="A2997" s="5" t="s">
        <v>96</v>
      </c>
      <c r="B2997" s="5" t="s">
        <v>97</v>
      </c>
      <c r="C2997" s="6">
        <v>1965</v>
      </c>
      <c r="D2997" s="7">
        <v>1586208</v>
      </c>
    </row>
    <row r="2998" spans="1:4" x14ac:dyDescent="0.3">
      <c r="A2998" s="2" t="s">
        <v>96</v>
      </c>
      <c r="B2998" s="2" t="s">
        <v>97</v>
      </c>
      <c r="C2998" s="3">
        <v>1966</v>
      </c>
      <c r="D2998" s="4">
        <v>1638116</v>
      </c>
    </row>
    <row r="2999" spans="1:4" x14ac:dyDescent="0.3">
      <c r="A2999" s="5" t="s">
        <v>96</v>
      </c>
      <c r="B2999" s="5" t="s">
        <v>97</v>
      </c>
      <c r="C2999" s="6">
        <v>1967</v>
      </c>
      <c r="D2999" s="7">
        <v>1689523</v>
      </c>
    </row>
    <row r="3000" spans="1:4" x14ac:dyDescent="0.3">
      <c r="A3000" s="2" t="s">
        <v>96</v>
      </c>
      <c r="B3000" s="2" t="s">
        <v>97</v>
      </c>
      <c r="C3000" s="3">
        <v>1968</v>
      </c>
      <c r="D3000" s="4">
        <v>1739731</v>
      </c>
    </row>
    <row r="3001" spans="1:4" x14ac:dyDescent="0.3">
      <c r="A3001" s="5" t="s">
        <v>96</v>
      </c>
      <c r="B3001" s="5" t="s">
        <v>97</v>
      </c>
      <c r="C3001" s="6">
        <v>1969</v>
      </c>
      <c r="D3001" s="7">
        <v>1789276</v>
      </c>
    </row>
    <row r="3002" spans="1:4" x14ac:dyDescent="0.3">
      <c r="A3002" s="2" t="s">
        <v>96</v>
      </c>
      <c r="B3002" s="2" t="s">
        <v>97</v>
      </c>
      <c r="C3002" s="3">
        <v>1970</v>
      </c>
      <c r="D3002" s="4">
        <v>1838949</v>
      </c>
    </row>
    <row r="3003" spans="1:4" x14ac:dyDescent="0.3">
      <c r="A3003" s="5" t="s">
        <v>96</v>
      </c>
      <c r="B3003" s="5" t="s">
        <v>97</v>
      </c>
      <c r="C3003" s="6">
        <v>1971</v>
      </c>
      <c r="D3003" s="7">
        <v>1888539</v>
      </c>
    </row>
    <row r="3004" spans="1:4" x14ac:dyDescent="0.3">
      <c r="A3004" s="2" t="s">
        <v>96</v>
      </c>
      <c r="B3004" s="2" t="s">
        <v>97</v>
      </c>
      <c r="C3004" s="3">
        <v>1972</v>
      </c>
      <c r="D3004" s="4">
        <v>1938248</v>
      </c>
    </row>
    <row r="3005" spans="1:4" x14ac:dyDescent="0.3">
      <c r="A3005" s="5" t="s">
        <v>96</v>
      </c>
      <c r="B3005" s="5" t="s">
        <v>97</v>
      </c>
      <c r="C3005" s="6">
        <v>1973</v>
      </c>
      <c r="D3005" s="7">
        <v>1988343</v>
      </c>
    </row>
    <row r="3006" spans="1:4" x14ac:dyDescent="0.3">
      <c r="A3006" s="2" t="s">
        <v>96</v>
      </c>
      <c r="B3006" s="2" t="s">
        <v>97</v>
      </c>
      <c r="C3006" s="3">
        <v>1974</v>
      </c>
      <c r="D3006" s="4">
        <v>2039643</v>
      </c>
    </row>
    <row r="3007" spans="1:4" x14ac:dyDescent="0.3">
      <c r="A3007" s="5" t="s">
        <v>96</v>
      </c>
      <c r="B3007" s="5" t="s">
        <v>97</v>
      </c>
      <c r="C3007" s="6">
        <v>1975</v>
      </c>
      <c r="D3007" s="7">
        <v>2092719</v>
      </c>
    </row>
    <row r="3008" spans="1:4" x14ac:dyDescent="0.3">
      <c r="A3008" s="2" t="s">
        <v>96</v>
      </c>
      <c r="B3008" s="2" t="s">
        <v>97</v>
      </c>
      <c r="C3008" s="3">
        <v>1976</v>
      </c>
      <c r="D3008" s="4">
        <v>2147774</v>
      </c>
    </row>
    <row r="3009" spans="1:4" x14ac:dyDescent="0.3">
      <c r="A3009" s="5" t="s">
        <v>96</v>
      </c>
      <c r="B3009" s="5" t="s">
        <v>97</v>
      </c>
      <c r="C3009" s="6">
        <v>1977</v>
      </c>
      <c r="D3009" s="7">
        <v>2205025</v>
      </c>
    </row>
    <row r="3010" spans="1:4" x14ac:dyDescent="0.3">
      <c r="A3010" s="2" t="s">
        <v>96</v>
      </c>
      <c r="B3010" s="2" t="s">
        <v>97</v>
      </c>
      <c r="C3010" s="3">
        <v>1978</v>
      </c>
      <c r="D3010" s="4">
        <v>2264510</v>
      </c>
    </row>
    <row r="3011" spans="1:4" x14ac:dyDescent="0.3">
      <c r="A3011" s="5" t="s">
        <v>96</v>
      </c>
      <c r="B3011" s="5" t="s">
        <v>97</v>
      </c>
      <c r="C3011" s="6">
        <v>1979</v>
      </c>
      <c r="D3011" s="7">
        <v>2326490</v>
      </c>
    </row>
    <row r="3012" spans="1:4" x14ac:dyDescent="0.3">
      <c r="A3012" s="2" t="s">
        <v>96</v>
      </c>
      <c r="B3012" s="2" t="s">
        <v>97</v>
      </c>
      <c r="C3012" s="3">
        <v>1980</v>
      </c>
      <c r="D3012" s="4">
        <v>2390633</v>
      </c>
    </row>
    <row r="3013" spans="1:4" x14ac:dyDescent="0.3">
      <c r="A3013" s="5" t="s">
        <v>96</v>
      </c>
      <c r="B3013" s="5" t="s">
        <v>97</v>
      </c>
      <c r="C3013" s="6">
        <v>1981</v>
      </c>
      <c r="D3013" s="7">
        <v>2456637</v>
      </c>
    </row>
    <row r="3014" spans="1:4" x14ac:dyDescent="0.3">
      <c r="A3014" s="2" t="s">
        <v>96</v>
      </c>
      <c r="B3014" s="2" t="s">
        <v>97</v>
      </c>
      <c r="C3014" s="3">
        <v>1982</v>
      </c>
      <c r="D3014" s="4">
        <v>2524806</v>
      </c>
    </row>
    <row r="3015" spans="1:4" x14ac:dyDescent="0.3">
      <c r="A3015" s="5" t="s">
        <v>96</v>
      </c>
      <c r="B3015" s="5" t="s">
        <v>97</v>
      </c>
      <c r="C3015" s="6">
        <v>1983</v>
      </c>
      <c r="D3015" s="7">
        <v>2595153</v>
      </c>
    </row>
    <row r="3016" spans="1:4" x14ac:dyDescent="0.3">
      <c r="A3016" s="2" t="s">
        <v>96</v>
      </c>
      <c r="B3016" s="2" t="s">
        <v>97</v>
      </c>
      <c r="C3016" s="3">
        <v>1984</v>
      </c>
      <c r="D3016" s="4">
        <v>2667595</v>
      </c>
    </row>
    <row r="3017" spans="1:4" x14ac:dyDescent="0.3">
      <c r="A3017" s="5" t="s">
        <v>96</v>
      </c>
      <c r="B3017" s="5" t="s">
        <v>97</v>
      </c>
      <c r="C3017" s="6">
        <v>1985</v>
      </c>
      <c r="D3017" s="7">
        <v>2741894</v>
      </c>
    </row>
    <row r="3018" spans="1:4" x14ac:dyDescent="0.3">
      <c r="A3018" s="2" t="s">
        <v>96</v>
      </c>
      <c r="B3018" s="2" t="s">
        <v>97</v>
      </c>
      <c r="C3018" s="3">
        <v>1986</v>
      </c>
      <c r="D3018" s="4">
        <v>2817216</v>
      </c>
    </row>
    <row r="3019" spans="1:4" x14ac:dyDescent="0.3">
      <c r="A3019" s="5" t="s">
        <v>96</v>
      </c>
      <c r="B3019" s="5" t="s">
        <v>97</v>
      </c>
      <c r="C3019" s="6">
        <v>1987</v>
      </c>
      <c r="D3019" s="7">
        <v>2892699</v>
      </c>
    </row>
    <row r="3020" spans="1:4" x14ac:dyDescent="0.3">
      <c r="A3020" s="2" t="s">
        <v>96</v>
      </c>
      <c r="B3020" s="2" t="s">
        <v>97</v>
      </c>
      <c r="C3020" s="3">
        <v>1988</v>
      </c>
      <c r="D3020" s="4">
        <v>2968103</v>
      </c>
    </row>
    <row r="3021" spans="1:4" x14ac:dyDescent="0.3">
      <c r="A3021" s="5" t="s">
        <v>96</v>
      </c>
      <c r="B3021" s="5" t="s">
        <v>97</v>
      </c>
      <c r="C3021" s="6">
        <v>1989</v>
      </c>
      <c r="D3021" s="7">
        <v>3043827</v>
      </c>
    </row>
    <row r="3022" spans="1:4" x14ac:dyDescent="0.3">
      <c r="A3022" s="2" t="s">
        <v>96</v>
      </c>
      <c r="B3022" s="2" t="s">
        <v>97</v>
      </c>
      <c r="C3022" s="3">
        <v>1990</v>
      </c>
      <c r="D3022" s="4">
        <v>3121706</v>
      </c>
    </row>
    <row r="3023" spans="1:4" x14ac:dyDescent="0.3">
      <c r="A3023" s="5" t="s">
        <v>96</v>
      </c>
      <c r="B3023" s="5" t="s">
        <v>97</v>
      </c>
      <c r="C3023" s="6">
        <v>1991</v>
      </c>
      <c r="D3023" s="7">
        <v>3202176</v>
      </c>
    </row>
    <row r="3024" spans="1:4" x14ac:dyDescent="0.3">
      <c r="A3024" s="2" t="s">
        <v>96</v>
      </c>
      <c r="B3024" s="2" t="s">
        <v>97</v>
      </c>
      <c r="C3024" s="3">
        <v>1992</v>
      </c>
      <c r="D3024" s="4">
        <v>3284258</v>
      </c>
    </row>
    <row r="3025" spans="1:4" x14ac:dyDescent="0.3">
      <c r="A3025" s="5" t="s">
        <v>96</v>
      </c>
      <c r="B3025" s="5" t="s">
        <v>97</v>
      </c>
      <c r="C3025" s="6">
        <v>1993</v>
      </c>
      <c r="D3025" s="7">
        <v>3367434</v>
      </c>
    </row>
    <row r="3026" spans="1:4" x14ac:dyDescent="0.3">
      <c r="A3026" s="2" t="s">
        <v>96</v>
      </c>
      <c r="B3026" s="2" t="s">
        <v>97</v>
      </c>
      <c r="C3026" s="3">
        <v>1994</v>
      </c>
      <c r="D3026" s="4">
        <v>3451122</v>
      </c>
    </row>
    <row r="3027" spans="1:4" x14ac:dyDescent="0.3">
      <c r="A3027" s="5" t="s">
        <v>96</v>
      </c>
      <c r="B3027" s="5" t="s">
        <v>97</v>
      </c>
      <c r="C3027" s="6">
        <v>1995</v>
      </c>
      <c r="D3027" s="7">
        <v>3535176</v>
      </c>
    </row>
    <row r="3028" spans="1:4" x14ac:dyDescent="0.3">
      <c r="A3028" s="2" t="s">
        <v>96</v>
      </c>
      <c r="B3028" s="2" t="s">
        <v>97</v>
      </c>
      <c r="C3028" s="3">
        <v>1996</v>
      </c>
      <c r="D3028" s="4">
        <v>3619013</v>
      </c>
    </row>
    <row r="3029" spans="1:4" x14ac:dyDescent="0.3">
      <c r="A3029" s="5" t="s">
        <v>96</v>
      </c>
      <c r="B3029" s="5" t="s">
        <v>97</v>
      </c>
      <c r="C3029" s="6">
        <v>1997</v>
      </c>
      <c r="D3029" s="7">
        <v>3701711</v>
      </c>
    </row>
    <row r="3030" spans="1:4" x14ac:dyDescent="0.3">
      <c r="A3030" s="2" t="s">
        <v>96</v>
      </c>
      <c r="B3030" s="2" t="s">
        <v>97</v>
      </c>
      <c r="C3030" s="3">
        <v>1998</v>
      </c>
      <c r="D3030" s="4">
        <v>3782838</v>
      </c>
    </row>
    <row r="3031" spans="1:4" x14ac:dyDescent="0.3">
      <c r="A3031" s="5" t="s">
        <v>96</v>
      </c>
      <c r="B3031" s="5" t="s">
        <v>97</v>
      </c>
      <c r="C3031" s="6">
        <v>1999</v>
      </c>
      <c r="D3031" s="7">
        <v>3862101</v>
      </c>
    </row>
    <row r="3032" spans="1:4" x14ac:dyDescent="0.3">
      <c r="A3032" s="2" t="s">
        <v>96</v>
      </c>
      <c r="B3032" s="2" t="s">
        <v>97</v>
      </c>
      <c r="C3032" s="3">
        <v>2000</v>
      </c>
      <c r="D3032" s="4">
        <v>3937739</v>
      </c>
    </row>
    <row r="3033" spans="1:4" x14ac:dyDescent="0.3">
      <c r="A3033" s="5" t="s">
        <v>96</v>
      </c>
      <c r="B3033" s="5" t="s">
        <v>97</v>
      </c>
      <c r="C3033" s="6">
        <v>2001</v>
      </c>
      <c r="D3033" s="7">
        <v>4008947</v>
      </c>
    </row>
    <row r="3034" spans="1:4" x14ac:dyDescent="0.3">
      <c r="A3034" s="2" t="s">
        <v>96</v>
      </c>
      <c r="B3034" s="2" t="s">
        <v>97</v>
      </c>
      <c r="C3034" s="3">
        <v>2002</v>
      </c>
      <c r="D3034" s="4">
        <v>4075705</v>
      </c>
    </row>
    <row r="3035" spans="1:4" x14ac:dyDescent="0.3">
      <c r="A3035" s="5" t="s">
        <v>96</v>
      </c>
      <c r="B3035" s="5" t="s">
        <v>97</v>
      </c>
      <c r="C3035" s="6">
        <v>2003</v>
      </c>
      <c r="D3035" s="7">
        <v>4138784</v>
      </c>
    </row>
    <row r="3036" spans="1:4" x14ac:dyDescent="0.3">
      <c r="A3036" s="2" t="s">
        <v>96</v>
      </c>
      <c r="B3036" s="2" t="s">
        <v>97</v>
      </c>
      <c r="C3036" s="3">
        <v>2004</v>
      </c>
      <c r="D3036" s="4">
        <v>4200078</v>
      </c>
    </row>
    <row r="3037" spans="1:4" x14ac:dyDescent="0.3">
      <c r="A3037" s="5" t="s">
        <v>96</v>
      </c>
      <c r="B3037" s="5" t="s">
        <v>97</v>
      </c>
      <c r="C3037" s="6">
        <v>2005</v>
      </c>
      <c r="D3037" s="7">
        <v>4261240</v>
      </c>
    </row>
    <row r="3038" spans="1:4" x14ac:dyDescent="0.3">
      <c r="A3038" s="2" t="s">
        <v>96</v>
      </c>
      <c r="B3038" s="2" t="s">
        <v>97</v>
      </c>
      <c r="C3038" s="3">
        <v>2006</v>
      </c>
      <c r="D3038" s="4">
        <v>4321340</v>
      </c>
    </row>
    <row r="3039" spans="1:4" x14ac:dyDescent="0.3">
      <c r="A3039" s="5" t="s">
        <v>96</v>
      </c>
      <c r="B3039" s="5" t="s">
        <v>97</v>
      </c>
      <c r="C3039" s="6">
        <v>2007</v>
      </c>
      <c r="D3039" s="7">
        <v>4380248</v>
      </c>
    </row>
    <row r="3040" spans="1:4" x14ac:dyDescent="0.3">
      <c r="A3040" s="2" t="s">
        <v>96</v>
      </c>
      <c r="B3040" s="2" t="s">
        <v>97</v>
      </c>
      <c r="C3040" s="3">
        <v>2008</v>
      </c>
      <c r="D3040" s="4">
        <v>4440056</v>
      </c>
    </row>
    <row r="3041" spans="1:4" x14ac:dyDescent="0.3">
      <c r="A3041" s="5" t="s">
        <v>96</v>
      </c>
      <c r="B3041" s="5" t="s">
        <v>97</v>
      </c>
      <c r="C3041" s="6">
        <v>2009</v>
      </c>
      <c r="D3041" s="7">
        <v>4499791</v>
      </c>
    </row>
    <row r="3042" spans="1:4" x14ac:dyDescent="0.3">
      <c r="A3042" s="2" t="s">
        <v>96</v>
      </c>
      <c r="B3042" s="2" t="s">
        <v>97</v>
      </c>
      <c r="C3042" s="3">
        <v>2010</v>
      </c>
      <c r="D3042" s="4">
        <v>4555962</v>
      </c>
    </row>
    <row r="3043" spans="1:4" x14ac:dyDescent="0.3">
      <c r="A3043" s="5" t="s">
        <v>96</v>
      </c>
      <c r="B3043" s="5" t="s">
        <v>97</v>
      </c>
      <c r="C3043" s="6">
        <v>2011</v>
      </c>
      <c r="D3043" s="7">
        <v>4609833</v>
      </c>
    </row>
    <row r="3044" spans="1:4" x14ac:dyDescent="0.3">
      <c r="A3044" s="2" t="s">
        <v>96</v>
      </c>
      <c r="B3044" s="2" t="s">
        <v>97</v>
      </c>
      <c r="C3044" s="3">
        <v>2012</v>
      </c>
      <c r="D3044" s="4">
        <v>4663934</v>
      </c>
    </row>
    <row r="3045" spans="1:4" x14ac:dyDescent="0.3">
      <c r="A3045" s="5" t="s">
        <v>96</v>
      </c>
      <c r="B3045" s="5" t="s">
        <v>97</v>
      </c>
      <c r="C3045" s="6">
        <v>2013</v>
      </c>
      <c r="D3045" s="7">
        <v>4716147</v>
      </c>
    </row>
    <row r="3046" spans="1:4" x14ac:dyDescent="0.3">
      <c r="A3046" s="2" t="s">
        <v>96</v>
      </c>
      <c r="B3046" s="2" t="s">
        <v>97</v>
      </c>
      <c r="C3046" s="3">
        <v>2014</v>
      </c>
      <c r="D3046" s="4">
        <v>4767119</v>
      </c>
    </row>
    <row r="3047" spans="1:4" x14ac:dyDescent="0.3">
      <c r="A3047" s="5" t="s">
        <v>96</v>
      </c>
      <c r="B3047" s="5" t="s">
        <v>97</v>
      </c>
      <c r="C3047" s="6">
        <v>2015</v>
      </c>
      <c r="D3047" s="7">
        <v>4818038</v>
      </c>
    </row>
    <row r="3048" spans="1:4" x14ac:dyDescent="0.3">
      <c r="A3048" s="2" t="s">
        <v>96</v>
      </c>
      <c r="B3048" s="2" t="s">
        <v>97</v>
      </c>
      <c r="C3048" s="3">
        <v>2016</v>
      </c>
      <c r="D3048" s="4">
        <v>4866998</v>
      </c>
    </row>
    <row r="3049" spans="1:4" x14ac:dyDescent="0.3">
      <c r="A3049" s="5" t="s">
        <v>96</v>
      </c>
      <c r="B3049" s="5" t="s">
        <v>97</v>
      </c>
      <c r="C3049" s="6">
        <v>2017</v>
      </c>
      <c r="D3049" s="7">
        <v>4913177</v>
      </c>
    </row>
    <row r="3050" spans="1:4" x14ac:dyDescent="0.3">
      <c r="A3050" s="2" t="s">
        <v>96</v>
      </c>
      <c r="B3050" s="2" t="s">
        <v>97</v>
      </c>
      <c r="C3050" s="3">
        <v>2018</v>
      </c>
      <c r="D3050" s="4">
        <v>4957818</v>
      </c>
    </row>
    <row r="3051" spans="1:4" x14ac:dyDescent="0.3">
      <c r="A3051" s="5" t="s">
        <v>96</v>
      </c>
      <c r="B3051" s="5" t="s">
        <v>97</v>
      </c>
      <c r="C3051" s="6">
        <v>2019</v>
      </c>
      <c r="D3051" s="7">
        <v>4999553</v>
      </c>
    </row>
    <row r="3052" spans="1:4" x14ac:dyDescent="0.3">
      <c r="A3052" s="2" t="s">
        <v>96</v>
      </c>
      <c r="B3052" s="2" t="s">
        <v>97</v>
      </c>
      <c r="C3052" s="3">
        <v>2020</v>
      </c>
      <c r="D3052" s="4">
        <v>5034320</v>
      </c>
    </row>
    <row r="3053" spans="1:4" x14ac:dyDescent="0.3">
      <c r="A3053" s="5" t="s">
        <v>96</v>
      </c>
      <c r="B3053" s="5" t="s">
        <v>97</v>
      </c>
      <c r="C3053" s="6">
        <v>2021</v>
      </c>
      <c r="D3053" s="7">
        <v>5059988</v>
      </c>
    </row>
    <row r="3054" spans="1:4" x14ac:dyDescent="0.3">
      <c r="A3054" s="2" t="s">
        <v>96</v>
      </c>
      <c r="B3054" s="2" t="s">
        <v>97</v>
      </c>
      <c r="C3054" s="3">
        <v>2022</v>
      </c>
      <c r="D3054" s="4">
        <v>5081765</v>
      </c>
    </row>
    <row r="3055" spans="1:4" x14ac:dyDescent="0.3">
      <c r="A3055" s="5" t="s">
        <v>96</v>
      </c>
      <c r="B3055" s="5" t="s">
        <v>97</v>
      </c>
      <c r="C3055" s="6">
        <v>2023</v>
      </c>
      <c r="D3055" s="7">
        <v>5105525</v>
      </c>
    </row>
    <row r="3056" spans="1:4" x14ac:dyDescent="0.3">
      <c r="A3056" s="2" t="s">
        <v>96</v>
      </c>
      <c r="B3056" s="2" t="s">
        <v>97</v>
      </c>
      <c r="C3056" s="3">
        <v>2024</v>
      </c>
      <c r="D3056" s="4">
        <v>5129910</v>
      </c>
    </row>
    <row r="3057" spans="1:4" x14ac:dyDescent="0.3">
      <c r="A3057" s="5" t="s">
        <v>98</v>
      </c>
      <c r="B3057" s="5" t="s">
        <v>99</v>
      </c>
      <c r="C3057" s="6">
        <v>1960</v>
      </c>
      <c r="D3057" s="7">
        <v>3673666</v>
      </c>
    </row>
    <row r="3058" spans="1:4" x14ac:dyDescent="0.3">
      <c r="A3058" s="2" t="s">
        <v>98</v>
      </c>
      <c r="B3058" s="2" t="s">
        <v>99</v>
      </c>
      <c r="C3058" s="3">
        <v>1961</v>
      </c>
      <c r="D3058" s="4">
        <v>3810151</v>
      </c>
    </row>
    <row r="3059" spans="1:4" x14ac:dyDescent="0.3">
      <c r="A3059" s="5" t="s">
        <v>98</v>
      </c>
      <c r="B3059" s="5" t="s">
        <v>99</v>
      </c>
      <c r="C3059" s="6">
        <v>1962</v>
      </c>
      <c r="D3059" s="7">
        <v>3956939</v>
      </c>
    </row>
    <row r="3060" spans="1:4" x14ac:dyDescent="0.3">
      <c r="A3060" s="2" t="s">
        <v>98</v>
      </c>
      <c r="B3060" s="2" t="s">
        <v>99</v>
      </c>
      <c r="C3060" s="3">
        <v>1963</v>
      </c>
      <c r="D3060" s="4">
        <v>4112061</v>
      </c>
    </row>
    <row r="3061" spans="1:4" x14ac:dyDescent="0.3">
      <c r="A3061" s="5" t="s">
        <v>98</v>
      </c>
      <c r="B3061" s="5" t="s">
        <v>99</v>
      </c>
      <c r="C3061" s="6">
        <v>1964</v>
      </c>
      <c r="D3061" s="7">
        <v>4273952</v>
      </c>
    </row>
    <row r="3062" spans="1:4" x14ac:dyDescent="0.3">
      <c r="A3062" s="2" t="s">
        <v>98</v>
      </c>
      <c r="B3062" s="2" t="s">
        <v>99</v>
      </c>
      <c r="C3062" s="3">
        <v>1965</v>
      </c>
      <c r="D3062" s="4">
        <v>4442377</v>
      </c>
    </row>
    <row r="3063" spans="1:4" x14ac:dyDescent="0.3">
      <c r="A3063" s="5" t="s">
        <v>98</v>
      </c>
      <c r="B3063" s="5" t="s">
        <v>99</v>
      </c>
      <c r="C3063" s="6">
        <v>1966</v>
      </c>
      <c r="D3063" s="7">
        <v>4617519</v>
      </c>
    </row>
    <row r="3064" spans="1:4" x14ac:dyDescent="0.3">
      <c r="A3064" s="2" t="s">
        <v>98</v>
      </c>
      <c r="B3064" s="2" t="s">
        <v>99</v>
      </c>
      <c r="C3064" s="3">
        <v>1967</v>
      </c>
      <c r="D3064" s="4">
        <v>4799744</v>
      </c>
    </row>
    <row r="3065" spans="1:4" x14ac:dyDescent="0.3">
      <c r="A3065" s="5" t="s">
        <v>98</v>
      </c>
      <c r="B3065" s="5" t="s">
        <v>99</v>
      </c>
      <c r="C3065" s="6">
        <v>1968</v>
      </c>
      <c r="D3065" s="7">
        <v>4990021</v>
      </c>
    </row>
    <row r="3066" spans="1:4" x14ac:dyDescent="0.3">
      <c r="A3066" s="2" t="s">
        <v>98</v>
      </c>
      <c r="B3066" s="2" t="s">
        <v>99</v>
      </c>
      <c r="C3066" s="3">
        <v>1969</v>
      </c>
      <c r="D3066" s="4">
        <v>5192221</v>
      </c>
    </row>
    <row r="3067" spans="1:4" x14ac:dyDescent="0.3">
      <c r="A3067" s="5" t="s">
        <v>98</v>
      </c>
      <c r="B3067" s="5" t="s">
        <v>99</v>
      </c>
      <c r="C3067" s="6">
        <v>1970</v>
      </c>
      <c r="D3067" s="7">
        <v>5411567</v>
      </c>
    </row>
    <row r="3068" spans="1:4" x14ac:dyDescent="0.3">
      <c r="A3068" s="2" t="s">
        <v>98</v>
      </c>
      <c r="B3068" s="2" t="s">
        <v>99</v>
      </c>
      <c r="C3068" s="3">
        <v>1971</v>
      </c>
      <c r="D3068" s="4">
        <v>5650868</v>
      </c>
    </row>
    <row r="3069" spans="1:4" x14ac:dyDescent="0.3">
      <c r="A3069" s="5" t="s">
        <v>98</v>
      </c>
      <c r="B3069" s="5" t="s">
        <v>99</v>
      </c>
      <c r="C3069" s="6">
        <v>1972</v>
      </c>
      <c r="D3069" s="7">
        <v>5909716</v>
      </c>
    </row>
    <row r="3070" spans="1:4" x14ac:dyDescent="0.3">
      <c r="A3070" s="2" t="s">
        <v>98</v>
      </c>
      <c r="B3070" s="2" t="s">
        <v>99</v>
      </c>
      <c r="C3070" s="3">
        <v>1973</v>
      </c>
      <c r="D3070" s="4">
        <v>6184944</v>
      </c>
    </row>
    <row r="3071" spans="1:4" x14ac:dyDescent="0.3">
      <c r="A3071" s="5" t="s">
        <v>98</v>
      </c>
      <c r="B3071" s="5" t="s">
        <v>99</v>
      </c>
      <c r="C3071" s="6">
        <v>1974</v>
      </c>
      <c r="D3071" s="7">
        <v>6474057</v>
      </c>
    </row>
    <row r="3072" spans="1:4" x14ac:dyDescent="0.3">
      <c r="A3072" s="2" t="s">
        <v>98</v>
      </c>
      <c r="B3072" s="2" t="s">
        <v>99</v>
      </c>
      <c r="C3072" s="3">
        <v>1975</v>
      </c>
      <c r="D3072" s="4">
        <v>6776297</v>
      </c>
    </row>
    <row r="3073" spans="1:4" x14ac:dyDescent="0.3">
      <c r="A3073" s="5" t="s">
        <v>98</v>
      </c>
      <c r="B3073" s="5" t="s">
        <v>99</v>
      </c>
      <c r="C3073" s="6">
        <v>1976</v>
      </c>
      <c r="D3073" s="7">
        <v>7057958</v>
      </c>
    </row>
    <row r="3074" spans="1:4" x14ac:dyDescent="0.3">
      <c r="A3074" s="2" t="s">
        <v>98</v>
      </c>
      <c r="B3074" s="2" t="s">
        <v>99</v>
      </c>
      <c r="C3074" s="3">
        <v>1977</v>
      </c>
      <c r="D3074" s="4">
        <v>7321950</v>
      </c>
    </row>
    <row r="3075" spans="1:4" x14ac:dyDescent="0.3">
      <c r="A3075" s="5" t="s">
        <v>98</v>
      </c>
      <c r="B3075" s="5" t="s">
        <v>99</v>
      </c>
      <c r="C3075" s="6">
        <v>1978</v>
      </c>
      <c r="D3075" s="7">
        <v>7603130</v>
      </c>
    </row>
    <row r="3076" spans="1:4" x14ac:dyDescent="0.3">
      <c r="A3076" s="2" t="s">
        <v>98</v>
      </c>
      <c r="B3076" s="2" t="s">
        <v>99</v>
      </c>
      <c r="C3076" s="3">
        <v>1979</v>
      </c>
      <c r="D3076" s="4">
        <v>7902267</v>
      </c>
    </row>
    <row r="3077" spans="1:4" x14ac:dyDescent="0.3">
      <c r="A3077" s="5" t="s">
        <v>98</v>
      </c>
      <c r="B3077" s="5" t="s">
        <v>99</v>
      </c>
      <c r="C3077" s="6">
        <v>1980</v>
      </c>
      <c r="D3077" s="7">
        <v>8220714</v>
      </c>
    </row>
    <row r="3078" spans="1:4" x14ac:dyDescent="0.3">
      <c r="A3078" s="2" t="s">
        <v>98</v>
      </c>
      <c r="B3078" s="2" t="s">
        <v>99</v>
      </c>
      <c r="C3078" s="3">
        <v>1981</v>
      </c>
      <c r="D3078" s="4">
        <v>8556596</v>
      </c>
    </row>
    <row r="3079" spans="1:4" x14ac:dyDescent="0.3">
      <c r="A3079" s="5" t="s">
        <v>98</v>
      </c>
      <c r="B3079" s="5" t="s">
        <v>99</v>
      </c>
      <c r="C3079" s="6">
        <v>1982</v>
      </c>
      <c r="D3079" s="7">
        <v>8907936</v>
      </c>
    </row>
    <row r="3080" spans="1:4" x14ac:dyDescent="0.3">
      <c r="A3080" s="2" t="s">
        <v>98</v>
      </c>
      <c r="B3080" s="2" t="s">
        <v>99</v>
      </c>
      <c r="C3080" s="3">
        <v>1983</v>
      </c>
      <c r="D3080" s="4">
        <v>9272744</v>
      </c>
    </row>
    <row r="3081" spans="1:4" x14ac:dyDescent="0.3">
      <c r="A3081" s="5" t="s">
        <v>98</v>
      </c>
      <c r="B3081" s="5" t="s">
        <v>99</v>
      </c>
      <c r="C3081" s="6">
        <v>1984</v>
      </c>
      <c r="D3081" s="7">
        <v>9650516</v>
      </c>
    </row>
    <row r="3082" spans="1:4" x14ac:dyDescent="0.3">
      <c r="A3082" s="2" t="s">
        <v>98</v>
      </c>
      <c r="B3082" s="2" t="s">
        <v>99</v>
      </c>
      <c r="C3082" s="3">
        <v>1985</v>
      </c>
      <c r="D3082" s="4">
        <v>10040483</v>
      </c>
    </row>
    <row r="3083" spans="1:4" x14ac:dyDescent="0.3">
      <c r="A3083" s="5" t="s">
        <v>98</v>
      </c>
      <c r="B3083" s="5" t="s">
        <v>99</v>
      </c>
      <c r="C3083" s="6">
        <v>1986</v>
      </c>
      <c r="D3083" s="7">
        <v>10440917</v>
      </c>
    </row>
    <row r="3084" spans="1:4" x14ac:dyDescent="0.3">
      <c r="A3084" s="2" t="s">
        <v>98</v>
      </c>
      <c r="B3084" s="2" t="s">
        <v>99</v>
      </c>
      <c r="C3084" s="3">
        <v>1987</v>
      </c>
      <c r="D3084" s="4">
        <v>10851475</v>
      </c>
    </row>
    <row r="3085" spans="1:4" x14ac:dyDescent="0.3">
      <c r="A3085" s="5" t="s">
        <v>98</v>
      </c>
      <c r="B3085" s="5" t="s">
        <v>99</v>
      </c>
      <c r="C3085" s="6">
        <v>1988</v>
      </c>
      <c r="D3085" s="7">
        <v>11275189</v>
      </c>
    </row>
    <row r="3086" spans="1:4" x14ac:dyDescent="0.3">
      <c r="A3086" s="2" t="s">
        <v>98</v>
      </c>
      <c r="B3086" s="2" t="s">
        <v>99</v>
      </c>
      <c r="C3086" s="3">
        <v>1989</v>
      </c>
      <c r="D3086" s="4">
        <v>11719771</v>
      </c>
    </row>
    <row r="3087" spans="1:4" x14ac:dyDescent="0.3">
      <c r="A3087" s="5" t="s">
        <v>98</v>
      </c>
      <c r="B3087" s="5" t="s">
        <v>99</v>
      </c>
      <c r="C3087" s="6">
        <v>1990</v>
      </c>
      <c r="D3087" s="7">
        <v>12189778</v>
      </c>
    </row>
    <row r="3088" spans="1:4" x14ac:dyDescent="0.3">
      <c r="A3088" s="2" t="s">
        <v>98</v>
      </c>
      <c r="B3088" s="2" t="s">
        <v>99</v>
      </c>
      <c r="C3088" s="3">
        <v>1991</v>
      </c>
      <c r="D3088" s="4">
        <v>12683870</v>
      </c>
    </row>
    <row r="3089" spans="1:4" x14ac:dyDescent="0.3">
      <c r="A3089" s="5" t="s">
        <v>98</v>
      </c>
      <c r="B3089" s="5" t="s">
        <v>99</v>
      </c>
      <c r="C3089" s="6">
        <v>1992</v>
      </c>
      <c r="D3089" s="7">
        <v>13200310</v>
      </c>
    </row>
    <row r="3090" spans="1:4" x14ac:dyDescent="0.3">
      <c r="A3090" s="2" t="s">
        <v>98</v>
      </c>
      <c r="B3090" s="2" t="s">
        <v>99</v>
      </c>
      <c r="C3090" s="3">
        <v>1993</v>
      </c>
      <c r="D3090" s="4">
        <v>13735951</v>
      </c>
    </row>
    <row r="3091" spans="1:4" x14ac:dyDescent="0.3">
      <c r="A3091" s="5" t="s">
        <v>98</v>
      </c>
      <c r="B3091" s="5" t="s">
        <v>99</v>
      </c>
      <c r="C3091" s="6">
        <v>1994</v>
      </c>
      <c r="D3091" s="7">
        <v>14287201</v>
      </c>
    </row>
    <row r="3092" spans="1:4" x14ac:dyDescent="0.3">
      <c r="A3092" s="2" t="s">
        <v>98</v>
      </c>
      <c r="B3092" s="2" t="s">
        <v>99</v>
      </c>
      <c r="C3092" s="3">
        <v>1995</v>
      </c>
      <c r="D3092" s="4">
        <v>14855565</v>
      </c>
    </row>
    <row r="3093" spans="1:4" x14ac:dyDescent="0.3">
      <c r="A3093" s="5" t="s">
        <v>98</v>
      </c>
      <c r="B3093" s="5" t="s">
        <v>99</v>
      </c>
      <c r="C3093" s="6">
        <v>1996</v>
      </c>
      <c r="D3093" s="7">
        <v>15442312</v>
      </c>
    </row>
    <row r="3094" spans="1:4" x14ac:dyDescent="0.3">
      <c r="A3094" s="2" t="s">
        <v>98</v>
      </c>
      <c r="B3094" s="2" t="s">
        <v>99</v>
      </c>
      <c r="C3094" s="3">
        <v>1997</v>
      </c>
      <c r="D3094" s="4">
        <v>16047170</v>
      </c>
    </row>
    <row r="3095" spans="1:4" x14ac:dyDescent="0.3">
      <c r="A3095" s="5" t="s">
        <v>98</v>
      </c>
      <c r="B3095" s="5" t="s">
        <v>99</v>
      </c>
      <c r="C3095" s="6">
        <v>1998</v>
      </c>
      <c r="D3095" s="7">
        <v>16663948</v>
      </c>
    </row>
    <row r="3096" spans="1:4" x14ac:dyDescent="0.3">
      <c r="A3096" s="2" t="s">
        <v>98</v>
      </c>
      <c r="B3096" s="2" t="s">
        <v>99</v>
      </c>
      <c r="C3096" s="3">
        <v>1999</v>
      </c>
      <c r="D3096" s="4">
        <v>17215935</v>
      </c>
    </row>
    <row r="3097" spans="1:4" x14ac:dyDescent="0.3">
      <c r="A3097" s="5" t="s">
        <v>98</v>
      </c>
      <c r="B3097" s="5" t="s">
        <v>99</v>
      </c>
      <c r="C3097" s="6">
        <v>2000</v>
      </c>
      <c r="D3097" s="7">
        <v>17699004</v>
      </c>
    </row>
    <row r="3098" spans="1:4" x14ac:dyDescent="0.3">
      <c r="A3098" s="2" t="s">
        <v>98</v>
      </c>
      <c r="B3098" s="2" t="s">
        <v>99</v>
      </c>
      <c r="C3098" s="3">
        <v>2001</v>
      </c>
      <c r="D3098" s="4">
        <v>18178913</v>
      </c>
    </row>
    <row r="3099" spans="1:4" x14ac:dyDescent="0.3">
      <c r="A3099" s="5" t="s">
        <v>98</v>
      </c>
      <c r="B3099" s="5" t="s">
        <v>99</v>
      </c>
      <c r="C3099" s="6">
        <v>2002</v>
      </c>
      <c r="D3099" s="7">
        <v>18654771</v>
      </c>
    </row>
    <row r="3100" spans="1:4" x14ac:dyDescent="0.3">
      <c r="A3100" s="2" t="s">
        <v>98</v>
      </c>
      <c r="B3100" s="2" t="s">
        <v>99</v>
      </c>
      <c r="C3100" s="3">
        <v>2003</v>
      </c>
      <c r="D3100" s="4">
        <v>19125542</v>
      </c>
    </row>
    <row r="3101" spans="1:4" x14ac:dyDescent="0.3">
      <c r="A3101" s="5" t="s">
        <v>98</v>
      </c>
      <c r="B3101" s="5" t="s">
        <v>99</v>
      </c>
      <c r="C3101" s="6">
        <v>2004</v>
      </c>
      <c r="D3101" s="7">
        <v>19595000</v>
      </c>
    </row>
    <row r="3102" spans="1:4" x14ac:dyDescent="0.3">
      <c r="A3102" s="2" t="s">
        <v>98</v>
      </c>
      <c r="B3102" s="2" t="s">
        <v>99</v>
      </c>
      <c r="C3102" s="3">
        <v>2005</v>
      </c>
      <c r="D3102" s="4">
        <v>20068458</v>
      </c>
    </row>
    <row r="3103" spans="1:4" x14ac:dyDescent="0.3">
      <c r="A3103" s="5" t="s">
        <v>98</v>
      </c>
      <c r="B3103" s="5" t="s">
        <v>99</v>
      </c>
      <c r="C3103" s="6">
        <v>2006</v>
      </c>
      <c r="D3103" s="7">
        <v>20546802</v>
      </c>
    </row>
    <row r="3104" spans="1:4" x14ac:dyDescent="0.3">
      <c r="A3104" s="2" t="s">
        <v>98</v>
      </c>
      <c r="B3104" s="2" t="s">
        <v>99</v>
      </c>
      <c r="C3104" s="3">
        <v>2007</v>
      </c>
      <c r="D3104" s="4">
        <v>21030558</v>
      </c>
    </row>
    <row r="3105" spans="1:4" x14ac:dyDescent="0.3">
      <c r="A3105" s="5" t="s">
        <v>98</v>
      </c>
      <c r="B3105" s="5" t="s">
        <v>99</v>
      </c>
      <c r="C3105" s="6">
        <v>2008</v>
      </c>
      <c r="D3105" s="7">
        <v>21514439</v>
      </c>
    </row>
    <row r="3106" spans="1:4" x14ac:dyDescent="0.3">
      <c r="A3106" s="2" t="s">
        <v>98</v>
      </c>
      <c r="B3106" s="2" t="s">
        <v>99</v>
      </c>
      <c r="C3106" s="3">
        <v>2009</v>
      </c>
      <c r="D3106" s="4">
        <v>21997940</v>
      </c>
    </row>
    <row r="3107" spans="1:4" x14ac:dyDescent="0.3">
      <c r="A3107" s="5" t="s">
        <v>98</v>
      </c>
      <c r="B3107" s="5" t="s">
        <v>99</v>
      </c>
      <c r="C3107" s="6">
        <v>2010</v>
      </c>
      <c r="D3107" s="7">
        <v>22488065</v>
      </c>
    </row>
    <row r="3108" spans="1:4" x14ac:dyDescent="0.3">
      <c r="A3108" s="2" t="s">
        <v>98</v>
      </c>
      <c r="B3108" s="2" t="s">
        <v>99</v>
      </c>
      <c r="C3108" s="3">
        <v>2011</v>
      </c>
      <c r="D3108" s="4">
        <v>22982000</v>
      </c>
    </row>
    <row r="3109" spans="1:4" x14ac:dyDescent="0.3">
      <c r="A3109" s="5" t="s">
        <v>98</v>
      </c>
      <c r="B3109" s="5" t="s">
        <v>99</v>
      </c>
      <c r="C3109" s="6">
        <v>2012</v>
      </c>
      <c r="D3109" s="7">
        <v>23467078</v>
      </c>
    </row>
    <row r="3110" spans="1:4" x14ac:dyDescent="0.3">
      <c r="A3110" s="2" t="s">
        <v>98</v>
      </c>
      <c r="B3110" s="2" t="s">
        <v>99</v>
      </c>
      <c r="C3110" s="3">
        <v>2013</v>
      </c>
      <c r="D3110" s="4">
        <v>23939775</v>
      </c>
    </row>
    <row r="3111" spans="1:4" x14ac:dyDescent="0.3">
      <c r="A3111" s="5" t="s">
        <v>98</v>
      </c>
      <c r="B3111" s="5" t="s">
        <v>99</v>
      </c>
      <c r="C3111" s="6">
        <v>2014</v>
      </c>
      <c r="D3111" s="7">
        <v>24527395</v>
      </c>
    </row>
    <row r="3112" spans="1:4" x14ac:dyDescent="0.3">
      <c r="A3112" s="2" t="s">
        <v>98</v>
      </c>
      <c r="B3112" s="2" t="s">
        <v>99</v>
      </c>
      <c r="C3112" s="3">
        <v>2015</v>
      </c>
      <c r="D3112" s="4">
        <v>25246342</v>
      </c>
    </row>
    <row r="3113" spans="1:4" x14ac:dyDescent="0.3">
      <c r="A3113" s="5" t="s">
        <v>98</v>
      </c>
      <c r="B3113" s="5" t="s">
        <v>99</v>
      </c>
      <c r="C3113" s="6">
        <v>2016</v>
      </c>
      <c r="D3113" s="7">
        <v>25989405</v>
      </c>
    </row>
    <row r="3114" spans="1:4" x14ac:dyDescent="0.3">
      <c r="A3114" s="2" t="s">
        <v>98</v>
      </c>
      <c r="B3114" s="2" t="s">
        <v>99</v>
      </c>
      <c r="C3114" s="3">
        <v>2017</v>
      </c>
      <c r="D3114" s="4">
        <v>26733372</v>
      </c>
    </row>
    <row r="3115" spans="1:4" x14ac:dyDescent="0.3">
      <c r="A3115" s="5" t="s">
        <v>98</v>
      </c>
      <c r="B3115" s="5" t="s">
        <v>99</v>
      </c>
      <c r="C3115" s="6">
        <v>2018</v>
      </c>
      <c r="D3115" s="7">
        <v>27464173</v>
      </c>
    </row>
    <row r="3116" spans="1:4" x14ac:dyDescent="0.3">
      <c r="A3116" s="2" t="s">
        <v>98</v>
      </c>
      <c r="B3116" s="2" t="s">
        <v>99</v>
      </c>
      <c r="C3116" s="3">
        <v>2019</v>
      </c>
      <c r="D3116" s="4">
        <v>28193009</v>
      </c>
    </row>
    <row r="3117" spans="1:4" x14ac:dyDescent="0.3">
      <c r="A3117" s="5" t="s">
        <v>98</v>
      </c>
      <c r="B3117" s="5" t="s">
        <v>99</v>
      </c>
      <c r="C3117" s="6">
        <v>2020</v>
      </c>
      <c r="D3117" s="7">
        <v>28915449</v>
      </c>
    </row>
    <row r="3118" spans="1:4" x14ac:dyDescent="0.3">
      <c r="A3118" s="2" t="s">
        <v>98</v>
      </c>
      <c r="B3118" s="2" t="s">
        <v>99</v>
      </c>
      <c r="C3118" s="3">
        <v>2021</v>
      </c>
      <c r="D3118" s="4">
        <v>29639736</v>
      </c>
    </row>
    <row r="3119" spans="1:4" x14ac:dyDescent="0.3">
      <c r="A3119" s="5" t="s">
        <v>98</v>
      </c>
      <c r="B3119" s="5" t="s">
        <v>99</v>
      </c>
      <c r="C3119" s="6">
        <v>2022</v>
      </c>
      <c r="D3119" s="7">
        <v>30395002</v>
      </c>
    </row>
    <row r="3120" spans="1:4" x14ac:dyDescent="0.3">
      <c r="A3120" s="2" t="s">
        <v>98</v>
      </c>
      <c r="B3120" s="2" t="s">
        <v>99</v>
      </c>
      <c r="C3120" s="3">
        <v>2023</v>
      </c>
      <c r="D3120" s="4">
        <v>31165654</v>
      </c>
    </row>
    <row r="3121" spans="1:4" x14ac:dyDescent="0.3">
      <c r="A3121" s="5" t="s">
        <v>98</v>
      </c>
      <c r="B3121" s="5" t="s">
        <v>99</v>
      </c>
      <c r="C3121" s="6">
        <v>2024</v>
      </c>
      <c r="D3121" s="7">
        <v>31934230</v>
      </c>
    </row>
    <row r="3122" spans="1:4" x14ac:dyDescent="0.3">
      <c r="A3122" s="2" t="s">
        <v>100</v>
      </c>
      <c r="B3122" s="2" t="s">
        <v>101</v>
      </c>
      <c r="C3122" s="3">
        <v>1960</v>
      </c>
      <c r="D3122" s="4">
        <v>4140181</v>
      </c>
    </row>
    <row r="3123" spans="1:4" x14ac:dyDescent="0.3">
      <c r="A3123" s="5" t="s">
        <v>100</v>
      </c>
      <c r="B3123" s="5" t="s">
        <v>101</v>
      </c>
      <c r="C3123" s="6">
        <v>1961</v>
      </c>
      <c r="D3123" s="7">
        <v>4167292</v>
      </c>
    </row>
    <row r="3124" spans="1:4" x14ac:dyDescent="0.3">
      <c r="A3124" s="2" t="s">
        <v>100</v>
      </c>
      <c r="B3124" s="2" t="s">
        <v>101</v>
      </c>
      <c r="C3124" s="3">
        <v>1962</v>
      </c>
      <c r="D3124" s="4">
        <v>4196712</v>
      </c>
    </row>
    <row r="3125" spans="1:4" x14ac:dyDescent="0.3">
      <c r="A3125" s="5" t="s">
        <v>100</v>
      </c>
      <c r="B3125" s="5" t="s">
        <v>101</v>
      </c>
      <c r="C3125" s="6">
        <v>1963</v>
      </c>
      <c r="D3125" s="7">
        <v>4225675</v>
      </c>
    </row>
    <row r="3126" spans="1:4" x14ac:dyDescent="0.3">
      <c r="A3126" s="2" t="s">
        <v>100</v>
      </c>
      <c r="B3126" s="2" t="s">
        <v>101</v>
      </c>
      <c r="C3126" s="3">
        <v>1964</v>
      </c>
      <c r="D3126" s="4">
        <v>4252876</v>
      </c>
    </row>
    <row r="3127" spans="1:4" x14ac:dyDescent="0.3">
      <c r="A3127" s="5" t="s">
        <v>100</v>
      </c>
      <c r="B3127" s="5" t="s">
        <v>101</v>
      </c>
      <c r="C3127" s="6">
        <v>1965</v>
      </c>
      <c r="D3127" s="7">
        <v>4280923</v>
      </c>
    </row>
    <row r="3128" spans="1:4" x14ac:dyDescent="0.3">
      <c r="A3128" s="2" t="s">
        <v>100</v>
      </c>
      <c r="B3128" s="2" t="s">
        <v>101</v>
      </c>
      <c r="C3128" s="3">
        <v>1966</v>
      </c>
      <c r="D3128" s="4">
        <v>4310701</v>
      </c>
    </row>
    <row r="3129" spans="1:4" x14ac:dyDescent="0.3">
      <c r="A3129" s="5" t="s">
        <v>100</v>
      </c>
      <c r="B3129" s="5" t="s">
        <v>101</v>
      </c>
      <c r="C3129" s="6">
        <v>1967</v>
      </c>
      <c r="D3129" s="7">
        <v>4338683</v>
      </c>
    </row>
    <row r="3130" spans="1:4" x14ac:dyDescent="0.3">
      <c r="A3130" s="2" t="s">
        <v>100</v>
      </c>
      <c r="B3130" s="2" t="s">
        <v>101</v>
      </c>
      <c r="C3130" s="3">
        <v>1968</v>
      </c>
      <c r="D3130" s="4">
        <v>4365628</v>
      </c>
    </row>
    <row r="3131" spans="1:4" x14ac:dyDescent="0.3">
      <c r="A3131" s="5" t="s">
        <v>100</v>
      </c>
      <c r="B3131" s="5" t="s">
        <v>101</v>
      </c>
      <c r="C3131" s="6">
        <v>1969</v>
      </c>
      <c r="D3131" s="7">
        <v>4391490</v>
      </c>
    </row>
    <row r="3132" spans="1:4" x14ac:dyDescent="0.3">
      <c r="A3132" s="2" t="s">
        <v>100</v>
      </c>
      <c r="B3132" s="2" t="s">
        <v>101</v>
      </c>
      <c r="C3132" s="3">
        <v>1970</v>
      </c>
      <c r="D3132" s="4">
        <v>4412252</v>
      </c>
    </row>
    <row r="3133" spans="1:4" x14ac:dyDescent="0.3">
      <c r="A3133" s="5" t="s">
        <v>100</v>
      </c>
      <c r="B3133" s="5" t="s">
        <v>101</v>
      </c>
      <c r="C3133" s="6">
        <v>1971</v>
      </c>
      <c r="D3133" s="7">
        <v>4431275</v>
      </c>
    </row>
    <row r="3134" spans="1:4" x14ac:dyDescent="0.3">
      <c r="A3134" s="2" t="s">
        <v>100</v>
      </c>
      <c r="B3134" s="2" t="s">
        <v>101</v>
      </c>
      <c r="C3134" s="3">
        <v>1972</v>
      </c>
      <c r="D3134" s="4">
        <v>4450564</v>
      </c>
    </row>
    <row r="3135" spans="1:4" x14ac:dyDescent="0.3">
      <c r="A3135" s="5" t="s">
        <v>100</v>
      </c>
      <c r="B3135" s="5" t="s">
        <v>101</v>
      </c>
      <c r="C3135" s="6">
        <v>1973</v>
      </c>
      <c r="D3135" s="7">
        <v>4470161</v>
      </c>
    </row>
    <row r="3136" spans="1:4" x14ac:dyDescent="0.3">
      <c r="A3136" s="2" t="s">
        <v>100</v>
      </c>
      <c r="B3136" s="2" t="s">
        <v>101</v>
      </c>
      <c r="C3136" s="3">
        <v>1974</v>
      </c>
      <c r="D3136" s="4">
        <v>4490660</v>
      </c>
    </row>
    <row r="3137" spans="1:4" x14ac:dyDescent="0.3">
      <c r="A3137" s="5" t="s">
        <v>100</v>
      </c>
      <c r="B3137" s="5" t="s">
        <v>101</v>
      </c>
      <c r="C3137" s="6">
        <v>1975</v>
      </c>
      <c r="D3137" s="7">
        <v>4512082</v>
      </c>
    </row>
    <row r="3138" spans="1:4" x14ac:dyDescent="0.3">
      <c r="A3138" s="2" t="s">
        <v>100</v>
      </c>
      <c r="B3138" s="2" t="s">
        <v>101</v>
      </c>
      <c r="C3138" s="3">
        <v>1976</v>
      </c>
      <c r="D3138" s="4">
        <v>4535934</v>
      </c>
    </row>
    <row r="3139" spans="1:4" x14ac:dyDescent="0.3">
      <c r="A3139" s="5" t="s">
        <v>100</v>
      </c>
      <c r="B3139" s="5" t="s">
        <v>101</v>
      </c>
      <c r="C3139" s="6">
        <v>1977</v>
      </c>
      <c r="D3139" s="7">
        <v>4559571</v>
      </c>
    </row>
    <row r="3140" spans="1:4" x14ac:dyDescent="0.3">
      <c r="A3140" s="2" t="s">
        <v>100</v>
      </c>
      <c r="B3140" s="2" t="s">
        <v>101</v>
      </c>
      <c r="C3140" s="3">
        <v>1978</v>
      </c>
      <c r="D3140" s="4">
        <v>4581085</v>
      </c>
    </row>
    <row r="3141" spans="1:4" x14ac:dyDescent="0.3">
      <c r="A3141" s="5" t="s">
        <v>100</v>
      </c>
      <c r="B3141" s="5" t="s">
        <v>101</v>
      </c>
      <c r="C3141" s="6">
        <v>1979</v>
      </c>
      <c r="D3141" s="7">
        <v>4594778</v>
      </c>
    </row>
    <row r="3142" spans="1:4" x14ac:dyDescent="0.3">
      <c r="A3142" s="2" t="s">
        <v>100</v>
      </c>
      <c r="B3142" s="2" t="s">
        <v>101</v>
      </c>
      <c r="C3142" s="3">
        <v>1980</v>
      </c>
      <c r="D3142" s="4">
        <v>4599782</v>
      </c>
    </row>
    <row r="3143" spans="1:4" x14ac:dyDescent="0.3">
      <c r="A3143" s="5" t="s">
        <v>100</v>
      </c>
      <c r="B3143" s="5" t="s">
        <v>101</v>
      </c>
      <c r="C3143" s="6">
        <v>1981</v>
      </c>
      <c r="D3143" s="7">
        <v>4611509</v>
      </c>
    </row>
    <row r="3144" spans="1:4" x14ac:dyDescent="0.3">
      <c r="A3144" s="2" t="s">
        <v>100</v>
      </c>
      <c r="B3144" s="2" t="s">
        <v>101</v>
      </c>
      <c r="C3144" s="3">
        <v>1982</v>
      </c>
      <c r="D3144" s="4">
        <v>4634234</v>
      </c>
    </row>
    <row r="3145" spans="1:4" x14ac:dyDescent="0.3">
      <c r="A3145" s="5" t="s">
        <v>100</v>
      </c>
      <c r="B3145" s="5" t="s">
        <v>101</v>
      </c>
      <c r="C3145" s="6">
        <v>1983</v>
      </c>
      <c r="D3145" s="7">
        <v>4658254</v>
      </c>
    </row>
    <row r="3146" spans="1:4" x14ac:dyDescent="0.3">
      <c r="A3146" s="2" t="s">
        <v>100</v>
      </c>
      <c r="B3146" s="2" t="s">
        <v>101</v>
      </c>
      <c r="C3146" s="3">
        <v>1984</v>
      </c>
      <c r="D3146" s="4">
        <v>4680285</v>
      </c>
    </row>
    <row r="3147" spans="1:4" x14ac:dyDescent="0.3">
      <c r="A3147" s="5" t="s">
        <v>100</v>
      </c>
      <c r="B3147" s="5" t="s">
        <v>101</v>
      </c>
      <c r="C3147" s="6">
        <v>1985</v>
      </c>
      <c r="D3147" s="7">
        <v>4701417</v>
      </c>
    </row>
    <row r="3148" spans="1:4" x14ac:dyDescent="0.3">
      <c r="A3148" s="2" t="s">
        <v>100</v>
      </c>
      <c r="B3148" s="2" t="s">
        <v>101</v>
      </c>
      <c r="C3148" s="3">
        <v>1986</v>
      </c>
      <c r="D3148" s="4">
        <v>4721446</v>
      </c>
    </row>
    <row r="3149" spans="1:4" x14ac:dyDescent="0.3">
      <c r="A3149" s="5" t="s">
        <v>100</v>
      </c>
      <c r="B3149" s="5" t="s">
        <v>101</v>
      </c>
      <c r="C3149" s="6">
        <v>1987</v>
      </c>
      <c r="D3149" s="7">
        <v>4739745</v>
      </c>
    </row>
    <row r="3150" spans="1:4" x14ac:dyDescent="0.3">
      <c r="A3150" s="2" t="s">
        <v>100</v>
      </c>
      <c r="B3150" s="2" t="s">
        <v>101</v>
      </c>
      <c r="C3150" s="3">
        <v>1988</v>
      </c>
      <c r="D3150" s="4">
        <v>4755207</v>
      </c>
    </row>
    <row r="3151" spans="1:4" x14ac:dyDescent="0.3">
      <c r="A3151" s="5" t="s">
        <v>100</v>
      </c>
      <c r="B3151" s="5" t="s">
        <v>101</v>
      </c>
      <c r="C3151" s="6">
        <v>1989</v>
      </c>
      <c r="D3151" s="7">
        <v>4767260</v>
      </c>
    </row>
    <row r="3152" spans="1:4" x14ac:dyDescent="0.3">
      <c r="A3152" s="2" t="s">
        <v>100</v>
      </c>
      <c r="B3152" s="2" t="s">
        <v>101</v>
      </c>
      <c r="C3152" s="3">
        <v>1990</v>
      </c>
      <c r="D3152" s="4">
        <v>4777368</v>
      </c>
    </row>
    <row r="3153" spans="1:4" x14ac:dyDescent="0.3">
      <c r="A3153" s="5" t="s">
        <v>100</v>
      </c>
      <c r="B3153" s="5" t="s">
        <v>101</v>
      </c>
      <c r="C3153" s="6">
        <v>1991</v>
      </c>
      <c r="D3153" s="7">
        <v>4689022</v>
      </c>
    </row>
    <row r="3154" spans="1:4" x14ac:dyDescent="0.3">
      <c r="A3154" s="2" t="s">
        <v>100</v>
      </c>
      <c r="B3154" s="2" t="s">
        <v>101</v>
      </c>
      <c r="C3154" s="3">
        <v>1992</v>
      </c>
      <c r="D3154" s="4">
        <v>4575818</v>
      </c>
    </row>
    <row r="3155" spans="1:4" x14ac:dyDescent="0.3">
      <c r="A3155" s="5" t="s">
        <v>100</v>
      </c>
      <c r="B3155" s="5" t="s">
        <v>101</v>
      </c>
      <c r="C3155" s="6">
        <v>1993</v>
      </c>
      <c r="D3155" s="7">
        <v>4600463</v>
      </c>
    </row>
    <row r="3156" spans="1:4" x14ac:dyDescent="0.3">
      <c r="A3156" s="2" t="s">
        <v>100</v>
      </c>
      <c r="B3156" s="2" t="s">
        <v>101</v>
      </c>
      <c r="C3156" s="3">
        <v>1994</v>
      </c>
      <c r="D3156" s="4">
        <v>4652024</v>
      </c>
    </row>
    <row r="3157" spans="1:4" x14ac:dyDescent="0.3">
      <c r="A3157" s="5" t="s">
        <v>100</v>
      </c>
      <c r="B3157" s="5" t="s">
        <v>101</v>
      </c>
      <c r="C3157" s="6">
        <v>1995</v>
      </c>
      <c r="D3157" s="7">
        <v>4620030</v>
      </c>
    </row>
    <row r="3158" spans="1:4" x14ac:dyDescent="0.3">
      <c r="A3158" s="2" t="s">
        <v>100</v>
      </c>
      <c r="B3158" s="2" t="s">
        <v>101</v>
      </c>
      <c r="C3158" s="3">
        <v>1996</v>
      </c>
      <c r="D3158" s="4">
        <v>4557097</v>
      </c>
    </row>
    <row r="3159" spans="1:4" x14ac:dyDescent="0.3">
      <c r="A3159" s="5" t="s">
        <v>100</v>
      </c>
      <c r="B3159" s="5" t="s">
        <v>101</v>
      </c>
      <c r="C3159" s="6">
        <v>1997</v>
      </c>
      <c r="D3159" s="7">
        <v>4534920</v>
      </c>
    </row>
    <row r="3160" spans="1:4" x14ac:dyDescent="0.3">
      <c r="A3160" s="2" t="s">
        <v>100</v>
      </c>
      <c r="B3160" s="2" t="s">
        <v>101</v>
      </c>
      <c r="C3160" s="3">
        <v>1998</v>
      </c>
      <c r="D3160" s="4">
        <v>4532135</v>
      </c>
    </row>
    <row r="3161" spans="1:4" x14ac:dyDescent="0.3">
      <c r="A3161" s="5" t="s">
        <v>100</v>
      </c>
      <c r="B3161" s="5" t="s">
        <v>101</v>
      </c>
      <c r="C3161" s="6">
        <v>1999</v>
      </c>
      <c r="D3161" s="7">
        <v>4512597</v>
      </c>
    </row>
    <row r="3162" spans="1:4" x14ac:dyDescent="0.3">
      <c r="A3162" s="2" t="s">
        <v>100</v>
      </c>
      <c r="B3162" s="2" t="s">
        <v>101</v>
      </c>
      <c r="C3162" s="3">
        <v>2000</v>
      </c>
      <c r="D3162" s="4">
        <v>4468302</v>
      </c>
    </row>
    <row r="3163" spans="1:4" x14ac:dyDescent="0.3">
      <c r="A3163" s="5" t="s">
        <v>100</v>
      </c>
      <c r="B3163" s="5" t="s">
        <v>101</v>
      </c>
      <c r="C3163" s="6">
        <v>2001</v>
      </c>
      <c r="D3163" s="7">
        <v>4299642</v>
      </c>
    </row>
    <row r="3164" spans="1:4" x14ac:dyDescent="0.3">
      <c r="A3164" s="2" t="s">
        <v>100</v>
      </c>
      <c r="B3164" s="2" t="s">
        <v>101</v>
      </c>
      <c r="C3164" s="3">
        <v>2002</v>
      </c>
      <c r="D3164" s="4">
        <v>4302174</v>
      </c>
    </row>
    <row r="3165" spans="1:4" x14ac:dyDescent="0.3">
      <c r="A3165" s="5" t="s">
        <v>100</v>
      </c>
      <c r="B3165" s="5" t="s">
        <v>101</v>
      </c>
      <c r="C3165" s="6">
        <v>2003</v>
      </c>
      <c r="D3165" s="7">
        <v>4303399</v>
      </c>
    </row>
    <row r="3166" spans="1:4" x14ac:dyDescent="0.3">
      <c r="A3166" s="2" t="s">
        <v>100</v>
      </c>
      <c r="B3166" s="2" t="s">
        <v>101</v>
      </c>
      <c r="C3166" s="3">
        <v>2004</v>
      </c>
      <c r="D3166" s="4">
        <v>4304600</v>
      </c>
    </row>
    <row r="3167" spans="1:4" x14ac:dyDescent="0.3">
      <c r="A3167" s="5" t="s">
        <v>100</v>
      </c>
      <c r="B3167" s="5" t="s">
        <v>101</v>
      </c>
      <c r="C3167" s="6">
        <v>2005</v>
      </c>
      <c r="D3167" s="7">
        <v>4310145</v>
      </c>
    </row>
    <row r="3168" spans="1:4" x14ac:dyDescent="0.3">
      <c r="A3168" s="2" t="s">
        <v>100</v>
      </c>
      <c r="B3168" s="2" t="s">
        <v>101</v>
      </c>
      <c r="C3168" s="3">
        <v>2006</v>
      </c>
      <c r="D3168" s="4">
        <v>4311159</v>
      </c>
    </row>
    <row r="3169" spans="1:4" x14ac:dyDescent="0.3">
      <c r="A3169" s="5" t="s">
        <v>100</v>
      </c>
      <c r="B3169" s="5" t="s">
        <v>101</v>
      </c>
      <c r="C3169" s="6">
        <v>2007</v>
      </c>
      <c r="D3169" s="7">
        <v>4310217</v>
      </c>
    </row>
    <row r="3170" spans="1:4" x14ac:dyDescent="0.3">
      <c r="A3170" s="2" t="s">
        <v>100</v>
      </c>
      <c r="B3170" s="2" t="s">
        <v>101</v>
      </c>
      <c r="C3170" s="3">
        <v>2008</v>
      </c>
      <c r="D3170" s="4">
        <v>4309705</v>
      </c>
    </row>
    <row r="3171" spans="1:4" x14ac:dyDescent="0.3">
      <c r="A3171" s="5" t="s">
        <v>100</v>
      </c>
      <c r="B3171" s="5" t="s">
        <v>101</v>
      </c>
      <c r="C3171" s="6">
        <v>2009</v>
      </c>
      <c r="D3171" s="7">
        <v>4305181</v>
      </c>
    </row>
    <row r="3172" spans="1:4" x14ac:dyDescent="0.3">
      <c r="A3172" s="2" t="s">
        <v>100</v>
      </c>
      <c r="B3172" s="2" t="s">
        <v>101</v>
      </c>
      <c r="C3172" s="3">
        <v>2010</v>
      </c>
      <c r="D3172" s="4">
        <v>4295427</v>
      </c>
    </row>
    <row r="3173" spans="1:4" x14ac:dyDescent="0.3">
      <c r="A3173" s="5" t="s">
        <v>100</v>
      </c>
      <c r="B3173" s="5" t="s">
        <v>101</v>
      </c>
      <c r="C3173" s="6">
        <v>2011</v>
      </c>
      <c r="D3173" s="7">
        <v>4280622</v>
      </c>
    </row>
    <row r="3174" spans="1:4" x14ac:dyDescent="0.3">
      <c r="A3174" s="2" t="s">
        <v>100</v>
      </c>
      <c r="B3174" s="2" t="s">
        <v>101</v>
      </c>
      <c r="C3174" s="3">
        <v>2012</v>
      </c>
      <c r="D3174" s="4">
        <v>4260368</v>
      </c>
    </row>
    <row r="3175" spans="1:4" x14ac:dyDescent="0.3">
      <c r="A3175" s="5" t="s">
        <v>100</v>
      </c>
      <c r="B3175" s="5" t="s">
        <v>101</v>
      </c>
      <c r="C3175" s="6">
        <v>2013</v>
      </c>
      <c r="D3175" s="7">
        <v>4233922</v>
      </c>
    </row>
    <row r="3176" spans="1:4" x14ac:dyDescent="0.3">
      <c r="A3176" s="2" t="s">
        <v>100</v>
      </c>
      <c r="B3176" s="2" t="s">
        <v>101</v>
      </c>
      <c r="C3176" s="3">
        <v>2014</v>
      </c>
      <c r="D3176" s="4">
        <v>4201598</v>
      </c>
    </row>
    <row r="3177" spans="1:4" x14ac:dyDescent="0.3">
      <c r="A3177" s="5" t="s">
        <v>100</v>
      </c>
      <c r="B3177" s="5" t="s">
        <v>101</v>
      </c>
      <c r="C3177" s="6">
        <v>2015</v>
      </c>
      <c r="D3177" s="7">
        <v>4151725</v>
      </c>
    </row>
    <row r="3178" spans="1:4" x14ac:dyDescent="0.3">
      <c r="A3178" s="2" t="s">
        <v>100</v>
      </c>
      <c r="B3178" s="2" t="s">
        <v>101</v>
      </c>
      <c r="C3178" s="3">
        <v>2016</v>
      </c>
      <c r="D3178" s="4">
        <v>4106867</v>
      </c>
    </row>
    <row r="3179" spans="1:4" x14ac:dyDescent="0.3">
      <c r="A3179" s="5" t="s">
        <v>100</v>
      </c>
      <c r="B3179" s="5" t="s">
        <v>101</v>
      </c>
      <c r="C3179" s="6">
        <v>2017</v>
      </c>
      <c r="D3179" s="7">
        <v>4041407</v>
      </c>
    </row>
    <row r="3180" spans="1:4" x14ac:dyDescent="0.3">
      <c r="A3180" s="2" t="s">
        <v>100</v>
      </c>
      <c r="B3180" s="2" t="s">
        <v>101</v>
      </c>
      <c r="C3180" s="3">
        <v>2018</v>
      </c>
      <c r="D3180" s="4">
        <v>3988775</v>
      </c>
    </row>
    <row r="3181" spans="1:4" x14ac:dyDescent="0.3">
      <c r="A3181" s="5" t="s">
        <v>100</v>
      </c>
      <c r="B3181" s="5" t="s">
        <v>101</v>
      </c>
      <c r="C3181" s="6">
        <v>2019</v>
      </c>
      <c r="D3181" s="7">
        <v>3949390</v>
      </c>
    </row>
    <row r="3182" spans="1:4" x14ac:dyDescent="0.3">
      <c r="A3182" s="2" t="s">
        <v>100</v>
      </c>
      <c r="B3182" s="2" t="s">
        <v>101</v>
      </c>
      <c r="C3182" s="3">
        <v>2020</v>
      </c>
      <c r="D3182" s="4">
        <v>3914206</v>
      </c>
    </row>
    <row r="3183" spans="1:4" x14ac:dyDescent="0.3">
      <c r="A3183" s="5" t="s">
        <v>100</v>
      </c>
      <c r="B3183" s="5" t="s">
        <v>101</v>
      </c>
      <c r="C3183" s="6">
        <v>2021</v>
      </c>
      <c r="D3183" s="7">
        <v>3878981</v>
      </c>
    </row>
    <row r="3184" spans="1:4" x14ac:dyDescent="0.3">
      <c r="A3184" s="2" t="s">
        <v>100</v>
      </c>
      <c r="B3184" s="2" t="s">
        <v>101</v>
      </c>
      <c r="C3184" s="3">
        <v>2022</v>
      </c>
      <c r="D3184" s="4">
        <v>3855641</v>
      </c>
    </row>
    <row r="3185" spans="1:4" x14ac:dyDescent="0.3">
      <c r="A3185" s="5" t="s">
        <v>100</v>
      </c>
      <c r="B3185" s="5" t="s">
        <v>101</v>
      </c>
      <c r="C3185" s="6">
        <v>2023</v>
      </c>
      <c r="D3185" s="7">
        <v>3859686</v>
      </c>
    </row>
    <row r="3186" spans="1:4" x14ac:dyDescent="0.3">
      <c r="A3186" s="2" t="s">
        <v>100</v>
      </c>
      <c r="B3186" s="2" t="s">
        <v>101</v>
      </c>
      <c r="C3186" s="3">
        <v>2024</v>
      </c>
      <c r="D3186" s="4">
        <v>3866300</v>
      </c>
    </row>
    <row r="3187" spans="1:4" x14ac:dyDescent="0.3">
      <c r="A3187" s="5" t="s">
        <v>102</v>
      </c>
      <c r="B3187" s="5" t="s">
        <v>103</v>
      </c>
      <c r="C3187" s="6">
        <v>1960</v>
      </c>
      <c r="D3187" s="7">
        <v>7238081</v>
      </c>
    </row>
    <row r="3188" spans="1:4" x14ac:dyDescent="0.3">
      <c r="A3188" s="2" t="s">
        <v>102</v>
      </c>
      <c r="B3188" s="2" t="s">
        <v>103</v>
      </c>
      <c r="C3188" s="3">
        <v>1961</v>
      </c>
      <c r="D3188" s="4">
        <v>7387117</v>
      </c>
    </row>
    <row r="3189" spans="1:4" x14ac:dyDescent="0.3">
      <c r="A3189" s="5" t="s">
        <v>102</v>
      </c>
      <c r="B3189" s="5" t="s">
        <v>103</v>
      </c>
      <c r="C3189" s="6">
        <v>1962</v>
      </c>
      <c r="D3189" s="7">
        <v>7541098</v>
      </c>
    </row>
    <row r="3190" spans="1:4" x14ac:dyDescent="0.3">
      <c r="A3190" s="2" t="s">
        <v>102</v>
      </c>
      <c r="B3190" s="2" t="s">
        <v>103</v>
      </c>
      <c r="C3190" s="3">
        <v>1963</v>
      </c>
      <c r="D3190" s="4">
        <v>7701660</v>
      </c>
    </row>
    <row r="3191" spans="1:4" x14ac:dyDescent="0.3">
      <c r="A3191" s="5" t="s">
        <v>102</v>
      </c>
      <c r="B3191" s="5" t="s">
        <v>103</v>
      </c>
      <c r="C3191" s="6">
        <v>1964</v>
      </c>
      <c r="D3191" s="7">
        <v>7866020</v>
      </c>
    </row>
    <row r="3192" spans="1:4" x14ac:dyDescent="0.3">
      <c r="A3192" s="2" t="s">
        <v>102</v>
      </c>
      <c r="B3192" s="2" t="s">
        <v>103</v>
      </c>
      <c r="C3192" s="3">
        <v>1965</v>
      </c>
      <c r="D3192" s="4">
        <v>8030797</v>
      </c>
    </row>
    <row r="3193" spans="1:4" x14ac:dyDescent="0.3">
      <c r="A3193" s="5" t="s">
        <v>102</v>
      </c>
      <c r="B3193" s="5" t="s">
        <v>103</v>
      </c>
      <c r="C3193" s="6">
        <v>1966</v>
      </c>
      <c r="D3193" s="7">
        <v>8193450</v>
      </c>
    </row>
    <row r="3194" spans="1:4" x14ac:dyDescent="0.3">
      <c r="A3194" s="2" t="s">
        <v>102</v>
      </c>
      <c r="B3194" s="2" t="s">
        <v>103</v>
      </c>
      <c r="C3194" s="3">
        <v>1967</v>
      </c>
      <c r="D3194" s="4">
        <v>8352625</v>
      </c>
    </row>
    <row r="3195" spans="1:4" x14ac:dyDescent="0.3">
      <c r="A3195" s="5" t="s">
        <v>102</v>
      </c>
      <c r="B3195" s="5" t="s">
        <v>103</v>
      </c>
      <c r="C3195" s="6">
        <v>1968</v>
      </c>
      <c r="D3195" s="7">
        <v>8509522</v>
      </c>
    </row>
    <row r="3196" spans="1:4" x14ac:dyDescent="0.3">
      <c r="A3196" s="2" t="s">
        <v>102</v>
      </c>
      <c r="B3196" s="2" t="s">
        <v>103</v>
      </c>
      <c r="C3196" s="3">
        <v>1969</v>
      </c>
      <c r="D3196" s="4">
        <v>8666640</v>
      </c>
    </row>
    <row r="3197" spans="1:4" x14ac:dyDescent="0.3">
      <c r="A3197" s="5" t="s">
        <v>102</v>
      </c>
      <c r="B3197" s="5" t="s">
        <v>103</v>
      </c>
      <c r="C3197" s="6">
        <v>1970</v>
      </c>
      <c r="D3197" s="7">
        <v>8824382</v>
      </c>
    </row>
    <row r="3198" spans="1:4" x14ac:dyDescent="0.3">
      <c r="A3198" s="2" t="s">
        <v>102</v>
      </c>
      <c r="B3198" s="2" t="s">
        <v>103</v>
      </c>
      <c r="C3198" s="3">
        <v>1971</v>
      </c>
      <c r="D3198" s="4">
        <v>8979085</v>
      </c>
    </row>
    <row r="3199" spans="1:4" x14ac:dyDescent="0.3">
      <c r="A3199" s="5" t="s">
        <v>102</v>
      </c>
      <c r="B3199" s="5" t="s">
        <v>103</v>
      </c>
      <c r="C3199" s="6">
        <v>1972</v>
      </c>
      <c r="D3199" s="7">
        <v>9123891</v>
      </c>
    </row>
    <row r="3200" spans="1:4" x14ac:dyDescent="0.3">
      <c r="A3200" s="2" t="s">
        <v>102</v>
      </c>
      <c r="B3200" s="2" t="s">
        <v>103</v>
      </c>
      <c r="C3200" s="3">
        <v>1973</v>
      </c>
      <c r="D3200" s="4">
        <v>9255328</v>
      </c>
    </row>
    <row r="3201" spans="1:4" x14ac:dyDescent="0.3">
      <c r="A3201" s="5" t="s">
        <v>102</v>
      </c>
      <c r="B3201" s="5" t="s">
        <v>103</v>
      </c>
      <c r="C3201" s="6">
        <v>1974</v>
      </c>
      <c r="D3201" s="7">
        <v>9374183</v>
      </c>
    </row>
    <row r="3202" spans="1:4" x14ac:dyDescent="0.3">
      <c r="A3202" s="2" t="s">
        <v>102</v>
      </c>
      <c r="B3202" s="2" t="s">
        <v>103</v>
      </c>
      <c r="C3202" s="3">
        <v>1975</v>
      </c>
      <c r="D3202" s="4">
        <v>9479726</v>
      </c>
    </row>
    <row r="3203" spans="1:4" x14ac:dyDescent="0.3">
      <c r="A3203" s="5" t="s">
        <v>102</v>
      </c>
      <c r="B3203" s="5" t="s">
        <v>103</v>
      </c>
      <c r="C3203" s="6">
        <v>1976</v>
      </c>
      <c r="D3203" s="7">
        <v>9571242</v>
      </c>
    </row>
    <row r="3204" spans="1:4" x14ac:dyDescent="0.3">
      <c r="A3204" s="2" t="s">
        <v>102</v>
      </c>
      <c r="B3204" s="2" t="s">
        <v>103</v>
      </c>
      <c r="C3204" s="3">
        <v>1977</v>
      </c>
      <c r="D3204" s="4">
        <v>9648440</v>
      </c>
    </row>
    <row r="3205" spans="1:4" x14ac:dyDescent="0.3">
      <c r="A3205" s="5" t="s">
        <v>102</v>
      </c>
      <c r="B3205" s="5" t="s">
        <v>103</v>
      </c>
      <c r="C3205" s="6">
        <v>1978</v>
      </c>
      <c r="D3205" s="7">
        <v>9711980</v>
      </c>
    </row>
    <row r="3206" spans="1:4" x14ac:dyDescent="0.3">
      <c r="A3206" s="2" t="s">
        <v>102</v>
      </c>
      <c r="B3206" s="2" t="s">
        <v>103</v>
      </c>
      <c r="C3206" s="3">
        <v>1979</v>
      </c>
      <c r="D3206" s="4">
        <v>9763355</v>
      </c>
    </row>
    <row r="3207" spans="1:4" x14ac:dyDescent="0.3">
      <c r="A3207" s="5" t="s">
        <v>102</v>
      </c>
      <c r="B3207" s="5" t="s">
        <v>103</v>
      </c>
      <c r="C3207" s="6">
        <v>1980</v>
      </c>
      <c r="D3207" s="7">
        <v>9804796</v>
      </c>
    </row>
    <row r="3208" spans="1:4" x14ac:dyDescent="0.3">
      <c r="A3208" s="2" t="s">
        <v>102</v>
      </c>
      <c r="B3208" s="2" t="s">
        <v>103</v>
      </c>
      <c r="C3208" s="3">
        <v>1981</v>
      </c>
      <c r="D3208" s="4">
        <v>9849320</v>
      </c>
    </row>
    <row r="3209" spans="1:4" x14ac:dyDescent="0.3">
      <c r="A3209" s="5" t="s">
        <v>102</v>
      </c>
      <c r="B3209" s="5" t="s">
        <v>103</v>
      </c>
      <c r="C3209" s="6">
        <v>1982</v>
      </c>
      <c r="D3209" s="7">
        <v>9912681</v>
      </c>
    </row>
    <row r="3210" spans="1:4" x14ac:dyDescent="0.3">
      <c r="A3210" s="2" t="s">
        <v>102</v>
      </c>
      <c r="B3210" s="2" t="s">
        <v>103</v>
      </c>
      <c r="C3210" s="3">
        <v>1983</v>
      </c>
      <c r="D3210" s="4">
        <v>9991026</v>
      </c>
    </row>
    <row r="3211" spans="1:4" x14ac:dyDescent="0.3">
      <c r="A3211" s="5" t="s">
        <v>102</v>
      </c>
      <c r="B3211" s="5" t="s">
        <v>103</v>
      </c>
      <c r="C3211" s="6">
        <v>1984</v>
      </c>
      <c r="D3211" s="7">
        <v>10073299</v>
      </c>
    </row>
    <row r="3212" spans="1:4" x14ac:dyDescent="0.3">
      <c r="A3212" s="2" t="s">
        <v>102</v>
      </c>
      <c r="B3212" s="2" t="s">
        <v>103</v>
      </c>
      <c r="C3212" s="3">
        <v>1985</v>
      </c>
      <c r="D3212" s="4">
        <v>10157228</v>
      </c>
    </row>
    <row r="3213" spans="1:4" x14ac:dyDescent="0.3">
      <c r="A3213" s="5" t="s">
        <v>102</v>
      </c>
      <c r="B3213" s="5" t="s">
        <v>103</v>
      </c>
      <c r="C3213" s="6">
        <v>1986</v>
      </c>
      <c r="D3213" s="7">
        <v>10244247</v>
      </c>
    </row>
    <row r="3214" spans="1:4" x14ac:dyDescent="0.3">
      <c r="A3214" s="2" t="s">
        <v>102</v>
      </c>
      <c r="B3214" s="2" t="s">
        <v>103</v>
      </c>
      <c r="C3214" s="3">
        <v>1987</v>
      </c>
      <c r="D3214" s="4">
        <v>10335342</v>
      </c>
    </row>
    <row r="3215" spans="1:4" x14ac:dyDescent="0.3">
      <c r="A3215" s="5" t="s">
        <v>102</v>
      </c>
      <c r="B3215" s="5" t="s">
        <v>103</v>
      </c>
      <c r="C3215" s="6">
        <v>1988</v>
      </c>
      <c r="D3215" s="7">
        <v>10432585</v>
      </c>
    </row>
    <row r="3216" spans="1:4" x14ac:dyDescent="0.3">
      <c r="A3216" s="2" t="s">
        <v>102</v>
      </c>
      <c r="B3216" s="2" t="s">
        <v>103</v>
      </c>
      <c r="C3216" s="3">
        <v>1989</v>
      </c>
      <c r="D3216" s="4">
        <v>10533243</v>
      </c>
    </row>
    <row r="3217" spans="1:4" x14ac:dyDescent="0.3">
      <c r="A3217" s="5" t="s">
        <v>102</v>
      </c>
      <c r="B3217" s="5" t="s">
        <v>103</v>
      </c>
      <c r="C3217" s="6">
        <v>1990</v>
      </c>
      <c r="D3217" s="7">
        <v>10631799</v>
      </c>
    </row>
    <row r="3218" spans="1:4" x14ac:dyDescent="0.3">
      <c r="A3218" s="2" t="s">
        <v>102</v>
      </c>
      <c r="B3218" s="2" t="s">
        <v>103</v>
      </c>
      <c r="C3218" s="3">
        <v>1991</v>
      </c>
      <c r="D3218" s="4">
        <v>10717640</v>
      </c>
    </row>
    <row r="3219" spans="1:4" x14ac:dyDescent="0.3">
      <c r="A3219" s="5" t="s">
        <v>102</v>
      </c>
      <c r="B3219" s="5" t="s">
        <v>103</v>
      </c>
      <c r="C3219" s="6">
        <v>1992</v>
      </c>
      <c r="D3219" s="7">
        <v>10785801</v>
      </c>
    </row>
    <row r="3220" spans="1:4" x14ac:dyDescent="0.3">
      <c r="A3220" s="2" t="s">
        <v>102</v>
      </c>
      <c r="B3220" s="2" t="s">
        <v>103</v>
      </c>
      <c r="C3220" s="3">
        <v>1993</v>
      </c>
      <c r="D3220" s="4">
        <v>10841031</v>
      </c>
    </row>
    <row r="3221" spans="1:4" x14ac:dyDescent="0.3">
      <c r="A3221" s="5" t="s">
        <v>102</v>
      </c>
      <c r="B3221" s="5" t="s">
        <v>103</v>
      </c>
      <c r="C3221" s="6">
        <v>1994</v>
      </c>
      <c r="D3221" s="7">
        <v>10886021</v>
      </c>
    </row>
    <row r="3222" spans="1:4" x14ac:dyDescent="0.3">
      <c r="A3222" s="2" t="s">
        <v>102</v>
      </c>
      <c r="B3222" s="2" t="s">
        <v>103</v>
      </c>
      <c r="C3222" s="3">
        <v>1995</v>
      </c>
      <c r="D3222" s="4">
        <v>10925362</v>
      </c>
    </row>
    <row r="3223" spans="1:4" x14ac:dyDescent="0.3">
      <c r="A3223" s="5" t="s">
        <v>102</v>
      </c>
      <c r="B3223" s="5" t="s">
        <v>103</v>
      </c>
      <c r="C3223" s="6">
        <v>1996</v>
      </c>
      <c r="D3223" s="7">
        <v>10962010</v>
      </c>
    </row>
    <row r="3224" spans="1:4" x14ac:dyDescent="0.3">
      <c r="A3224" s="2" t="s">
        <v>102</v>
      </c>
      <c r="B3224" s="2" t="s">
        <v>103</v>
      </c>
      <c r="C3224" s="3">
        <v>1997</v>
      </c>
      <c r="D3224" s="4">
        <v>10997934</v>
      </c>
    </row>
    <row r="3225" spans="1:4" x14ac:dyDescent="0.3">
      <c r="A3225" s="5" t="s">
        <v>102</v>
      </c>
      <c r="B3225" s="5" t="s">
        <v>103</v>
      </c>
      <c r="C3225" s="6">
        <v>1998</v>
      </c>
      <c r="D3225" s="7">
        <v>11034712</v>
      </c>
    </row>
    <row r="3226" spans="1:4" x14ac:dyDescent="0.3">
      <c r="A3226" s="2" t="s">
        <v>102</v>
      </c>
      <c r="B3226" s="2" t="s">
        <v>103</v>
      </c>
      <c r="C3226" s="3">
        <v>1999</v>
      </c>
      <c r="D3226" s="4">
        <v>11072230</v>
      </c>
    </row>
    <row r="3227" spans="1:4" x14ac:dyDescent="0.3">
      <c r="A3227" s="5" t="s">
        <v>102</v>
      </c>
      <c r="B3227" s="5" t="s">
        <v>103</v>
      </c>
      <c r="C3227" s="6">
        <v>2000</v>
      </c>
      <c r="D3227" s="7">
        <v>11109109</v>
      </c>
    </row>
    <row r="3228" spans="1:4" x14ac:dyDescent="0.3">
      <c r="A3228" s="2" t="s">
        <v>102</v>
      </c>
      <c r="B3228" s="2" t="s">
        <v>103</v>
      </c>
      <c r="C3228" s="3">
        <v>2001</v>
      </c>
      <c r="D3228" s="4">
        <v>11144132</v>
      </c>
    </row>
    <row r="3229" spans="1:4" x14ac:dyDescent="0.3">
      <c r="A3229" s="5" t="s">
        <v>102</v>
      </c>
      <c r="B3229" s="5" t="s">
        <v>103</v>
      </c>
      <c r="C3229" s="6">
        <v>2002</v>
      </c>
      <c r="D3229" s="7">
        <v>11177418</v>
      </c>
    </row>
    <row r="3230" spans="1:4" x14ac:dyDescent="0.3">
      <c r="A3230" s="2" t="s">
        <v>102</v>
      </c>
      <c r="B3230" s="2" t="s">
        <v>103</v>
      </c>
      <c r="C3230" s="3">
        <v>2003</v>
      </c>
      <c r="D3230" s="4">
        <v>11209383</v>
      </c>
    </row>
    <row r="3231" spans="1:4" x14ac:dyDescent="0.3">
      <c r="A3231" s="5" t="s">
        <v>102</v>
      </c>
      <c r="B3231" s="5" t="s">
        <v>103</v>
      </c>
      <c r="C3231" s="6">
        <v>2004</v>
      </c>
      <c r="D3231" s="7">
        <v>11238756</v>
      </c>
    </row>
    <row r="3232" spans="1:4" x14ac:dyDescent="0.3">
      <c r="A3232" s="2" t="s">
        <v>102</v>
      </c>
      <c r="B3232" s="2" t="s">
        <v>103</v>
      </c>
      <c r="C3232" s="3">
        <v>2005</v>
      </c>
      <c r="D3232" s="4">
        <v>11262554</v>
      </c>
    </row>
    <row r="3233" spans="1:4" x14ac:dyDescent="0.3">
      <c r="A3233" s="5" t="s">
        <v>102</v>
      </c>
      <c r="B3233" s="5" t="s">
        <v>103</v>
      </c>
      <c r="C3233" s="6">
        <v>2006</v>
      </c>
      <c r="D3233" s="7">
        <v>11278550</v>
      </c>
    </row>
    <row r="3234" spans="1:4" x14ac:dyDescent="0.3">
      <c r="A3234" s="2" t="s">
        <v>102</v>
      </c>
      <c r="B3234" s="2" t="s">
        <v>103</v>
      </c>
      <c r="C3234" s="3">
        <v>2007</v>
      </c>
      <c r="D3234" s="4">
        <v>11287272</v>
      </c>
    </row>
    <row r="3235" spans="1:4" x14ac:dyDescent="0.3">
      <c r="A3235" s="5" t="s">
        <v>102</v>
      </c>
      <c r="B3235" s="5" t="s">
        <v>103</v>
      </c>
      <c r="C3235" s="6">
        <v>2008</v>
      </c>
      <c r="D3235" s="7">
        <v>11291762</v>
      </c>
    </row>
    <row r="3236" spans="1:4" x14ac:dyDescent="0.3">
      <c r="A3236" s="2" t="s">
        <v>102</v>
      </c>
      <c r="B3236" s="2" t="s">
        <v>103</v>
      </c>
      <c r="C3236" s="3">
        <v>2009</v>
      </c>
      <c r="D3236" s="4">
        <v>11294719</v>
      </c>
    </row>
    <row r="3237" spans="1:4" x14ac:dyDescent="0.3">
      <c r="A3237" s="5" t="s">
        <v>102</v>
      </c>
      <c r="B3237" s="5" t="s">
        <v>103</v>
      </c>
      <c r="C3237" s="6">
        <v>2010</v>
      </c>
      <c r="D3237" s="7">
        <v>11297409</v>
      </c>
    </row>
    <row r="3238" spans="1:4" x14ac:dyDescent="0.3">
      <c r="A3238" s="2" t="s">
        <v>102</v>
      </c>
      <c r="B3238" s="2" t="s">
        <v>103</v>
      </c>
      <c r="C3238" s="3">
        <v>2011</v>
      </c>
      <c r="D3238" s="4">
        <v>11301571</v>
      </c>
    </row>
    <row r="3239" spans="1:4" x14ac:dyDescent="0.3">
      <c r="A3239" s="5" t="s">
        <v>102</v>
      </c>
      <c r="B3239" s="5" t="s">
        <v>103</v>
      </c>
      <c r="C3239" s="6">
        <v>2012</v>
      </c>
      <c r="D3239" s="7">
        <v>11303175</v>
      </c>
    </row>
    <row r="3240" spans="1:4" x14ac:dyDescent="0.3">
      <c r="A3240" s="2" t="s">
        <v>102</v>
      </c>
      <c r="B3240" s="2" t="s">
        <v>103</v>
      </c>
      <c r="C3240" s="3">
        <v>2013</v>
      </c>
      <c r="D3240" s="4">
        <v>11298167</v>
      </c>
    </row>
    <row r="3241" spans="1:4" x14ac:dyDescent="0.3">
      <c r="A3241" s="5" t="s">
        <v>102</v>
      </c>
      <c r="B3241" s="5" t="s">
        <v>103</v>
      </c>
      <c r="C3241" s="6">
        <v>2014</v>
      </c>
      <c r="D3241" s="7">
        <v>11285775</v>
      </c>
    </row>
    <row r="3242" spans="1:4" x14ac:dyDescent="0.3">
      <c r="A3242" s="2" t="s">
        <v>102</v>
      </c>
      <c r="B3242" s="2" t="s">
        <v>103</v>
      </c>
      <c r="C3242" s="3">
        <v>2015</v>
      </c>
      <c r="D3242" s="4">
        <v>11275065</v>
      </c>
    </row>
    <row r="3243" spans="1:4" x14ac:dyDescent="0.3">
      <c r="A3243" s="5" t="s">
        <v>102</v>
      </c>
      <c r="B3243" s="5" t="s">
        <v>103</v>
      </c>
      <c r="C3243" s="6">
        <v>2016</v>
      </c>
      <c r="D3243" s="7">
        <v>11265612</v>
      </c>
    </row>
    <row r="3244" spans="1:4" x14ac:dyDescent="0.3">
      <c r="A3244" s="2" t="s">
        <v>102</v>
      </c>
      <c r="B3244" s="2" t="s">
        <v>103</v>
      </c>
      <c r="C3244" s="3">
        <v>2017</v>
      </c>
      <c r="D3244" s="4">
        <v>11247829</v>
      </c>
    </row>
    <row r="3245" spans="1:4" x14ac:dyDescent="0.3">
      <c r="A3245" s="5" t="s">
        <v>102</v>
      </c>
      <c r="B3245" s="5" t="s">
        <v>103</v>
      </c>
      <c r="C3245" s="6">
        <v>2018</v>
      </c>
      <c r="D3245" s="7">
        <v>11227118</v>
      </c>
    </row>
    <row r="3246" spans="1:4" x14ac:dyDescent="0.3">
      <c r="A3246" s="2" t="s">
        <v>102</v>
      </c>
      <c r="B3246" s="2" t="s">
        <v>103</v>
      </c>
      <c r="C3246" s="3">
        <v>2019</v>
      </c>
      <c r="D3246" s="4">
        <v>11202846</v>
      </c>
    </row>
    <row r="3247" spans="1:4" x14ac:dyDescent="0.3">
      <c r="A3247" s="5" t="s">
        <v>102</v>
      </c>
      <c r="B3247" s="5" t="s">
        <v>103</v>
      </c>
      <c r="C3247" s="6">
        <v>2020</v>
      </c>
      <c r="D3247" s="7">
        <v>11176354</v>
      </c>
    </row>
    <row r="3248" spans="1:4" x14ac:dyDescent="0.3">
      <c r="A3248" s="2" t="s">
        <v>102</v>
      </c>
      <c r="B3248" s="2" t="s">
        <v>103</v>
      </c>
      <c r="C3248" s="3">
        <v>2021</v>
      </c>
      <c r="D3248" s="4">
        <v>11122168</v>
      </c>
    </row>
    <row r="3249" spans="1:4" x14ac:dyDescent="0.3">
      <c r="A3249" s="5" t="s">
        <v>102</v>
      </c>
      <c r="B3249" s="5" t="s">
        <v>103</v>
      </c>
      <c r="C3249" s="6">
        <v>2022</v>
      </c>
      <c r="D3249" s="7">
        <v>11059820</v>
      </c>
    </row>
    <row r="3250" spans="1:4" x14ac:dyDescent="0.3">
      <c r="A3250" s="2" t="s">
        <v>102</v>
      </c>
      <c r="B3250" s="2" t="s">
        <v>103</v>
      </c>
      <c r="C3250" s="3">
        <v>2023</v>
      </c>
      <c r="D3250" s="4">
        <v>11019931</v>
      </c>
    </row>
    <row r="3251" spans="1:4" x14ac:dyDescent="0.3">
      <c r="A3251" s="5" t="s">
        <v>102</v>
      </c>
      <c r="B3251" s="5" t="s">
        <v>103</v>
      </c>
      <c r="C3251" s="6">
        <v>2024</v>
      </c>
      <c r="D3251" s="7">
        <v>10979783</v>
      </c>
    </row>
    <row r="3252" spans="1:4" x14ac:dyDescent="0.3">
      <c r="A3252" s="2" t="s">
        <v>104</v>
      </c>
      <c r="B3252" s="2" t="s">
        <v>105</v>
      </c>
      <c r="C3252" s="3">
        <v>1960</v>
      </c>
      <c r="D3252" s="4">
        <v>124826</v>
      </c>
    </row>
    <row r="3253" spans="1:4" x14ac:dyDescent="0.3">
      <c r="A3253" s="5" t="s">
        <v>104</v>
      </c>
      <c r="B3253" s="5" t="s">
        <v>105</v>
      </c>
      <c r="C3253" s="6">
        <v>1961</v>
      </c>
      <c r="D3253" s="7">
        <v>126125</v>
      </c>
    </row>
    <row r="3254" spans="1:4" x14ac:dyDescent="0.3">
      <c r="A3254" s="2" t="s">
        <v>104</v>
      </c>
      <c r="B3254" s="2" t="s">
        <v>105</v>
      </c>
      <c r="C3254" s="3">
        <v>1962</v>
      </c>
      <c r="D3254" s="4">
        <v>128414</v>
      </c>
    </row>
    <row r="3255" spans="1:4" x14ac:dyDescent="0.3">
      <c r="A3255" s="5" t="s">
        <v>104</v>
      </c>
      <c r="B3255" s="5" t="s">
        <v>105</v>
      </c>
      <c r="C3255" s="6">
        <v>1963</v>
      </c>
      <c r="D3255" s="7">
        <v>130860</v>
      </c>
    </row>
    <row r="3256" spans="1:4" x14ac:dyDescent="0.3">
      <c r="A3256" s="2" t="s">
        <v>104</v>
      </c>
      <c r="B3256" s="2" t="s">
        <v>105</v>
      </c>
      <c r="C3256" s="3">
        <v>1964</v>
      </c>
      <c r="D3256" s="4">
        <v>133148</v>
      </c>
    </row>
    <row r="3257" spans="1:4" x14ac:dyDescent="0.3">
      <c r="A3257" s="5" t="s">
        <v>104</v>
      </c>
      <c r="B3257" s="5" t="s">
        <v>105</v>
      </c>
      <c r="C3257" s="6">
        <v>1965</v>
      </c>
      <c r="D3257" s="7">
        <v>135266</v>
      </c>
    </row>
    <row r="3258" spans="1:4" x14ac:dyDescent="0.3">
      <c r="A3258" s="2" t="s">
        <v>104</v>
      </c>
      <c r="B3258" s="2" t="s">
        <v>105</v>
      </c>
      <c r="C3258" s="3">
        <v>1966</v>
      </c>
      <c r="D3258" s="4">
        <v>136682</v>
      </c>
    </row>
    <row r="3259" spans="1:4" x14ac:dyDescent="0.3">
      <c r="A3259" s="5" t="s">
        <v>104</v>
      </c>
      <c r="B3259" s="5" t="s">
        <v>105</v>
      </c>
      <c r="C3259" s="6">
        <v>1967</v>
      </c>
      <c r="D3259" s="7">
        <v>138140</v>
      </c>
    </row>
    <row r="3260" spans="1:4" x14ac:dyDescent="0.3">
      <c r="A3260" s="2" t="s">
        <v>104</v>
      </c>
      <c r="B3260" s="2" t="s">
        <v>105</v>
      </c>
      <c r="C3260" s="3">
        <v>1968</v>
      </c>
      <c r="D3260" s="4">
        <v>140298</v>
      </c>
    </row>
    <row r="3261" spans="1:4" x14ac:dyDescent="0.3">
      <c r="A3261" s="5" t="s">
        <v>104</v>
      </c>
      <c r="B3261" s="5" t="s">
        <v>105</v>
      </c>
      <c r="C3261" s="6">
        <v>1969</v>
      </c>
      <c r="D3261" s="7">
        <v>142581</v>
      </c>
    </row>
    <row r="3262" spans="1:4" x14ac:dyDescent="0.3">
      <c r="A3262" s="2" t="s">
        <v>104</v>
      </c>
      <c r="B3262" s="2" t="s">
        <v>105</v>
      </c>
      <c r="C3262" s="3">
        <v>1970</v>
      </c>
      <c r="D3262" s="4">
        <v>144739</v>
      </c>
    </row>
    <row r="3263" spans="1:4" x14ac:dyDescent="0.3">
      <c r="A3263" s="5" t="s">
        <v>104</v>
      </c>
      <c r="B3263" s="5" t="s">
        <v>105</v>
      </c>
      <c r="C3263" s="6">
        <v>1971</v>
      </c>
      <c r="D3263" s="7">
        <v>147389</v>
      </c>
    </row>
    <row r="3264" spans="1:4" x14ac:dyDescent="0.3">
      <c r="A3264" s="2" t="s">
        <v>104</v>
      </c>
      <c r="B3264" s="2" t="s">
        <v>105</v>
      </c>
      <c r="C3264" s="3">
        <v>1972</v>
      </c>
      <c r="D3264" s="4">
        <v>147710</v>
      </c>
    </row>
    <row r="3265" spans="1:4" x14ac:dyDescent="0.3">
      <c r="A3265" s="5" t="s">
        <v>104</v>
      </c>
      <c r="B3265" s="5" t="s">
        <v>105</v>
      </c>
      <c r="C3265" s="6">
        <v>1973</v>
      </c>
      <c r="D3265" s="7">
        <v>146912</v>
      </c>
    </row>
    <row r="3266" spans="1:4" x14ac:dyDescent="0.3">
      <c r="A3266" s="2" t="s">
        <v>104</v>
      </c>
      <c r="B3266" s="2" t="s">
        <v>105</v>
      </c>
      <c r="C3266" s="3">
        <v>1974</v>
      </c>
      <c r="D3266" s="4">
        <v>148351</v>
      </c>
    </row>
    <row r="3267" spans="1:4" x14ac:dyDescent="0.3">
      <c r="A3267" s="5" t="s">
        <v>104</v>
      </c>
      <c r="B3267" s="5" t="s">
        <v>105</v>
      </c>
      <c r="C3267" s="6">
        <v>1975</v>
      </c>
      <c r="D3267" s="7">
        <v>149129</v>
      </c>
    </row>
    <row r="3268" spans="1:4" x14ac:dyDescent="0.3">
      <c r="A3268" s="2" t="s">
        <v>104</v>
      </c>
      <c r="B3268" s="2" t="s">
        <v>105</v>
      </c>
      <c r="C3268" s="3">
        <v>1976</v>
      </c>
      <c r="D3268" s="4">
        <v>149399</v>
      </c>
    </row>
    <row r="3269" spans="1:4" x14ac:dyDescent="0.3">
      <c r="A3269" s="5" t="s">
        <v>104</v>
      </c>
      <c r="B3269" s="5" t="s">
        <v>105</v>
      </c>
      <c r="C3269" s="6">
        <v>1977</v>
      </c>
      <c r="D3269" s="7">
        <v>149459</v>
      </c>
    </row>
    <row r="3270" spans="1:4" x14ac:dyDescent="0.3">
      <c r="A3270" s="2" t="s">
        <v>104</v>
      </c>
      <c r="B3270" s="2" t="s">
        <v>105</v>
      </c>
      <c r="C3270" s="3">
        <v>1978</v>
      </c>
      <c r="D3270" s="4">
        <v>148341</v>
      </c>
    </row>
    <row r="3271" spans="1:4" x14ac:dyDescent="0.3">
      <c r="A3271" s="5" t="s">
        <v>104</v>
      </c>
      <c r="B3271" s="5" t="s">
        <v>105</v>
      </c>
      <c r="C3271" s="6">
        <v>1979</v>
      </c>
      <c r="D3271" s="7">
        <v>147851</v>
      </c>
    </row>
    <row r="3272" spans="1:4" x14ac:dyDescent="0.3">
      <c r="A3272" s="2" t="s">
        <v>104</v>
      </c>
      <c r="B3272" s="2" t="s">
        <v>105</v>
      </c>
      <c r="C3272" s="3">
        <v>1980</v>
      </c>
      <c r="D3272" s="4">
        <v>148041</v>
      </c>
    </row>
    <row r="3273" spans="1:4" x14ac:dyDescent="0.3">
      <c r="A3273" s="5" t="s">
        <v>104</v>
      </c>
      <c r="B3273" s="5" t="s">
        <v>105</v>
      </c>
      <c r="C3273" s="6">
        <v>1981</v>
      </c>
      <c r="D3273" s="7">
        <v>148629</v>
      </c>
    </row>
    <row r="3274" spans="1:4" x14ac:dyDescent="0.3">
      <c r="A3274" s="2" t="s">
        <v>104</v>
      </c>
      <c r="B3274" s="2" t="s">
        <v>105</v>
      </c>
      <c r="C3274" s="3">
        <v>1982</v>
      </c>
      <c r="D3274" s="4">
        <v>150101</v>
      </c>
    </row>
    <row r="3275" spans="1:4" x14ac:dyDescent="0.3">
      <c r="A3275" s="5" t="s">
        <v>104</v>
      </c>
      <c r="B3275" s="5" t="s">
        <v>105</v>
      </c>
      <c r="C3275" s="6">
        <v>1983</v>
      </c>
      <c r="D3275" s="7">
        <v>151159</v>
      </c>
    </row>
    <row r="3276" spans="1:4" x14ac:dyDescent="0.3">
      <c r="A3276" s="2" t="s">
        <v>104</v>
      </c>
      <c r="B3276" s="2" t="s">
        <v>105</v>
      </c>
      <c r="C3276" s="3">
        <v>1984</v>
      </c>
      <c r="D3276" s="4">
        <v>151940</v>
      </c>
    </row>
    <row r="3277" spans="1:4" x14ac:dyDescent="0.3">
      <c r="A3277" s="5" t="s">
        <v>104</v>
      </c>
      <c r="B3277" s="5" t="s">
        <v>105</v>
      </c>
      <c r="C3277" s="6">
        <v>1985</v>
      </c>
      <c r="D3277" s="7">
        <v>152711</v>
      </c>
    </row>
    <row r="3278" spans="1:4" x14ac:dyDescent="0.3">
      <c r="A3278" s="2" t="s">
        <v>104</v>
      </c>
      <c r="B3278" s="2" t="s">
        <v>105</v>
      </c>
      <c r="C3278" s="3">
        <v>1986</v>
      </c>
      <c r="D3278" s="4">
        <v>152662</v>
      </c>
    </row>
    <row r="3279" spans="1:4" x14ac:dyDescent="0.3">
      <c r="A3279" s="5" t="s">
        <v>104</v>
      </c>
      <c r="B3279" s="5" t="s">
        <v>105</v>
      </c>
      <c r="C3279" s="6">
        <v>1987</v>
      </c>
      <c r="D3279" s="7">
        <v>151456</v>
      </c>
    </row>
    <row r="3280" spans="1:4" x14ac:dyDescent="0.3">
      <c r="A3280" s="2" t="s">
        <v>104</v>
      </c>
      <c r="B3280" s="2" t="s">
        <v>105</v>
      </c>
      <c r="C3280" s="3">
        <v>1988</v>
      </c>
      <c r="D3280" s="4">
        <v>149254</v>
      </c>
    </row>
    <row r="3281" spans="1:4" x14ac:dyDescent="0.3">
      <c r="A3281" s="5" t="s">
        <v>104</v>
      </c>
      <c r="B3281" s="5" t="s">
        <v>105</v>
      </c>
      <c r="C3281" s="6">
        <v>1989</v>
      </c>
      <c r="D3281" s="7">
        <v>146937</v>
      </c>
    </row>
    <row r="3282" spans="1:4" x14ac:dyDescent="0.3">
      <c r="A3282" s="2" t="s">
        <v>104</v>
      </c>
      <c r="B3282" s="2" t="s">
        <v>105</v>
      </c>
      <c r="C3282" s="3">
        <v>1990</v>
      </c>
      <c r="D3282" s="4">
        <v>145400</v>
      </c>
    </row>
    <row r="3283" spans="1:4" x14ac:dyDescent="0.3">
      <c r="A3283" s="5" t="s">
        <v>104</v>
      </c>
      <c r="B3283" s="5" t="s">
        <v>105</v>
      </c>
      <c r="C3283" s="6">
        <v>1991</v>
      </c>
      <c r="D3283" s="7">
        <v>144403</v>
      </c>
    </row>
    <row r="3284" spans="1:4" x14ac:dyDescent="0.3">
      <c r="A3284" s="2" t="s">
        <v>104</v>
      </c>
      <c r="B3284" s="2" t="s">
        <v>105</v>
      </c>
      <c r="C3284" s="3">
        <v>1992</v>
      </c>
      <c r="D3284" s="4">
        <v>143912</v>
      </c>
    </row>
    <row r="3285" spans="1:4" x14ac:dyDescent="0.3">
      <c r="A3285" s="5" t="s">
        <v>104</v>
      </c>
      <c r="B3285" s="5" t="s">
        <v>105</v>
      </c>
      <c r="C3285" s="6">
        <v>1993</v>
      </c>
      <c r="D3285" s="7">
        <v>144299</v>
      </c>
    </row>
    <row r="3286" spans="1:4" x14ac:dyDescent="0.3">
      <c r="A3286" s="2" t="s">
        <v>104</v>
      </c>
      <c r="B3286" s="2" t="s">
        <v>105</v>
      </c>
      <c r="C3286" s="3">
        <v>1994</v>
      </c>
      <c r="D3286" s="4">
        <v>144630</v>
      </c>
    </row>
    <row r="3287" spans="1:4" x14ac:dyDescent="0.3">
      <c r="A3287" s="5" t="s">
        <v>104</v>
      </c>
      <c r="B3287" s="5" t="s">
        <v>105</v>
      </c>
      <c r="C3287" s="6">
        <v>1995</v>
      </c>
      <c r="D3287" s="7">
        <v>145139</v>
      </c>
    </row>
    <row r="3288" spans="1:4" x14ac:dyDescent="0.3">
      <c r="A3288" s="2" t="s">
        <v>104</v>
      </c>
      <c r="B3288" s="2" t="s">
        <v>105</v>
      </c>
      <c r="C3288" s="3">
        <v>1996</v>
      </c>
      <c r="D3288" s="4">
        <v>146306</v>
      </c>
    </row>
    <row r="3289" spans="1:4" x14ac:dyDescent="0.3">
      <c r="A3289" s="5" t="s">
        <v>104</v>
      </c>
      <c r="B3289" s="5" t="s">
        <v>105</v>
      </c>
      <c r="C3289" s="6">
        <v>1997</v>
      </c>
      <c r="D3289" s="7">
        <v>146956</v>
      </c>
    </row>
    <row r="3290" spans="1:4" x14ac:dyDescent="0.3">
      <c r="A3290" s="2" t="s">
        <v>104</v>
      </c>
      <c r="B3290" s="2" t="s">
        <v>105</v>
      </c>
      <c r="C3290" s="3">
        <v>1998</v>
      </c>
      <c r="D3290" s="4">
        <v>144472</v>
      </c>
    </row>
    <row r="3291" spans="1:4" x14ac:dyDescent="0.3">
      <c r="A3291" s="5" t="s">
        <v>104</v>
      </c>
      <c r="B3291" s="5" t="s">
        <v>105</v>
      </c>
      <c r="C3291" s="6">
        <v>1999</v>
      </c>
      <c r="D3291" s="7">
        <v>139428</v>
      </c>
    </row>
    <row r="3292" spans="1:4" x14ac:dyDescent="0.3">
      <c r="A3292" s="2" t="s">
        <v>104</v>
      </c>
      <c r="B3292" s="2" t="s">
        <v>105</v>
      </c>
      <c r="C3292" s="3">
        <v>2000</v>
      </c>
      <c r="D3292" s="4">
        <v>133860</v>
      </c>
    </row>
    <row r="3293" spans="1:4" x14ac:dyDescent="0.3">
      <c r="A3293" s="5" t="s">
        <v>104</v>
      </c>
      <c r="B3293" s="5" t="s">
        <v>105</v>
      </c>
      <c r="C3293" s="6">
        <v>2001</v>
      </c>
      <c r="D3293" s="7">
        <v>129047</v>
      </c>
    </row>
    <row r="3294" spans="1:4" x14ac:dyDescent="0.3">
      <c r="A3294" s="2" t="s">
        <v>104</v>
      </c>
      <c r="B3294" s="2" t="s">
        <v>105</v>
      </c>
      <c r="C3294" s="3">
        <v>2002</v>
      </c>
      <c r="D3294" s="4">
        <v>129205</v>
      </c>
    </row>
    <row r="3295" spans="1:4" x14ac:dyDescent="0.3">
      <c r="A3295" s="5" t="s">
        <v>104</v>
      </c>
      <c r="B3295" s="5" t="s">
        <v>105</v>
      </c>
      <c r="C3295" s="6">
        <v>2003</v>
      </c>
      <c r="D3295" s="7">
        <v>131897</v>
      </c>
    </row>
    <row r="3296" spans="1:4" x14ac:dyDescent="0.3">
      <c r="A3296" s="2" t="s">
        <v>104</v>
      </c>
      <c r="B3296" s="2" t="s">
        <v>105</v>
      </c>
      <c r="C3296" s="3">
        <v>2004</v>
      </c>
      <c r="D3296" s="4">
        <v>134192</v>
      </c>
    </row>
    <row r="3297" spans="1:4" x14ac:dyDescent="0.3">
      <c r="A3297" s="5" t="s">
        <v>104</v>
      </c>
      <c r="B3297" s="5" t="s">
        <v>105</v>
      </c>
      <c r="C3297" s="6">
        <v>2005</v>
      </c>
      <c r="D3297" s="7">
        <v>137658</v>
      </c>
    </row>
    <row r="3298" spans="1:4" x14ac:dyDescent="0.3">
      <c r="A3298" s="2" t="s">
        <v>104</v>
      </c>
      <c r="B3298" s="2" t="s">
        <v>105</v>
      </c>
      <c r="C3298" s="3">
        <v>2006</v>
      </c>
      <c r="D3298" s="4">
        <v>141239</v>
      </c>
    </row>
    <row r="3299" spans="1:4" x14ac:dyDescent="0.3">
      <c r="A3299" s="5" t="s">
        <v>104</v>
      </c>
      <c r="B3299" s="5" t="s">
        <v>105</v>
      </c>
      <c r="C3299" s="6">
        <v>2007</v>
      </c>
      <c r="D3299" s="7">
        <v>144056</v>
      </c>
    </row>
    <row r="3300" spans="1:4" x14ac:dyDescent="0.3">
      <c r="A3300" s="2" t="s">
        <v>104</v>
      </c>
      <c r="B3300" s="2" t="s">
        <v>105</v>
      </c>
      <c r="C3300" s="3">
        <v>2008</v>
      </c>
      <c r="D3300" s="4">
        <v>145880</v>
      </c>
    </row>
    <row r="3301" spans="1:4" x14ac:dyDescent="0.3">
      <c r="A3301" s="5" t="s">
        <v>104</v>
      </c>
      <c r="B3301" s="5" t="s">
        <v>105</v>
      </c>
      <c r="C3301" s="6">
        <v>2009</v>
      </c>
      <c r="D3301" s="7">
        <v>146833</v>
      </c>
    </row>
    <row r="3302" spans="1:4" x14ac:dyDescent="0.3">
      <c r="A3302" s="2" t="s">
        <v>104</v>
      </c>
      <c r="B3302" s="2" t="s">
        <v>105</v>
      </c>
      <c r="C3302" s="3">
        <v>2010</v>
      </c>
      <c r="D3302" s="4">
        <v>148703</v>
      </c>
    </row>
    <row r="3303" spans="1:4" x14ac:dyDescent="0.3">
      <c r="A3303" s="5" t="s">
        <v>104</v>
      </c>
      <c r="B3303" s="5" t="s">
        <v>105</v>
      </c>
      <c r="C3303" s="6">
        <v>2011</v>
      </c>
      <c r="D3303" s="7">
        <v>150831</v>
      </c>
    </row>
    <row r="3304" spans="1:4" x14ac:dyDescent="0.3">
      <c r="A3304" s="2" t="s">
        <v>104</v>
      </c>
      <c r="B3304" s="2" t="s">
        <v>105</v>
      </c>
      <c r="C3304" s="3">
        <v>2012</v>
      </c>
      <c r="D3304" s="4">
        <v>152088</v>
      </c>
    </row>
    <row r="3305" spans="1:4" x14ac:dyDescent="0.3">
      <c r="A3305" s="5" t="s">
        <v>104</v>
      </c>
      <c r="B3305" s="5" t="s">
        <v>105</v>
      </c>
      <c r="C3305" s="6">
        <v>2013</v>
      </c>
      <c r="D3305" s="7">
        <v>153822</v>
      </c>
    </row>
    <row r="3306" spans="1:4" x14ac:dyDescent="0.3">
      <c r="A3306" s="2" t="s">
        <v>104</v>
      </c>
      <c r="B3306" s="2" t="s">
        <v>105</v>
      </c>
      <c r="C3306" s="3">
        <v>2014</v>
      </c>
      <c r="D3306" s="4">
        <v>155909</v>
      </c>
    </row>
    <row r="3307" spans="1:4" x14ac:dyDescent="0.3">
      <c r="A3307" s="5" t="s">
        <v>104</v>
      </c>
      <c r="B3307" s="5" t="s">
        <v>105</v>
      </c>
      <c r="C3307" s="6">
        <v>2015</v>
      </c>
      <c r="D3307" s="7">
        <v>157980</v>
      </c>
    </row>
    <row r="3308" spans="1:4" x14ac:dyDescent="0.3">
      <c r="A3308" s="2" t="s">
        <v>104</v>
      </c>
      <c r="B3308" s="2" t="s">
        <v>105</v>
      </c>
      <c r="C3308" s="3">
        <v>2016</v>
      </c>
      <c r="D3308" s="4">
        <v>159664</v>
      </c>
    </row>
    <row r="3309" spans="1:4" x14ac:dyDescent="0.3">
      <c r="A3309" s="5" t="s">
        <v>104</v>
      </c>
      <c r="B3309" s="5" t="s">
        <v>105</v>
      </c>
      <c r="C3309" s="6">
        <v>2017</v>
      </c>
      <c r="D3309" s="7">
        <v>160175</v>
      </c>
    </row>
    <row r="3310" spans="1:4" x14ac:dyDescent="0.3">
      <c r="A3310" s="2" t="s">
        <v>104</v>
      </c>
      <c r="B3310" s="2" t="s">
        <v>105</v>
      </c>
      <c r="C3310" s="3">
        <v>2018</v>
      </c>
      <c r="D3310" s="4">
        <v>159336</v>
      </c>
    </row>
    <row r="3311" spans="1:4" x14ac:dyDescent="0.3">
      <c r="A3311" s="5" t="s">
        <v>104</v>
      </c>
      <c r="B3311" s="5" t="s">
        <v>105</v>
      </c>
      <c r="C3311" s="6">
        <v>2019</v>
      </c>
      <c r="D3311" s="7">
        <v>157441</v>
      </c>
    </row>
    <row r="3312" spans="1:4" x14ac:dyDescent="0.3">
      <c r="A3312" s="2" t="s">
        <v>104</v>
      </c>
      <c r="B3312" s="2" t="s">
        <v>105</v>
      </c>
      <c r="C3312" s="3">
        <v>2020</v>
      </c>
      <c r="D3312" s="4">
        <v>154947</v>
      </c>
    </row>
    <row r="3313" spans="1:4" x14ac:dyDescent="0.3">
      <c r="A3313" s="5" t="s">
        <v>104</v>
      </c>
      <c r="B3313" s="5" t="s">
        <v>105</v>
      </c>
      <c r="C3313" s="6">
        <v>2021</v>
      </c>
      <c r="D3313" s="7">
        <v>152369</v>
      </c>
    </row>
    <row r="3314" spans="1:4" x14ac:dyDescent="0.3">
      <c r="A3314" s="2" t="s">
        <v>104</v>
      </c>
      <c r="B3314" s="2" t="s">
        <v>105</v>
      </c>
      <c r="C3314" s="3">
        <v>2022</v>
      </c>
      <c r="D3314" s="4">
        <v>149996</v>
      </c>
    </row>
    <row r="3315" spans="1:4" x14ac:dyDescent="0.3">
      <c r="A3315" s="5" t="s">
        <v>104</v>
      </c>
      <c r="B3315" s="5" t="s">
        <v>105</v>
      </c>
      <c r="C3315" s="6">
        <v>2023</v>
      </c>
      <c r="D3315" s="7">
        <v>155800</v>
      </c>
    </row>
    <row r="3316" spans="1:4" x14ac:dyDescent="0.3">
      <c r="A3316" s="2" t="s">
        <v>104</v>
      </c>
      <c r="B3316" s="2" t="s">
        <v>105</v>
      </c>
      <c r="C3316" s="3">
        <v>2024</v>
      </c>
      <c r="D3316" s="4">
        <v>155900</v>
      </c>
    </row>
    <row r="3317" spans="1:4" x14ac:dyDescent="0.3">
      <c r="A3317" s="5" t="s">
        <v>106</v>
      </c>
      <c r="B3317" s="5" t="s">
        <v>107</v>
      </c>
      <c r="C3317" s="6">
        <v>1960</v>
      </c>
      <c r="D3317" s="7">
        <v>586490</v>
      </c>
    </row>
    <row r="3318" spans="1:4" x14ac:dyDescent="0.3">
      <c r="A3318" s="2" t="s">
        <v>106</v>
      </c>
      <c r="B3318" s="2" t="s">
        <v>107</v>
      </c>
      <c r="C3318" s="3">
        <v>1961</v>
      </c>
      <c r="D3318" s="4">
        <v>595514</v>
      </c>
    </row>
    <row r="3319" spans="1:4" x14ac:dyDescent="0.3">
      <c r="A3319" s="5" t="s">
        <v>106</v>
      </c>
      <c r="B3319" s="5" t="s">
        <v>107</v>
      </c>
      <c r="C3319" s="6">
        <v>1962</v>
      </c>
      <c r="D3319" s="7">
        <v>601466</v>
      </c>
    </row>
    <row r="3320" spans="1:4" x14ac:dyDescent="0.3">
      <c r="A3320" s="2" t="s">
        <v>106</v>
      </c>
      <c r="B3320" s="2" t="s">
        <v>107</v>
      </c>
      <c r="C3320" s="3">
        <v>1963</v>
      </c>
      <c r="D3320" s="4">
        <v>607252</v>
      </c>
    </row>
    <row r="3321" spans="1:4" x14ac:dyDescent="0.3">
      <c r="A3321" s="5" t="s">
        <v>106</v>
      </c>
      <c r="B3321" s="5" t="s">
        <v>107</v>
      </c>
      <c r="C3321" s="6">
        <v>1964</v>
      </c>
      <c r="D3321" s="7">
        <v>612521</v>
      </c>
    </row>
    <row r="3322" spans="1:4" x14ac:dyDescent="0.3">
      <c r="A3322" s="2" t="s">
        <v>106</v>
      </c>
      <c r="B3322" s="2" t="s">
        <v>107</v>
      </c>
      <c r="C3322" s="3">
        <v>1965</v>
      </c>
      <c r="D3322" s="4">
        <v>617736</v>
      </c>
    </row>
    <row r="3323" spans="1:4" x14ac:dyDescent="0.3">
      <c r="A3323" s="5" t="s">
        <v>106</v>
      </c>
      <c r="B3323" s="5" t="s">
        <v>107</v>
      </c>
      <c r="C3323" s="6">
        <v>1966</v>
      </c>
      <c r="D3323" s="7">
        <v>623390</v>
      </c>
    </row>
    <row r="3324" spans="1:4" x14ac:dyDescent="0.3">
      <c r="A3324" s="2" t="s">
        <v>106</v>
      </c>
      <c r="B3324" s="2" t="s">
        <v>107</v>
      </c>
      <c r="C3324" s="3">
        <v>1967</v>
      </c>
      <c r="D3324" s="4">
        <v>629251</v>
      </c>
    </row>
    <row r="3325" spans="1:4" x14ac:dyDescent="0.3">
      <c r="A3325" s="5" t="s">
        <v>106</v>
      </c>
      <c r="B3325" s="5" t="s">
        <v>107</v>
      </c>
      <c r="C3325" s="6">
        <v>1968</v>
      </c>
      <c r="D3325" s="7">
        <v>635157</v>
      </c>
    </row>
    <row r="3326" spans="1:4" x14ac:dyDescent="0.3">
      <c r="A3326" s="2" t="s">
        <v>106</v>
      </c>
      <c r="B3326" s="2" t="s">
        <v>107</v>
      </c>
      <c r="C3326" s="3">
        <v>1969</v>
      </c>
      <c r="D3326" s="4">
        <v>641189</v>
      </c>
    </row>
    <row r="3327" spans="1:4" x14ac:dyDescent="0.3">
      <c r="A3327" s="5" t="s">
        <v>106</v>
      </c>
      <c r="B3327" s="5" t="s">
        <v>107</v>
      </c>
      <c r="C3327" s="6">
        <v>1970</v>
      </c>
      <c r="D3327" s="7">
        <v>647446</v>
      </c>
    </row>
    <row r="3328" spans="1:4" x14ac:dyDescent="0.3">
      <c r="A3328" s="2" t="s">
        <v>106</v>
      </c>
      <c r="B3328" s="2" t="s">
        <v>107</v>
      </c>
      <c r="C3328" s="3">
        <v>1971</v>
      </c>
      <c r="D3328" s="4">
        <v>654050</v>
      </c>
    </row>
    <row r="3329" spans="1:4" x14ac:dyDescent="0.3">
      <c r="A3329" s="5" t="s">
        <v>106</v>
      </c>
      <c r="B3329" s="5" t="s">
        <v>107</v>
      </c>
      <c r="C3329" s="6">
        <v>1972</v>
      </c>
      <c r="D3329" s="7">
        <v>661063</v>
      </c>
    </row>
    <row r="3330" spans="1:4" x14ac:dyDescent="0.3">
      <c r="A3330" s="2" t="s">
        <v>106</v>
      </c>
      <c r="B3330" s="2" t="s">
        <v>107</v>
      </c>
      <c r="C3330" s="3">
        <v>1973</v>
      </c>
      <c r="D3330" s="4">
        <v>665937</v>
      </c>
    </row>
    <row r="3331" spans="1:4" x14ac:dyDescent="0.3">
      <c r="A3331" s="5" t="s">
        <v>106</v>
      </c>
      <c r="B3331" s="5" t="s">
        <v>107</v>
      </c>
      <c r="C3331" s="6">
        <v>1974</v>
      </c>
      <c r="D3331" s="7">
        <v>663254</v>
      </c>
    </row>
    <row r="3332" spans="1:4" x14ac:dyDescent="0.3">
      <c r="A3332" s="2" t="s">
        <v>106</v>
      </c>
      <c r="B3332" s="2" t="s">
        <v>107</v>
      </c>
      <c r="C3332" s="3">
        <v>1975</v>
      </c>
      <c r="D3332" s="4">
        <v>659405</v>
      </c>
    </row>
    <row r="3333" spans="1:4" x14ac:dyDescent="0.3">
      <c r="A3333" s="5" t="s">
        <v>106</v>
      </c>
      <c r="B3333" s="5" t="s">
        <v>107</v>
      </c>
      <c r="C3333" s="6">
        <v>1976</v>
      </c>
      <c r="D3333" s="7">
        <v>662032</v>
      </c>
    </row>
    <row r="3334" spans="1:4" x14ac:dyDescent="0.3">
      <c r="A3334" s="2" t="s">
        <v>106</v>
      </c>
      <c r="B3334" s="2" t="s">
        <v>107</v>
      </c>
      <c r="C3334" s="3">
        <v>1977</v>
      </c>
      <c r="D3334" s="4">
        <v>667101</v>
      </c>
    </row>
    <row r="3335" spans="1:4" x14ac:dyDescent="0.3">
      <c r="A3335" s="5" t="s">
        <v>106</v>
      </c>
      <c r="B3335" s="5" t="s">
        <v>107</v>
      </c>
      <c r="C3335" s="6">
        <v>1978</v>
      </c>
      <c r="D3335" s="7">
        <v>672249</v>
      </c>
    </row>
    <row r="3336" spans="1:4" x14ac:dyDescent="0.3">
      <c r="A3336" s="2" t="s">
        <v>106</v>
      </c>
      <c r="B3336" s="2" t="s">
        <v>107</v>
      </c>
      <c r="C3336" s="3">
        <v>1979</v>
      </c>
      <c r="D3336" s="4">
        <v>677549</v>
      </c>
    </row>
    <row r="3337" spans="1:4" x14ac:dyDescent="0.3">
      <c r="A3337" s="5" t="s">
        <v>106</v>
      </c>
      <c r="B3337" s="5" t="s">
        <v>107</v>
      </c>
      <c r="C3337" s="6">
        <v>1980</v>
      </c>
      <c r="D3337" s="7">
        <v>683076</v>
      </c>
    </row>
    <row r="3338" spans="1:4" x14ac:dyDescent="0.3">
      <c r="A3338" s="2" t="s">
        <v>106</v>
      </c>
      <c r="B3338" s="2" t="s">
        <v>107</v>
      </c>
      <c r="C3338" s="3">
        <v>1981</v>
      </c>
      <c r="D3338" s="4">
        <v>688893</v>
      </c>
    </row>
    <row r="3339" spans="1:4" x14ac:dyDescent="0.3">
      <c r="A3339" s="5" t="s">
        <v>106</v>
      </c>
      <c r="B3339" s="5" t="s">
        <v>107</v>
      </c>
      <c r="C3339" s="6">
        <v>1982</v>
      </c>
      <c r="D3339" s="7">
        <v>696497</v>
      </c>
    </row>
    <row r="3340" spans="1:4" x14ac:dyDescent="0.3">
      <c r="A3340" s="2" t="s">
        <v>106</v>
      </c>
      <c r="B3340" s="2" t="s">
        <v>107</v>
      </c>
      <c r="C3340" s="3">
        <v>1983</v>
      </c>
      <c r="D3340" s="4">
        <v>707225</v>
      </c>
    </row>
    <row r="3341" spans="1:4" x14ac:dyDescent="0.3">
      <c r="A3341" s="5" t="s">
        <v>106</v>
      </c>
      <c r="B3341" s="5" t="s">
        <v>107</v>
      </c>
      <c r="C3341" s="6">
        <v>1984</v>
      </c>
      <c r="D3341" s="7">
        <v>719334</v>
      </c>
    </row>
    <row r="3342" spans="1:4" x14ac:dyDescent="0.3">
      <c r="A3342" s="2" t="s">
        <v>106</v>
      </c>
      <c r="B3342" s="2" t="s">
        <v>107</v>
      </c>
      <c r="C3342" s="3">
        <v>1985</v>
      </c>
      <c r="D3342" s="4">
        <v>731277</v>
      </c>
    </row>
    <row r="3343" spans="1:4" x14ac:dyDescent="0.3">
      <c r="A3343" s="5" t="s">
        <v>106</v>
      </c>
      <c r="B3343" s="5" t="s">
        <v>107</v>
      </c>
      <c r="C3343" s="6">
        <v>1986</v>
      </c>
      <c r="D3343" s="7">
        <v>743105</v>
      </c>
    </row>
    <row r="3344" spans="1:4" x14ac:dyDescent="0.3">
      <c r="A3344" s="2" t="s">
        <v>106</v>
      </c>
      <c r="B3344" s="2" t="s">
        <v>107</v>
      </c>
      <c r="C3344" s="3">
        <v>1987</v>
      </c>
      <c r="D3344" s="4">
        <v>754785</v>
      </c>
    </row>
    <row r="3345" spans="1:4" x14ac:dyDescent="0.3">
      <c r="A3345" s="5" t="s">
        <v>106</v>
      </c>
      <c r="B3345" s="5" t="s">
        <v>107</v>
      </c>
      <c r="C3345" s="6">
        <v>1988</v>
      </c>
      <c r="D3345" s="7">
        <v>766235</v>
      </c>
    </row>
    <row r="3346" spans="1:4" x14ac:dyDescent="0.3">
      <c r="A3346" s="2" t="s">
        <v>106</v>
      </c>
      <c r="B3346" s="2" t="s">
        <v>107</v>
      </c>
      <c r="C3346" s="3">
        <v>1989</v>
      </c>
      <c r="D3346" s="4">
        <v>777420</v>
      </c>
    </row>
    <row r="3347" spans="1:4" x14ac:dyDescent="0.3">
      <c r="A3347" s="5" t="s">
        <v>106</v>
      </c>
      <c r="B3347" s="5" t="s">
        <v>107</v>
      </c>
      <c r="C3347" s="6">
        <v>1990</v>
      </c>
      <c r="D3347" s="7">
        <v>788351</v>
      </c>
    </row>
    <row r="3348" spans="1:4" x14ac:dyDescent="0.3">
      <c r="A3348" s="2" t="s">
        <v>106</v>
      </c>
      <c r="B3348" s="2" t="s">
        <v>107</v>
      </c>
      <c r="C3348" s="3">
        <v>1991</v>
      </c>
      <c r="D3348" s="4">
        <v>798944</v>
      </c>
    </row>
    <row r="3349" spans="1:4" x14ac:dyDescent="0.3">
      <c r="A3349" s="5" t="s">
        <v>106</v>
      </c>
      <c r="B3349" s="5" t="s">
        <v>107</v>
      </c>
      <c r="C3349" s="6">
        <v>1992</v>
      </c>
      <c r="D3349" s="7">
        <v>810341</v>
      </c>
    </row>
    <row r="3350" spans="1:4" x14ac:dyDescent="0.3">
      <c r="A3350" s="2" t="s">
        <v>106</v>
      </c>
      <c r="B3350" s="2" t="s">
        <v>107</v>
      </c>
      <c r="C3350" s="3">
        <v>1993</v>
      </c>
      <c r="D3350" s="4">
        <v>826034</v>
      </c>
    </row>
    <row r="3351" spans="1:4" x14ac:dyDescent="0.3">
      <c r="A3351" s="5" t="s">
        <v>106</v>
      </c>
      <c r="B3351" s="5" t="s">
        <v>107</v>
      </c>
      <c r="C3351" s="6">
        <v>1994</v>
      </c>
      <c r="D3351" s="7">
        <v>844667</v>
      </c>
    </row>
    <row r="3352" spans="1:4" x14ac:dyDescent="0.3">
      <c r="A3352" s="2" t="s">
        <v>106</v>
      </c>
      <c r="B3352" s="2" t="s">
        <v>107</v>
      </c>
      <c r="C3352" s="3">
        <v>1995</v>
      </c>
      <c r="D3352" s="4">
        <v>862695</v>
      </c>
    </row>
    <row r="3353" spans="1:4" x14ac:dyDescent="0.3">
      <c r="A3353" s="5" t="s">
        <v>106</v>
      </c>
      <c r="B3353" s="5" t="s">
        <v>107</v>
      </c>
      <c r="C3353" s="6">
        <v>1996</v>
      </c>
      <c r="D3353" s="7">
        <v>880290</v>
      </c>
    </row>
    <row r="3354" spans="1:4" x14ac:dyDescent="0.3">
      <c r="A3354" s="2" t="s">
        <v>106</v>
      </c>
      <c r="B3354" s="2" t="s">
        <v>107</v>
      </c>
      <c r="C3354" s="3">
        <v>1997</v>
      </c>
      <c r="D3354" s="4">
        <v>897568</v>
      </c>
    </row>
    <row r="3355" spans="1:4" x14ac:dyDescent="0.3">
      <c r="A3355" s="5" t="s">
        <v>106</v>
      </c>
      <c r="B3355" s="5" t="s">
        <v>107</v>
      </c>
      <c r="C3355" s="6">
        <v>1998</v>
      </c>
      <c r="D3355" s="7">
        <v>914548</v>
      </c>
    </row>
    <row r="3356" spans="1:4" x14ac:dyDescent="0.3">
      <c r="A3356" s="2" t="s">
        <v>106</v>
      </c>
      <c r="B3356" s="2" t="s">
        <v>107</v>
      </c>
      <c r="C3356" s="3">
        <v>1999</v>
      </c>
      <c r="D3356" s="4">
        <v>931234</v>
      </c>
    </row>
    <row r="3357" spans="1:4" x14ac:dyDescent="0.3">
      <c r="A3357" s="5" t="s">
        <v>106</v>
      </c>
      <c r="B3357" s="5" t="s">
        <v>107</v>
      </c>
      <c r="C3357" s="6">
        <v>2000</v>
      </c>
      <c r="D3357" s="7">
        <v>947667</v>
      </c>
    </row>
    <row r="3358" spans="1:4" x14ac:dyDescent="0.3">
      <c r="A3358" s="2" t="s">
        <v>106</v>
      </c>
      <c r="B3358" s="2" t="s">
        <v>107</v>
      </c>
      <c r="C3358" s="3">
        <v>2001</v>
      </c>
      <c r="D3358" s="4">
        <v>964127</v>
      </c>
    </row>
    <row r="3359" spans="1:4" x14ac:dyDescent="0.3">
      <c r="A3359" s="5" t="s">
        <v>106</v>
      </c>
      <c r="B3359" s="5" t="s">
        <v>107</v>
      </c>
      <c r="C3359" s="6">
        <v>2002</v>
      </c>
      <c r="D3359" s="7">
        <v>981440</v>
      </c>
    </row>
    <row r="3360" spans="1:4" x14ac:dyDescent="0.3">
      <c r="A3360" s="2" t="s">
        <v>106</v>
      </c>
      <c r="B3360" s="2" t="s">
        <v>107</v>
      </c>
      <c r="C3360" s="3">
        <v>2003</v>
      </c>
      <c r="D3360" s="4">
        <v>999590</v>
      </c>
    </row>
    <row r="3361" spans="1:4" x14ac:dyDescent="0.3">
      <c r="A3361" s="5" t="s">
        <v>106</v>
      </c>
      <c r="B3361" s="5" t="s">
        <v>107</v>
      </c>
      <c r="C3361" s="6">
        <v>2004</v>
      </c>
      <c r="D3361" s="7">
        <v>1017875</v>
      </c>
    </row>
    <row r="3362" spans="1:4" x14ac:dyDescent="0.3">
      <c r="A3362" s="2" t="s">
        <v>106</v>
      </c>
      <c r="B3362" s="2" t="s">
        <v>107</v>
      </c>
      <c r="C3362" s="3">
        <v>2005</v>
      </c>
      <c r="D3362" s="4">
        <v>1036151</v>
      </c>
    </row>
    <row r="3363" spans="1:4" x14ac:dyDescent="0.3">
      <c r="A3363" s="5" t="s">
        <v>106</v>
      </c>
      <c r="B3363" s="5" t="s">
        <v>107</v>
      </c>
      <c r="C3363" s="6">
        <v>2006</v>
      </c>
      <c r="D3363" s="7">
        <v>1054418</v>
      </c>
    </row>
    <row r="3364" spans="1:4" x14ac:dyDescent="0.3">
      <c r="A3364" s="2" t="s">
        <v>106</v>
      </c>
      <c r="B3364" s="2" t="s">
        <v>107</v>
      </c>
      <c r="C3364" s="3">
        <v>2007</v>
      </c>
      <c r="D3364" s="4">
        <v>1072714</v>
      </c>
    </row>
    <row r="3365" spans="1:4" x14ac:dyDescent="0.3">
      <c r="A3365" s="5" t="s">
        <v>106</v>
      </c>
      <c r="B3365" s="5" t="s">
        <v>107</v>
      </c>
      <c r="C3365" s="6">
        <v>2008</v>
      </c>
      <c r="D3365" s="7">
        <v>1091026</v>
      </c>
    </row>
    <row r="3366" spans="1:4" x14ac:dyDescent="0.3">
      <c r="A3366" s="2" t="s">
        <v>106</v>
      </c>
      <c r="B3366" s="2" t="s">
        <v>107</v>
      </c>
      <c r="C3366" s="3">
        <v>2009</v>
      </c>
      <c r="D3366" s="4">
        <v>1109371</v>
      </c>
    </row>
    <row r="3367" spans="1:4" x14ac:dyDescent="0.3">
      <c r="A3367" s="5" t="s">
        <v>106</v>
      </c>
      <c r="B3367" s="5" t="s">
        <v>107</v>
      </c>
      <c r="C3367" s="6">
        <v>2010</v>
      </c>
      <c r="D3367" s="7">
        <v>1127816</v>
      </c>
    </row>
    <row r="3368" spans="1:4" x14ac:dyDescent="0.3">
      <c r="A3368" s="2" t="s">
        <v>106</v>
      </c>
      <c r="B3368" s="2" t="s">
        <v>107</v>
      </c>
      <c r="C3368" s="3">
        <v>2011</v>
      </c>
      <c r="D3368" s="4">
        <v>1146493</v>
      </c>
    </row>
    <row r="3369" spans="1:4" x14ac:dyDescent="0.3">
      <c r="A3369" s="5" t="s">
        <v>106</v>
      </c>
      <c r="B3369" s="5" t="s">
        <v>107</v>
      </c>
      <c r="C3369" s="6">
        <v>2012</v>
      </c>
      <c r="D3369" s="7">
        <v>1165397</v>
      </c>
    </row>
    <row r="3370" spans="1:4" x14ac:dyDescent="0.3">
      <c r="A3370" s="2" t="s">
        <v>106</v>
      </c>
      <c r="B3370" s="2" t="s">
        <v>107</v>
      </c>
      <c r="C3370" s="3">
        <v>2013</v>
      </c>
      <c r="D3370" s="4">
        <v>1183895</v>
      </c>
    </row>
    <row r="3371" spans="1:4" x14ac:dyDescent="0.3">
      <c r="A3371" s="5" t="s">
        <v>106</v>
      </c>
      <c r="B3371" s="5" t="s">
        <v>107</v>
      </c>
      <c r="C3371" s="6">
        <v>2014</v>
      </c>
      <c r="D3371" s="7">
        <v>1201801</v>
      </c>
    </row>
    <row r="3372" spans="1:4" x14ac:dyDescent="0.3">
      <c r="A3372" s="2" t="s">
        <v>106</v>
      </c>
      <c r="B3372" s="2" t="s">
        <v>107</v>
      </c>
      <c r="C3372" s="3">
        <v>2015</v>
      </c>
      <c r="D3372" s="4">
        <v>1219502</v>
      </c>
    </row>
    <row r="3373" spans="1:4" x14ac:dyDescent="0.3">
      <c r="A3373" s="5" t="s">
        <v>106</v>
      </c>
      <c r="B3373" s="5" t="s">
        <v>107</v>
      </c>
      <c r="C3373" s="6">
        <v>2016</v>
      </c>
      <c r="D3373" s="7">
        <v>1237112</v>
      </c>
    </row>
    <row r="3374" spans="1:4" x14ac:dyDescent="0.3">
      <c r="A3374" s="2" t="s">
        <v>106</v>
      </c>
      <c r="B3374" s="2" t="s">
        <v>107</v>
      </c>
      <c r="C3374" s="3">
        <v>2017</v>
      </c>
      <c r="D3374" s="4">
        <v>1254275</v>
      </c>
    </row>
    <row r="3375" spans="1:4" x14ac:dyDescent="0.3">
      <c r="A3375" s="5" t="s">
        <v>106</v>
      </c>
      <c r="B3375" s="5" t="s">
        <v>107</v>
      </c>
      <c r="C3375" s="6">
        <v>2018</v>
      </c>
      <c r="D3375" s="7">
        <v>1270737</v>
      </c>
    </row>
    <row r="3376" spans="1:4" x14ac:dyDescent="0.3">
      <c r="A3376" s="2" t="s">
        <v>106</v>
      </c>
      <c r="B3376" s="2" t="s">
        <v>107</v>
      </c>
      <c r="C3376" s="3">
        <v>2019</v>
      </c>
      <c r="D3376" s="4">
        <v>1286671</v>
      </c>
    </row>
    <row r="3377" spans="1:4" x14ac:dyDescent="0.3">
      <c r="A3377" s="5" t="s">
        <v>106</v>
      </c>
      <c r="B3377" s="5" t="s">
        <v>107</v>
      </c>
      <c r="C3377" s="6">
        <v>2020</v>
      </c>
      <c r="D3377" s="7">
        <v>1302247</v>
      </c>
    </row>
    <row r="3378" spans="1:4" x14ac:dyDescent="0.3">
      <c r="A3378" s="2" t="s">
        <v>106</v>
      </c>
      <c r="B3378" s="2" t="s">
        <v>107</v>
      </c>
      <c r="C3378" s="3">
        <v>2021</v>
      </c>
      <c r="D3378" s="4">
        <v>1317309</v>
      </c>
    </row>
    <row r="3379" spans="1:4" x14ac:dyDescent="0.3">
      <c r="A3379" s="5" t="s">
        <v>106</v>
      </c>
      <c r="B3379" s="5" t="s">
        <v>107</v>
      </c>
      <c r="C3379" s="6">
        <v>2022</v>
      </c>
      <c r="D3379" s="7">
        <v>1331370</v>
      </c>
    </row>
    <row r="3380" spans="1:4" x14ac:dyDescent="0.3">
      <c r="A3380" s="2" t="s">
        <v>106</v>
      </c>
      <c r="B3380" s="2" t="s">
        <v>107</v>
      </c>
      <c r="C3380" s="3">
        <v>2023</v>
      </c>
      <c r="D3380" s="4">
        <v>1344976</v>
      </c>
    </row>
    <row r="3381" spans="1:4" x14ac:dyDescent="0.3">
      <c r="A3381" s="5" t="s">
        <v>106</v>
      </c>
      <c r="B3381" s="5" t="s">
        <v>107</v>
      </c>
      <c r="C3381" s="6">
        <v>2024</v>
      </c>
      <c r="D3381" s="7">
        <v>1358282</v>
      </c>
    </row>
    <row r="3382" spans="1:4" x14ac:dyDescent="0.3">
      <c r="A3382" s="2" t="s">
        <v>108</v>
      </c>
      <c r="B3382" s="2" t="s">
        <v>109</v>
      </c>
      <c r="C3382" s="3">
        <v>1960</v>
      </c>
      <c r="D3382" s="4">
        <v>9602006</v>
      </c>
    </row>
    <row r="3383" spans="1:4" x14ac:dyDescent="0.3">
      <c r="A3383" s="5" t="s">
        <v>108</v>
      </c>
      <c r="B3383" s="5" t="s">
        <v>109</v>
      </c>
      <c r="C3383" s="6">
        <v>1961</v>
      </c>
      <c r="D3383" s="7">
        <v>9586651</v>
      </c>
    </row>
    <row r="3384" spans="1:4" x14ac:dyDescent="0.3">
      <c r="A3384" s="2" t="s">
        <v>108</v>
      </c>
      <c r="B3384" s="2" t="s">
        <v>109</v>
      </c>
      <c r="C3384" s="3">
        <v>1962</v>
      </c>
      <c r="D3384" s="4">
        <v>9624660</v>
      </c>
    </row>
    <row r="3385" spans="1:4" x14ac:dyDescent="0.3">
      <c r="A3385" s="5" t="s">
        <v>108</v>
      </c>
      <c r="B3385" s="5" t="s">
        <v>109</v>
      </c>
      <c r="C3385" s="6">
        <v>1963</v>
      </c>
      <c r="D3385" s="7">
        <v>9670685</v>
      </c>
    </row>
    <row r="3386" spans="1:4" x14ac:dyDescent="0.3">
      <c r="A3386" s="2" t="s">
        <v>108</v>
      </c>
      <c r="B3386" s="2" t="s">
        <v>109</v>
      </c>
      <c r="C3386" s="3">
        <v>1964</v>
      </c>
      <c r="D3386" s="4">
        <v>9727804</v>
      </c>
    </row>
    <row r="3387" spans="1:4" x14ac:dyDescent="0.3">
      <c r="A3387" s="5" t="s">
        <v>108</v>
      </c>
      <c r="B3387" s="5" t="s">
        <v>109</v>
      </c>
      <c r="C3387" s="6">
        <v>1965</v>
      </c>
      <c r="D3387" s="7">
        <v>9779358</v>
      </c>
    </row>
    <row r="3388" spans="1:4" x14ac:dyDescent="0.3">
      <c r="A3388" s="2" t="s">
        <v>108</v>
      </c>
      <c r="B3388" s="2" t="s">
        <v>109</v>
      </c>
      <c r="C3388" s="3">
        <v>1966</v>
      </c>
      <c r="D3388" s="4">
        <v>9821040</v>
      </c>
    </row>
    <row r="3389" spans="1:4" x14ac:dyDescent="0.3">
      <c r="A3389" s="5" t="s">
        <v>108</v>
      </c>
      <c r="B3389" s="5" t="s">
        <v>109</v>
      </c>
      <c r="C3389" s="6">
        <v>1967</v>
      </c>
      <c r="D3389" s="7">
        <v>9852899</v>
      </c>
    </row>
    <row r="3390" spans="1:4" x14ac:dyDescent="0.3">
      <c r="A3390" s="2" t="s">
        <v>108</v>
      </c>
      <c r="B3390" s="2" t="s">
        <v>109</v>
      </c>
      <c r="C3390" s="3">
        <v>1968</v>
      </c>
      <c r="D3390" s="4">
        <v>9876346</v>
      </c>
    </row>
    <row r="3391" spans="1:4" x14ac:dyDescent="0.3">
      <c r="A3391" s="5" t="s">
        <v>108</v>
      </c>
      <c r="B3391" s="5" t="s">
        <v>109</v>
      </c>
      <c r="C3391" s="6">
        <v>1969</v>
      </c>
      <c r="D3391" s="7">
        <v>9896580</v>
      </c>
    </row>
    <row r="3392" spans="1:4" x14ac:dyDescent="0.3">
      <c r="A3392" s="2" t="s">
        <v>108</v>
      </c>
      <c r="B3392" s="2" t="s">
        <v>109</v>
      </c>
      <c r="C3392" s="3">
        <v>1970</v>
      </c>
      <c r="D3392" s="4">
        <v>9858071</v>
      </c>
    </row>
    <row r="3393" spans="1:4" x14ac:dyDescent="0.3">
      <c r="A3393" s="5" t="s">
        <v>108</v>
      </c>
      <c r="B3393" s="5" t="s">
        <v>109</v>
      </c>
      <c r="C3393" s="6">
        <v>1971</v>
      </c>
      <c r="D3393" s="7">
        <v>9826815</v>
      </c>
    </row>
    <row r="3394" spans="1:4" x14ac:dyDescent="0.3">
      <c r="A3394" s="2" t="s">
        <v>108</v>
      </c>
      <c r="B3394" s="2" t="s">
        <v>109</v>
      </c>
      <c r="C3394" s="3">
        <v>1972</v>
      </c>
      <c r="D3394" s="4">
        <v>9867632</v>
      </c>
    </row>
    <row r="3395" spans="1:4" x14ac:dyDescent="0.3">
      <c r="A3395" s="5" t="s">
        <v>108</v>
      </c>
      <c r="B3395" s="5" t="s">
        <v>109</v>
      </c>
      <c r="C3395" s="6">
        <v>1973</v>
      </c>
      <c r="D3395" s="7">
        <v>9922266</v>
      </c>
    </row>
    <row r="3396" spans="1:4" x14ac:dyDescent="0.3">
      <c r="A3396" s="2" t="s">
        <v>108</v>
      </c>
      <c r="B3396" s="2" t="s">
        <v>109</v>
      </c>
      <c r="C3396" s="3">
        <v>1974</v>
      </c>
      <c r="D3396" s="4">
        <v>9988459</v>
      </c>
    </row>
    <row r="3397" spans="1:4" x14ac:dyDescent="0.3">
      <c r="A3397" s="5" t="s">
        <v>108</v>
      </c>
      <c r="B3397" s="5" t="s">
        <v>109</v>
      </c>
      <c r="C3397" s="6">
        <v>1975</v>
      </c>
      <c r="D3397" s="7">
        <v>10058620</v>
      </c>
    </row>
    <row r="3398" spans="1:4" x14ac:dyDescent="0.3">
      <c r="A3398" s="2" t="s">
        <v>108</v>
      </c>
      <c r="B3398" s="2" t="s">
        <v>109</v>
      </c>
      <c r="C3398" s="3">
        <v>1976</v>
      </c>
      <c r="D3398" s="4">
        <v>10125939</v>
      </c>
    </row>
    <row r="3399" spans="1:4" x14ac:dyDescent="0.3">
      <c r="A3399" s="5" t="s">
        <v>108</v>
      </c>
      <c r="B3399" s="5" t="s">
        <v>109</v>
      </c>
      <c r="C3399" s="6">
        <v>1977</v>
      </c>
      <c r="D3399" s="7">
        <v>10186755</v>
      </c>
    </row>
    <row r="3400" spans="1:4" x14ac:dyDescent="0.3">
      <c r="A3400" s="2" t="s">
        <v>108</v>
      </c>
      <c r="B3400" s="2" t="s">
        <v>109</v>
      </c>
      <c r="C3400" s="3">
        <v>1978</v>
      </c>
      <c r="D3400" s="4">
        <v>10242098</v>
      </c>
    </row>
    <row r="3401" spans="1:4" x14ac:dyDescent="0.3">
      <c r="A3401" s="5" t="s">
        <v>108</v>
      </c>
      <c r="B3401" s="5" t="s">
        <v>109</v>
      </c>
      <c r="C3401" s="6">
        <v>1979</v>
      </c>
      <c r="D3401" s="7">
        <v>10292341</v>
      </c>
    </row>
    <row r="3402" spans="1:4" x14ac:dyDescent="0.3">
      <c r="A3402" s="2" t="s">
        <v>108</v>
      </c>
      <c r="B3402" s="2" t="s">
        <v>109</v>
      </c>
      <c r="C3402" s="3">
        <v>1980</v>
      </c>
      <c r="D3402" s="4">
        <v>10304193</v>
      </c>
    </row>
    <row r="3403" spans="1:4" x14ac:dyDescent="0.3">
      <c r="A3403" s="5" t="s">
        <v>108</v>
      </c>
      <c r="B3403" s="5" t="s">
        <v>109</v>
      </c>
      <c r="C3403" s="6">
        <v>1981</v>
      </c>
      <c r="D3403" s="7">
        <v>10300591</v>
      </c>
    </row>
    <row r="3404" spans="1:4" x14ac:dyDescent="0.3">
      <c r="A3404" s="2" t="s">
        <v>108</v>
      </c>
      <c r="B3404" s="2" t="s">
        <v>109</v>
      </c>
      <c r="C3404" s="3">
        <v>1982</v>
      </c>
      <c r="D3404" s="4">
        <v>10314826</v>
      </c>
    </row>
    <row r="3405" spans="1:4" x14ac:dyDescent="0.3">
      <c r="A3405" s="5" t="s">
        <v>108</v>
      </c>
      <c r="B3405" s="5" t="s">
        <v>109</v>
      </c>
      <c r="C3405" s="6">
        <v>1983</v>
      </c>
      <c r="D3405" s="7">
        <v>10323856</v>
      </c>
    </row>
    <row r="3406" spans="1:4" x14ac:dyDescent="0.3">
      <c r="A3406" s="2" t="s">
        <v>108</v>
      </c>
      <c r="B3406" s="2" t="s">
        <v>109</v>
      </c>
      <c r="C3406" s="3">
        <v>1984</v>
      </c>
      <c r="D3406" s="4">
        <v>10330213</v>
      </c>
    </row>
    <row r="3407" spans="1:4" x14ac:dyDescent="0.3">
      <c r="A3407" s="5" t="s">
        <v>108</v>
      </c>
      <c r="B3407" s="5" t="s">
        <v>109</v>
      </c>
      <c r="C3407" s="6">
        <v>1985</v>
      </c>
      <c r="D3407" s="7">
        <v>10337118</v>
      </c>
    </row>
    <row r="3408" spans="1:4" x14ac:dyDescent="0.3">
      <c r="A3408" s="2" t="s">
        <v>108</v>
      </c>
      <c r="B3408" s="2" t="s">
        <v>109</v>
      </c>
      <c r="C3408" s="3">
        <v>1986</v>
      </c>
      <c r="D3408" s="4">
        <v>10342227</v>
      </c>
    </row>
    <row r="3409" spans="1:4" x14ac:dyDescent="0.3">
      <c r="A3409" s="5" t="s">
        <v>108</v>
      </c>
      <c r="B3409" s="5" t="s">
        <v>109</v>
      </c>
      <c r="C3409" s="6">
        <v>1987</v>
      </c>
      <c r="D3409" s="7">
        <v>10347318</v>
      </c>
    </row>
    <row r="3410" spans="1:4" x14ac:dyDescent="0.3">
      <c r="A3410" s="2" t="s">
        <v>108</v>
      </c>
      <c r="B3410" s="2" t="s">
        <v>109</v>
      </c>
      <c r="C3410" s="3">
        <v>1988</v>
      </c>
      <c r="D3410" s="4">
        <v>10355276</v>
      </c>
    </row>
    <row r="3411" spans="1:4" x14ac:dyDescent="0.3">
      <c r="A3411" s="5" t="s">
        <v>108</v>
      </c>
      <c r="B3411" s="5" t="s">
        <v>109</v>
      </c>
      <c r="C3411" s="6">
        <v>1989</v>
      </c>
      <c r="D3411" s="7">
        <v>10361068</v>
      </c>
    </row>
    <row r="3412" spans="1:4" x14ac:dyDescent="0.3">
      <c r="A3412" s="2" t="s">
        <v>108</v>
      </c>
      <c r="B3412" s="2" t="s">
        <v>109</v>
      </c>
      <c r="C3412" s="3">
        <v>1990</v>
      </c>
      <c r="D3412" s="4">
        <v>10333355</v>
      </c>
    </row>
    <row r="3413" spans="1:4" x14ac:dyDescent="0.3">
      <c r="A3413" s="5" t="s">
        <v>108</v>
      </c>
      <c r="B3413" s="5" t="s">
        <v>109</v>
      </c>
      <c r="C3413" s="6">
        <v>1991</v>
      </c>
      <c r="D3413" s="7">
        <v>10308578</v>
      </c>
    </row>
    <row r="3414" spans="1:4" x14ac:dyDescent="0.3">
      <c r="A3414" s="2" t="s">
        <v>108</v>
      </c>
      <c r="B3414" s="2" t="s">
        <v>109</v>
      </c>
      <c r="C3414" s="3">
        <v>1992</v>
      </c>
      <c r="D3414" s="4">
        <v>10319123</v>
      </c>
    </row>
    <row r="3415" spans="1:4" x14ac:dyDescent="0.3">
      <c r="A3415" s="5" t="s">
        <v>108</v>
      </c>
      <c r="B3415" s="5" t="s">
        <v>109</v>
      </c>
      <c r="C3415" s="6">
        <v>1993</v>
      </c>
      <c r="D3415" s="7">
        <v>10329855</v>
      </c>
    </row>
    <row r="3416" spans="1:4" x14ac:dyDescent="0.3">
      <c r="A3416" s="2" t="s">
        <v>108</v>
      </c>
      <c r="B3416" s="2" t="s">
        <v>109</v>
      </c>
      <c r="C3416" s="3">
        <v>1994</v>
      </c>
      <c r="D3416" s="4">
        <v>10333587</v>
      </c>
    </row>
    <row r="3417" spans="1:4" x14ac:dyDescent="0.3">
      <c r="A3417" s="5" t="s">
        <v>108</v>
      </c>
      <c r="B3417" s="5" t="s">
        <v>109</v>
      </c>
      <c r="C3417" s="6">
        <v>1995</v>
      </c>
      <c r="D3417" s="7">
        <v>10327253</v>
      </c>
    </row>
    <row r="3418" spans="1:4" x14ac:dyDescent="0.3">
      <c r="A3418" s="2" t="s">
        <v>108</v>
      </c>
      <c r="B3418" s="2" t="s">
        <v>109</v>
      </c>
      <c r="C3418" s="3">
        <v>1996</v>
      </c>
      <c r="D3418" s="4">
        <v>10315241</v>
      </c>
    </row>
    <row r="3419" spans="1:4" x14ac:dyDescent="0.3">
      <c r="A3419" s="5" t="s">
        <v>108</v>
      </c>
      <c r="B3419" s="5" t="s">
        <v>109</v>
      </c>
      <c r="C3419" s="6">
        <v>1997</v>
      </c>
      <c r="D3419" s="7">
        <v>10304131</v>
      </c>
    </row>
    <row r="3420" spans="1:4" x14ac:dyDescent="0.3">
      <c r="A3420" s="2" t="s">
        <v>108</v>
      </c>
      <c r="B3420" s="2" t="s">
        <v>109</v>
      </c>
      <c r="C3420" s="3">
        <v>1998</v>
      </c>
      <c r="D3420" s="4">
        <v>10294373</v>
      </c>
    </row>
    <row r="3421" spans="1:4" x14ac:dyDescent="0.3">
      <c r="A3421" s="5" t="s">
        <v>108</v>
      </c>
      <c r="B3421" s="5" t="s">
        <v>109</v>
      </c>
      <c r="C3421" s="6">
        <v>1999</v>
      </c>
      <c r="D3421" s="7">
        <v>10283860</v>
      </c>
    </row>
    <row r="3422" spans="1:4" x14ac:dyDescent="0.3">
      <c r="A3422" s="2" t="s">
        <v>108</v>
      </c>
      <c r="B3422" s="2" t="s">
        <v>109</v>
      </c>
      <c r="C3422" s="3">
        <v>2000</v>
      </c>
      <c r="D3422" s="4">
        <v>10255063</v>
      </c>
    </row>
    <row r="3423" spans="1:4" x14ac:dyDescent="0.3">
      <c r="A3423" s="5" t="s">
        <v>108</v>
      </c>
      <c r="B3423" s="5" t="s">
        <v>109</v>
      </c>
      <c r="C3423" s="6">
        <v>2001</v>
      </c>
      <c r="D3423" s="7">
        <v>10216605</v>
      </c>
    </row>
    <row r="3424" spans="1:4" x14ac:dyDescent="0.3">
      <c r="A3424" s="2" t="s">
        <v>108</v>
      </c>
      <c r="B3424" s="2" t="s">
        <v>109</v>
      </c>
      <c r="C3424" s="3">
        <v>2002</v>
      </c>
      <c r="D3424" s="4">
        <v>10196916</v>
      </c>
    </row>
    <row r="3425" spans="1:4" x14ac:dyDescent="0.3">
      <c r="A3425" s="5" t="s">
        <v>108</v>
      </c>
      <c r="B3425" s="5" t="s">
        <v>109</v>
      </c>
      <c r="C3425" s="6">
        <v>2003</v>
      </c>
      <c r="D3425" s="7">
        <v>10193998</v>
      </c>
    </row>
    <row r="3426" spans="1:4" x14ac:dyDescent="0.3">
      <c r="A3426" s="2" t="s">
        <v>108</v>
      </c>
      <c r="B3426" s="2" t="s">
        <v>109</v>
      </c>
      <c r="C3426" s="3">
        <v>2004</v>
      </c>
      <c r="D3426" s="4">
        <v>10197101</v>
      </c>
    </row>
    <row r="3427" spans="1:4" x14ac:dyDescent="0.3">
      <c r="A3427" s="5" t="s">
        <v>108</v>
      </c>
      <c r="B3427" s="5" t="s">
        <v>109</v>
      </c>
      <c r="C3427" s="6">
        <v>2005</v>
      </c>
      <c r="D3427" s="7">
        <v>10211216</v>
      </c>
    </row>
    <row r="3428" spans="1:4" x14ac:dyDescent="0.3">
      <c r="A3428" s="2" t="s">
        <v>108</v>
      </c>
      <c r="B3428" s="2" t="s">
        <v>109</v>
      </c>
      <c r="C3428" s="3">
        <v>2006</v>
      </c>
      <c r="D3428" s="4">
        <v>10238905</v>
      </c>
    </row>
    <row r="3429" spans="1:4" x14ac:dyDescent="0.3">
      <c r="A3429" s="5" t="s">
        <v>108</v>
      </c>
      <c r="B3429" s="5" t="s">
        <v>109</v>
      </c>
      <c r="C3429" s="6">
        <v>2007</v>
      </c>
      <c r="D3429" s="7">
        <v>10298828</v>
      </c>
    </row>
    <row r="3430" spans="1:4" x14ac:dyDescent="0.3">
      <c r="A3430" s="2" t="s">
        <v>108</v>
      </c>
      <c r="B3430" s="2" t="s">
        <v>109</v>
      </c>
      <c r="C3430" s="3">
        <v>2008</v>
      </c>
      <c r="D3430" s="4">
        <v>10384603</v>
      </c>
    </row>
    <row r="3431" spans="1:4" x14ac:dyDescent="0.3">
      <c r="A3431" s="5" t="s">
        <v>108</v>
      </c>
      <c r="B3431" s="5" t="s">
        <v>109</v>
      </c>
      <c r="C3431" s="6">
        <v>2009</v>
      </c>
      <c r="D3431" s="7">
        <v>10443936</v>
      </c>
    </row>
    <row r="3432" spans="1:4" x14ac:dyDescent="0.3">
      <c r="A3432" s="2" t="s">
        <v>108</v>
      </c>
      <c r="B3432" s="2" t="s">
        <v>109</v>
      </c>
      <c r="C3432" s="3">
        <v>2010</v>
      </c>
      <c r="D3432" s="4">
        <v>10474410</v>
      </c>
    </row>
    <row r="3433" spans="1:4" x14ac:dyDescent="0.3">
      <c r="A3433" s="5" t="s">
        <v>108</v>
      </c>
      <c r="B3433" s="5" t="s">
        <v>109</v>
      </c>
      <c r="C3433" s="6">
        <v>2011</v>
      </c>
      <c r="D3433" s="7">
        <v>10496088</v>
      </c>
    </row>
    <row r="3434" spans="1:4" x14ac:dyDescent="0.3">
      <c r="A3434" s="2" t="s">
        <v>108</v>
      </c>
      <c r="B3434" s="2" t="s">
        <v>109</v>
      </c>
      <c r="C3434" s="3">
        <v>2012</v>
      </c>
      <c r="D3434" s="4">
        <v>10510785</v>
      </c>
    </row>
    <row r="3435" spans="1:4" x14ac:dyDescent="0.3">
      <c r="A3435" s="5" t="s">
        <v>108</v>
      </c>
      <c r="B3435" s="5" t="s">
        <v>109</v>
      </c>
      <c r="C3435" s="6">
        <v>2013</v>
      </c>
      <c r="D3435" s="7">
        <v>10514272</v>
      </c>
    </row>
    <row r="3436" spans="1:4" x14ac:dyDescent="0.3">
      <c r="A3436" s="2" t="s">
        <v>108</v>
      </c>
      <c r="B3436" s="2" t="s">
        <v>109</v>
      </c>
      <c r="C3436" s="3">
        <v>2014</v>
      </c>
      <c r="D3436" s="4">
        <v>10525347</v>
      </c>
    </row>
    <row r="3437" spans="1:4" x14ac:dyDescent="0.3">
      <c r="A3437" s="5" t="s">
        <v>108</v>
      </c>
      <c r="B3437" s="5" t="s">
        <v>109</v>
      </c>
      <c r="C3437" s="6">
        <v>2015</v>
      </c>
      <c r="D3437" s="7">
        <v>10546059</v>
      </c>
    </row>
    <row r="3438" spans="1:4" x14ac:dyDescent="0.3">
      <c r="A3438" s="2" t="s">
        <v>108</v>
      </c>
      <c r="B3438" s="2" t="s">
        <v>109</v>
      </c>
      <c r="C3438" s="3">
        <v>2016</v>
      </c>
      <c r="D3438" s="4">
        <v>10566332</v>
      </c>
    </row>
    <row r="3439" spans="1:4" x14ac:dyDescent="0.3">
      <c r="A3439" s="5" t="s">
        <v>108</v>
      </c>
      <c r="B3439" s="5" t="s">
        <v>109</v>
      </c>
      <c r="C3439" s="6">
        <v>2017</v>
      </c>
      <c r="D3439" s="7">
        <v>10594438</v>
      </c>
    </row>
    <row r="3440" spans="1:4" x14ac:dyDescent="0.3">
      <c r="A3440" s="2" t="s">
        <v>108</v>
      </c>
      <c r="B3440" s="2" t="s">
        <v>109</v>
      </c>
      <c r="C3440" s="3">
        <v>2018</v>
      </c>
      <c r="D3440" s="4">
        <v>10629928</v>
      </c>
    </row>
    <row r="3441" spans="1:4" x14ac:dyDescent="0.3">
      <c r="A3441" s="5" t="s">
        <v>108</v>
      </c>
      <c r="B3441" s="5" t="s">
        <v>109</v>
      </c>
      <c r="C3441" s="6">
        <v>2019</v>
      </c>
      <c r="D3441" s="7">
        <v>10671870</v>
      </c>
    </row>
    <row r="3442" spans="1:4" x14ac:dyDescent="0.3">
      <c r="A3442" s="2" t="s">
        <v>108</v>
      </c>
      <c r="B3442" s="2" t="s">
        <v>109</v>
      </c>
      <c r="C3442" s="3">
        <v>2020</v>
      </c>
      <c r="D3442" s="4">
        <v>10697858</v>
      </c>
    </row>
    <row r="3443" spans="1:4" x14ac:dyDescent="0.3">
      <c r="A3443" s="5" t="s">
        <v>108</v>
      </c>
      <c r="B3443" s="5" t="s">
        <v>109</v>
      </c>
      <c r="C3443" s="6">
        <v>2021</v>
      </c>
      <c r="D3443" s="7">
        <v>10505772</v>
      </c>
    </row>
    <row r="3444" spans="1:4" x14ac:dyDescent="0.3">
      <c r="A3444" s="2" t="s">
        <v>108</v>
      </c>
      <c r="B3444" s="2" t="s">
        <v>109</v>
      </c>
      <c r="C3444" s="3">
        <v>2022</v>
      </c>
      <c r="D3444" s="4">
        <v>10672118</v>
      </c>
    </row>
    <row r="3445" spans="1:4" x14ac:dyDescent="0.3">
      <c r="A3445" s="5" t="s">
        <v>108</v>
      </c>
      <c r="B3445" s="5" t="s">
        <v>109</v>
      </c>
      <c r="C3445" s="6">
        <v>2023</v>
      </c>
      <c r="D3445" s="7">
        <v>10864042</v>
      </c>
    </row>
    <row r="3446" spans="1:4" x14ac:dyDescent="0.3">
      <c r="A3446" s="2" t="s">
        <v>108</v>
      </c>
      <c r="B3446" s="2" t="s">
        <v>109</v>
      </c>
      <c r="C3446" s="3">
        <v>2024</v>
      </c>
      <c r="D3446" s="4">
        <v>10882164</v>
      </c>
    </row>
    <row r="3447" spans="1:4" x14ac:dyDescent="0.3">
      <c r="A3447" s="5" t="s">
        <v>110</v>
      </c>
      <c r="B3447" s="5" t="s">
        <v>111</v>
      </c>
      <c r="C3447" s="6">
        <v>1960</v>
      </c>
      <c r="D3447" s="7">
        <v>4579603</v>
      </c>
    </row>
    <row r="3448" spans="1:4" x14ac:dyDescent="0.3">
      <c r="A3448" s="2" t="s">
        <v>110</v>
      </c>
      <c r="B3448" s="2" t="s">
        <v>111</v>
      </c>
      <c r="C3448" s="3">
        <v>1961</v>
      </c>
      <c r="D3448" s="4">
        <v>4611687</v>
      </c>
    </row>
    <row r="3449" spans="1:4" x14ac:dyDescent="0.3">
      <c r="A3449" s="5" t="s">
        <v>110</v>
      </c>
      <c r="B3449" s="5" t="s">
        <v>111</v>
      </c>
      <c r="C3449" s="6">
        <v>1962</v>
      </c>
      <c r="D3449" s="7">
        <v>4647727</v>
      </c>
    </row>
    <row r="3450" spans="1:4" x14ac:dyDescent="0.3">
      <c r="A3450" s="2" t="s">
        <v>110</v>
      </c>
      <c r="B3450" s="2" t="s">
        <v>111</v>
      </c>
      <c r="C3450" s="3">
        <v>1963</v>
      </c>
      <c r="D3450" s="4">
        <v>4684483</v>
      </c>
    </row>
    <row r="3451" spans="1:4" x14ac:dyDescent="0.3">
      <c r="A3451" s="5" t="s">
        <v>110</v>
      </c>
      <c r="B3451" s="5" t="s">
        <v>111</v>
      </c>
      <c r="C3451" s="6">
        <v>1964</v>
      </c>
      <c r="D3451" s="7">
        <v>4722072</v>
      </c>
    </row>
    <row r="3452" spans="1:4" x14ac:dyDescent="0.3">
      <c r="A3452" s="2" t="s">
        <v>110</v>
      </c>
      <c r="B3452" s="2" t="s">
        <v>111</v>
      </c>
      <c r="C3452" s="3">
        <v>1965</v>
      </c>
      <c r="D3452" s="4">
        <v>4759012</v>
      </c>
    </row>
    <row r="3453" spans="1:4" x14ac:dyDescent="0.3">
      <c r="A3453" s="5" t="s">
        <v>110</v>
      </c>
      <c r="B3453" s="5" t="s">
        <v>111</v>
      </c>
      <c r="C3453" s="6">
        <v>1966</v>
      </c>
      <c r="D3453" s="7">
        <v>4797381</v>
      </c>
    </row>
    <row r="3454" spans="1:4" x14ac:dyDescent="0.3">
      <c r="A3454" s="2" t="s">
        <v>110</v>
      </c>
      <c r="B3454" s="2" t="s">
        <v>111</v>
      </c>
      <c r="C3454" s="3">
        <v>1967</v>
      </c>
      <c r="D3454" s="4">
        <v>4835354</v>
      </c>
    </row>
    <row r="3455" spans="1:4" x14ac:dyDescent="0.3">
      <c r="A3455" s="5" t="s">
        <v>110</v>
      </c>
      <c r="B3455" s="5" t="s">
        <v>111</v>
      </c>
      <c r="C3455" s="6">
        <v>1968</v>
      </c>
      <c r="D3455" s="7">
        <v>4864883</v>
      </c>
    </row>
    <row r="3456" spans="1:4" x14ac:dyDescent="0.3">
      <c r="A3456" s="2" t="s">
        <v>110</v>
      </c>
      <c r="B3456" s="2" t="s">
        <v>111</v>
      </c>
      <c r="C3456" s="3">
        <v>1969</v>
      </c>
      <c r="D3456" s="4">
        <v>4891860</v>
      </c>
    </row>
    <row r="3457" spans="1:4" x14ac:dyDescent="0.3">
      <c r="A3457" s="5" t="s">
        <v>110</v>
      </c>
      <c r="B3457" s="5" t="s">
        <v>111</v>
      </c>
      <c r="C3457" s="6">
        <v>1970</v>
      </c>
      <c r="D3457" s="7">
        <v>4928757</v>
      </c>
    </row>
    <row r="3458" spans="1:4" x14ac:dyDescent="0.3">
      <c r="A3458" s="2" t="s">
        <v>110</v>
      </c>
      <c r="B3458" s="2" t="s">
        <v>111</v>
      </c>
      <c r="C3458" s="3">
        <v>1971</v>
      </c>
      <c r="D3458" s="4">
        <v>4963126</v>
      </c>
    </row>
    <row r="3459" spans="1:4" x14ac:dyDescent="0.3">
      <c r="A3459" s="5" t="s">
        <v>110</v>
      </c>
      <c r="B3459" s="5" t="s">
        <v>111</v>
      </c>
      <c r="C3459" s="6">
        <v>1972</v>
      </c>
      <c r="D3459" s="7">
        <v>4991596</v>
      </c>
    </row>
    <row r="3460" spans="1:4" x14ac:dyDescent="0.3">
      <c r="A3460" s="2" t="s">
        <v>110</v>
      </c>
      <c r="B3460" s="2" t="s">
        <v>111</v>
      </c>
      <c r="C3460" s="3">
        <v>1973</v>
      </c>
      <c r="D3460" s="4">
        <v>5021861</v>
      </c>
    </row>
    <row r="3461" spans="1:4" x14ac:dyDescent="0.3">
      <c r="A3461" s="5" t="s">
        <v>110</v>
      </c>
      <c r="B3461" s="5" t="s">
        <v>111</v>
      </c>
      <c r="C3461" s="6">
        <v>1974</v>
      </c>
      <c r="D3461" s="7">
        <v>5045297</v>
      </c>
    </row>
    <row r="3462" spans="1:4" x14ac:dyDescent="0.3">
      <c r="A3462" s="2" t="s">
        <v>110</v>
      </c>
      <c r="B3462" s="2" t="s">
        <v>111</v>
      </c>
      <c r="C3462" s="3">
        <v>1975</v>
      </c>
      <c r="D3462" s="4">
        <v>5059862</v>
      </c>
    </row>
    <row r="3463" spans="1:4" x14ac:dyDescent="0.3">
      <c r="A3463" s="5" t="s">
        <v>110</v>
      </c>
      <c r="B3463" s="5" t="s">
        <v>111</v>
      </c>
      <c r="C3463" s="6">
        <v>1976</v>
      </c>
      <c r="D3463" s="7">
        <v>5072596</v>
      </c>
    </row>
    <row r="3464" spans="1:4" x14ac:dyDescent="0.3">
      <c r="A3464" s="2" t="s">
        <v>110</v>
      </c>
      <c r="B3464" s="2" t="s">
        <v>111</v>
      </c>
      <c r="C3464" s="3">
        <v>1977</v>
      </c>
      <c r="D3464" s="4">
        <v>5088419</v>
      </c>
    </row>
    <row r="3465" spans="1:4" x14ac:dyDescent="0.3">
      <c r="A3465" s="5" t="s">
        <v>110</v>
      </c>
      <c r="B3465" s="5" t="s">
        <v>111</v>
      </c>
      <c r="C3465" s="6">
        <v>1978</v>
      </c>
      <c r="D3465" s="7">
        <v>5104248</v>
      </c>
    </row>
    <row r="3466" spans="1:4" x14ac:dyDescent="0.3">
      <c r="A3466" s="2" t="s">
        <v>110</v>
      </c>
      <c r="B3466" s="2" t="s">
        <v>111</v>
      </c>
      <c r="C3466" s="3">
        <v>1979</v>
      </c>
      <c r="D3466" s="4">
        <v>5116801</v>
      </c>
    </row>
    <row r="3467" spans="1:4" x14ac:dyDescent="0.3">
      <c r="A3467" s="5" t="s">
        <v>110</v>
      </c>
      <c r="B3467" s="5" t="s">
        <v>111</v>
      </c>
      <c r="C3467" s="6">
        <v>1980</v>
      </c>
      <c r="D3467" s="7">
        <v>5123027</v>
      </c>
    </row>
    <row r="3468" spans="1:4" x14ac:dyDescent="0.3">
      <c r="A3468" s="2" t="s">
        <v>110</v>
      </c>
      <c r="B3468" s="2" t="s">
        <v>111</v>
      </c>
      <c r="C3468" s="3">
        <v>1981</v>
      </c>
      <c r="D3468" s="4">
        <v>5121572</v>
      </c>
    </row>
    <row r="3469" spans="1:4" x14ac:dyDescent="0.3">
      <c r="A3469" s="5" t="s">
        <v>110</v>
      </c>
      <c r="B3469" s="5" t="s">
        <v>111</v>
      </c>
      <c r="C3469" s="6">
        <v>1982</v>
      </c>
      <c r="D3469" s="7">
        <v>5117810</v>
      </c>
    </row>
    <row r="3470" spans="1:4" x14ac:dyDescent="0.3">
      <c r="A3470" s="2" t="s">
        <v>110</v>
      </c>
      <c r="B3470" s="2" t="s">
        <v>111</v>
      </c>
      <c r="C3470" s="3">
        <v>1983</v>
      </c>
      <c r="D3470" s="4">
        <v>5114297</v>
      </c>
    </row>
    <row r="3471" spans="1:4" x14ac:dyDescent="0.3">
      <c r="A3471" s="5" t="s">
        <v>110</v>
      </c>
      <c r="B3471" s="5" t="s">
        <v>111</v>
      </c>
      <c r="C3471" s="6">
        <v>1984</v>
      </c>
      <c r="D3471" s="7">
        <v>5111619</v>
      </c>
    </row>
    <row r="3472" spans="1:4" x14ac:dyDescent="0.3">
      <c r="A3472" s="2" t="s">
        <v>110</v>
      </c>
      <c r="B3472" s="2" t="s">
        <v>111</v>
      </c>
      <c r="C3472" s="3">
        <v>1985</v>
      </c>
      <c r="D3472" s="4">
        <v>5113691</v>
      </c>
    </row>
    <row r="3473" spans="1:4" x14ac:dyDescent="0.3">
      <c r="A3473" s="5" t="s">
        <v>110</v>
      </c>
      <c r="B3473" s="5" t="s">
        <v>111</v>
      </c>
      <c r="C3473" s="6">
        <v>1986</v>
      </c>
      <c r="D3473" s="7">
        <v>5120534</v>
      </c>
    </row>
    <row r="3474" spans="1:4" x14ac:dyDescent="0.3">
      <c r="A3474" s="2" t="s">
        <v>110</v>
      </c>
      <c r="B3474" s="2" t="s">
        <v>111</v>
      </c>
      <c r="C3474" s="3">
        <v>1987</v>
      </c>
      <c r="D3474" s="4">
        <v>5127024</v>
      </c>
    </row>
    <row r="3475" spans="1:4" x14ac:dyDescent="0.3">
      <c r="A3475" s="5" t="s">
        <v>110</v>
      </c>
      <c r="B3475" s="5" t="s">
        <v>111</v>
      </c>
      <c r="C3475" s="6">
        <v>1988</v>
      </c>
      <c r="D3475" s="7">
        <v>5129516</v>
      </c>
    </row>
    <row r="3476" spans="1:4" x14ac:dyDescent="0.3">
      <c r="A3476" s="2" t="s">
        <v>110</v>
      </c>
      <c r="B3476" s="2" t="s">
        <v>111</v>
      </c>
      <c r="C3476" s="3">
        <v>1989</v>
      </c>
      <c r="D3476" s="4">
        <v>5132594</v>
      </c>
    </row>
    <row r="3477" spans="1:4" x14ac:dyDescent="0.3">
      <c r="A3477" s="5" t="s">
        <v>110</v>
      </c>
      <c r="B3477" s="5" t="s">
        <v>111</v>
      </c>
      <c r="C3477" s="6">
        <v>1990</v>
      </c>
      <c r="D3477" s="7">
        <v>5140939</v>
      </c>
    </row>
    <row r="3478" spans="1:4" x14ac:dyDescent="0.3">
      <c r="A3478" s="2" t="s">
        <v>110</v>
      </c>
      <c r="B3478" s="2" t="s">
        <v>111</v>
      </c>
      <c r="C3478" s="3">
        <v>1991</v>
      </c>
      <c r="D3478" s="4">
        <v>5154298</v>
      </c>
    </row>
    <row r="3479" spans="1:4" x14ac:dyDescent="0.3">
      <c r="A3479" s="5" t="s">
        <v>110</v>
      </c>
      <c r="B3479" s="5" t="s">
        <v>111</v>
      </c>
      <c r="C3479" s="6">
        <v>1992</v>
      </c>
      <c r="D3479" s="7">
        <v>5171370</v>
      </c>
    </row>
    <row r="3480" spans="1:4" x14ac:dyDescent="0.3">
      <c r="A3480" s="2" t="s">
        <v>110</v>
      </c>
      <c r="B3480" s="2" t="s">
        <v>111</v>
      </c>
      <c r="C3480" s="3">
        <v>1993</v>
      </c>
      <c r="D3480" s="4">
        <v>5188628</v>
      </c>
    </row>
    <row r="3481" spans="1:4" x14ac:dyDescent="0.3">
      <c r="A3481" s="5" t="s">
        <v>110</v>
      </c>
      <c r="B3481" s="5" t="s">
        <v>111</v>
      </c>
      <c r="C3481" s="6">
        <v>1994</v>
      </c>
      <c r="D3481" s="7">
        <v>5206180</v>
      </c>
    </row>
    <row r="3482" spans="1:4" x14ac:dyDescent="0.3">
      <c r="A3482" s="2" t="s">
        <v>110</v>
      </c>
      <c r="B3482" s="2" t="s">
        <v>111</v>
      </c>
      <c r="C3482" s="3">
        <v>1995</v>
      </c>
      <c r="D3482" s="4">
        <v>5233373</v>
      </c>
    </row>
    <row r="3483" spans="1:4" x14ac:dyDescent="0.3">
      <c r="A3483" s="5" t="s">
        <v>110</v>
      </c>
      <c r="B3483" s="5" t="s">
        <v>111</v>
      </c>
      <c r="C3483" s="6">
        <v>1996</v>
      </c>
      <c r="D3483" s="7">
        <v>5263074</v>
      </c>
    </row>
    <row r="3484" spans="1:4" x14ac:dyDescent="0.3">
      <c r="A3484" s="2" t="s">
        <v>110</v>
      </c>
      <c r="B3484" s="2" t="s">
        <v>111</v>
      </c>
      <c r="C3484" s="3">
        <v>1997</v>
      </c>
      <c r="D3484" s="4">
        <v>5284991</v>
      </c>
    </row>
    <row r="3485" spans="1:4" x14ac:dyDescent="0.3">
      <c r="A3485" s="5" t="s">
        <v>110</v>
      </c>
      <c r="B3485" s="5" t="s">
        <v>111</v>
      </c>
      <c r="C3485" s="6">
        <v>1998</v>
      </c>
      <c r="D3485" s="7">
        <v>5304219</v>
      </c>
    </row>
    <row r="3486" spans="1:4" x14ac:dyDescent="0.3">
      <c r="A3486" s="2" t="s">
        <v>110</v>
      </c>
      <c r="B3486" s="2" t="s">
        <v>111</v>
      </c>
      <c r="C3486" s="3">
        <v>1999</v>
      </c>
      <c r="D3486" s="4">
        <v>5321799</v>
      </c>
    </row>
    <row r="3487" spans="1:4" x14ac:dyDescent="0.3">
      <c r="A3487" s="5" t="s">
        <v>110</v>
      </c>
      <c r="B3487" s="5" t="s">
        <v>111</v>
      </c>
      <c r="C3487" s="6">
        <v>2000</v>
      </c>
      <c r="D3487" s="7">
        <v>5339616</v>
      </c>
    </row>
    <row r="3488" spans="1:4" x14ac:dyDescent="0.3">
      <c r="A3488" s="2" t="s">
        <v>110</v>
      </c>
      <c r="B3488" s="2" t="s">
        <v>111</v>
      </c>
      <c r="C3488" s="3">
        <v>2001</v>
      </c>
      <c r="D3488" s="4">
        <v>5358783</v>
      </c>
    </row>
    <row r="3489" spans="1:4" x14ac:dyDescent="0.3">
      <c r="A3489" s="5" t="s">
        <v>110</v>
      </c>
      <c r="B3489" s="5" t="s">
        <v>111</v>
      </c>
      <c r="C3489" s="6">
        <v>2002</v>
      </c>
      <c r="D3489" s="7">
        <v>5375931</v>
      </c>
    </row>
    <row r="3490" spans="1:4" x14ac:dyDescent="0.3">
      <c r="A3490" s="2" t="s">
        <v>110</v>
      </c>
      <c r="B3490" s="2" t="s">
        <v>111</v>
      </c>
      <c r="C3490" s="3">
        <v>2003</v>
      </c>
      <c r="D3490" s="4">
        <v>5390574</v>
      </c>
    </row>
    <row r="3491" spans="1:4" x14ac:dyDescent="0.3">
      <c r="A3491" s="5" t="s">
        <v>110</v>
      </c>
      <c r="B3491" s="5" t="s">
        <v>111</v>
      </c>
      <c r="C3491" s="6">
        <v>2004</v>
      </c>
      <c r="D3491" s="7">
        <v>5404523</v>
      </c>
    </row>
    <row r="3492" spans="1:4" x14ac:dyDescent="0.3">
      <c r="A3492" s="2" t="s">
        <v>110</v>
      </c>
      <c r="B3492" s="2" t="s">
        <v>111</v>
      </c>
      <c r="C3492" s="3">
        <v>2005</v>
      </c>
      <c r="D3492" s="4">
        <v>5419432</v>
      </c>
    </row>
    <row r="3493" spans="1:4" x14ac:dyDescent="0.3">
      <c r="A3493" s="5" t="s">
        <v>110</v>
      </c>
      <c r="B3493" s="5" t="s">
        <v>111</v>
      </c>
      <c r="C3493" s="6">
        <v>2006</v>
      </c>
      <c r="D3493" s="7">
        <v>5437272</v>
      </c>
    </row>
    <row r="3494" spans="1:4" x14ac:dyDescent="0.3">
      <c r="A3494" s="2" t="s">
        <v>110</v>
      </c>
      <c r="B3494" s="2" t="s">
        <v>111</v>
      </c>
      <c r="C3494" s="3">
        <v>2007</v>
      </c>
      <c r="D3494" s="4">
        <v>5461438</v>
      </c>
    </row>
    <row r="3495" spans="1:4" x14ac:dyDescent="0.3">
      <c r="A3495" s="5" t="s">
        <v>110</v>
      </c>
      <c r="B3495" s="5" t="s">
        <v>111</v>
      </c>
      <c r="C3495" s="6">
        <v>2008</v>
      </c>
      <c r="D3495" s="7">
        <v>5493621</v>
      </c>
    </row>
    <row r="3496" spans="1:4" x14ac:dyDescent="0.3">
      <c r="A3496" s="2" t="s">
        <v>110</v>
      </c>
      <c r="B3496" s="2" t="s">
        <v>111</v>
      </c>
      <c r="C3496" s="3">
        <v>2009</v>
      </c>
      <c r="D3496" s="4">
        <v>5523095</v>
      </c>
    </row>
    <row r="3497" spans="1:4" x14ac:dyDescent="0.3">
      <c r="A3497" s="5" t="s">
        <v>110</v>
      </c>
      <c r="B3497" s="5" t="s">
        <v>111</v>
      </c>
      <c r="C3497" s="6">
        <v>2010</v>
      </c>
      <c r="D3497" s="7">
        <v>5547683</v>
      </c>
    </row>
    <row r="3498" spans="1:4" x14ac:dyDescent="0.3">
      <c r="A3498" s="2" t="s">
        <v>110</v>
      </c>
      <c r="B3498" s="2" t="s">
        <v>111</v>
      </c>
      <c r="C3498" s="3">
        <v>2011</v>
      </c>
      <c r="D3498" s="4">
        <v>5570572</v>
      </c>
    </row>
    <row r="3499" spans="1:4" x14ac:dyDescent="0.3">
      <c r="A3499" s="5" t="s">
        <v>110</v>
      </c>
      <c r="B3499" s="5" t="s">
        <v>111</v>
      </c>
      <c r="C3499" s="6">
        <v>2012</v>
      </c>
      <c r="D3499" s="7">
        <v>5591572</v>
      </c>
    </row>
    <row r="3500" spans="1:4" x14ac:dyDescent="0.3">
      <c r="A3500" s="2" t="s">
        <v>110</v>
      </c>
      <c r="B3500" s="2" t="s">
        <v>111</v>
      </c>
      <c r="C3500" s="3">
        <v>2013</v>
      </c>
      <c r="D3500" s="4">
        <v>5614932</v>
      </c>
    </row>
    <row r="3501" spans="1:4" x14ac:dyDescent="0.3">
      <c r="A3501" s="5" t="s">
        <v>110</v>
      </c>
      <c r="B3501" s="5" t="s">
        <v>111</v>
      </c>
      <c r="C3501" s="6">
        <v>2014</v>
      </c>
      <c r="D3501" s="7">
        <v>5643475</v>
      </c>
    </row>
    <row r="3502" spans="1:4" x14ac:dyDescent="0.3">
      <c r="A3502" s="2" t="s">
        <v>110</v>
      </c>
      <c r="B3502" s="2" t="s">
        <v>111</v>
      </c>
      <c r="C3502" s="3">
        <v>2015</v>
      </c>
      <c r="D3502" s="4">
        <v>5683483</v>
      </c>
    </row>
    <row r="3503" spans="1:4" x14ac:dyDescent="0.3">
      <c r="A3503" s="5" t="s">
        <v>110</v>
      </c>
      <c r="B3503" s="5" t="s">
        <v>111</v>
      </c>
      <c r="C3503" s="6">
        <v>2016</v>
      </c>
      <c r="D3503" s="7">
        <v>5728010</v>
      </c>
    </row>
    <row r="3504" spans="1:4" x14ac:dyDescent="0.3">
      <c r="A3504" s="2" t="s">
        <v>110</v>
      </c>
      <c r="B3504" s="2" t="s">
        <v>111</v>
      </c>
      <c r="C3504" s="3">
        <v>2017</v>
      </c>
      <c r="D3504" s="4">
        <v>5764980</v>
      </c>
    </row>
    <row r="3505" spans="1:4" x14ac:dyDescent="0.3">
      <c r="A3505" s="5" t="s">
        <v>110</v>
      </c>
      <c r="B3505" s="5" t="s">
        <v>111</v>
      </c>
      <c r="C3505" s="6">
        <v>2018</v>
      </c>
      <c r="D3505" s="7">
        <v>5793636</v>
      </c>
    </row>
    <row r="3506" spans="1:4" x14ac:dyDescent="0.3">
      <c r="A3506" s="2" t="s">
        <v>110</v>
      </c>
      <c r="B3506" s="2" t="s">
        <v>111</v>
      </c>
      <c r="C3506" s="3">
        <v>2019</v>
      </c>
      <c r="D3506" s="4">
        <v>5814422</v>
      </c>
    </row>
    <row r="3507" spans="1:4" x14ac:dyDescent="0.3">
      <c r="A3507" s="5" t="s">
        <v>110</v>
      </c>
      <c r="B3507" s="5" t="s">
        <v>111</v>
      </c>
      <c r="C3507" s="6">
        <v>2020</v>
      </c>
      <c r="D3507" s="7">
        <v>5831404</v>
      </c>
    </row>
    <row r="3508" spans="1:4" x14ac:dyDescent="0.3">
      <c r="A3508" s="2" t="s">
        <v>110</v>
      </c>
      <c r="B3508" s="2" t="s">
        <v>111</v>
      </c>
      <c r="C3508" s="3">
        <v>2021</v>
      </c>
      <c r="D3508" s="4">
        <v>5856733</v>
      </c>
    </row>
    <row r="3509" spans="1:4" x14ac:dyDescent="0.3">
      <c r="A3509" s="5" t="s">
        <v>110</v>
      </c>
      <c r="B3509" s="5" t="s">
        <v>111</v>
      </c>
      <c r="C3509" s="6">
        <v>2022</v>
      </c>
      <c r="D3509" s="7">
        <v>5903037</v>
      </c>
    </row>
    <row r="3510" spans="1:4" x14ac:dyDescent="0.3">
      <c r="A3510" s="2" t="s">
        <v>110</v>
      </c>
      <c r="B3510" s="2" t="s">
        <v>111</v>
      </c>
      <c r="C3510" s="3">
        <v>2023</v>
      </c>
      <c r="D3510" s="4">
        <v>5946952</v>
      </c>
    </row>
    <row r="3511" spans="1:4" x14ac:dyDescent="0.3">
      <c r="A3511" s="5" t="s">
        <v>110</v>
      </c>
      <c r="B3511" s="5" t="s">
        <v>111</v>
      </c>
      <c r="C3511" s="6">
        <v>2024</v>
      </c>
      <c r="D3511" s="7">
        <v>5976992</v>
      </c>
    </row>
    <row r="3512" spans="1:4" x14ac:dyDescent="0.3">
      <c r="A3512" s="2" t="s">
        <v>112</v>
      </c>
      <c r="B3512" s="2" t="s">
        <v>113</v>
      </c>
      <c r="C3512" s="3">
        <v>1960</v>
      </c>
      <c r="D3512" s="4">
        <v>86024</v>
      </c>
    </row>
    <row r="3513" spans="1:4" x14ac:dyDescent="0.3">
      <c r="A3513" s="5" t="s">
        <v>112</v>
      </c>
      <c r="B3513" s="5" t="s">
        <v>113</v>
      </c>
      <c r="C3513" s="6">
        <v>1961</v>
      </c>
      <c r="D3513" s="7">
        <v>89390</v>
      </c>
    </row>
    <row r="3514" spans="1:4" x14ac:dyDescent="0.3">
      <c r="A3514" s="2" t="s">
        <v>112</v>
      </c>
      <c r="B3514" s="2" t="s">
        <v>113</v>
      </c>
      <c r="C3514" s="3">
        <v>1962</v>
      </c>
      <c r="D3514" s="4">
        <v>93283</v>
      </c>
    </row>
    <row r="3515" spans="1:4" x14ac:dyDescent="0.3">
      <c r="A3515" s="5" t="s">
        <v>112</v>
      </c>
      <c r="B3515" s="5" t="s">
        <v>113</v>
      </c>
      <c r="C3515" s="6">
        <v>1963</v>
      </c>
      <c r="D3515" s="7">
        <v>97872</v>
      </c>
    </row>
    <row r="3516" spans="1:4" x14ac:dyDescent="0.3">
      <c r="A3516" s="2" t="s">
        <v>112</v>
      </c>
      <c r="B3516" s="2" t="s">
        <v>113</v>
      </c>
      <c r="C3516" s="3">
        <v>1964</v>
      </c>
      <c r="D3516" s="4">
        <v>103198</v>
      </c>
    </row>
    <row r="3517" spans="1:4" x14ac:dyDescent="0.3">
      <c r="A3517" s="5" t="s">
        <v>112</v>
      </c>
      <c r="B3517" s="5" t="s">
        <v>113</v>
      </c>
      <c r="C3517" s="6">
        <v>1965</v>
      </c>
      <c r="D3517" s="7">
        <v>109092</v>
      </c>
    </row>
    <row r="3518" spans="1:4" x14ac:dyDescent="0.3">
      <c r="A3518" s="2" t="s">
        <v>112</v>
      </c>
      <c r="B3518" s="2" t="s">
        <v>113</v>
      </c>
      <c r="C3518" s="3">
        <v>1966</v>
      </c>
      <c r="D3518" s="4">
        <v>115269</v>
      </c>
    </row>
    <row r="3519" spans="1:4" x14ac:dyDescent="0.3">
      <c r="A3519" s="5" t="s">
        <v>112</v>
      </c>
      <c r="B3519" s="5" t="s">
        <v>113</v>
      </c>
      <c r="C3519" s="6">
        <v>1967</v>
      </c>
      <c r="D3519" s="7">
        <v>121649</v>
      </c>
    </row>
    <row r="3520" spans="1:4" x14ac:dyDescent="0.3">
      <c r="A3520" s="2" t="s">
        <v>112</v>
      </c>
      <c r="B3520" s="2" t="s">
        <v>113</v>
      </c>
      <c r="C3520" s="3">
        <v>1968</v>
      </c>
      <c r="D3520" s="4">
        <v>128250</v>
      </c>
    </row>
    <row r="3521" spans="1:4" x14ac:dyDescent="0.3">
      <c r="A3521" s="5" t="s">
        <v>112</v>
      </c>
      <c r="B3521" s="5" t="s">
        <v>113</v>
      </c>
      <c r="C3521" s="6">
        <v>1969</v>
      </c>
      <c r="D3521" s="7">
        <v>136078</v>
      </c>
    </row>
    <row r="3522" spans="1:4" x14ac:dyDescent="0.3">
      <c r="A3522" s="2" t="s">
        <v>112</v>
      </c>
      <c r="B3522" s="2" t="s">
        <v>113</v>
      </c>
      <c r="C3522" s="3">
        <v>1970</v>
      </c>
      <c r="D3522" s="4">
        <v>145175</v>
      </c>
    </row>
    <row r="3523" spans="1:4" x14ac:dyDescent="0.3">
      <c r="A3523" s="5" t="s">
        <v>112</v>
      </c>
      <c r="B3523" s="5" t="s">
        <v>113</v>
      </c>
      <c r="C3523" s="6">
        <v>1971</v>
      </c>
      <c r="D3523" s="7">
        <v>155136</v>
      </c>
    </row>
    <row r="3524" spans="1:4" x14ac:dyDescent="0.3">
      <c r="A3524" s="2" t="s">
        <v>112</v>
      </c>
      <c r="B3524" s="2" t="s">
        <v>113</v>
      </c>
      <c r="C3524" s="3">
        <v>1972</v>
      </c>
      <c r="D3524" s="4">
        <v>166256</v>
      </c>
    </row>
    <row r="3525" spans="1:4" x14ac:dyDescent="0.3">
      <c r="A3525" s="5" t="s">
        <v>112</v>
      </c>
      <c r="B3525" s="5" t="s">
        <v>113</v>
      </c>
      <c r="C3525" s="6">
        <v>1973</v>
      </c>
      <c r="D3525" s="7">
        <v>178449</v>
      </c>
    </row>
    <row r="3526" spans="1:4" x14ac:dyDescent="0.3">
      <c r="A3526" s="2" t="s">
        <v>112</v>
      </c>
      <c r="B3526" s="2" t="s">
        <v>113</v>
      </c>
      <c r="C3526" s="3">
        <v>1974</v>
      </c>
      <c r="D3526" s="4">
        <v>192613</v>
      </c>
    </row>
    <row r="3527" spans="1:4" x14ac:dyDescent="0.3">
      <c r="A3527" s="5" t="s">
        <v>112</v>
      </c>
      <c r="B3527" s="5" t="s">
        <v>113</v>
      </c>
      <c r="C3527" s="6">
        <v>1975</v>
      </c>
      <c r="D3527" s="7">
        <v>209908</v>
      </c>
    </row>
    <row r="3528" spans="1:4" x14ac:dyDescent="0.3">
      <c r="A3528" s="2" t="s">
        <v>112</v>
      </c>
      <c r="B3528" s="2" t="s">
        <v>113</v>
      </c>
      <c r="C3528" s="3">
        <v>1976</v>
      </c>
      <c r="D3528" s="4">
        <v>230737</v>
      </c>
    </row>
    <row r="3529" spans="1:4" x14ac:dyDescent="0.3">
      <c r="A3529" s="5" t="s">
        <v>112</v>
      </c>
      <c r="B3529" s="5" t="s">
        <v>113</v>
      </c>
      <c r="C3529" s="6">
        <v>1977</v>
      </c>
      <c r="D3529" s="7">
        <v>254613</v>
      </c>
    </row>
    <row r="3530" spans="1:4" x14ac:dyDescent="0.3">
      <c r="A3530" s="2" t="s">
        <v>112</v>
      </c>
      <c r="B3530" s="2" t="s">
        <v>113</v>
      </c>
      <c r="C3530" s="3">
        <v>1978</v>
      </c>
      <c r="D3530" s="4">
        <v>280031</v>
      </c>
    </row>
    <row r="3531" spans="1:4" x14ac:dyDescent="0.3">
      <c r="A3531" s="5" t="s">
        <v>112</v>
      </c>
      <c r="B3531" s="5" t="s">
        <v>113</v>
      </c>
      <c r="C3531" s="6">
        <v>1979</v>
      </c>
      <c r="D3531" s="7">
        <v>304513</v>
      </c>
    </row>
    <row r="3532" spans="1:4" x14ac:dyDescent="0.3">
      <c r="A3532" s="2" t="s">
        <v>112</v>
      </c>
      <c r="B3532" s="2" t="s">
        <v>113</v>
      </c>
      <c r="C3532" s="3">
        <v>1980</v>
      </c>
      <c r="D3532" s="4">
        <v>325815</v>
      </c>
    </row>
    <row r="3533" spans="1:4" x14ac:dyDescent="0.3">
      <c r="A3533" s="5" t="s">
        <v>112</v>
      </c>
      <c r="B3533" s="5" t="s">
        <v>113</v>
      </c>
      <c r="C3533" s="6">
        <v>1981</v>
      </c>
      <c r="D3533" s="7">
        <v>343047</v>
      </c>
    </row>
    <row r="3534" spans="1:4" x14ac:dyDescent="0.3">
      <c r="A3534" s="2" t="s">
        <v>112</v>
      </c>
      <c r="B3534" s="2" t="s">
        <v>113</v>
      </c>
      <c r="C3534" s="3">
        <v>1982</v>
      </c>
      <c r="D3534" s="4">
        <v>356880</v>
      </c>
    </row>
    <row r="3535" spans="1:4" x14ac:dyDescent="0.3">
      <c r="A3535" s="5" t="s">
        <v>112</v>
      </c>
      <c r="B3535" s="5" t="s">
        <v>113</v>
      </c>
      <c r="C3535" s="6">
        <v>1983</v>
      </c>
      <c r="D3535" s="7">
        <v>369553</v>
      </c>
    </row>
    <row r="3536" spans="1:4" x14ac:dyDescent="0.3">
      <c r="A3536" s="2" t="s">
        <v>112</v>
      </c>
      <c r="B3536" s="2" t="s">
        <v>113</v>
      </c>
      <c r="C3536" s="3">
        <v>1984</v>
      </c>
      <c r="D3536" s="4">
        <v>384053</v>
      </c>
    </row>
    <row r="3537" spans="1:4" x14ac:dyDescent="0.3">
      <c r="A3537" s="5" t="s">
        <v>112</v>
      </c>
      <c r="B3537" s="5" t="s">
        <v>113</v>
      </c>
      <c r="C3537" s="6">
        <v>1985</v>
      </c>
      <c r="D3537" s="7">
        <v>402687</v>
      </c>
    </row>
    <row r="3538" spans="1:4" x14ac:dyDescent="0.3">
      <c r="A3538" s="2" t="s">
        <v>112</v>
      </c>
      <c r="B3538" s="2" t="s">
        <v>113</v>
      </c>
      <c r="C3538" s="3">
        <v>1986</v>
      </c>
      <c r="D3538" s="4">
        <v>426341</v>
      </c>
    </row>
    <row r="3539" spans="1:4" x14ac:dyDescent="0.3">
      <c r="A3539" s="5" t="s">
        <v>112</v>
      </c>
      <c r="B3539" s="5" t="s">
        <v>113</v>
      </c>
      <c r="C3539" s="6">
        <v>1987</v>
      </c>
      <c r="D3539" s="7">
        <v>454399</v>
      </c>
    </row>
    <row r="3540" spans="1:4" x14ac:dyDescent="0.3">
      <c r="A3540" s="2" t="s">
        <v>112</v>
      </c>
      <c r="B3540" s="2" t="s">
        <v>113</v>
      </c>
      <c r="C3540" s="3">
        <v>1988</v>
      </c>
      <c r="D3540" s="4">
        <v>484523</v>
      </c>
    </row>
    <row r="3541" spans="1:4" x14ac:dyDescent="0.3">
      <c r="A3541" s="5" t="s">
        <v>112</v>
      </c>
      <c r="B3541" s="5" t="s">
        <v>113</v>
      </c>
      <c r="C3541" s="6">
        <v>1989</v>
      </c>
      <c r="D3541" s="7">
        <v>523355</v>
      </c>
    </row>
    <row r="3542" spans="1:4" x14ac:dyDescent="0.3">
      <c r="A3542" s="2" t="s">
        <v>112</v>
      </c>
      <c r="B3542" s="2" t="s">
        <v>113</v>
      </c>
      <c r="C3542" s="3">
        <v>1990</v>
      </c>
      <c r="D3542" s="4">
        <v>579538</v>
      </c>
    </row>
    <row r="3543" spans="1:4" x14ac:dyDescent="0.3">
      <c r="A3543" s="5" t="s">
        <v>112</v>
      </c>
      <c r="B3543" s="5" t="s">
        <v>113</v>
      </c>
      <c r="C3543" s="6">
        <v>1991</v>
      </c>
      <c r="D3543" s="7">
        <v>631092</v>
      </c>
    </row>
    <row r="3544" spans="1:4" x14ac:dyDescent="0.3">
      <c r="A3544" s="2" t="s">
        <v>112</v>
      </c>
      <c r="B3544" s="2" t="s">
        <v>113</v>
      </c>
      <c r="C3544" s="3">
        <v>1992</v>
      </c>
      <c r="D3544" s="4">
        <v>626010</v>
      </c>
    </row>
    <row r="3545" spans="1:4" x14ac:dyDescent="0.3">
      <c r="A3545" s="5" t="s">
        <v>112</v>
      </c>
      <c r="B3545" s="5" t="s">
        <v>113</v>
      </c>
      <c r="C3545" s="6">
        <v>1993</v>
      </c>
      <c r="D3545" s="7">
        <v>614245</v>
      </c>
    </row>
    <row r="3546" spans="1:4" x14ac:dyDescent="0.3">
      <c r="A3546" s="2" t="s">
        <v>112</v>
      </c>
      <c r="B3546" s="2" t="s">
        <v>113</v>
      </c>
      <c r="C3546" s="3">
        <v>1994</v>
      </c>
      <c r="D3546" s="4">
        <v>626710</v>
      </c>
    </row>
    <row r="3547" spans="1:4" x14ac:dyDescent="0.3">
      <c r="A3547" s="5" t="s">
        <v>112</v>
      </c>
      <c r="B3547" s="5" t="s">
        <v>113</v>
      </c>
      <c r="C3547" s="6">
        <v>1995</v>
      </c>
      <c r="D3547" s="7">
        <v>633074</v>
      </c>
    </row>
    <row r="3548" spans="1:4" x14ac:dyDescent="0.3">
      <c r="A3548" s="2" t="s">
        <v>112</v>
      </c>
      <c r="B3548" s="2" t="s">
        <v>113</v>
      </c>
      <c r="C3548" s="3">
        <v>1996</v>
      </c>
      <c r="D3548" s="4">
        <v>648348</v>
      </c>
    </row>
    <row r="3549" spans="1:4" x14ac:dyDescent="0.3">
      <c r="A3549" s="5" t="s">
        <v>112</v>
      </c>
      <c r="B3549" s="5" t="s">
        <v>113</v>
      </c>
      <c r="C3549" s="6">
        <v>1997</v>
      </c>
      <c r="D3549" s="7">
        <v>671817</v>
      </c>
    </row>
    <row r="3550" spans="1:4" x14ac:dyDescent="0.3">
      <c r="A3550" s="2" t="s">
        <v>112</v>
      </c>
      <c r="B3550" s="2" t="s">
        <v>113</v>
      </c>
      <c r="C3550" s="3">
        <v>1998</v>
      </c>
      <c r="D3550" s="4">
        <v>699352</v>
      </c>
    </row>
    <row r="3551" spans="1:4" x14ac:dyDescent="0.3">
      <c r="A3551" s="5" t="s">
        <v>112</v>
      </c>
      <c r="B3551" s="5" t="s">
        <v>113</v>
      </c>
      <c r="C3551" s="6">
        <v>1999</v>
      </c>
      <c r="D3551" s="7">
        <v>724218</v>
      </c>
    </row>
    <row r="3552" spans="1:4" x14ac:dyDescent="0.3">
      <c r="A3552" s="2" t="s">
        <v>112</v>
      </c>
      <c r="B3552" s="2" t="s">
        <v>113</v>
      </c>
      <c r="C3552" s="3">
        <v>2000</v>
      </c>
      <c r="D3552" s="4">
        <v>747318</v>
      </c>
    </row>
    <row r="3553" spans="1:4" x14ac:dyDescent="0.3">
      <c r="A3553" s="5" t="s">
        <v>112</v>
      </c>
      <c r="B3553" s="5" t="s">
        <v>113</v>
      </c>
      <c r="C3553" s="6">
        <v>2001</v>
      </c>
      <c r="D3553" s="7">
        <v>771313</v>
      </c>
    </row>
    <row r="3554" spans="1:4" x14ac:dyDescent="0.3">
      <c r="A3554" s="2" t="s">
        <v>112</v>
      </c>
      <c r="B3554" s="2" t="s">
        <v>113</v>
      </c>
      <c r="C3554" s="3">
        <v>2002</v>
      </c>
      <c r="D3554" s="4">
        <v>795574</v>
      </c>
    </row>
    <row r="3555" spans="1:4" x14ac:dyDescent="0.3">
      <c r="A3555" s="5" t="s">
        <v>112</v>
      </c>
      <c r="B3555" s="5" t="s">
        <v>113</v>
      </c>
      <c r="C3555" s="6">
        <v>2003</v>
      </c>
      <c r="D3555" s="7">
        <v>813519</v>
      </c>
    </row>
    <row r="3556" spans="1:4" x14ac:dyDescent="0.3">
      <c r="A3556" s="2" t="s">
        <v>112</v>
      </c>
      <c r="B3556" s="2" t="s">
        <v>113</v>
      </c>
      <c r="C3556" s="3">
        <v>2004</v>
      </c>
      <c r="D3556" s="4">
        <v>826124</v>
      </c>
    </row>
    <row r="3557" spans="1:4" x14ac:dyDescent="0.3">
      <c r="A3557" s="5" t="s">
        <v>112</v>
      </c>
      <c r="B3557" s="5" t="s">
        <v>113</v>
      </c>
      <c r="C3557" s="6">
        <v>2005</v>
      </c>
      <c r="D3557" s="7">
        <v>839167</v>
      </c>
    </row>
    <row r="3558" spans="1:4" x14ac:dyDescent="0.3">
      <c r="A3558" s="2" t="s">
        <v>112</v>
      </c>
      <c r="B3558" s="2" t="s">
        <v>113</v>
      </c>
      <c r="C3558" s="3">
        <v>2006</v>
      </c>
      <c r="D3558" s="4">
        <v>855764</v>
      </c>
    </row>
    <row r="3559" spans="1:4" x14ac:dyDescent="0.3">
      <c r="A3559" s="5" t="s">
        <v>112</v>
      </c>
      <c r="B3559" s="5" t="s">
        <v>113</v>
      </c>
      <c r="C3559" s="6">
        <v>2007</v>
      </c>
      <c r="D3559" s="7">
        <v>874528</v>
      </c>
    </row>
    <row r="3560" spans="1:4" x14ac:dyDescent="0.3">
      <c r="A3560" s="2" t="s">
        <v>112</v>
      </c>
      <c r="B3560" s="2" t="s">
        <v>113</v>
      </c>
      <c r="C3560" s="3">
        <v>2008</v>
      </c>
      <c r="D3560" s="4">
        <v>892734</v>
      </c>
    </row>
    <row r="3561" spans="1:4" x14ac:dyDescent="0.3">
      <c r="A3561" s="5" t="s">
        <v>112</v>
      </c>
      <c r="B3561" s="5" t="s">
        <v>113</v>
      </c>
      <c r="C3561" s="6">
        <v>2009</v>
      </c>
      <c r="D3561" s="7">
        <v>911527</v>
      </c>
    </row>
    <row r="3562" spans="1:4" x14ac:dyDescent="0.3">
      <c r="A3562" s="2" t="s">
        <v>112</v>
      </c>
      <c r="B3562" s="2" t="s">
        <v>113</v>
      </c>
      <c r="C3562" s="3">
        <v>2010</v>
      </c>
      <c r="D3562" s="4">
        <v>930251</v>
      </c>
    </row>
    <row r="3563" spans="1:4" x14ac:dyDescent="0.3">
      <c r="A3563" s="5" t="s">
        <v>112</v>
      </c>
      <c r="B3563" s="5" t="s">
        <v>113</v>
      </c>
      <c r="C3563" s="6">
        <v>2011</v>
      </c>
      <c r="D3563" s="7">
        <v>948558</v>
      </c>
    </row>
    <row r="3564" spans="1:4" x14ac:dyDescent="0.3">
      <c r="A3564" s="2" t="s">
        <v>112</v>
      </c>
      <c r="B3564" s="2" t="s">
        <v>113</v>
      </c>
      <c r="C3564" s="3">
        <v>2012</v>
      </c>
      <c r="D3564" s="4">
        <v>966747</v>
      </c>
    </row>
    <row r="3565" spans="1:4" x14ac:dyDescent="0.3">
      <c r="A3565" s="5" t="s">
        <v>112</v>
      </c>
      <c r="B3565" s="5" t="s">
        <v>113</v>
      </c>
      <c r="C3565" s="6">
        <v>2013</v>
      </c>
      <c r="D3565" s="7">
        <v>984824</v>
      </c>
    </row>
    <row r="3566" spans="1:4" x14ac:dyDescent="0.3">
      <c r="A3566" s="2" t="s">
        <v>112</v>
      </c>
      <c r="B3566" s="2" t="s">
        <v>113</v>
      </c>
      <c r="C3566" s="3">
        <v>2014</v>
      </c>
      <c r="D3566" s="4">
        <v>1002717</v>
      </c>
    </row>
    <row r="3567" spans="1:4" x14ac:dyDescent="0.3">
      <c r="A3567" s="5" t="s">
        <v>112</v>
      </c>
      <c r="B3567" s="5" t="s">
        <v>113</v>
      </c>
      <c r="C3567" s="6">
        <v>2015</v>
      </c>
      <c r="D3567" s="7">
        <v>1020313</v>
      </c>
    </row>
    <row r="3568" spans="1:4" x14ac:dyDescent="0.3">
      <c r="A3568" s="2" t="s">
        <v>112</v>
      </c>
      <c r="B3568" s="2" t="s">
        <v>113</v>
      </c>
      <c r="C3568" s="3">
        <v>2016</v>
      </c>
      <c r="D3568" s="4">
        <v>1037653</v>
      </c>
    </row>
    <row r="3569" spans="1:4" x14ac:dyDescent="0.3">
      <c r="A3569" s="5" t="s">
        <v>112</v>
      </c>
      <c r="B3569" s="5" t="s">
        <v>113</v>
      </c>
      <c r="C3569" s="6">
        <v>2017</v>
      </c>
      <c r="D3569" s="7">
        <v>1054841</v>
      </c>
    </row>
    <row r="3570" spans="1:4" x14ac:dyDescent="0.3">
      <c r="A3570" s="2" t="s">
        <v>112</v>
      </c>
      <c r="B3570" s="2" t="s">
        <v>113</v>
      </c>
      <c r="C3570" s="3">
        <v>2018</v>
      </c>
      <c r="D3570" s="4">
        <v>1071882</v>
      </c>
    </row>
    <row r="3571" spans="1:4" x14ac:dyDescent="0.3">
      <c r="A3571" s="5" t="s">
        <v>112</v>
      </c>
      <c r="B3571" s="5" t="s">
        <v>113</v>
      </c>
      <c r="C3571" s="6">
        <v>2019</v>
      </c>
      <c r="D3571" s="7">
        <v>1088709</v>
      </c>
    </row>
    <row r="3572" spans="1:4" x14ac:dyDescent="0.3">
      <c r="A3572" s="2" t="s">
        <v>112</v>
      </c>
      <c r="B3572" s="2" t="s">
        <v>113</v>
      </c>
      <c r="C3572" s="3">
        <v>2020</v>
      </c>
      <c r="D3572" s="4">
        <v>1105188</v>
      </c>
    </row>
    <row r="3573" spans="1:4" x14ac:dyDescent="0.3">
      <c r="A3573" s="5" t="s">
        <v>112</v>
      </c>
      <c r="B3573" s="5" t="s">
        <v>113</v>
      </c>
      <c r="C3573" s="6">
        <v>2021</v>
      </c>
      <c r="D3573" s="7">
        <v>1121248</v>
      </c>
    </row>
    <row r="3574" spans="1:4" x14ac:dyDescent="0.3">
      <c r="A3574" s="2" t="s">
        <v>112</v>
      </c>
      <c r="B3574" s="2" t="s">
        <v>113</v>
      </c>
      <c r="C3574" s="3">
        <v>2022</v>
      </c>
      <c r="D3574" s="4">
        <v>1137096</v>
      </c>
    </row>
    <row r="3575" spans="1:4" x14ac:dyDescent="0.3">
      <c r="A3575" s="5" t="s">
        <v>112</v>
      </c>
      <c r="B3575" s="5" t="s">
        <v>113</v>
      </c>
      <c r="C3575" s="6">
        <v>2023</v>
      </c>
      <c r="D3575" s="7">
        <v>1152944</v>
      </c>
    </row>
    <row r="3576" spans="1:4" x14ac:dyDescent="0.3">
      <c r="A3576" s="2" t="s">
        <v>112</v>
      </c>
      <c r="B3576" s="2" t="s">
        <v>113</v>
      </c>
      <c r="C3576" s="3">
        <v>2024</v>
      </c>
      <c r="D3576" s="4">
        <v>1168722</v>
      </c>
    </row>
    <row r="3577" spans="1:4" x14ac:dyDescent="0.3">
      <c r="A3577" s="5" t="s">
        <v>114</v>
      </c>
      <c r="B3577" s="5" t="s">
        <v>115</v>
      </c>
      <c r="C3577" s="6">
        <v>1960</v>
      </c>
      <c r="D3577" s="7">
        <v>59372</v>
      </c>
    </row>
    <row r="3578" spans="1:4" x14ac:dyDescent="0.3">
      <c r="A3578" s="2" t="s">
        <v>114</v>
      </c>
      <c r="B3578" s="2" t="s">
        <v>115</v>
      </c>
      <c r="C3578" s="3">
        <v>1961</v>
      </c>
      <c r="D3578" s="4">
        <v>60209</v>
      </c>
    </row>
    <row r="3579" spans="1:4" x14ac:dyDescent="0.3">
      <c r="A3579" s="5" t="s">
        <v>114</v>
      </c>
      <c r="B3579" s="5" t="s">
        <v>115</v>
      </c>
      <c r="C3579" s="6">
        <v>1962</v>
      </c>
      <c r="D3579" s="7">
        <v>60948</v>
      </c>
    </row>
    <row r="3580" spans="1:4" x14ac:dyDescent="0.3">
      <c r="A3580" s="2" t="s">
        <v>114</v>
      </c>
      <c r="B3580" s="2" t="s">
        <v>115</v>
      </c>
      <c r="C3580" s="3">
        <v>1963</v>
      </c>
      <c r="D3580" s="4">
        <v>61739</v>
      </c>
    </row>
    <row r="3581" spans="1:4" x14ac:dyDescent="0.3">
      <c r="A3581" s="5" t="s">
        <v>114</v>
      </c>
      <c r="B3581" s="5" t="s">
        <v>115</v>
      </c>
      <c r="C3581" s="6">
        <v>1964</v>
      </c>
      <c r="D3581" s="7">
        <v>62587</v>
      </c>
    </row>
    <row r="3582" spans="1:4" x14ac:dyDescent="0.3">
      <c r="A3582" s="2" t="s">
        <v>114</v>
      </c>
      <c r="B3582" s="2" t="s">
        <v>115</v>
      </c>
      <c r="C3582" s="3">
        <v>1965</v>
      </c>
      <c r="D3582" s="4">
        <v>63505</v>
      </c>
    </row>
    <row r="3583" spans="1:4" x14ac:dyDescent="0.3">
      <c r="A3583" s="5" t="s">
        <v>114</v>
      </c>
      <c r="B3583" s="5" t="s">
        <v>115</v>
      </c>
      <c r="C3583" s="6">
        <v>1966</v>
      </c>
      <c r="D3583" s="7">
        <v>64507</v>
      </c>
    </row>
    <row r="3584" spans="1:4" x14ac:dyDescent="0.3">
      <c r="A3584" s="2" t="s">
        <v>114</v>
      </c>
      <c r="B3584" s="2" t="s">
        <v>115</v>
      </c>
      <c r="C3584" s="3">
        <v>1967</v>
      </c>
      <c r="D3584" s="4">
        <v>65585</v>
      </c>
    </row>
    <row r="3585" spans="1:4" x14ac:dyDescent="0.3">
      <c r="A3585" s="5" t="s">
        <v>114</v>
      </c>
      <c r="B3585" s="5" t="s">
        <v>115</v>
      </c>
      <c r="C3585" s="6">
        <v>1968</v>
      </c>
      <c r="D3585" s="7">
        <v>66732</v>
      </c>
    </row>
    <row r="3586" spans="1:4" x14ac:dyDescent="0.3">
      <c r="A3586" s="2" t="s">
        <v>114</v>
      </c>
      <c r="B3586" s="2" t="s">
        <v>115</v>
      </c>
      <c r="C3586" s="3">
        <v>1969</v>
      </c>
      <c r="D3586" s="4">
        <v>67934</v>
      </c>
    </row>
    <row r="3587" spans="1:4" x14ac:dyDescent="0.3">
      <c r="A3587" s="5" t="s">
        <v>114</v>
      </c>
      <c r="B3587" s="5" t="s">
        <v>115</v>
      </c>
      <c r="C3587" s="6">
        <v>1970</v>
      </c>
      <c r="D3587" s="7">
        <v>68908</v>
      </c>
    </row>
    <row r="3588" spans="1:4" x14ac:dyDescent="0.3">
      <c r="A3588" s="2" t="s">
        <v>114</v>
      </c>
      <c r="B3588" s="2" t="s">
        <v>115</v>
      </c>
      <c r="C3588" s="3">
        <v>1971</v>
      </c>
      <c r="D3588" s="4">
        <v>69532</v>
      </c>
    </row>
    <row r="3589" spans="1:4" x14ac:dyDescent="0.3">
      <c r="A3589" s="5" t="s">
        <v>114</v>
      </c>
      <c r="B3589" s="5" t="s">
        <v>115</v>
      </c>
      <c r="C3589" s="6">
        <v>1972</v>
      </c>
      <c r="D3589" s="7">
        <v>70060</v>
      </c>
    </row>
    <row r="3590" spans="1:4" x14ac:dyDescent="0.3">
      <c r="A3590" s="2" t="s">
        <v>114</v>
      </c>
      <c r="B3590" s="2" t="s">
        <v>115</v>
      </c>
      <c r="C3590" s="3">
        <v>1973</v>
      </c>
      <c r="D3590" s="4">
        <v>70585</v>
      </c>
    </row>
    <row r="3591" spans="1:4" x14ac:dyDescent="0.3">
      <c r="A3591" s="5" t="s">
        <v>114</v>
      </c>
      <c r="B3591" s="5" t="s">
        <v>115</v>
      </c>
      <c r="C3591" s="6">
        <v>1974</v>
      </c>
      <c r="D3591" s="7">
        <v>71091</v>
      </c>
    </row>
    <row r="3592" spans="1:4" x14ac:dyDescent="0.3">
      <c r="A3592" s="2" t="s">
        <v>114</v>
      </c>
      <c r="B3592" s="2" t="s">
        <v>115</v>
      </c>
      <c r="C3592" s="3">
        <v>1975</v>
      </c>
      <c r="D3592" s="4">
        <v>71570</v>
      </c>
    </row>
    <row r="3593" spans="1:4" x14ac:dyDescent="0.3">
      <c r="A3593" s="5" t="s">
        <v>114</v>
      </c>
      <c r="B3593" s="5" t="s">
        <v>115</v>
      </c>
      <c r="C3593" s="6">
        <v>1976</v>
      </c>
      <c r="D3593" s="7">
        <v>72017</v>
      </c>
    </row>
    <row r="3594" spans="1:4" x14ac:dyDescent="0.3">
      <c r="A3594" s="2" t="s">
        <v>114</v>
      </c>
      <c r="B3594" s="2" t="s">
        <v>115</v>
      </c>
      <c r="C3594" s="3">
        <v>1977</v>
      </c>
      <c r="D3594" s="4">
        <v>72406</v>
      </c>
    </row>
    <row r="3595" spans="1:4" x14ac:dyDescent="0.3">
      <c r="A3595" s="5" t="s">
        <v>114</v>
      </c>
      <c r="B3595" s="5" t="s">
        <v>115</v>
      </c>
      <c r="C3595" s="6">
        <v>1978</v>
      </c>
      <c r="D3595" s="7">
        <v>72724</v>
      </c>
    </row>
    <row r="3596" spans="1:4" x14ac:dyDescent="0.3">
      <c r="A3596" s="2" t="s">
        <v>114</v>
      </c>
      <c r="B3596" s="2" t="s">
        <v>115</v>
      </c>
      <c r="C3596" s="3">
        <v>1979</v>
      </c>
      <c r="D3596" s="4">
        <v>72959</v>
      </c>
    </row>
    <row r="3597" spans="1:4" x14ac:dyDescent="0.3">
      <c r="A3597" s="5" t="s">
        <v>114</v>
      </c>
      <c r="B3597" s="5" t="s">
        <v>115</v>
      </c>
      <c r="C3597" s="6">
        <v>1980</v>
      </c>
      <c r="D3597" s="7">
        <v>73083</v>
      </c>
    </row>
    <row r="3598" spans="1:4" x14ac:dyDescent="0.3">
      <c r="A3598" s="2" t="s">
        <v>114</v>
      </c>
      <c r="B3598" s="2" t="s">
        <v>115</v>
      </c>
      <c r="C3598" s="3">
        <v>1981</v>
      </c>
      <c r="D3598" s="4">
        <v>72986</v>
      </c>
    </row>
    <row r="3599" spans="1:4" x14ac:dyDescent="0.3">
      <c r="A3599" s="5" t="s">
        <v>114</v>
      </c>
      <c r="B3599" s="5" t="s">
        <v>115</v>
      </c>
      <c r="C3599" s="6">
        <v>1982</v>
      </c>
      <c r="D3599" s="7">
        <v>72688</v>
      </c>
    </row>
    <row r="3600" spans="1:4" x14ac:dyDescent="0.3">
      <c r="A3600" s="2" t="s">
        <v>114</v>
      </c>
      <c r="B3600" s="2" t="s">
        <v>115</v>
      </c>
      <c r="C3600" s="3">
        <v>1983</v>
      </c>
      <c r="D3600" s="4">
        <v>72365</v>
      </c>
    </row>
    <row r="3601" spans="1:4" x14ac:dyDescent="0.3">
      <c r="A3601" s="5" t="s">
        <v>114</v>
      </c>
      <c r="B3601" s="5" t="s">
        <v>115</v>
      </c>
      <c r="C3601" s="6">
        <v>1984</v>
      </c>
      <c r="D3601" s="7">
        <v>72056</v>
      </c>
    </row>
    <row r="3602" spans="1:4" x14ac:dyDescent="0.3">
      <c r="A3602" s="2" t="s">
        <v>114</v>
      </c>
      <c r="B3602" s="2" t="s">
        <v>115</v>
      </c>
      <c r="C3602" s="3">
        <v>1985</v>
      </c>
      <c r="D3602" s="4">
        <v>71744</v>
      </c>
    </row>
    <row r="3603" spans="1:4" x14ac:dyDescent="0.3">
      <c r="A3603" s="5" t="s">
        <v>114</v>
      </c>
      <c r="B3603" s="5" t="s">
        <v>115</v>
      </c>
      <c r="C3603" s="6">
        <v>1986</v>
      </c>
      <c r="D3603" s="7">
        <v>71406</v>
      </c>
    </row>
    <row r="3604" spans="1:4" x14ac:dyDescent="0.3">
      <c r="A3604" s="2" t="s">
        <v>114</v>
      </c>
      <c r="B3604" s="2" t="s">
        <v>115</v>
      </c>
      <c r="C3604" s="3">
        <v>1987</v>
      </c>
      <c r="D3604" s="4">
        <v>71023</v>
      </c>
    </row>
    <row r="3605" spans="1:4" x14ac:dyDescent="0.3">
      <c r="A3605" s="5" t="s">
        <v>114</v>
      </c>
      <c r="B3605" s="5" t="s">
        <v>115</v>
      </c>
      <c r="C3605" s="6">
        <v>1988</v>
      </c>
      <c r="D3605" s="7">
        <v>70608</v>
      </c>
    </row>
    <row r="3606" spans="1:4" x14ac:dyDescent="0.3">
      <c r="A3606" s="2" t="s">
        <v>114</v>
      </c>
      <c r="B3606" s="2" t="s">
        <v>115</v>
      </c>
      <c r="C3606" s="3">
        <v>1989</v>
      </c>
      <c r="D3606" s="4">
        <v>70153</v>
      </c>
    </row>
    <row r="3607" spans="1:4" x14ac:dyDescent="0.3">
      <c r="A3607" s="5" t="s">
        <v>114</v>
      </c>
      <c r="B3607" s="5" t="s">
        <v>115</v>
      </c>
      <c r="C3607" s="6">
        <v>1990</v>
      </c>
      <c r="D3607" s="7">
        <v>69627</v>
      </c>
    </row>
    <row r="3608" spans="1:4" x14ac:dyDescent="0.3">
      <c r="A3608" s="2" t="s">
        <v>114</v>
      </c>
      <c r="B3608" s="2" t="s">
        <v>115</v>
      </c>
      <c r="C3608" s="3">
        <v>1991</v>
      </c>
      <c r="D3608" s="4">
        <v>69296</v>
      </c>
    </row>
    <row r="3609" spans="1:4" x14ac:dyDescent="0.3">
      <c r="A3609" s="5" t="s">
        <v>114</v>
      </c>
      <c r="B3609" s="5" t="s">
        <v>115</v>
      </c>
      <c r="C3609" s="6">
        <v>1992</v>
      </c>
      <c r="D3609" s="7">
        <v>69325</v>
      </c>
    </row>
    <row r="3610" spans="1:4" x14ac:dyDescent="0.3">
      <c r="A3610" s="2" t="s">
        <v>114</v>
      </c>
      <c r="B3610" s="2" t="s">
        <v>115</v>
      </c>
      <c r="C3610" s="3">
        <v>1993</v>
      </c>
      <c r="D3610" s="4">
        <v>69433</v>
      </c>
    </row>
    <row r="3611" spans="1:4" x14ac:dyDescent="0.3">
      <c r="A3611" s="5" t="s">
        <v>114</v>
      </c>
      <c r="B3611" s="5" t="s">
        <v>115</v>
      </c>
      <c r="C3611" s="6">
        <v>1994</v>
      </c>
      <c r="D3611" s="7">
        <v>69477</v>
      </c>
    </row>
    <row r="3612" spans="1:4" x14ac:dyDescent="0.3">
      <c r="A3612" s="2" t="s">
        <v>114</v>
      </c>
      <c r="B3612" s="2" t="s">
        <v>115</v>
      </c>
      <c r="C3612" s="3">
        <v>1995</v>
      </c>
      <c r="D3612" s="4">
        <v>69469</v>
      </c>
    </row>
    <row r="3613" spans="1:4" x14ac:dyDescent="0.3">
      <c r="A3613" s="5" t="s">
        <v>114</v>
      </c>
      <c r="B3613" s="5" t="s">
        <v>115</v>
      </c>
      <c r="C3613" s="6">
        <v>1996</v>
      </c>
      <c r="D3613" s="7">
        <v>69410</v>
      </c>
    </row>
    <row r="3614" spans="1:4" x14ac:dyDescent="0.3">
      <c r="A3614" s="2" t="s">
        <v>114</v>
      </c>
      <c r="B3614" s="2" t="s">
        <v>115</v>
      </c>
      <c r="C3614" s="3">
        <v>1997</v>
      </c>
      <c r="D3614" s="4">
        <v>69299</v>
      </c>
    </row>
    <row r="3615" spans="1:4" x14ac:dyDescent="0.3">
      <c r="A3615" s="5" t="s">
        <v>114</v>
      </c>
      <c r="B3615" s="5" t="s">
        <v>115</v>
      </c>
      <c r="C3615" s="6">
        <v>1998</v>
      </c>
      <c r="D3615" s="7">
        <v>69124</v>
      </c>
    </row>
    <row r="3616" spans="1:4" x14ac:dyDescent="0.3">
      <c r="A3616" s="2" t="s">
        <v>114</v>
      </c>
      <c r="B3616" s="2" t="s">
        <v>115</v>
      </c>
      <c r="C3616" s="3">
        <v>1999</v>
      </c>
      <c r="D3616" s="4">
        <v>68870</v>
      </c>
    </row>
    <row r="3617" spans="1:4" x14ac:dyDescent="0.3">
      <c r="A3617" s="5" t="s">
        <v>114</v>
      </c>
      <c r="B3617" s="5" t="s">
        <v>115</v>
      </c>
      <c r="C3617" s="6">
        <v>2000</v>
      </c>
      <c r="D3617" s="7">
        <v>68511</v>
      </c>
    </row>
    <row r="3618" spans="1:4" x14ac:dyDescent="0.3">
      <c r="A3618" s="2" t="s">
        <v>114</v>
      </c>
      <c r="B3618" s="2" t="s">
        <v>115</v>
      </c>
      <c r="C3618" s="3">
        <v>2001</v>
      </c>
      <c r="D3618" s="4">
        <v>68288</v>
      </c>
    </row>
    <row r="3619" spans="1:4" x14ac:dyDescent="0.3">
      <c r="A3619" s="5" t="s">
        <v>114</v>
      </c>
      <c r="B3619" s="5" t="s">
        <v>115</v>
      </c>
      <c r="C3619" s="6">
        <v>2002</v>
      </c>
      <c r="D3619" s="7">
        <v>68367</v>
      </c>
    </row>
    <row r="3620" spans="1:4" x14ac:dyDescent="0.3">
      <c r="A3620" s="2" t="s">
        <v>114</v>
      </c>
      <c r="B3620" s="2" t="s">
        <v>115</v>
      </c>
      <c r="C3620" s="3">
        <v>2003</v>
      </c>
      <c r="D3620" s="4">
        <v>68531</v>
      </c>
    </row>
    <row r="3621" spans="1:4" x14ac:dyDescent="0.3">
      <c r="A3621" s="5" t="s">
        <v>114</v>
      </c>
      <c r="B3621" s="5" t="s">
        <v>115</v>
      </c>
      <c r="C3621" s="6">
        <v>2004</v>
      </c>
      <c r="D3621" s="7">
        <v>68649</v>
      </c>
    </row>
    <row r="3622" spans="1:4" x14ac:dyDescent="0.3">
      <c r="A3622" s="2" t="s">
        <v>114</v>
      </c>
      <c r="B3622" s="2" t="s">
        <v>115</v>
      </c>
      <c r="C3622" s="3">
        <v>2005</v>
      </c>
      <c r="D3622" s="4">
        <v>68734</v>
      </c>
    </row>
    <row r="3623" spans="1:4" x14ac:dyDescent="0.3">
      <c r="A3623" s="5" t="s">
        <v>114</v>
      </c>
      <c r="B3623" s="5" t="s">
        <v>115</v>
      </c>
      <c r="C3623" s="6">
        <v>2006</v>
      </c>
      <c r="D3623" s="7">
        <v>68806</v>
      </c>
    </row>
    <row r="3624" spans="1:4" x14ac:dyDescent="0.3">
      <c r="A3624" s="2" t="s">
        <v>114</v>
      </c>
      <c r="B3624" s="2" t="s">
        <v>115</v>
      </c>
      <c r="C3624" s="3">
        <v>2007</v>
      </c>
      <c r="D3624" s="4">
        <v>68847</v>
      </c>
    </row>
    <row r="3625" spans="1:4" x14ac:dyDescent="0.3">
      <c r="A3625" s="5" t="s">
        <v>114</v>
      </c>
      <c r="B3625" s="5" t="s">
        <v>115</v>
      </c>
      <c r="C3625" s="6">
        <v>2008</v>
      </c>
      <c r="D3625" s="7">
        <v>68854</v>
      </c>
    </row>
    <row r="3626" spans="1:4" x14ac:dyDescent="0.3">
      <c r="A3626" s="2" t="s">
        <v>114</v>
      </c>
      <c r="B3626" s="2" t="s">
        <v>115</v>
      </c>
      <c r="C3626" s="3">
        <v>2009</v>
      </c>
      <c r="D3626" s="4">
        <v>68864</v>
      </c>
    </row>
    <row r="3627" spans="1:4" x14ac:dyDescent="0.3">
      <c r="A3627" s="5" t="s">
        <v>114</v>
      </c>
      <c r="B3627" s="5" t="s">
        <v>115</v>
      </c>
      <c r="C3627" s="6">
        <v>2010</v>
      </c>
      <c r="D3627" s="7">
        <v>68859</v>
      </c>
    </row>
    <row r="3628" spans="1:4" x14ac:dyDescent="0.3">
      <c r="A3628" s="2" t="s">
        <v>114</v>
      </c>
      <c r="B3628" s="2" t="s">
        <v>115</v>
      </c>
      <c r="C3628" s="3">
        <v>2011</v>
      </c>
      <c r="D3628" s="4">
        <v>69053</v>
      </c>
    </row>
    <row r="3629" spans="1:4" x14ac:dyDescent="0.3">
      <c r="A3629" s="5" t="s">
        <v>114</v>
      </c>
      <c r="B3629" s="5" t="s">
        <v>115</v>
      </c>
      <c r="C3629" s="6">
        <v>2012</v>
      </c>
      <c r="D3629" s="7">
        <v>69118</v>
      </c>
    </row>
    <row r="3630" spans="1:4" x14ac:dyDescent="0.3">
      <c r="A3630" s="2" t="s">
        <v>114</v>
      </c>
      <c r="B3630" s="2" t="s">
        <v>115</v>
      </c>
      <c r="C3630" s="3">
        <v>2013</v>
      </c>
      <c r="D3630" s="4">
        <v>69715</v>
      </c>
    </row>
    <row r="3631" spans="1:4" x14ac:dyDescent="0.3">
      <c r="A3631" s="5" t="s">
        <v>114</v>
      </c>
      <c r="B3631" s="5" t="s">
        <v>115</v>
      </c>
      <c r="C3631" s="6">
        <v>2014</v>
      </c>
      <c r="D3631" s="7">
        <v>70373</v>
      </c>
    </row>
    <row r="3632" spans="1:4" x14ac:dyDescent="0.3">
      <c r="A3632" s="2" t="s">
        <v>114</v>
      </c>
      <c r="B3632" s="2" t="s">
        <v>115</v>
      </c>
      <c r="C3632" s="3">
        <v>2015</v>
      </c>
      <c r="D3632" s="4">
        <v>70410</v>
      </c>
    </row>
    <row r="3633" spans="1:4" x14ac:dyDescent="0.3">
      <c r="A3633" s="5" t="s">
        <v>114</v>
      </c>
      <c r="B3633" s="5" t="s">
        <v>115</v>
      </c>
      <c r="C3633" s="6">
        <v>2016</v>
      </c>
      <c r="D3633" s="7">
        <v>69606</v>
      </c>
    </row>
    <row r="3634" spans="1:4" x14ac:dyDescent="0.3">
      <c r="A3634" s="2" t="s">
        <v>114</v>
      </c>
      <c r="B3634" s="2" t="s">
        <v>115</v>
      </c>
      <c r="C3634" s="3">
        <v>2017</v>
      </c>
      <c r="D3634" s="4">
        <v>68496</v>
      </c>
    </row>
    <row r="3635" spans="1:4" x14ac:dyDescent="0.3">
      <c r="A3635" s="5" t="s">
        <v>114</v>
      </c>
      <c r="B3635" s="5" t="s">
        <v>115</v>
      </c>
      <c r="C3635" s="6">
        <v>2018</v>
      </c>
      <c r="D3635" s="7">
        <v>68174</v>
      </c>
    </row>
    <row r="3636" spans="1:4" x14ac:dyDescent="0.3">
      <c r="A3636" s="2" t="s">
        <v>114</v>
      </c>
      <c r="B3636" s="2" t="s">
        <v>115</v>
      </c>
      <c r="C3636" s="3">
        <v>2019</v>
      </c>
      <c r="D3636" s="4">
        <v>67880</v>
      </c>
    </row>
    <row r="3637" spans="1:4" x14ac:dyDescent="0.3">
      <c r="A3637" s="5" t="s">
        <v>114</v>
      </c>
      <c r="B3637" s="5" t="s">
        <v>115</v>
      </c>
      <c r="C3637" s="6">
        <v>2020</v>
      </c>
      <c r="D3637" s="7">
        <v>67573</v>
      </c>
    </row>
    <row r="3638" spans="1:4" x14ac:dyDescent="0.3">
      <c r="A3638" s="2" t="s">
        <v>114</v>
      </c>
      <c r="B3638" s="2" t="s">
        <v>115</v>
      </c>
      <c r="C3638" s="3">
        <v>2021</v>
      </c>
      <c r="D3638" s="4">
        <v>67202</v>
      </c>
    </row>
    <row r="3639" spans="1:4" x14ac:dyDescent="0.3">
      <c r="A3639" s="5" t="s">
        <v>114</v>
      </c>
      <c r="B3639" s="5" t="s">
        <v>115</v>
      </c>
      <c r="C3639" s="6">
        <v>2022</v>
      </c>
      <c r="D3639" s="7">
        <v>66826</v>
      </c>
    </row>
    <row r="3640" spans="1:4" x14ac:dyDescent="0.3">
      <c r="A3640" s="2" t="s">
        <v>114</v>
      </c>
      <c r="B3640" s="2" t="s">
        <v>115</v>
      </c>
      <c r="C3640" s="3">
        <v>2023</v>
      </c>
      <c r="D3640" s="4">
        <v>66510</v>
      </c>
    </row>
    <row r="3641" spans="1:4" x14ac:dyDescent="0.3">
      <c r="A3641" s="5" t="s">
        <v>114</v>
      </c>
      <c r="B3641" s="5" t="s">
        <v>115</v>
      </c>
      <c r="C3641" s="6">
        <v>2024</v>
      </c>
      <c r="D3641" s="7">
        <v>66205</v>
      </c>
    </row>
    <row r="3642" spans="1:4" x14ac:dyDescent="0.3">
      <c r="A3642" s="2" t="s">
        <v>116</v>
      </c>
      <c r="B3642" s="2" t="s">
        <v>117</v>
      </c>
      <c r="C3642" s="3">
        <v>1960</v>
      </c>
      <c r="D3642" s="4">
        <v>3268336</v>
      </c>
    </row>
    <row r="3643" spans="1:4" x14ac:dyDescent="0.3">
      <c r="A3643" s="5" t="s">
        <v>116</v>
      </c>
      <c r="B3643" s="5" t="s">
        <v>117</v>
      </c>
      <c r="C3643" s="6">
        <v>1961</v>
      </c>
      <c r="D3643" s="7">
        <v>3373233</v>
      </c>
    </row>
    <row r="3644" spans="1:4" x14ac:dyDescent="0.3">
      <c r="A3644" s="2" t="s">
        <v>116</v>
      </c>
      <c r="B3644" s="2" t="s">
        <v>117</v>
      </c>
      <c r="C3644" s="3">
        <v>1962</v>
      </c>
      <c r="D3644" s="4">
        <v>3479936</v>
      </c>
    </row>
    <row r="3645" spans="1:4" x14ac:dyDescent="0.3">
      <c r="A3645" s="5" t="s">
        <v>116</v>
      </c>
      <c r="B3645" s="5" t="s">
        <v>117</v>
      </c>
      <c r="C3645" s="6">
        <v>1963</v>
      </c>
      <c r="D3645" s="7">
        <v>3588287</v>
      </c>
    </row>
    <row r="3646" spans="1:4" x14ac:dyDescent="0.3">
      <c r="A3646" s="2" t="s">
        <v>116</v>
      </c>
      <c r="B3646" s="2" t="s">
        <v>117</v>
      </c>
      <c r="C3646" s="3">
        <v>1964</v>
      </c>
      <c r="D3646" s="4">
        <v>3698559</v>
      </c>
    </row>
    <row r="3647" spans="1:4" x14ac:dyDescent="0.3">
      <c r="A3647" s="5" t="s">
        <v>116</v>
      </c>
      <c r="B3647" s="5" t="s">
        <v>117</v>
      </c>
      <c r="C3647" s="6">
        <v>1965</v>
      </c>
      <c r="D3647" s="7">
        <v>3808963</v>
      </c>
    </row>
    <row r="3648" spans="1:4" x14ac:dyDescent="0.3">
      <c r="A3648" s="2" t="s">
        <v>116</v>
      </c>
      <c r="B3648" s="2" t="s">
        <v>117</v>
      </c>
      <c r="C3648" s="3">
        <v>1966</v>
      </c>
      <c r="D3648" s="4">
        <v>3921847</v>
      </c>
    </row>
    <row r="3649" spans="1:4" x14ac:dyDescent="0.3">
      <c r="A3649" s="5" t="s">
        <v>116</v>
      </c>
      <c r="B3649" s="5" t="s">
        <v>117</v>
      </c>
      <c r="C3649" s="6">
        <v>1967</v>
      </c>
      <c r="D3649" s="7">
        <v>4038928</v>
      </c>
    </row>
    <row r="3650" spans="1:4" x14ac:dyDescent="0.3">
      <c r="A3650" s="2" t="s">
        <v>116</v>
      </c>
      <c r="B3650" s="2" t="s">
        <v>117</v>
      </c>
      <c r="C3650" s="3">
        <v>1968</v>
      </c>
      <c r="D3650" s="4">
        <v>4157189</v>
      </c>
    </row>
    <row r="3651" spans="1:4" x14ac:dyDescent="0.3">
      <c r="A3651" s="5" t="s">
        <v>116</v>
      </c>
      <c r="B3651" s="5" t="s">
        <v>117</v>
      </c>
      <c r="C3651" s="6">
        <v>1969</v>
      </c>
      <c r="D3651" s="7">
        <v>4277035</v>
      </c>
    </row>
    <row r="3652" spans="1:4" x14ac:dyDescent="0.3">
      <c r="A3652" s="2" t="s">
        <v>116</v>
      </c>
      <c r="B3652" s="2" t="s">
        <v>117</v>
      </c>
      <c r="C3652" s="3">
        <v>1970</v>
      </c>
      <c r="D3652" s="4">
        <v>4399290</v>
      </c>
    </row>
    <row r="3653" spans="1:4" x14ac:dyDescent="0.3">
      <c r="A3653" s="5" t="s">
        <v>116</v>
      </c>
      <c r="B3653" s="5" t="s">
        <v>117</v>
      </c>
      <c r="C3653" s="6">
        <v>1971</v>
      </c>
      <c r="D3653" s="7">
        <v>4524234</v>
      </c>
    </row>
    <row r="3654" spans="1:4" x14ac:dyDescent="0.3">
      <c r="A3654" s="2" t="s">
        <v>116</v>
      </c>
      <c r="B3654" s="2" t="s">
        <v>117</v>
      </c>
      <c r="C3654" s="3">
        <v>1972</v>
      </c>
      <c r="D3654" s="4">
        <v>4651883</v>
      </c>
    </row>
    <row r="3655" spans="1:4" x14ac:dyDescent="0.3">
      <c r="A3655" s="5" t="s">
        <v>116</v>
      </c>
      <c r="B3655" s="5" t="s">
        <v>117</v>
      </c>
      <c r="C3655" s="6">
        <v>1973</v>
      </c>
      <c r="D3655" s="7">
        <v>4782227</v>
      </c>
    </row>
    <row r="3656" spans="1:4" x14ac:dyDescent="0.3">
      <c r="A3656" s="2" t="s">
        <v>116</v>
      </c>
      <c r="B3656" s="2" t="s">
        <v>117</v>
      </c>
      <c r="C3656" s="3">
        <v>1974</v>
      </c>
      <c r="D3656" s="4">
        <v>4914197</v>
      </c>
    </row>
    <row r="3657" spans="1:4" x14ac:dyDescent="0.3">
      <c r="A3657" s="5" t="s">
        <v>116</v>
      </c>
      <c r="B3657" s="5" t="s">
        <v>117</v>
      </c>
      <c r="C3657" s="6">
        <v>1975</v>
      </c>
      <c r="D3657" s="7">
        <v>5046776</v>
      </c>
    </row>
    <row r="3658" spans="1:4" x14ac:dyDescent="0.3">
      <c r="A3658" s="2" t="s">
        <v>116</v>
      </c>
      <c r="B3658" s="2" t="s">
        <v>117</v>
      </c>
      <c r="C3658" s="3">
        <v>1976</v>
      </c>
      <c r="D3658" s="4">
        <v>5180404</v>
      </c>
    </row>
    <row r="3659" spans="1:4" x14ac:dyDescent="0.3">
      <c r="A3659" s="5" t="s">
        <v>116</v>
      </c>
      <c r="B3659" s="5" t="s">
        <v>117</v>
      </c>
      <c r="C3659" s="6">
        <v>1977</v>
      </c>
      <c r="D3659" s="7">
        <v>5315443</v>
      </c>
    </row>
    <row r="3660" spans="1:4" x14ac:dyDescent="0.3">
      <c r="A3660" s="2" t="s">
        <v>116</v>
      </c>
      <c r="B3660" s="2" t="s">
        <v>117</v>
      </c>
      <c r="C3660" s="3">
        <v>1978</v>
      </c>
      <c r="D3660" s="4">
        <v>5451882</v>
      </c>
    </row>
    <row r="3661" spans="1:4" x14ac:dyDescent="0.3">
      <c r="A3661" s="5" t="s">
        <v>116</v>
      </c>
      <c r="B3661" s="5" t="s">
        <v>117</v>
      </c>
      <c r="C3661" s="6">
        <v>1979</v>
      </c>
      <c r="D3661" s="7">
        <v>5589690</v>
      </c>
    </row>
    <row r="3662" spans="1:4" x14ac:dyDescent="0.3">
      <c r="A3662" s="2" t="s">
        <v>116</v>
      </c>
      <c r="B3662" s="2" t="s">
        <v>117</v>
      </c>
      <c r="C3662" s="3">
        <v>1980</v>
      </c>
      <c r="D3662" s="4">
        <v>5729037</v>
      </c>
    </row>
    <row r="3663" spans="1:4" x14ac:dyDescent="0.3">
      <c r="A3663" s="5" t="s">
        <v>116</v>
      </c>
      <c r="B3663" s="5" t="s">
        <v>117</v>
      </c>
      <c r="C3663" s="6">
        <v>1981</v>
      </c>
      <c r="D3663" s="7">
        <v>5868453</v>
      </c>
    </row>
    <row r="3664" spans="1:4" x14ac:dyDescent="0.3">
      <c r="A3664" s="2" t="s">
        <v>116</v>
      </c>
      <c r="B3664" s="2" t="s">
        <v>117</v>
      </c>
      <c r="C3664" s="3">
        <v>1982</v>
      </c>
      <c r="D3664" s="4">
        <v>6007114</v>
      </c>
    </row>
    <row r="3665" spans="1:4" x14ac:dyDescent="0.3">
      <c r="A3665" s="5" t="s">
        <v>116</v>
      </c>
      <c r="B3665" s="5" t="s">
        <v>117</v>
      </c>
      <c r="C3665" s="6">
        <v>1983</v>
      </c>
      <c r="D3665" s="7">
        <v>6147248</v>
      </c>
    </row>
    <row r="3666" spans="1:4" x14ac:dyDescent="0.3">
      <c r="A3666" s="2" t="s">
        <v>116</v>
      </c>
      <c r="B3666" s="2" t="s">
        <v>117</v>
      </c>
      <c r="C3666" s="3">
        <v>1984</v>
      </c>
      <c r="D3666" s="4">
        <v>6289040</v>
      </c>
    </row>
    <row r="3667" spans="1:4" x14ac:dyDescent="0.3">
      <c r="A3667" s="5" t="s">
        <v>116</v>
      </c>
      <c r="B3667" s="5" t="s">
        <v>117</v>
      </c>
      <c r="C3667" s="6">
        <v>1985</v>
      </c>
      <c r="D3667" s="7">
        <v>6430404</v>
      </c>
    </row>
    <row r="3668" spans="1:4" x14ac:dyDescent="0.3">
      <c r="A3668" s="2" t="s">
        <v>116</v>
      </c>
      <c r="B3668" s="2" t="s">
        <v>117</v>
      </c>
      <c r="C3668" s="3">
        <v>1986</v>
      </c>
      <c r="D3668" s="4">
        <v>6571208</v>
      </c>
    </row>
    <row r="3669" spans="1:4" x14ac:dyDescent="0.3">
      <c r="A3669" s="5" t="s">
        <v>116</v>
      </c>
      <c r="B3669" s="5" t="s">
        <v>117</v>
      </c>
      <c r="C3669" s="6">
        <v>1987</v>
      </c>
      <c r="D3669" s="7">
        <v>6712515</v>
      </c>
    </row>
    <row r="3670" spans="1:4" x14ac:dyDescent="0.3">
      <c r="A3670" s="2" t="s">
        <v>116</v>
      </c>
      <c r="B3670" s="2" t="s">
        <v>117</v>
      </c>
      <c r="C3670" s="3">
        <v>1988</v>
      </c>
      <c r="D3670" s="4">
        <v>6855734</v>
      </c>
    </row>
    <row r="3671" spans="1:4" x14ac:dyDescent="0.3">
      <c r="A3671" s="5" t="s">
        <v>116</v>
      </c>
      <c r="B3671" s="5" t="s">
        <v>117</v>
      </c>
      <c r="C3671" s="6">
        <v>1989</v>
      </c>
      <c r="D3671" s="7">
        <v>7002295</v>
      </c>
    </row>
    <row r="3672" spans="1:4" x14ac:dyDescent="0.3">
      <c r="A3672" s="2" t="s">
        <v>116</v>
      </c>
      <c r="B3672" s="2" t="s">
        <v>117</v>
      </c>
      <c r="C3672" s="3">
        <v>1990</v>
      </c>
      <c r="D3672" s="4">
        <v>7151166</v>
      </c>
    </row>
    <row r="3673" spans="1:4" x14ac:dyDescent="0.3">
      <c r="A3673" s="5" t="s">
        <v>116</v>
      </c>
      <c r="B3673" s="5" t="s">
        <v>117</v>
      </c>
      <c r="C3673" s="6">
        <v>1991</v>
      </c>
      <c r="D3673" s="7">
        <v>7299853</v>
      </c>
    </row>
    <row r="3674" spans="1:4" x14ac:dyDescent="0.3">
      <c r="A3674" s="2" t="s">
        <v>116</v>
      </c>
      <c r="B3674" s="2" t="s">
        <v>117</v>
      </c>
      <c r="C3674" s="3">
        <v>1992</v>
      </c>
      <c r="D3674" s="4">
        <v>7447474</v>
      </c>
    </row>
    <row r="3675" spans="1:4" x14ac:dyDescent="0.3">
      <c r="A3675" s="5" t="s">
        <v>116</v>
      </c>
      <c r="B3675" s="5" t="s">
        <v>117</v>
      </c>
      <c r="C3675" s="6">
        <v>1993</v>
      </c>
      <c r="D3675" s="7">
        <v>7594572</v>
      </c>
    </row>
    <row r="3676" spans="1:4" x14ac:dyDescent="0.3">
      <c r="A3676" s="2" t="s">
        <v>116</v>
      </c>
      <c r="B3676" s="2" t="s">
        <v>117</v>
      </c>
      <c r="C3676" s="3">
        <v>1994</v>
      </c>
      <c r="D3676" s="4">
        <v>7741694</v>
      </c>
    </row>
    <row r="3677" spans="1:4" x14ac:dyDescent="0.3">
      <c r="A3677" s="5" t="s">
        <v>116</v>
      </c>
      <c r="B3677" s="5" t="s">
        <v>117</v>
      </c>
      <c r="C3677" s="6">
        <v>1995</v>
      </c>
      <c r="D3677" s="7">
        <v>7888115</v>
      </c>
    </row>
    <row r="3678" spans="1:4" x14ac:dyDescent="0.3">
      <c r="A3678" s="2" t="s">
        <v>116</v>
      </c>
      <c r="B3678" s="2" t="s">
        <v>117</v>
      </c>
      <c r="C3678" s="3">
        <v>1996</v>
      </c>
      <c r="D3678" s="4">
        <v>8032894</v>
      </c>
    </row>
    <row r="3679" spans="1:4" x14ac:dyDescent="0.3">
      <c r="A3679" s="5" t="s">
        <v>116</v>
      </c>
      <c r="B3679" s="5" t="s">
        <v>117</v>
      </c>
      <c r="C3679" s="6">
        <v>1997</v>
      </c>
      <c r="D3679" s="7">
        <v>8174078</v>
      </c>
    </row>
    <row r="3680" spans="1:4" x14ac:dyDescent="0.3">
      <c r="A3680" s="2" t="s">
        <v>116</v>
      </c>
      <c r="B3680" s="2" t="s">
        <v>117</v>
      </c>
      <c r="C3680" s="3">
        <v>1998</v>
      </c>
      <c r="D3680" s="4">
        <v>8310362</v>
      </c>
    </row>
    <row r="3681" spans="1:4" x14ac:dyDescent="0.3">
      <c r="A3681" s="5" t="s">
        <v>116</v>
      </c>
      <c r="B3681" s="5" t="s">
        <v>117</v>
      </c>
      <c r="C3681" s="6">
        <v>1999</v>
      </c>
      <c r="D3681" s="7">
        <v>8446208</v>
      </c>
    </row>
    <row r="3682" spans="1:4" x14ac:dyDescent="0.3">
      <c r="A3682" s="2" t="s">
        <v>116</v>
      </c>
      <c r="B3682" s="2" t="s">
        <v>117</v>
      </c>
      <c r="C3682" s="3">
        <v>2000</v>
      </c>
      <c r="D3682" s="4">
        <v>8584190</v>
      </c>
    </row>
    <row r="3683" spans="1:4" x14ac:dyDescent="0.3">
      <c r="A3683" s="5" t="s">
        <v>116</v>
      </c>
      <c r="B3683" s="5" t="s">
        <v>117</v>
      </c>
      <c r="C3683" s="6">
        <v>2001</v>
      </c>
      <c r="D3683" s="7">
        <v>8720283</v>
      </c>
    </row>
    <row r="3684" spans="1:4" x14ac:dyDescent="0.3">
      <c r="A3684" s="2" t="s">
        <v>116</v>
      </c>
      <c r="B3684" s="2" t="s">
        <v>117</v>
      </c>
      <c r="C3684" s="3">
        <v>2002</v>
      </c>
      <c r="D3684" s="4">
        <v>8852235</v>
      </c>
    </row>
    <row r="3685" spans="1:4" x14ac:dyDescent="0.3">
      <c r="A3685" s="5" t="s">
        <v>116</v>
      </c>
      <c r="B3685" s="5" t="s">
        <v>117</v>
      </c>
      <c r="C3685" s="6">
        <v>2003</v>
      </c>
      <c r="D3685" s="7">
        <v>8980620</v>
      </c>
    </row>
    <row r="3686" spans="1:4" x14ac:dyDescent="0.3">
      <c r="A3686" s="2" t="s">
        <v>116</v>
      </c>
      <c r="B3686" s="2" t="s">
        <v>117</v>
      </c>
      <c r="C3686" s="3">
        <v>2004</v>
      </c>
      <c r="D3686" s="4">
        <v>9104892</v>
      </c>
    </row>
    <row r="3687" spans="1:4" x14ac:dyDescent="0.3">
      <c r="A3687" s="5" t="s">
        <v>116</v>
      </c>
      <c r="B3687" s="5" t="s">
        <v>117</v>
      </c>
      <c r="C3687" s="6">
        <v>2005</v>
      </c>
      <c r="D3687" s="7">
        <v>9225034</v>
      </c>
    </row>
    <row r="3688" spans="1:4" x14ac:dyDescent="0.3">
      <c r="A3688" s="2" t="s">
        <v>116</v>
      </c>
      <c r="B3688" s="2" t="s">
        <v>117</v>
      </c>
      <c r="C3688" s="3">
        <v>2006</v>
      </c>
      <c r="D3688" s="4">
        <v>9341183</v>
      </c>
    </row>
    <row r="3689" spans="1:4" x14ac:dyDescent="0.3">
      <c r="A3689" s="5" t="s">
        <v>116</v>
      </c>
      <c r="B3689" s="5" t="s">
        <v>117</v>
      </c>
      <c r="C3689" s="6">
        <v>2007</v>
      </c>
      <c r="D3689" s="7">
        <v>9455658</v>
      </c>
    </row>
    <row r="3690" spans="1:4" x14ac:dyDescent="0.3">
      <c r="A3690" s="2" t="s">
        <v>116</v>
      </c>
      <c r="B3690" s="2" t="s">
        <v>117</v>
      </c>
      <c r="C3690" s="3">
        <v>2008</v>
      </c>
      <c r="D3690" s="4">
        <v>9573130</v>
      </c>
    </row>
    <row r="3691" spans="1:4" x14ac:dyDescent="0.3">
      <c r="A3691" s="5" t="s">
        <v>116</v>
      </c>
      <c r="B3691" s="5" t="s">
        <v>117</v>
      </c>
      <c r="C3691" s="6">
        <v>2009</v>
      </c>
      <c r="D3691" s="7">
        <v>9695265</v>
      </c>
    </row>
    <row r="3692" spans="1:4" x14ac:dyDescent="0.3">
      <c r="A3692" s="2" t="s">
        <v>116</v>
      </c>
      <c r="B3692" s="2" t="s">
        <v>117</v>
      </c>
      <c r="C3692" s="3">
        <v>2010</v>
      </c>
      <c r="D3692" s="4">
        <v>9820175</v>
      </c>
    </row>
    <row r="3693" spans="1:4" x14ac:dyDescent="0.3">
      <c r="A3693" s="5" t="s">
        <v>116</v>
      </c>
      <c r="B3693" s="5" t="s">
        <v>117</v>
      </c>
      <c r="C3693" s="6">
        <v>2011</v>
      </c>
      <c r="D3693" s="7">
        <v>9945621</v>
      </c>
    </row>
    <row r="3694" spans="1:4" x14ac:dyDescent="0.3">
      <c r="A3694" s="2" t="s">
        <v>116</v>
      </c>
      <c r="B3694" s="2" t="s">
        <v>117</v>
      </c>
      <c r="C3694" s="3">
        <v>2012</v>
      </c>
      <c r="D3694" s="4">
        <v>10070411</v>
      </c>
    </row>
    <row r="3695" spans="1:4" x14ac:dyDescent="0.3">
      <c r="A3695" s="5" t="s">
        <v>116</v>
      </c>
      <c r="B3695" s="5" t="s">
        <v>117</v>
      </c>
      <c r="C3695" s="6">
        <v>2013</v>
      </c>
      <c r="D3695" s="7">
        <v>10193833</v>
      </c>
    </row>
    <row r="3696" spans="1:4" x14ac:dyDescent="0.3">
      <c r="A3696" s="2" t="s">
        <v>116</v>
      </c>
      <c r="B3696" s="2" t="s">
        <v>117</v>
      </c>
      <c r="C3696" s="3">
        <v>2014</v>
      </c>
      <c r="D3696" s="4">
        <v>10315528</v>
      </c>
    </row>
    <row r="3697" spans="1:4" x14ac:dyDescent="0.3">
      <c r="A3697" s="5" t="s">
        <v>116</v>
      </c>
      <c r="B3697" s="5" t="s">
        <v>117</v>
      </c>
      <c r="C3697" s="6">
        <v>2015</v>
      </c>
      <c r="D3697" s="7">
        <v>10434829</v>
      </c>
    </row>
    <row r="3698" spans="1:4" x14ac:dyDescent="0.3">
      <c r="A3698" s="2" t="s">
        <v>116</v>
      </c>
      <c r="B3698" s="2" t="s">
        <v>117</v>
      </c>
      <c r="C3698" s="3">
        <v>2016</v>
      </c>
      <c r="D3698" s="4">
        <v>10551430</v>
      </c>
    </row>
    <row r="3699" spans="1:4" x14ac:dyDescent="0.3">
      <c r="A3699" s="5" t="s">
        <v>116</v>
      </c>
      <c r="B3699" s="5" t="s">
        <v>117</v>
      </c>
      <c r="C3699" s="6">
        <v>2017</v>
      </c>
      <c r="D3699" s="7">
        <v>10666843</v>
      </c>
    </row>
    <row r="3700" spans="1:4" x14ac:dyDescent="0.3">
      <c r="A3700" s="2" t="s">
        <v>116</v>
      </c>
      <c r="B3700" s="2" t="s">
        <v>117</v>
      </c>
      <c r="C3700" s="3">
        <v>2018</v>
      </c>
      <c r="D3700" s="4">
        <v>10782053</v>
      </c>
    </row>
    <row r="3701" spans="1:4" x14ac:dyDescent="0.3">
      <c r="A3701" s="5" t="s">
        <v>116</v>
      </c>
      <c r="B3701" s="5" t="s">
        <v>117</v>
      </c>
      <c r="C3701" s="6">
        <v>2019</v>
      </c>
      <c r="D3701" s="7">
        <v>10894043</v>
      </c>
    </row>
    <row r="3702" spans="1:4" x14ac:dyDescent="0.3">
      <c r="A3702" s="2" t="s">
        <v>116</v>
      </c>
      <c r="B3702" s="2" t="s">
        <v>117</v>
      </c>
      <c r="C3702" s="3">
        <v>2020</v>
      </c>
      <c r="D3702" s="4">
        <v>11008300</v>
      </c>
    </row>
    <row r="3703" spans="1:4" x14ac:dyDescent="0.3">
      <c r="A3703" s="5" t="s">
        <v>116</v>
      </c>
      <c r="B3703" s="5" t="s">
        <v>117</v>
      </c>
      <c r="C3703" s="6">
        <v>2021</v>
      </c>
      <c r="D3703" s="7">
        <v>11123476</v>
      </c>
    </row>
    <row r="3704" spans="1:4" x14ac:dyDescent="0.3">
      <c r="A3704" s="2" t="s">
        <v>116</v>
      </c>
      <c r="B3704" s="2" t="s">
        <v>117</v>
      </c>
      <c r="C3704" s="3">
        <v>2022</v>
      </c>
      <c r="D3704" s="4">
        <v>11230734</v>
      </c>
    </row>
    <row r="3705" spans="1:4" x14ac:dyDescent="0.3">
      <c r="A3705" s="5" t="s">
        <v>116</v>
      </c>
      <c r="B3705" s="5" t="s">
        <v>117</v>
      </c>
      <c r="C3705" s="6">
        <v>2023</v>
      </c>
      <c r="D3705" s="7">
        <v>11331265</v>
      </c>
    </row>
    <row r="3706" spans="1:4" x14ac:dyDescent="0.3">
      <c r="A3706" s="2" t="s">
        <v>116</v>
      </c>
      <c r="B3706" s="2" t="s">
        <v>117</v>
      </c>
      <c r="C3706" s="3">
        <v>2024</v>
      </c>
      <c r="D3706" s="4">
        <v>11427557</v>
      </c>
    </row>
    <row r="3707" spans="1:4" x14ac:dyDescent="0.3">
      <c r="A3707" s="5" t="s">
        <v>118</v>
      </c>
      <c r="B3707" s="5" t="s">
        <v>119</v>
      </c>
      <c r="C3707" s="6">
        <v>1960</v>
      </c>
      <c r="D3707" s="7">
        <v>4590891</v>
      </c>
    </row>
    <row r="3708" spans="1:4" x14ac:dyDescent="0.3">
      <c r="A3708" s="2" t="s">
        <v>118</v>
      </c>
      <c r="B3708" s="2" t="s">
        <v>119</v>
      </c>
      <c r="C3708" s="3">
        <v>1961</v>
      </c>
      <c r="D3708" s="4">
        <v>4722331</v>
      </c>
    </row>
    <row r="3709" spans="1:4" x14ac:dyDescent="0.3">
      <c r="A3709" s="5" t="s">
        <v>118</v>
      </c>
      <c r="B3709" s="5" t="s">
        <v>119</v>
      </c>
      <c r="C3709" s="6">
        <v>1962</v>
      </c>
      <c r="D3709" s="7">
        <v>4859269</v>
      </c>
    </row>
    <row r="3710" spans="1:4" x14ac:dyDescent="0.3">
      <c r="A3710" s="2" t="s">
        <v>118</v>
      </c>
      <c r="B3710" s="2" t="s">
        <v>119</v>
      </c>
      <c r="C3710" s="3">
        <v>1963</v>
      </c>
      <c r="D3710" s="4">
        <v>5001716</v>
      </c>
    </row>
    <row r="3711" spans="1:4" x14ac:dyDescent="0.3">
      <c r="A3711" s="5" t="s">
        <v>118</v>
      </c>
      <c r="B3711" s="5" t="s">
        <v>119</v>
      </c>
      <c r="C3711" s="6">
        <v>1964</v>
      </c>
      <c r="D3711" s="7">
        <v>5149918</v>
      </c>
    </row>
    <row r="3712" spans="1:4" x14ac:dyDescent="0.3">
      <c r="A3712" s="2" t="s">
        <v>118</v>
      </c>
      <c r="B3712" s="2" t="s">
        <v>119</v>
      </c>
      <c r="C3712" s="3">
        <v>1965</v>
      </c>
      <c r="D3712" s="4">
        <v>5303963</v>
      </c>
    </row>
    <row r="3713" spans="1:4" x14ac:dyDescent="0.3">
      <c r="A3713" s="5" t="s">
        <v>118</v>
      </c>
      <c r="B3713" s="5" t="s">
        <v>119</v>
      </c>
      <c r="C3713" s="6">
        <v>1966</v>
      </c>
      <c r="D3713" s="7">
        <v>5463748</v>
      </c>
    </row>
    <row r="3714" spans="1:4" x14ac:dyDescent="0.3">
      <c r="A3714" s="2" t="s">
        <v>118</v>
      </c>
      <c r="B3714" s="2" t="s">
        <v>119</v>
      </c>
      <c r="C3714" s="3">
        <v>1967</v>
      </c>
      <c r="D3714" s="4">
        <v>5629057</v>
      </c>
    </row>
    <row r="3715" spans="1:4" x14ac:dyDescent="0.3">
      <c r="A3715" s="5" t="s">
        <v>118</v>
      </c>
      <c r="B3715" s="5" t="s">
        <v>119</v>
      </c>
      <c r="C3715" s="6">
        <v>1968</v>
      </c>
      <c r="D3715" s="7">
        <v>5799680</v>
      </c>
    </row>
    <row r="3716" spans="1:4" x14ac:dyDescent="0.3">
      <c r="A3716" s="2" t="s">
        <v>118</v>
      </c>
      <c r="B3716" s="2" t="s">
        <v>119</v>
      </c>
      <c r="C3716" s="3">
        <v>1969</v>
      </c>
      <c r="D3716" s="4">
        <v>5975236</v>
      </c>
    </row>
    <row r="3717" spans="1:4" x14ac:dyDescent="0.3">
      <c r="A3717" s="5" t="s">
        <v>118</v>
      </c>
      <c r="B3717" s="5" t="s">
        <v>119</v>
      </c>
      <c r="C3717" s="6">
        <v>1970</v>
      </c>
      <c r="D3717" s="7">
        <v>6155387</v>
      </c>
    </row>
    <row r="3718" spans="1:4" x14ac:dyDescent="0.3">
      <c r="A3718" s="2" t="s">
        <v>118</v>
      </c>
      <c r="B3718" s="2" t="s">
        <v>119</v>
      </c>
      <c r="C3718" s="3">
        <v>1971</v>
      </c>
      <c r="D3718" s="4">
        <v>6340052</v>
      </c>
    </row>
    <row r="3719" spans="1:4" x14ac:dyDescent="0.3">
      <c r="A3719" s="5" t="s">
        <v>118</v>
      </c>
      <c r="B3719" s="5" t="s">
        <v>119</v>
      </c>
      <c r="C3719" s="6">
        <v>1972</v>
      </c>
      <c r="D3719" s="7">
        <v>6529034</v>
      </c>
    </row>
    <row r="3720" spans="1:4" x14ac:dyDescent="0.3">
      <c r="A3720" s="2" t="s">
        <v>118</v>
      </c>
      <c r="B3720" s="2" t="s">
        <v>119</v>
      </c>
      <c r="C3720" s="3">
        <v>1973</v>
      </c>
      <c r="D3720" s="4">
        <v>6722033</v>
      </c>
    </row>
    <row r="3721" spans="1:4" x14ac:dyDescent="0.3">
      <c r="A3721" s="5" t="s">
        <v>118</v>
      </c>
      <c r="B3721" s="5" t="s">
        <v>119</v>
      </c>
      <c r="C3721" s="6">
        <v>1974</v>
      </c>
      <c r="D3721" s="7">
        <v>6918573</v>
      </c>
    </row>
    <row r="3722" spans="1:4" x14ac:dyDescent="0.3">
      <c r="A3722" s="2" t="s">
        <v>118</v>
      </c>
      <c r="B3722" s="2" t="s">
        <v>119</v>
      </c>
      <c r="C3722" s="3">
        <v>1975</v>
      </c>
      <c r="D3722" s="4">
        <v>7118251</v>
      </c>
    </row>
    <row r="3723" spans="1:4" x14ac:dyDescent="0.3">
      <c r="A3723" s="5" t="s">
        <v>118</v>
      </c>
      <c r="B3723" s="5" t="s">
        <v>119</v>
      </c>
      <c r="C3723" s="6">
        <v>1976</v>
      </c>
      <c r="D3723" s="7">
        <v>7320912</v>
      </c>
    </row>
    <row r="3724" spans="1:4" x14ac:dyDescent="0.3">
      <c r="A3724" s="2" t="s">
        <v>118</v>
      </c>
      <c r="B3724" s="2" t="s">
        <v>119</v>
      </c>
      <c r="C3724" s="3">
        <v>1977</v>
      </c>
      <c r="D3724" s="4">
        <v>7526819</v>
      </c>
    </row>
    <row r="3725" spans="1:4" x14ac:dyDescent="0.3">
      <c r="A3725" s="5" t="s">
        <v>118</v>
      </c>
      <c r="B3725" s="5" t="s">
        <v>119</v>
      </c>
      <c r="C3725" s="6">
        <v>1978</v>
      </c>
      <c r="D3725" s="7">
        <v>7736167</v>
      </c>
    </row>
    <row r="3726" spans="1:4" x14ac:dyDescent="0.3">
      <c r="A3726" s="2" t="s">
        <v>118</v>
      </c>
      <c r="B3726" s="2" t="s">
        <v>119</v>
      </c>
      <c r="C3726" s="3">
        <v>1979</v>
      </c>
      <c r="D3726" s="4">
        <v>7948869</v>
      </c>
    </row>
    <row r="3727" spans="1:4" x14ac:dyDescent="0.3">
      <c r="A3727" s="5" t="s">
        <v>118</v>
      </c>
      <c r="B3727" s="5" t="s">
        <v>119</v>
      </c>
      <c r="C3727" s="6">
        <v>1980</v>
      </c>
      <c r="D3727" s="7">
        <v>8165877</v>
      </c>
    </row>
    <row r="3728" spans="1:4" x14ac:dyDescent="0.3">
      <c r="A3728" s="2" t="s">
        <v>118</v>
      </c>
      <c r="B3728" s="2" t="s">
        <v>119</v>
      </c>
      <c r="C3728" s="3">
        <v>1981</v>
      </c>
      <c r="D3728" s="4">
        <v>8386910</v>
      </c>
    </row>
    <row r="3729" spans="1:4" x14ac:dyDescent="0.3">
      <c r="A3729" s="5" t="s">
        <v>118</v>
      </c>
      <c r="B3729" s="5" t="s">
        <v>119</v>
      </c>
      <c r="C3729" s="6">
        <v>1982</v>
      </c>
      <c r="D3729" s="7">
        <v>8611298</v>
      </c>
    </row>
    <row r="3730" spans="1:4" x14ac:dyDescent="0.3">
      <c r="A3730" s="2" t="s">
        <v>118</v>
      </c>
      <c r="B3730" s="2" t="s">
        <v>119</v>
      </c>
      <c r="C3730" s="3">
        <v>1983</v>
      </c>
      <c r="D3730" s="4">
        <v>8840417</v>
      </c>
    </row>
    <row r="3731" spans="1:4" x14ac:dyDescent="0.3">
      <c r="A3731" s="5" t="s">
        <v>118</v>
      </c>
      <c r="B3731" s="5" t="s">
        <v>119</v>
      </c>
      <c r="C3731" s="6">
        <v>1984</v>
      </c>
      <c r="D3731" s="7">
        <v>9074782</v>
      </c>
    </row>
    <row r="3732" spans="1:4" x14ac:dyDescent="0.3">
      <c r="A3732" s="2" t="s">
        <v>118</v>
      </c>
      <c r="B3732" s="2" t="s">
        <v>119</v>
      </c>
      <c r="C3732" s="3">
        <v>1985</v>
      </c>
      <c r="D3732" s="4">
        <v>9311154</v>
      </c>
    </row>
    <row r="3733" spans="1:4" x14ac:dyDescent="0.3">
      <c r="A3733" s="5" t="s">
        <v>118</v>
      </c>
      <c r="B3733" s="5" t="s">
        <v>119</v>
      </c>
      <c r="C3733" s="6">
        <v>1986</v>
      </c>
      <c r="D3733" s="7">
        <v>9545998</v>
      </c>
    </row>
    <row r="3734" spans="1:4" x14ac:dyDescent="0.3">
      <c r="A3734" s="2" t="s">
        <v>118</v>
      </c>
      <c r="B3734" s="2" t="s">
        <v>119</v>
      </c>
      <c r="C3734" s="3">
        <v>1987</v>
      </c>
      <c r="D3734" s="4">
        <v>9779290</v>
      </c>
    </row>
    <row r="3735" spans="1:4" x14ac:dyDescent="0.3">
      <c r="A3735" s="5" t="s">
        <v>118</v>
      </c>
      <c r="B3735" s="5" t="s">
        <v>119</v>
      </c>
      <c r="C3735" s="6">
        <v>1988</v>
      </c>
      <c r="D3735" s="7">
        <v>10010808</v>
      </c>
    </row>
    <row r="3736" spans="1:4" x14ac:dyDescent="0.3">
      <c r="A3736" s="2" t="s">
        <v>118</v>
      </c>
      <c r="B3736" s="2" t="s">
        <v>119</v>
      </c>
      <c r="C3736" s="3">
        <v>1989</v>
      </c>
      <c r="D3736" s="4">
        <v>10241852</v>
      </c>
    </row>
    <row r="3737" spans="1:4" x14ac:dyDescent="0.3">
      <c r="A3737" s="5" t="s">
        <v>118</v>
      </c>
      <c r="B3737" s="5" t="s">
        <v>119</v>
      </c>
      <c r="C3737" s="6">
        <v>1990</v>
      </c>
      <c r="D3737" s="7">
        <v>10473673</v>
      </c>
    </row>
    <row r="3738" spans="1:4" x14ac:dyDescent="0.3">
      <c r="A3738" s="2" t="s">
        <v>118</v>
      </c>
      <c r="B3738" s="2" t="s">
        <v>119</v>
      </c>
      <c r="C3738" s="3">
        <v>1991</v>
      </c>
      <c r="D3738" s="4">
        <v>10702380</v>
      </c>
    </row>
    <row r="3739" spans="1:4" x14ac:dyDescent="0.3">
      <c r="A3739" s="5" t="s">
        <v>118</v>
      </c>
      <c r="B3739" s="5" t="s">
        <v>119</v>
      </c>
      <c r="C3739" s="6">
        <v>1992</v>
      </c>
      <c r="D3739" s="7">
        <v>10930128</v>
      </c>
    </row>
    <row r="3740" spans="1:4" x14ac:dyDescent="0.3">
      <c r="A3740" s="2" t="s">
        <v>118</v>
      </c>
      <c r="B3740" s="2" t="s">
        <v>119</v>
      </c>
      <c r="C3740" s="3">
        <v>1993</v>
      </c>
      <c r="D3740" s="4">
        <v>11154274</v>
      </c>
    </row>
    <row r="3741" spans="1:4" x14ac:dyDescent="0.3">
      <c r="A3741" s="5" t="s">
        <v>118</v>
      </c>
      <c r="B3741" s="5" t="s">
        <v>119</v>
      </c>
      <c r="C3741" s="6">
        <v>1994</v>
      </c>
      <c r="D3741" s="7">
        <v>11372197</v>
      </c>
    </row>
    <row r="3742" spans="1:4" x14ac:dyDescent="0.3">
      <c r="A3742" s="2" t="s">
        <v>118</v>
      </c>
      <c r="B3742" s="2" t="s">
        <v>119</v>
      </c>
      <c r="C3742" s="3">
        <v>1995</v>
      </c>
      <c r="D3742" s="4">
        <v>11590514</v>
      </c>
    </row>
    <row r="3743" spans="1:4" x14ac:dyDescent="0.3">
      <c r="A3743" s="5" t="s">
        <v>118</v>
      </c>
      <c r="B3743" s="5" t="s">
        <v>119</v>
      </c>
      <c r="C3743" s="6">
        <v>1996</v>
      </c>
      <c r="D3743" s="7">
        <v>11810950</v>
      </c>
    </row>
    <row r="3744" spans="1:4" x14ac:dyDescent="0.3">
      <c r="A3744" s="2" t="s">
        <v>118</v>
      </c>
      <c r="B3744" s="2" t="s">
        <v>119</v>
      </c>
      <c r="C3744" s="3">
        <v>1997</v>
      </c>
      <c r="D3744" s="4">
        <v>12031127</v>
      </c>
    </row>
    <row r="3745" spans="1:4" x14ac:dyDescent="0.3">
      <c r="A3745" s="5" t="s">
        <v>118</v>
      </c>
      <c r="B3745" s="5" t="s">
        <v>119</v>
      </c>
      <c r="C3745" s="6">
        <v>1998</v>
      </c>
      <c r="D3745" s="7">
        <v>12251184</v>
      </c>
    </row>
    <row r="3746" spans="1:4" x14ac:dyDescent="0.3">
      <c r="A3746" s="2" t="s">
        <v>118</v>
      </c>
      <c r="B3746" s="2" t="s">
        <v>119</v>
      </c>
      <c r="C3746" s="3">
        <v>1999</v>
      </c>
      <c r="D3746" s="4">
        <v>12470795</v>
      </c>
    </row>
    <row r="3747" spans="1:4" x14ac:dyDescent="0.3">
      <c r="A3747" s="5" t="s">
        <v>118</v>
      </c>
      <c r="B3747" s="5" t="s">
        <v>119</v>
      </c>
      <c r="C3747" s="6">
        <v>2000</v>
      </c>
      <c r="D3747" s="7">
        <v>12689206</v>
      </c>
    </row>
    <row r="3748" spans="1:4" x14ac:dyDescent="0.3">
      <c r="A3748" s="2" t="s">
        <v>118</v>
      </c>
      <c r="B3748" s="2" t="s">
        <v>119</v>
      </c>
      <c r="C3748" s="3">
        <v>2001</v>
      </c>
      <c r="D3748" s="4">
        <v>12910740</v>
      </c>
    </row>
    <row r="3749" spans="1:4" x14ac:dyDescent="0.3">
      <c r="A3749" s="5" t="s">
        <v>118</v>
      </c>
      <c r="B3749" s="5" t="s">
        <v>119</v>
      </c>
      <c r="C3749" s="6">
        <v>2002</v>
      </c>
      <c r="D3749" s="7">
        <v>13138472</v>
      </c>
    </row>
    <row r="3750" spans="1:4" x14ac:dyDescent="0.3">
      <c r="A3750" s="2" t="s">
        <v>118</v>
      </c>
      <c r="B3750" s="2" t="s">
        <v>119</v>
      </c>
      <c r="C3750" s="3">
        <v>2003</v>
      </c>
      <c r="D3750" s="4">
        <v>13372306</v>
      </c>
    </row>
    <row r="3751" spans="1:4" x14ac:dyDescent="0.3">
      <c r="A3751" s="5" t="s">
        <v>118</v>
      </c>
      <c r="B3751" s="5" t="s">
        <v>119</v>
      </c>
      <c r="C3751" s="6">
        <v>2004</v>
      </c>
      <c r="D3751" s="7">
        <v>13608701</v>
      </c>
    </row>
    <row r="3752" spans="1:4" x14ac:dyDescent="0.3">
      <c r="A3752" s="2" t="s">
        <v>118</v>
      </c>
      <c r="B3752" s="2" t="s">
        <v>119</v>
      </c>
      <c r="C3752" s="3">
        <v>2005</v>
      </c>
      <c r="D3752" s="4">
        <v>13846163</v>
      </c>
    </row>
    <row r="3753" spans="1:4" x14ac:dyDescent="0.3">
      <c r="A3753" s="5" t="s">
        <v>118</v>
      </c>
      <c r="B3753" s="5" t="s">
        <v>119</v>
      </c>
      <c r="C3753" s="6">
        <v>2006</v>
      </c>
      <c r="D3753" s="7">
        <v>14086131</v>
      </c>
    </row>
    <row r="3754" spans="1:4" x14ac:dyDescent="0.3">
      <c r="A3754" s="2" t="s">
        <v>118</v>
      </c>
      <c r="B3754" s="2" t="s">
        <v>119</v>
      </c>
      <c r="C3754" s="3">
        <v>2007</v>
      </c>
      <c r="D3754" s="4">
        <v>14328773</v>
      </c>
    </row>
    <row r="3755" spans="1:4" x14ac:dyDescent="0.3">
      <c r="A3755" s="5" t="s">
        <v>118</v>
      </c>
      <c r="B3755" s="5" t="s">
        <v>119</v>
      </c>
      <c r="C3755" s="6">
        <v>2008</v>
      </c>
      <c r="D3755" s="7">
        <v>14575202</v>
      </c>
    </row>
    <row r="3756" spans="1:4" x14ac:dyDescent="0.3">
      <c r="A3756" s="2" t="s">
        <v>118</v>
      </c>
      <c r="B3756" s="2" t="s">
        <v>119</v>
      </c>
      <c r="C3756" s="3">
        <v>2009</v>
      </c>
      <c r="D3756" s="4">
        <v>14825954</v>
      </c>
    </row>
    <row r="3757" spans="1:4" x14ac:dyDescent="0.3">
      <c r="A3757" s="5" t="s">
        <v>118</v>
      </c>
      <c r="B3757" s="5" t="s">
        <v>119</v>
      </c>
      <c r="C3757" s="6">
        <v>2010</v>
      </c>
      <c r="D3757" s="7">
        <v>15076695</v>
      </c>
    </row>
    <row r="3758" spans="1:4" x14ac:dyDescent="0.3">
      <c r="A3758" s="2" t="s">
        <v>118</v>
      </c>
      <c r="B3758" s="2" t="s">
        <v>119</v>
      </c>
      <c r="C3758" s="3">
        <v>2011</v>
      </c>
      <c r="D3758" s="4">
        <v>15326227</v>
      </c>
    </row>
    <row r="3759" spans="1:4" x14ac:dyDescent="0.3">
      <c r="A3759" s="5" t="s">
        <v>118</v>
      </c>
      <c r="B3759" s="5" t="s">
        <v>119</v>
      </c>
      <c r="C3759" s="6">
        <v>2012</v>
      </c>
      <c r="D3759" s="7">
        <v>15572194</v>
      </c>
    </row>
    <row r="3760" spans="1:4" x14ac:dyDescent="0.3">
      <c r="A3760" s="2" t="s">
        <v>118</v>
      </c>
      <c r="B3760" s="2" t="s">
        <v>119</v>
      </c>
      <c r="C3760" s="3">
        <v>2013</v>
      </c>
      <c r="D3760" s="4">
        <v>15807128</v>
      </c>
    </row>
    <row r="3761" spans="1:4" x14ac:dyDescent="0.3">
      <c r="A3761" s="5" t="s">
        <v>118</v>
      </c>
      <c r="B3761" s="5" t="s">
        <v>119</v>
      </c>
      <c r="C3761" s="6">
        <v>2014</v>
      </c>
      <c r="D3761" s="7">
        <v>16035124</v>
      </c>
    </row>
    <row r="3762" spans="1:4" x14ac:dyDescent="0.3">
      <c r="A3762" s="2" t="s">
        <v>118</v>
      </c>
      <c r="B3762" s="2" t="s">
        <v>119</v>
      </c>
      <c r="C3762" s="3">
        <v>2015</v>
      </c>
      <c r="D3762" s="4">
        <v>16266225</v>
      </c>
    </row>
    <row r="3763" spans="1:4" x14ac:dyDescent="0.3">
      <c r="A3763" s="5" t="s">
        <v>118</v>
      </c>
      <c r="B3763" s="5" t="s">
        <v>119</v>
      </c>
      <c r="C3763" s="6">
        <v>2016</v>
      </c>
      <c r="D3763" s="7">
        <v>16505139</v>
      </c>
    </row>
    <row r="3764" spans="1:4" x14ac:dyDescent="0.3">
      <c r="A3764" s="2" t="s">
        <v>118</v>
      </c>
      <c r="B3764" s="2" t="s">
        <v>119</v>
      </c>
      <c r="C3764" s="3">
        <v>2017</v>
      </c>
      <c r="D3764" s="4">
        <v>16759519</v>
      </c>
    </row>
    <row r="3765" spans="1:4" x14ac:dyDescent="0.3">
      <c r="A3765" s="5" t="s">
        <v>118</v>
      </c>
      <c r="B3765" s="5" t="s">
        <v>119</v>
      </c>
      <c r="C3765" s="6">
        <v>2018</v>
      </c>
      <c r="D3765" s="7">
        <v>17049547</v>
      </c>
    </row>
    <row r="3766" spans="1:4" x14ac:dyDescent="0.3">
      <c r="A3766" s="2" t="s">
        <v>118</v>
      </c>
      <c r="B3766" s="2" t="s">
        <v>119</v>
      </c>
      <c r="C3766" s="3">
        <v>2019</v>
      </c>
      <c r="D3766" s="4">
        <v>17340021</v>
      </c>
    </row>
    <row r="3767" spans="1:4" x14ac:dyDescent="0.3">
      <c r="A3767" s="5" t="s">
        <v>118</v>
      </c>
      <c r="B3767" s="5" t="s">
        <v>119</v>
      </c>
      <c r="C3767" s="6">
        <v>2020</v>
      </c>
      <c r="D3767" s="7">
        <v>17546065</v>
      </c>
    </row>
    <row r="3768" spans="1:4" x14ac:dyDescent="0.3">
      <c r="A3768" s="2" t="s">
        <v>118</v>
      </c>
      <c r="B3768" s="2" t="s">
        <v>119</v>
      </c>
      <c r="C3768" s="3">
        <v>2021</v>
      </c>
      <c r="D3768" s="4">
        <v>17682454</v>
      </c>
    </row>
    <row r="3769" spans="1:4" x14ac:dyDescent="0.3">
      <c r="A3769" s="5" t="s">
        <v>118</v>
      </c>
      <c r="B3769" s="5" t="s">
        <v>119</v>
      </c>
      <c r="C3769" s="6">
        <v>2022</v>
      </c>
      <c r="D3769" s="7">
        <v>17823897</v>
      </c>
    </row>
    <row r="3770" spans="1:4" x14ac:dyDescent="0.3">
      <c r="A3770" s="2" t="s">
        <v>118</v>
      </c>
      <c r="B3770" s="2" t="s">
        <v>119</v>
      </c>
      <c r="C3770" s="3">
        <v>2023</v>
      </c>
      <c r="D3770" s="4">
        <v>17980083</v>
      </c>
    </row>
    <row r="3771" spans="1:4" x14ac:dyDescent="0.3">
      <c r="A3771" s="5" t="s">
        <v>118</v>
      </c>
      <c r="B3771" s="5" t="s">
        <v>119</v>
      </c>
      <c r="C3771" s="6">
        <v>2024</v>
      </c>
      <c r="D3771" s="7">
        <v>18135478</v>
      </c>
    </row>
    <row r="3772" spans="1:4" x14ac:dyDescent="0.3">
      <c r="A3772" s="2" t="s">
        <v>120</v>
      </c>
      <c r="B3772" s="2" t="s">
        <v>121</v>
      </c>
      <c r="C3772" s="3">
        <v>1960</v>
      </c>
      <c r="D3772" s="4">
        <v>26896479</v>
      </c>
    </row>
    <row r="3773" spans="1:4" x14ac:dyDescent="0.3">
      <c r="A3773" s="5" t="s">
        <v>120</v>
      </c>
      <c r="B3773" s="5" t="s">
        <v>121</v>
      </c>
      <c r="C3773" s="6">
        <v>1961</v>
      </c>
      <c r="D3773" s="7">
        <v>27600898</v>
      </c>
    </row>
    <row r="3774" spans="1:4" x14ac:dyDescent="0.3">
      <c r="A3774" s="2" t="s">
        <v>120</v>
      </c>
      <c r="B3774" s="2" t="s">
        <v>121</v>
      </c>
      <c r="C3774" s="3">
        <v>1962</v>
      </c>
      <c r="D3774" s="4">
        <v>28337013</v>
      </c>
    </row>
    <row r="3775" spans="1:4" x14ac:dyDescent="0.3">
      <c r="A3775" s="5" t="s">
        <v>120</v>
      </c>
      <c r="B3775" s="5" t="s">
        <v>121</v>
      </c>
      <c r="C3775" s="6">
        <v>1963</v>
      </c>
      <c r="D3775" s="7">
        <v>29091869</v>
      </c>
    </row>
    <row r="3776" spans="1:4" x14ac:dyDescent="0.3">
      <c r="A3776" s="2" t="s">
        <v>120</v>
      </c>
      <c r="B3776" s="2" t="s">
        <v>121</v>
      </c>
      <c r="C3776" s="3">
        <v>1964</v>
      </c>
      <c r="D3776" s="4">
        <v>29858922</v>
      </c>
    </row>
    <row r="3777" spans="1:4" x14ac:dyDescent="0.3">
      <c r="A3777" s="5" t="s">
        <v>120</v>
      </c>
      <c r="B3777" s="5" t="s">
        <v>121</v>
      </c>
      <c r="C3777" s="6">
        <v>1965</v>
      </c>
      <c r="D3777" s="7">
        <v>30629174</v>
      </c>
    </row>
    <row r="3778" spans="1:4" x14ac:dyDescent="0.3">
      <c r="A3778" s="2" t="s">
        <v>120</v>
      </c>
      <c r="B3778" s="2" t="s">
        <v>121</v>
      </c>
      <c r="C3778" s="3">
        <v>1966</v>
      </c>
      <c r="D3778" s="4">
        <v>31406541</v>
      </c>
    </row>
    <row r="3779" spans="1:4" x14ac:dyDescent="0.3">
      <c r="A3779" s="5" t="s">
        <v>120</v>
      </c>
      <c r="B3779" s="5" t="s">
        <v>121</v>
      </c>
      <c r="C3779" s="6">
        <v>1967</v>
      </c>
      <c r="D3779" s="7">
        <v>32196360</v>
      </c>
    </row>
    <row r="3780" spans="1:4" x14ac:dyDescent="0.3">
      <c r="A3780" s="2" t="s">
        <v>120</v>
      </c>
      <c r="B3780" s="2" t="s">
        <v>121</v>
      </c>
      <c r="C3780" s="3">
        <v>1968</v>
      </c>
      <c r="D3780" s="4">
        <v>32998319</v>
      </c>
    </row>
    <row r="3781" spans="1:4" x14ac:dyDescent="0.3">
      <c r="A3781" s="5" t="s">
        <v>120</v>
      </c>
      <c r="B3781" s="5" t="s">
        <v>121</v>
      </c>
      <c r="C3781" s="6">
        <v>1969</v>
      </c>
      <c r="D3781" s="7">
        <v>33811615</v>
      </c>
    </row>
    <row r="3782" spans="1:4" x14ac:dyDescent="0.3">
      <c r="A3782" s="2" t="s">
        <v>120</v>
      </c>
      <c r="B3782" s="2" t="s">
        <v>121</v>
      </c>
      <c r="C3782" s="3">
        <v>1970</v>
      </c>
      <c r="D3782" s="4">
        <v>34623990</v>
      </c>
    </row>
    <row r="3783" spans="1:4" x14ac:dyDescent="0.3">
      <c r="A3783" s="5" t="s">
        <v>120</v>
      </c>
      <c r="B3783" s="5" t="s">
        <v>121</v>
      </c>
      <c r="C3783" s="6">
        <v>1971</v>
      </c>
      <c r="D3783" s="7">
        <v>35433368</v>
      </c>
    </row>
    <row r="3784" spans="1:4" x14ac:dyDescent="0.3">
      <c r="A3784" s="2" t="s">
        <v>120</v>
      </c>
      <c r="B3784" s="2" t="s">
        <v>121</v>
      </c>
      <c r="C3784" s="3">
        <v>1972</v>
      </c>
      <c r="D3784" s="4">
        <v>36258328</v>
      </c>
    </row>
    <row r="3785" spans="1:4" x14ac:dyDescent="0.3">
      <c r="A3785" s="5" t="s">
        <v>120</v>
      </c>
      <c r="B3785" s="5" t="s">
        <v>121</v>
      </c>
      <c r="C3785" s="6">
        <v>1973</v>
      </c>
      <c r="D3785" s="7">
        <v>37102043</v>
      </c>
    </row>
    <row r="3786" spans="1:4" x14ac:dyDescent="0.3">
      <c r="A3786" s="2" t="s">
        <v>120</v>
      </c>
      <c r="B3786" s="2" t="s">
        <v>121</v>
      </c>
      <c r="C3786" s="3">
        <v>1974</v>
      </c>
      <c r="D3786" s="4">
        <v>37969667</v>
      </c>
    </row>
    <row r="3787" spans="1:4" x14ac:dyDescent="0.3">
      <c r="A3787" s="5" t="s">
        <v>120</v>
      </c>
      <c r="B3787" s="5" t="s">
        <v>121</v>
      </c>
      <c r="C3787" s="6">
        <v>1975</v>
      </c>
      <c r="D3787" s="7">
        <v>38875327</v>
      </c>
    </row>
    <row r="3788" spans="1:4" x14ac:dyDescent="0.3">
      <c r="A3788" s="2" t="s">
        <v>120</v>
      </c>
      <c r="B3788" s="2" t="s">
        <v>121</v>
      </c>
      <c r="C3788" s="3">
        <v>1976</v>
      </c>
      <c r="D3788" s="4">
        <v>39795557</v>
      </c>
    </row>
    <row r="3789" spans="1:4" x14ac:dyDescent="0.3">
      <c r="A3789" s="5" t="s">
        <v>120</v>
      </c>
      <c r="B3789" s="5" t="s">
        <v>121</v>
      </c>
      <c r="C3789" s="6">
        <v>1977</v>
      </c>
      <c r="D3789" s="7">
        <v>40748870</v>
      </c>
    </row>
    <row r="3790" spans="1:4" x14ac:dyDescent="0.3">
      <c r="A3790" s="2" t="s">
        <v>120</v>
      </c>
      <c r="B3790" s="2" t="s">
        <v>121</v>
      </c>
      <c r="C3790" s="3">
        <v>1978</v>
      </c>
      <c r="D3790" s="4">
        <v>41761431</v>
      </c>
    </row>
    <row r="3791" spans="1:4" x14ac:dyDescent="0.3">
      <c r="A3791" s="5" t="s">
        <v>120</v>
      </c>
      <c r="B3791" s="5" t="s">
        <v>121</v>
      </c>
      <c r="C3791" s="6">
        <v>1979</v>
      </c>
      <c r="D3791" s="7">
        <v>42818628</v>
      </c>
    </row>
    <row r="3792" spans="1:4" x14ac:dyDescent="0.3">
      <c r="A3792" s="2" t="s">
        <v>120</v>
      </c>
      <c r="B3792" s="2" t="s">
        <v>121</v>
      </c>
      <c r="C3792" s="3">
        <v>1980</v>
      </c>
      <c r="D3792" s="4">
        <v>43950413</v>
      </c>
    </row>
    <row r="3793" spans="1:4" x14ac:dyDescent="0.3">
      <c r="A3793" s="5" t="s">
        <v>120</v>
      </c>
      <c r="B3793" s="5" t="s">
        <v>121</v>
      </c>
      <c r="C3793" s="6">
        <v>1981</v>
      </c>
      <c r="D3793" s="7">
        <v>45147224</v>
      </c>
    </row>
    <row r="3794" spans="1:4" x14ac:dyDescent="0.3">
      <c r="A3794" s="2" t="s">
        <v>120</v>
      </c>
      <c r="B3794" s="2" t="s">
        <v>121</v>
      </c>
      <c r="C3794" s="3">
        <v>1982</v>
      </c>
      <c r="D3794" s="4">
        <v>46407611</v>
      </c>
    </row>
    <row r="3795" spans="1:4" x14ac:dyDescent="0.3">
      <c r="A3795" s="5" t="s">
        <v>120</v>
      </c>
      <c r="B3795" s="5" t="s">
        <v>121</v>
      </c>
      <c r="C3795" s="6">
        <v>1983</v>
      </c>
      <c r="D3795" s="7">
        <v>47786402</v>
      </c>
    </row>
    <row r="3796" spans="1:4" x14ac:dyDescent="0.3">
      <c r="A3796" s="2" t="s">
        <v>120</v>
      </c>
      <c r="B3796" s="2" t="s">
        <v>121</v>
      </c>
      <c r="C3796" s="3">
        <v>1984</v>
      </c>
      <c r="D3796" s="4">
        <v>49247334</v>
      </c>
    </row>
    <row r="3797" spans="1:4" x14ac:dyDescent="0.3">
      <c r="A3797" s="5" t="s">
        <v>120</v>
      </c>
      <c r="B3797" s="5" t="s">
        <v>121</v>
      </c>
      <c r="C3797" s="6">
        <v>1985</v>
      </c>
      <c r="D3797" s="7">
        <v>50734968</v>
      </c>
    </row>
    <row r="3798" spans="1:4" x14ac:dyDescent="0.3">
      <c r="A3798" s="2" t="s">
        <v>120</v>
      </c>
      <c r="B3798" s="2" t="s">
        <v>121</v>
      </c>
      <c r="C3798" s="3">
        <v>1986</v>
      </c>
      <c r="D3798" s="4">
        <v>52206295</v>
      </c>
    </row>
    <row r="3799" spans="1:4" x14ac:dyDescent="0.3">
      <c r="A3799" s="5" t="s">
        <v>120</v>
      </c>
      <c r="B3799" s="5" t="s">
        <v>121</v>
      </c>
      <c r="C3799" s="6">
        <v>1987</v>
      </c>
      <c r="D3799" s="7">
        <v>53674435</v>
      </c>
    </row>
    <row r="3800" spans="1:4" x14ac:dyDescent="0.3">
      <c r="A3800" s="2" t="s">
        <v>120</v>
      </c>
      <c r="B3800" s="2" t="s">
        <v>121</v>
      </c>
      <c r="C3800" s="3">
        <v>1988</v>
      </c>
      <c r="D3800" s="4">
        <v>55187681</v>
      </c>
    </row>
    <row r="3801" spans="1:4" x14ac:dyDescent="0.3">
      <c r="A3801" s="5" t="s">
        <v>120</v>
      </c>
      <c r="B3801" s="5" t="s">
        <v>121</v>
      </c>
      <c r="C3801" s="6">
        <v>1989</v>
      </c>
      <c r="D3801" s="7">
        <v>56710642</v>
      </c>
    </row>
    <row r="3802" spans="1:4" x14ac:dyDescent="0.3">
      <c r="A3802" s="2" t="s">
        <v>120</v>
      </c>
      <c r="B3802" s="2" t="s">
        <v>121</v>
      </c>
      <c r="C3802" s="3">
        <v>1990</v>
      </c>
      <c r="D3802" s="4">
        <v>58396618</v>
      </c>
    </row>
    <row r="3803" spans="1:4" x14ac:dyDescent="0.3">
      <c r="A3803" s="5" t="s">
        <v>120</v>
      </c>
      <c r="B3803" s="5" t="s">
        <v>121</v>
      </c>
      <c r="C3803" s="6">
        <v>1991</v>
      </c>
      <c r="D3803" s="7">
        <v>60028997</v>
      </c>
    </row>
    <row r="3804" spans="1:4" x14ac:dyDescent="0.3">
      <c r="A3804" s="2" t="s">
        <v>120</v>
      </c>
      <c r="B3804" s="2" t="s">
        <v>121</v>
      </c>
      <c r="C3804" s="3">
        <v>1992</v>
      </c>
      <c r="D3804" s="4">
        <v>61480660</v>
      </c>
    </row>
    <row r="3805" spans="1:4" x14ac:dyDescent="0.3">
      <c r="A3805" s="5" t="s">
        <v>120</v>
      </c>
      <c r="B3805" s="5" t="s">
        <v>121</v>
      </c>
      <c r="C3805" s="6">
        <v>1993</v>
      </c>
      <c r="D3805" s="7">
        <v>62915681</v>
      </c>
    </row>
    <row r="3806" spans="1:4" x14ac:dyDescent="0.3">
      <c r="A3806" s="2" t="s">
        <v>120</v>
      </c>
      <c r="B3806" s="2" t="s">
        <v>121</v>
      </c>
      <c r="C3806" s="3">
        <v>1994</v>
      </c>
      <c r="D3806" s="4">
        <v>64285589</v>
      </c>
    </row>
    <row r="3807" spans="1:4" x14ac:dyDescent="0.3">
      <c r="A3807" s="5" t="s">
        <v>120</v>
      </c>
      <c r="B3807" s="5" t="s">
        <v>121</v>
      </c>
      <c r="C3807" s="6">
        <v>1995</v>
      </c>
      <c r="D3807" s="7">
        <v>65652622</v>
      </c>
    </row>
    <row r="3808" spans="1:4" x14ac:dyDescent="0.3">
      <c r="A3808" s="2" t="s">
        <v>120</v>
      </c>
      <c r="B3808" s="2" t="s">
        <v>121</v>
      </c>
      <c r="C3808" s="3">
        <v>1996</v>
      </c>
      <c r="D3808" s="4">
        <v>67028048</v>
      </c>
    </row>
    <row r="3809" spans="1:4" x14ac:dyDescent="0.3">
      <c r="A3809" s="5" t="s">
        <v>120</v>
      </c>
      <c r="B3809" s="5" t="s">
        <v>121</v>
      </c>
      <c r="C3809" s="6">
        <v>1997</v>
      </c>
      <c r="D3809" s="7">
        <v>68431740</v>
      </c>
    </row>
    <row r="3810" spans="1:4" x14ac:dyDescent="0.3">
      <c r="A3810" s="2" t="s">
        <v>120</v>
      </c>
      <c r="B3810" s="2" t="s">
        <v>121</v>
      </c>
      <c r="C3810" s="3">
        <v>1998</v>
      </c>
      <c r="D3810" s="4">
        <v>69943294</v>
      </c>
    </row>
    <row r="3811" spans="1:4" x14ac:dyDescent="0.3">
      <c r="A3811" s="5" t="s">
        <v>120</v>
      </c>
      <c r="B3811" s="5" t="s">
        <v>121</v>
      </c>
      <c r="C3811" s="6">
        <v>1999</v>
      </c>
      <c r="D3811" s="7">
        <v>71520954</v>
      </c>
    </row>
    <row r="3812" spans="1:4" x14ac:dyDescent="0.3">
      <c r="A3812" s="2" t="s">
        <v>120</v>
      </c>
      <c r="B3812" s="2" t="s">
        <v>121</v>
      </c>
      <c r="C3812" s="3">
        <v>2000</v>
      </c>
      <c r="D3812" s="4">
        <v>73083284</v>
      </c>
    </row>
    <row r="3813" spans="1:4" x14ac:dyDescent="0.3">
      <c r="A3813" s="5" t="s">
        <v>120</v>
      </c>
      <c r="B3813" s="5" t="s">
        <v>121</v>
      </c>
      <c r="C3813" s="6">
        <v>2001</v>
      </c>
      <c r="D3813" s="7">
        <v>74652029</v>
      </c>
    </row>
    <row r="3814" spans="1:4" x14ac:dyDescent="0.3">
      <c r="A3814" s="2" t="s">
        <v>120</v>
      </c>
      <c r="B3814" s="2" t="s">
        <v>121</v>
      </c>
      <c r="C3814" s="3">
        <v>2002</v>
      </c>
      <c r="D3814" s="4">
        <v>76239137</v>
      </c>
    </row>
    <row r="3815" spans="1:4" x14ac:dyDescent="0.3">
      <c r="A3815" s="5" t="s">
        <v>120</v>
      </c>
      <c r="B3815" s="5" t="s">
        <v>121</v>
      </c>
      <c r="C3815" s="6">
        <v>2003</v>
      </c>
      <c r="D3815" s="7">
        <v>77853548</v>
      </c>
    </row>
    <row r="3816" spans="1:4" x14ac:dyDescent="0.3">
      <c r="A3816" s="2" t="s">
        <v>120</v>
      </c>
      <c r="B3816" s="2" t="s">
        <v>121</v>
      </c>
      <c r="C3816" s="3">
        <v>2004</v>
      </c>
      <c r="D3816" s="4">
        <v>79477443</v>
      </c>
    </row>
    <row r="3817" spans="1:4" x14ac:dyDescent="0.3">
      <c r="A3817" s="5" t="s">
        <v>120</v>
      </c>
      <c r="B3817" s="5" t="s">
        <v>121</v>
      </c>
      <c r="C3817" s="6">
        <v>2005</v>
      </c>
      <c r="D3817" s="7">
        <v>81101004</v>
      </c>
    </row>
    <row r="3818" spans="1:4" x14ac:dyDescent="0.3">
      <c r="A3818" s="2" t="s">
        <v>120</v>
      </c>
      <c r="B3818" s="2" t="s">
        <v>121</v>
      </c>
      <c r="C3818" s="3">
        <v>2006</v>
      </c>
      <c r="D3818" s="4">
        <v>82700403</v>
      </c>
    </row>
    <row r="3819" spans="1:4" x14ac:dyDescent="0.3">
      <c r="A3819" s="5" t="s">
        <v>120</v>
      </c>
      <c r="B3819" s="5" t="s">
        <v>121</v>
      </c>
      <c r="C3819" s="6">
        <v>2007</v>
      </c>
      <c r="D3819" s="7">
        <v>84276225</v>
      </c>
    </row>
    <row r="3820" spans="1:4" x14ac:dyDescent="0.3">
      <c r="A3820" s="2" t="s">
        <v>120</v>
      </c>
      <c r="B3820" s="2" t="s">
        <v>121</v>
      </c>
      <c r="C3820" s="3">
        <v>2008</v>
      </c>
      <c r="D3820" s="4">
        <v>85864789</v>
      </c>
    </row>
    <row r="3821" spans="1:4" x14ac:dyDescent="0.3">
      <c r="A3821" s="5" t="s">
        <v>120</v>
      </c>
      <c r="B3821" s="5" t="s">
        <v>121</v>
      </c>
      <c r="C3821" s="6">
        <v>2009</v>
      </c>
      <c r="D3821" s="7">
        <v>87501636</v>
      </c>
    </row>
    <row r="3822" spans="1:4" x14ac:dyDescent="0.3">
      <c r="A3822" s="2" t="s">
        <v>120</v>
      </c>
      <c r="B3822" s="2" t="s">
        <v>121</v>
      </c>
      <c r="C3822" s="3">
        <v>2010</v>
      </c>
      <c r="D3822" s="4">
        <v>89196072</v>
      </c>
    </row>
    <row r="3823" spans="1:4" x14ac:dyDescent="0.3">
      <c r="A3823" s="5" t="s">
        <v>120</v>
      </c>
      <c r="B3823" s="5" t="s">
        <v>121</v>
      </c>
      <c r="C3823" s="6">
        <v>2011</v>
      </c>
      <c r="D3823" s="7">
        <v>91093059</v>
      </c>
    </row>
    <row r="3824" spans="1:4" x14ac:dyDescent="0.3">
      <c r="A3824" s="2" t="s">
        <v>120</v>
      </c>
      <c r="B3824" s="2" t="s">
        <v>121</v>
      </c>
      <c r="C3824" s="3">
        <v>2012</v>
      </c>
      <c r="D3824" s="4">
        <v>93161001</v>
      </c>
    </row>
    <row r="3825" spans="1:4" x14ac:dyDescent="0.3">
      <c r="A3825" s="5" t="s">
        <v>120</v>
      </c>
      <c r="B3825" s="5" t="s">
        <v>121</v>
      </c>
      <c r="C3825" s="6">
        <v>2013</v>
      </c>
      <c r="D3825" s="7">
        <v>95333553</v>
      </c>
    </row>
    <row r="3826" spans="1:4" x14ac:dyDescent="0.3">
      <c r="A3826" s="2" t="s">
        <v>120</v>
      </c>
      <c r="B3826" s="2" t="s">
        <v>121</v>
      </c>
      <c r="C3826" s="3">
        <v>2014</v>
      </c>
      <c r="D3826" s="4">
        <v>97528654</v>
      </c>
    </row>
    <row r="3827" spans="1:4" x14ac:dyDescent="0.3">
      <c r="A3827" s="5" t="s">
        <v>120</v>
      </c>
      <c r="B3827" s="5" t="s">
        <v>121</v>
      </c>
      <c r="C3827" s="6">
        <v>2015</v>
      </c>
      <c r="D3827" s="7">
        <v>99597342</v>
      </c>
    </row>
    <row r="3828" spans="1:4" x14ac:dyDescent="0.3">
      <c r="A3828" s="2" t="s">
        <v>120</v>
      </c>
      <c r="B3828" s="2" t="s">
        <v>121</v>
      </c>
      <c r="C3828" s="3">
        <v>2016</v>
      </c>
      <c r="D3828" s="4">
        <v>101644589</v>
      </c>
    </row>
    <row r="3829" spans="1:4" x14ac:dyDescent="0.3">
      <c r="A3829" s="5" t="s">
        <v>120</v>
      </c>
      <c r="B3829" s="5" t="s">
        <v>121</v>
      </c>
      <c r="C3829" s="6">
        <v>2017</v>
      </c>
      <c r="D3829" s="7">
        <v>103696057</v>
      </c>
    </row>
    <row r="3830" spans="1:4" x14ac:dyDescent="0.3">
      <c r="A3830" s="2" t="s">
        <v>120</v>
      </c>
      <c r="B3830" s="2" t="s">
        <v>121</v>
      </c>
      <c r="C3830" s="3">
        <v>2018</v>
      </c>
      <c r="D3830" s="4">
        <v>105682094</v>
      </c>
    </row>
    <row r="3831" spans="1:4" x14ac:dyDescent="0.3">
      <c r="A3831" s="5" t="s">
        <v>120</v>
      </c>
      <c r="B3831" s="5" t="s">
        <v>121</v>
      </c>
      <c r="C3831" s="6">
        <v>2019</v>
      </c>
      <c r="D3831" s="7">
        <v>107553158</v>
      </c>
    </row>
    <row r="3832" spans="1:4" x14ac:dyDescent="0.3">
      <c r="A3832" s="2" t="s">
        <v>120</v>
      </c>
      <c r="B3832" s="2" t="s">
        <v>121</v>
      </c>
      <c r="C3832" s="3">
        <v>2020</v>
      </c>
      <c r="D3832" s="4">
        <v>109315124</v>
      </c>
    </row>
    <row r="3833" spans="1:4" x14ac:dyDescent="0.3">
      <c r="A3833" s="5" t="s">
        <v>120</v>
      </c>
      <c r="B3833" s="5" t="s">
        <v>121</v>
      </c>
      <c r="C3833" s="6">
        <v>2021</v>
      </c>
      <c r="D3833" s="7">
        <v>110957008</v>
      </c>
    </row>
    <row r="3834" spans="1:4" x14ac:dyDescent="0.3">
      <c r="A3834" s="2" t="s">
        <v>120</v>
      </c>
      <c r="B3834" s="2" t="s">
        <v>121</v>
      </c>
      <c r="C3834" s="3">
        <v>2022</v>
      </c>
      <c r="D3834" s="4">
        <v>112618250</v>
      </c>
    </row>
    <row r="3835" spans="1:4" x14ac:dyDescent="0.3">
      <c r="A3835" s="5" t="s">
        <v>120</v>
      </c>
      <c r="B3835" s="5" t="s">
        <v>121</v>
      </c>
      <c r="C3835" s="6">
        <v>2023</v>
      </c>
      <c r="D3835" s="7">
        <v>114535772</v>
      </c>
    </row>
    <row r="3836" spans="1:4" x14ac:dyDescent="0.3">
      <c r="A3836" s="2" t="s">
        <v>120</v>
      </c>
      <c r="B3836" s="2" t="s">
        <v>121</v>
      </c>
      <c r="C3836" s="3">
        <v>2024</v>
      </c>
      <c r="D3836" s="4">
        <v>116538258</v>
      </c>
    </row>
    <row r="3837" spans="1:4" x14ac:dyDescent="0.3">
      <c r="A3837" s="5" t="s">
        <v>122</v>
      </c>
      <c r="B3837" s="5" t="s">
        <v>123</v>
      </c>
      <c r="C3837" s="6">
        <v>1960</v>
      </c>
      <c r="D3837" s="7">
        <v>2791459</v>
      </c>
    </row>
    <row r="3838" spans="1:4" x14ac:dyDescent="0.3">
      <c r="A3838" s="2" t="s">
        <v>122</v>
      </c>
      <c r="B3838" s="2" t="s">
        <v>123</v>
      </c>
      <c r="C3838" s="3">
        <v>1961</v>
      </c>
      <c r="D3838" s="4">
        <v>2870016</v>
      </c>
    </row>
    <row r="3839" spans="1:4" x14ac:dyDescent="0.3">
      <c r="A3839" s="5" t="s">
        <v>122</v>
      </c>
      <c r="B3839" s="5" t="s">
        <v>123</v>
      </c>
      <c r="C3839" s="6">
        <v>1962</v>
      </c>
      <c r="D3839" s="7">
        <v>2949204</v>
      </c>
    </row>
    <row r="3840" spans="1:4" x14ac:dyDescent="0.3">
      <c r="A3840" s="2" t="s">
        <v>122</v>
      </c>
      <c r="B3840" s="2" t="s">
        <v>123</v>
      </c>
      <c r="C3840" s="3">
        <v>1963</v>
      </c>
      <c r="D3840" s="4">
        <v>3028679</v>
      </c>
    </row>
    <row r="3841" spans="1:4" x14ac:dyDescent="0.3">
      <c r="A3841" s="5" t="s">
        <v>122</v>
      </c>
      <c r="B3841" s="5" t="s">
        <v>123</v>
      </c>
      <c r="C3841" s="6">
        <v>1964</v>
      </c>
      <c r="D3841" s="7">
        <v>3111883</v>
      </c>
    </row>
    <row r="3842" spans="1:4" x14ac:dyDescent="0.3">
      <c r="A3842" s="2" t="s">
        <v>122</v>
      </c>
      <c r="B3842" s="2" t="s">
        <v>123</v>
      </c>
      <c r="C3842" s="3">
        <v>1965</v>
      </c>
      <c r="D3842" s="4">
        <v>3199466</v>
      </c>
    </row>
    <row r="3843" spans="1:4" x14ac:dyDescent="0.3">
      <c r="A3843" s="5" t="s">
        <v>122</v>
      </c>
      <c r="B3843" s="5" t="s">
        <v>123</v>
      </c>
      <c r="C3843" s="6">
        <v>1966</v>
      </c>
      <c r="D3843" s="7">
        <v>3290961</v>
      </c>
    </row>
    <row r="3844" spans="1:4" x14ac:dyDescent="0.3">
      <c r="A3844" s="2" t="s">
        <v>122</v>
      </c>
      <c r="B3844" s="2" t="s">
        <v>123</v>
      </c>
      <c r="C3844" s="3">
        <v>1967</v>
      </c>
      <c r="D3844" s="4">
        <v>3385184</v>
      </c>
    </row>
    <row r="3845" spans="1:4" x14ac:dyDescent="0.3">
      <c r="A3845" s="5" t="s">
        <v>122</v>
      </c>
      <c r="B3845" s="5" t="s">
        <v>123</v>
      </c>
      <c r="C3845" s="6">
        <v>1968</v>
      </c>
      <c r="D3845" s="7">
        <v>3480773</v>
      </c>
    </row>
    <row r="3846" spans="1:4" x14ac:dyDescent="0.3">
      <c r="A3846" s="2" t="s">
        <v>122</v>
      </c>
      <c r="B3846" s="2" t="s">
        <v>123</v>
      </c>
      <c r="C3846" s="3">
        <v>1969</v>
      </c>
      <c r="D3846" s="4">
        <v>3576485</v>
      </c>
    </row>
    <row r="3847" spans="1:4" x14ac:dyDescent="0.3">
      <c r="A3847" s="5" t="s">
        <v>122</v>
      </c>
      <c r="B3847" s="5" t="s">
        <v>123</v>
      </c>
      <c r="C3847" s="6">
        <v>1970</v>
      </c>
      <c r="D3847" s="7">
        <v>3668796</v>
      </c>
    </row>
    <row r="3848" spans="1:4" x14ac:dyDescent="0.3">
      <c r="A3848" s="2" t="s">
        <v>122</v>
      </c>
      <c r="B3848" s="2" t="s">
        <v>123</v>
      </c>
      <c r="C3848" s="3">
        <v>1971</v>
      </c>
      <c r="D3848" s="4">
        <v>3757523</v>
      </c>
    </row>
    <row r="3849" spans="1:4" x14ac:dyDescent="0.3">
      <c r="A3849" s="5" t="s">
        <v>122</v>
      </c>
      <c r="B3849" s="5" t="s">
        <v>123</v>
      </c>
      <c r="C3849" s="6">
        <v>1972</v>
      </c>
      <c r="D3849" s="7">
        <v>3846830</v>
      </c>
    </row>
    <row r="3850" spans="1:4" x14ac:dyDescent="0.3">
      <c r="A3850" s="2" t="s">
        <v>122</v>
      </c>
      <c r="B3850" s="2" t="s">
        <v>123</v>
      </c>
      <c r="C3850" s="3">
        <v>1973</v>
      </c>
      <c r="D3850" s="4">
        <v>3938068</v>
      </c>
    </row>
    <row r="3851" spans="1:4" x14ac:dyDescent="0.3">
      <c r="A3851" s="5" t="s">
        <v>122</v>
      </c>
      <c r="B3851" s="5" t="s">
        <v>123</v>
      </c>
      <c r="C3851" s="6">
        <v>1974</v>
      </c>
      <c r="D3851" s="7">
        <v>4029671</v>
      </c>
    </row>
    <row r="3852" spans="1:4" x14ac:dyDescent="0.3">
      <c r="A3852" s="2" t="s">
        <v>122</v>
      </c>
      <c r="B3852" s="2" t="s">
        <v>123</v>
      </c>
      <c r="C3852" s="3">
        <v>1975</v>
      </c>
      <c r="D3852" s="4">
        <v>4120449</v>
      </c>
    </row>
    <row r="3853" spans="1:4" x14ac:dyDescent="0.3">
      <c r="A3853" s="5" t="s">
        <v>122</v>
      </c>
      <c r="B3853" s="5" t="s">
        <v>123</v>
      </c>
      <c r="C3853" s="6">
        <v>1976</v>
      </c>
      <c r="D3853" s="7">
        <v>4210310</v>
      </c>
    </row>
    <row r="3854" spans="1:4" x14ac:dyDescent="0.3">
      <c r="A3854" s="2" t="s">
        <v>122</v>
      </c>
      <c r="B3854" s="2" t="s">
        <v>123</v>
      </c>
      <c r="C3854" s="3">
        <v>1977</v>
      </c>
      <c r="D3854" s="4">
        <v>4301256</v>
      </c>
    </row>
    <row r="3855" spans="1:4" x14ac:dyDescent="0.3">
      <c r="A3855" s="5" t="s">
        <v>122</v>
      </c>
      <c r="B3855" s="5" t="s">
        <v>123</v>
      </c>
      <c r="C3855" s="6">
        <v>1978</v>
      </c>
      <c r="D3855" s="7">
        <v>4394114</v>
      </c>
    </row>
    <row r="3856" spans="1:4" x14ac:dyDescent="0.3">
      <c r="A3856" s="2" t="s">
        <v>122</v>
      </c>
      <c r="B3856" s="2" t="s">
        <v>123</v>
      </c>
      <c r="C3856" s="3">
        <v>1979</v>
      </c>
      <c r="D3856" s="4">
        <v>4480388</v>
      </c>
    </row>
    <row r="3857" spans="1:4" x14ac:dyDescent="0.3">
      <c r="A3857" s="5" t="s">
        <v>122</v>
      </c>
      <c r="B3857" s="5" t="s">
        <v>123</v>
      </c>
      <c r="C3857" s="6">
        <v>1980</v>
      </c>
      <c r="D3857" s="7">
        <v>4540382</v>
      </c>
    </row>
    <row r="3858" spans="1:4" x14ac:dyDescent="0.3">
      <c r="A3858" s="2" t="s">
        <v>122</v>
      </c>
      <c r="B3858" s="2" t="s">
        <v>123</v>
      </c>
      <c r="C3858" s="3">
        <v>1981</v>
      </c>
      <c r="D3858" s="4">
        <v>4570599</v>
      </c>
    </row>
    <row r="3859" spans="1:4" x14ac:dyDescent="0.3">
      <c r="A3859" s="5" t="s">
        <v>122</v>
      </c>
      <c r="B3859" s="5" t="s">
        <v>123</v>
      </c>
      <c r="C3859" s="6">
        <v>1982</v>
      </c>
      <c r="D3859" s="7">
        <v>4622477</v>
      </c>
    </row>
    <row r="3860" spans="1:4" x14ac:dyDescent="0.3">
      <c r="A3860" s="2" t="s">
        <v>122</v>
      </c>
      <c r="B3860" s="2" t="s">
        <v>123</v>
      </c>
      <c r="C3860" s="3">
        <v>1983</v>
      </c>
      <c r="D3860" s="4">
        <v>4707367</v>
      </c>
    </row>
    <row r="3861" spans="1:4" x14ac:dyDescent="0.3">
      <c r="A3861" s="5" t="s">
        <v>122</v>
      </c>
      <c r="B3861" s="5" t="s">
        <v>123</v>
      </c>
      <c r="C3861" s="6">
        <v>1984</v>
      </c>
      <c r="D3861" s="7">
        <v>4798003</v>
      </c>
    </row>
    <row r="3862" spans="1:4" x14ac:dyDescent="0.3">
      <c r="A3862" s="2" t="s">
        <v>122</v>
      </c>
      <c r="B3862" s="2" t="s">
        <v>123</v>
      </c>
      <c r="C3862" s="3">
        <v>1985</v>
      </c>
      <c r="D3862" s="4">
        <v>4894706</v>
      </c>
    </row>
    <row r="3863" spans="1:4" x14ac:dyDescent="0.3">
      <c r="A3863" s="5" t="s">
        <v>122</v>
      </c>
      <c r="B3863" s="5" t="s">
        <v>123</v>
      </c>
      <c r="C3863" s="6">
        <v>1986</v>
      </c>
      <c r="D3863" s="7">
        <v>4992769</v>
      </c>
    </row>
    <row r="3864" spans="1:4" x14ac:dyDescent="0.3">
      <c r="A3864" s="2" t="s">
        <v>122</v>
      </c>
      <c r="B3864" s="2" t="s">
        <v>123</v>
      </c>
      <c r="C3864" s="3">
        <v>1987</v>
      </c>
      <c r="D3864" s="4">
        <v>5092441</v>
      </c>
    </row>
    <row r="3865" spans="1:4" x14ac:dyDescent="0.3">
      <c r="A3865" s="5" t="s">
        <v>122</v>
      </c>
      <c r="B3865" s="5" t="s">
        <v>123</v>
      </c>
      <c r="C3865" s="6">
        <v>1988</v>
      </c>
      <c r="D3865" s="7">
        <v>5195833</v>
      </c>
    </row>
    <row r="3866" spans="1:4" x14ac:dyDescent="0.3">
      <c r="A3866" s="2" t="s">
        <v>122</v>
      </c>
      <c r="B3866" s="2" t="s">
        <v>123</v>
      </c>
      <c r="C3866" s="3">
        <v>1989</v>
      </c>
      <c r="D3866" s="4">
        <v>5298979</v>
      </c>
    </row>
    <row r="3867" spans="1:4" x14ac:dyDescent="0.3">
      <c r="A3867" s="5" t="s">
        <v>122</v>
      </c>
      <c r="B3867" s="5" t="s">
        <v>123</v>
      </c>
      <c r="C3867" s="6">
        <v>1990</v>
      </c>
      <c r="D3867" s="7">
        <v>5399726</v>
      </c>
    </row>
    <row r="3868" spans="1:4" x14ac:dyDescent="0.3">
      <c r="A3868" s="2" t="s">
        <v>122</v>
      </c>
      <c r="B3868" s="2" t="s">
        <v>123</v>
      </c>
      <c r="C3868" s="3">
        <v>1991</v>
      </c>
      <c r="D3868" s="4">
        <v>5495077</v>
      </c>
    </row>
    <row r="3869" spans="1:4" x14ac:dyDescent="0.3">
      <c r="A3869" s="5" t="s">
        <v>122</v>
      </c>
      <c r="B3869" s="5" t="s">
        <v>123</v>
      </c>
      <c r="C3869" s="6">
        <v>1992</v>
      </c>
      <c r="D3869" s="7">
        <v>5585609</v>
      </c>
    </row>
    <row r="3870" spans="1:4" x14ac:dyDescent="0.3">
      <c r="A3870" s="2" t="s">
        <v>122</v>
      </c>
      <c r="B3870" s="2" t="s">
        <v>123</v>
      </c>
      <c r="C3870" s="3">
        <v>1993</v>
      </c>
      <c r="D3870" s="4">
        <v>5659957</v>
      </c>
    </row>
    <row r="3871" spans="1:4" x14ac:dyDescent="0.3">
      <c r="A3871" s="5" t="s">
        <v>122</v>
      </c>
      <c r="B3871" s="5" t="s">
        <v>123</v>
      </c>
      <c r="C3871" s="6">
        <v>1994</v>
      </c>
      <c r="D3871" s="7">
        <v>5714129</v>
      </c>
    </row>
    <row r="3872" spans="1:4" x14ac:dyDescent="0.3">
      <c r="A3872" s="2" t="s">
        <v>122</v>
      </c>
      <c r="B3872" s="2" t="s">
        <v>123</v>
      </c>
      <c r="C3872" s="3">
        <v>1995</v>
      </c>
      <c r="D3872" s="4">
        <v>5762131</v>
      </c>
    </row>
    <row r="3873" spans="1:4" x14ac:dyDescent="0.3">
      <c r="A3873" s="5" t="s">
        <v>122</v>
      </c>
      <c r="B3873" s="5" t="s">
        <v>123</v>
      </c>
      <c r="C3873" s="6">
        <v>1996</v>
      </c>
      <c r="D3873" s="7">
        <v>5805286</v>
      </c>
    </row>
    <row r="3874" spans="1:4" x14ac:dyDescent="0.3">
      <c r="A3874" s="2" t="s">
        <v>122</v>
      </c>
      <c r="B3874" s="2" t="s">
        <v>123</v>
      </c>
      <c r="C3874" s="3">
        <v>1997</v>
      </c>
      <c r="D3874" s="4">
        <v>5844578</v>
      </c>
    </row>
    <row r="3875" spans="1:4" x14ac:dyDescent="0.3">
      <c r="A3875" s="5" t="s">
        <v>122</v>
      </c>
      <c r="B3875" s="5" t="s">
        <v>123</v>
      </c>
      <c r="C3875" s="6">
        <v>1998</v>
      </c>
      <c r="D3875" s="7">
        <v>5880781</v>
      </c>
    </row>
    <row r="3876" spans="1:4" x14ac:dyDescent="0.3">
      <c r="A3876" s="2" t="s">
        <v>122</v>
      </c>
      <c r="B3876" s="2" t="s">
        <v>123</v>
      </c>
      <c r="C3876" s="3">
        <v>1999</v>
      </c>
      <c r="D3876" s="4">
        <v>5913900</v>
      </c>
    </row>
    <row r="3877" spans="1:4" x14ac:dyDescent="0.3">
      <c r="A3877" s="5" t="s">
        <v>122</v>
      </c>
      <c r="B3877" s="5" t="s">
        <v>123</v>
      </c>
      <c r="C3877" s="6">
        <v>2000</v>
      </c>
      <c r="D3877" s="7">
        <v>5943366</v>
      </c>
    </row>
    <row r="3878" spans="1:4" x14ac:dyDescent="0.3">
      <c r="A3878" s="2" t="s">
        <v>122</v>
      </c>
      <c r="B3878" s="2" t="s">
        <v>123</v>
      </c>
      <c r="C3878" s="3">
        <v>2001</v>
      </c>
      <c r="D3878" s="4">
        <v>5968060</v>
      </c>
    </row>
    <row r="3879" spans="1:4" x14ac:dyDescent="0.3">
      <c r="A3879" s="5" t="s">
        <v>122</v>
      </c>
      <c r="B3879" s="5" t="s">
        <v>123</v>
      </c>
      <c r="C3879" s="6">
        <v>2002</v>
      </c>
      <c r="D3879" s="7">
        <v>5986631</v>
      </c>
    </row>
    <row r="3880" spans="1:4" x14ac:dyDescent="0.3">
      <c r="A3880" s="2" t="s">
        <v>122</v>
      </c>
      <c r="B3880" s="2" t="s">
        <v>123</v>
      </c>
      <c r="C3880" s="3">
        <v>2003</v>
      </c>
      <c r="D3880" s="4">
        <v>5998599</v>
      </c>
    </row>
    <row r="3881" spans="1:4" x14ac:dyDescent="0.3">
      <c r="A3881" s="5" t="s">
        <v>122</v>
      </c>
      <c r="B3881" s="5" t="s">
        <v>123</v>
      </c>
      <c r="C3881" s="6">
        <v>2004</v>
      </c>
      <c r="D3881" s="7">
        <v>6004671</v>
      </c>
    </row>
    <row r="3882" spans="1:4" x14ac:dyDescent="0.3">
      <c r="A3882" s="2" t="s">
        <v>122</v>
      </c>
      <c r="B3882" s="2" t="s">
        <v>123</v>
      </c>
      <c r="C3882" s="3">
        <v>2005</v>
      </c>
      <c r="D3882" s="4">
        <v>6005578</v>
      </c>
    </row>
    <row r="3883" spans="1:4" x14ac:dyDescent="0.3">
      <c r="A3883" s="5" t="s">
        <v>122</v>
      </c>
      <c r="B3883" s="5" t="s">
        <v>123</v>
      </c>
      <c r="C3883" s="6">
        <v>2006</v>
      </c>
      <c r="D3883" s="7">
        <v>6002319</v>
      </c>
    </row>
    <row r="3884" spans="1:4" x14ac:dyDescent="0.3">
      <c r="A3884" s="2" t="s">
        <v>122</v>
      </c>
      <c r="B3884" s="2" t="s">
        <v>123</v>
      </c>
      <c r="C3884" s="3">
        <v>2007</v>
      </c>
      <c r="D3884" s="4">
        <v>6009824</v>
      </c>
    </row>
    <row r="3885" spans="1:4" x14ac:dyDescent="0.3">
      <c r="A3885" s="5" t="s">
        <v>122</v>
      </c>
      <c r="B3885" s="5" t="s">
        <v>123</v>
      </c>
      <c r="C3885" s="6">
        <v>2008</v>
      </c>
      <c r="D3885" s="7">
        <v>6029297</v>
      </c>
    </row>
    <row r="3886" spans="1:4" x14ac:dyDescent="0.3">
      <c r="A3886" s="2" t="s">
        <v>122</v>
      </c>
      <c r="B3886" s="2" t="s">
        <v>123</v>
      </c>
      <c r="C3886" s="3">
        <v>2009</v>
      </c>
      <c r="D3886" s="4">
        <v>6048279</v>
      </c>
    </row>
    <row r="3887" spans="1:4" x14ac:dyDescent="0.3">
      <c r="A3887" s="5" t="s">
        <v>122</v>
      </c>
      <c r="B3887" s="5" t="s">
        <v>123</v>
      </c>
      <c r="C3887" s="6">
        <v>2010</v>
      </c>
      <c r="D3887" s="7">
        <v>6068249</v>
      </c>
    </row>
    <row r="3888" spans="1:4" x14ac:dyDescent="0.3">
      <c r="A3888" s="2" t="s">
        <v>122</v>
      </c>
      <c r="B3888" s="2" t="s">
        <v>123</v>
      </c>
      <c r="C3888" s="3">
        <v>2011</v>
      </c>
      <c r="D3888" s="4">
        <v>6090127</v>
      </c>
    </row>
    <row r="3889" spans="1:4" x14ac:dyDescent="0.3">
      <c r="A3889" s="5" t="s">
        <v>122</v>
      </c>
      <c r="B3889" s="5" t="s">
        <v>123</v>
      </c>
      <c r="C3889" s="6">
        <v>2012</v>
      </c>
      <c r="D3889" s="7">
        <v>6113975</v>
      </c>
    </row>
    <row r="3890" spans="1:4" x14ac:dyDescent="0.3">
      <c r="A3890" s="2" t="s">
        <v>122</v>
      </c>
      <c r="B3890" s="2" t="s">
        <v>123</v>
      </c>
      <c r="C3890" s="3">
        <v>2013</v>
      </c>
      <c r="D3890" s="4">
        <v>6138839</v>
      </c>
    </row>
    <row r="3891" spans="1:4" x14ac:dyDescent="0.3">
      <c r="A3891" s="5" t="s">
        <v>122</v>
      </c>
      <c r="B3891" s="5" t="s">
        <v>123</v>
      </c>
      <c r="C3891" s="6">
        <v>2014</v>
      </c>
      <c r="D3891" s="7">
        <v>6162955</v>
      </c>
    </row>
    <row r="3892" spans="1:4" x14ac:dyDescent="0.3">
      <c r="A3892" s="2" t="s">
        <v>122</v>
      </c>
      <c r="B3892" s="2" t="s">
        <v>123</v>
      </c>
      <c r="C3892" s="3">
        <v>2015</v>
      </c>
      <c r="D3892" s="4">
        <v>6183676</v>
      </c>
    </row>
    <row r="3893" spans="1:4" x14ac:dyDescent="0.3">
      <c r="A3893" s="5" t="s">
        <v>122</v>
      </c>
      <c r="B3893" s="5" t="s">
        <v>123</v>
      </c>
      <c r="C3893" s="6">
        <v>2016</v>
      </c>
      <c r="D3893" s="7">
        <v>6200800</v>
      </c>
    </row>
    <row r="3894" spans="1:4" x14ac:dyDescent="0.3">
      <c r="A3894" s="2" t="s">
        <v>122</v>
      </c>
      <c r="B3894" s="2" t="s">
        <v>123</v>
      </c>
      <c r="C3894" s="3">
        <v>2017</v>
      </c>
      <c r="D3894" s="4">
        <v>6213533</v>
      </c>
    </row>
    <row r="3895" spans="1:4" x14ac:dyDescent="0.3">
      <c r="A3895" s="5" t="s">
        <v>122</v>
      </c>
      <c r="B3895" s="5" t="s">
        <v>123</v>
      </c>
      <c r="C3895" s="6">
        <v>2018</v>
      </c>
      <c r="D3895" s="7">
        <v>6219807</v>
      </c>
    </row>
    <row r="3896" spans="1:4" x14ac:dyDescent="0.3">
      <c r="A3896" s="2" t="s">
        <v>122</v>
      </c>
      <c r="B3896" s="2" t="s">
        <v>123</v>
      </c>
      <c r="C3896" s="3">
        <v>2019</v>
      </c>
      <c r="D3896" s="4">
        <v>6222318</v>
      </c>
    </row>
    <row r="3897" spans="1:4" x14ac:dyDescent="0.3">
      <c r="A3897" s="5" t="s">
        <v>122</v>
      </c>
      <c r="B3897" s="5" t="s">
        <v>123</v>
      </c>
      <c r="C3897" s="6">
        <v>2020</v>
      </c>
      <c r="D3897" s="7">
        <v>6234673</v>
      </c>
    </row>
    <row r="3898" spans="1:4" x14ac:dyDescent="0.3">
      <c r="A3898" s="2" t="s">
        <v>122</v>
      </c>
      <c r="B3898" s="2" t="s">
        <v>123</v>
      </c>
      <c r="C3898" s="3">
        <v>2021</v>
      </c>
      <c r="D3898" s="4">
        <v>6255782</v>
      </c>
    </row>
    <row r="3899" spans="1:4" x14ac:dyDescent="0.3">
      <c r="A3899" s="5" t="s">
        <v>122</v>
      </c>
      <c r="B3899" s="5" t="s">
        <v>123</v>
      </c>
      <c r="C3899" s="6">
        <v>2022</v>
      </c>
      <c r="D3899" s="7">
        <v>6280319</v>
      </c>
    </row>
    <row r="3900" spans="1:4" x14ac:dyDescent="0.3">
      <c r="A3900" s="2" t="s">
        <v>122</v>
      </c>
      <c r="B3900" s="2" t="s">
        <v>123</v>
      </c>
      <c r="C3900" s="3">
        <v>2023</v>
      </c>
      <c r="D3900" s="4">
        <v>6309624</v>
      </c>
    </row>
    <row r="3901" spans="1:4" x14ac:dyDescent="0.3">
      <c r="A3901" s="5" t="s">
        <v>122</v>
      </c>
      <c r="B3901" s="5" t="s">
        <v>123</v>
      </c>
      <c r="C3901" s="6">
        <v>2024</v>
      </c>
      <c r="D3901" s="7">
        <v>6338193</v>
      </c>
    </row>
    <row r="3902" spans="1:4" x14ac:dyDescent="0.3">
      <c r="A3902" s="2" t="s">
        <v>124</v>
      </c>
      <c r="B3902" s="2" t="s">
        <v>125</v>
      </c>
      <c r="C3902" s="3">
        <v>1960</v>
      </c>
      <c r="D3902" s="4">
        <v>269807</v>
      </c>
    </row>
    <row r="3903" spans="1:4" x14ac:dyDescent="0.3">
      <c r="A3903" s="5" t="s">
        <v>124</v>
      </c>
      <c r="B3903" s="5" t="s">
        <v>125</v>
      </c>
      <c r="C3903" s="6">
        <v>1961</v>
      </c>
      <c r="D3903" s="7">
        <v>274896</v>
      </c>
    </row>
    <row r="3904" spans="1:4" x14ac:dyDescent="0.3">
      <c r="A3904" s="2" t="s">
        <v>124</v>
      </c>
      <c r="B3904" s="2" t="s">
        <v>125</v>
      </c>
      <c r="C3904" s="3">
        <v>1962</v>
      </c>
      <c r="D3904" s="4">
        <v>280286</v>
      </c>
    </row>
    <row r="3905" spans="1:4" x14ac:dyDescent="0.3">
      <c r="A3905" s="5" t="s">
        <v>124</v>
      </c>
      <c r="B3905" s="5" t="s">
        <v>125</v>
      </c>
      <c r="C3905" s="6">
        <v>1963</v>
      </c>
      <c r="D3905" s="7">
        <v>285965</v>
      </c>
    </row>
    <row r="3906" spans="1:4" x14ac:dyDescent="0.3">
      <c r="A3906" s="2" t="s">
        <v>124</v>
      </c>
      <c r="B3906" s="2" t="s">
        <v>125</v>
      </c>
      <c r="C3906" s="3">
        <v>1964</v>
      </c>
      <c r="D3906" s="4">
        <v>291942</v>
      </c>
    </row>
    <row r="3907" spans="1:4" x14ac:dyDescent="0.3">
      <c r="A3907" s="5" t="s">
        <v>124</v>
      </c>
      <c r="B3907" s="5" t="s">
        <v>125</v>
      </c>
      <c r="C3907" s="6">
        <v>1965</v>
      </c>
      <c r="D3907" s="7">
        <v>298238</v>
      </c>
    </row>
    <row r="3908" spans="1:4" x14ac:dyDescent="0.3">
      <c r="A3908" s="2" t="s">
        <v>124</v>
      </c>
      <c r="B3908" s="2" t="s">
        <v>125</v>
      </c>
      <c r="C3908" s="3">
        <v>1966</v>
      </c>
      <c r="D3908" s="4">
        <v>304859</v>
      </c>
    </row>
    <row r="3909" spans="1:4" x14ac:dyDescent="0.3">
      <c r="A3909" s="5" t="s">
        <v>124</v>
      </c>
      <c r="B3909" s="5" t="s">
        <v>125</v>
      </c>
      <c r="C3909" s="6">
        <v>1967</v>
      </c>
      <c r="D3909" s="7">
        <v>311805</v>
      </c>
    </row>
    <row r="3910" spans="1:4" x14ac:dyDescent="0.3">
      <c r="A3910" s="2" t="s">
        <v>124</v>
      </c>
      <c r="B3910" s="2" t="s">
        <v>125</v>
      </c>
      <c r="C3910" s="3">
        <v>1968</v>
      </c>
      <c r="D3910" s="4">
        <v>318849</v>
      </c>
    </row>
    <row r="3911" spans="1:4" x14ac:dyDescent="0.3">
      <c r="A3911" s="5" t="s">
        <v>124</v>
      </c>
      <c r="B3911" s="5" t="s">
        <v>125</v>
      </c>
      <c r="C3911" s="6">
        <v>1969</v>
      </c>
      <c r="D3911" s="7">
        <v>322517</v>
      </c>
    </row>
    <row r="3912" spans="1:4" x14ac:dyDescent="0.3">
      <c r="A3912" s="2" t="s">
        <v>124</v>
      </c>
      <c r="B3912" s="2" t="s">
        <v>125</v>
      </c>
      <c r="C3912" s="3">
        <v>1970</v>
      </c>
      <c r="D3912" s="4">
        <v>320803</v>
      </c>
    </row>
    <row r="3913" spans="1:4" x14ac:dyDescent="0.3">
      <c r="A3913" s="5" t="s">
        <v>124</v>
      </c>
      <c r="B3913" s="5" t="s">
        <v>125</v>
      </c>
      <c r="C3913" s="6">
        <v>1971</v>
      </c>
      <c r="D3913" s="7">
        <v>315940</v>
      </c>
    </row>
    <row r="3914" spans="1:4" x14ac:dyDescent="0.3">
      <c r="A3914" s="2" t="s">
        <v>124</v>
      </c>
      <c r="B3914" s="2" t="s">
        <v>125</v>
      </c>
      <c r="C3914" s="3">
        <v>1972</v>
      </c>
      <c r="D3914" s="4">
        <v>309468</v>
      </c>
    </row>
    <row r="3915" spans="1:4" x14ac:dyDescent="0.3">
      <c r="A3915" s="5" t="s">
        <v>124</v>
      </c>
      <c r="B3915" s="5" t="s">
        <v>125</v>
      </c>
      <c r="C3915" s="6">
        <v>1973</v>
      </c>
      <c r="D3915" s="7">
        <v>302281</v>
      </c>
    </row>
    <row r="3916" spans="1:4" x14ac:dyDescent="0.3">
      <c r="A3916" s="2" t="s">
        <v>124</v>
      </c>
      <c r="B3916" s="2" t="s">
        <v>125</v>
      </c>
      <c r="C3916" s="3">
        <v>1974</v>
      </c>
      <c r="D3916" s="4">
        <v>294953</v>
      </c>
    </row>
    <row r="3917" spans="1:4" x14ac:dyDescent="0.3">
      <c r="A3917" s="5" t="s">
        <v>124</v>
      </c>
      <c r="B3917" s="5" t="s">
        <v>125</v>
      </c>
      <c r="C3917" s="6">
        <v>1975</v>
      </c>
      <c r="D3917" s="7">
        <v>287901</v>
      </c>
    </row>
    <row r="3918" spans="1:4" x14ac:dyDescent="0.3">
      <c r="A3918" s="2" t="s">
        <v>124</v>
      </c>
      <c r="B3918" s="2" t="s">
        <v>125</v>
      </c>
      <c r="C3918" s="3">
        <v>1976</v>
      </c>
      <c r="D3918" s="4">
        <v>281031</v>
      </c>
    </row>
    <row r="3919" spans="1:4" x14ac:dyDescent="0.3">
      <c r="A3919" s="5" t="s">
        <v>124</v>
      </c>
      <c r="B3919" s="5" t="s">
        <v>125</v>
      </c>
      <c r="C3919" s="6">
        <v>1977</v>
      </c>
      <c r="D3919" s="7">
        <v>276779</v>
      </c>
    </row>
    <row r="3920" spans="1:4" x14ac:dyDescent="0.3">
      <c r="A3920" s="2" t="s">
        <v>124</v>
      </c>
      <c r="B3920" s="2" t="s">
        <v>125</v>
      </c>
      <c r="C3920" s="3">
        <v>1978</v>
      </c>
      <c r="D3920" s="4">
        <v>276531</v>
      </c>
    </row>
    <row r="3921" spans="1:4" x14ac:dyDescent="0.3">
      <c r="A3921" s="5" t="s">
        <v>124</v>
      </c>
      <c r="B3921" s="5" t="s">
        <v>125</v>
      </c>
      <c r="C3921" s="6">
        <v>1979</v>
      </c>
      <c r="D3921" s="7">
        <v>279846</v>
      </c>
    </row>
    <row r="3922" spans="1:4" x14ac:dyDescent="0.3">
      <c r="A3922" s="2" t="s">
        <v>124</v>
      </c>
      <c r="B3922" s="2" t="s">
        <v>125</v>
      </c>
      <c r="C3922" s="3">
        <v>1980</v>
      </c>
      <c r="D3922" s="4">
        <v>288644</v>
      </c>
    </row>
    <row r="3923" spans="1:4" x14ac:dyDescent="0.3">
      <c r="A3923" s="5" t="s">
        <v>124</v>
      </c>
      <c r="B3923" s="5" t="s">
        <v>125</v>
      </c>
      <c r="C3923" s="6">
        <v>1981</v>
      </c>
      <c r="D3923" s="7">
        <v>303252</v>
      </c>
    </row>
    <row r="3924" spans="1:4" x14ac:dyDescent="0.3">
      <c r="A3924" s="2" t="s">
        <v>124</v>
      </c>
      <c r="B3924" s="2" t="s">
        <v>125</v>
      </c>
      <c r="C3924" s="3">
        <v>1982</v>
      </c>
      <c r="D3924" s="4">
        <v>322216</v>
      </c>
    </row>
    <row r="3925" spans="1:4" x14ac:dyDescent="0.3">
      <c r="A3925" s="5" t="s">
        <v>124</v>
      </c>
      <c r="B3925" s="5" t="s">
        <v>125</v>
      </c>
      <c r="C3925" s="6">
        <v>1983</v>
      </c>
      <c r="D3925" s="7">
        <v>343421</v>
      </c>
    </row>
    <row r="3926" spans="1:4" x14ac:dyDescent="0.3">
      <c r="A3926" s="2" t="s">
        <v>124</v>
      </c>
      <c r="B3926" s="2" t="s">
        <v>125</v>
      </c>
      <c r="C3926" s="3">
        <v>1984</v>
      </c>
      <c r="D3926" s="4">
        <v>364899</v>
      </c>
    </row>
    <row r="3927" spans="1:4" x14ac:dyDescent="0.3">
      <c r="A3927" s="5" t="s">
        <v>124</v>
      </c>
      <c r="B3927" s="5" t="s">
        <v>125</v>
      </c>
      <c r="C3927" s="6">
        <v>1985</v>
      </c>
      <c r="D3927" s="7">
        <v>385547</v>
      </c>
    </row>
    <row r="3928" spans="1:4" x14ac:dyDescent="0.3">
      <c r="A3928" s="2" t="s">
        <v>124</v>
      </c>
      <c r="B3928" s="2" t="s">
        <v>125</v>
      </c>
      <c r="C3928" s="3">
        <v>1986</v>
      </c>
      <c r="D3928" s="4">
        <v>404728</v>
      </c>
    </row>
    <row r="3929" spans="1:4" x14ac:dyDescent="0.3">
      <c r="A3929" s="5" t="s">
        <v>124</v>
      </c>
      <c r="B3929" s="5" t="s">
        <v>125</v>
      </c>
      <c r="C3929" s="6">
        <v>1987</v>
      </c>
      <c r="D3929" s="7">
        <v>422522</v>
      </c>
    </row>
    <row r="3930" spans="1:4" x14ac:dyDescent="0.3">
      <c r="A3930" s="2" t="s">
        <v>124</v>
      </c>
      <c r="B3930" s="2" t="s">
        <v>125</v>
      </c>
      <c r="C3930" s="3">
        <v>1988</v>
      </c>
      <c r="D3930" s="4">
        <v>439651</v>
      </c>
    </row>
    <row r="3931" spans="1:4" x14ac:dyDescent="0.3">
      <c r="A3931" s="5" t="s">
        <v>124</v>
      </c>
      <c r="B3931" s="5" t="s">
        <v>125</v>
      </c>
      <c r="C3931" s="6">
        <v>1989</v>
      </c>
      <c r="D3931" s="7">
        <v>456808</v>
      </c>
    </row>
    <row r="3932" spans="1:4" x14ac:dyDescent="0.3">
      <c r="A3932" s="2" t="s">
        <v>124</v>
      </c>
      <c r="B3932" s="2" t="s">
        <v>125</v>
      </c>
      <c r="C3932" s="3">
        <v>1990</v>
      </c>
      <c r="D3932" s="4">
        <v>474274</v>
      </c>
    </row>
    <row r="3933" spans="1:4" x14ac:dyDescent="0.3">
      <c r="A3933" s="5" t="s">
        <v>124</v>
      </c>
      <c r="B3933" s="5" t="s">
        <v>125</v>
      </c>
      <c r="C3933" s="6">
        <v>1991</v>
      </c>
      <c r="D3933" s="7">
        <v>492217</v>
      </c>
    </row>
    <row r="3934" spans="1:4" x14ac:dyDescent="0.3">
      <c r="A3934" s="2" t="s">
        <v>124</v>
      </c>
      <c r="B3934" s="2" t="s">
        <v>125</v>
      </c>
      <c r="C3934" s="3">
        <v>1992</v>
      </c>
      <c r="D3934" s="4">
        <v>510770</v>
      </c>
    </row>
    <row r="3935" spans="1:4" x14ac:dyDescent="0.3">
      <c r="A3935" s="5" t="s">
        <v>124</v>
      </c>
      <c r="B3935" s="5" t="s">
        <v>125</v>
      </c>
      <c r="C3935" s="6">
        <v>1993</v>
      </c>
      <c r="D3935" s="7">
        <v>530023</v>
      </c>
    </row>
    <row r="3936" spans="1:4" x14ac:dyDescent="0.3">
      <c r="A3936" s="2" t="s">
        <v>124</v>
      </c>
      <c r="B3936" s="2" t="s">
        <v>125</v>
      </c>
      <c r="C3936" s="3">
        <v>1994</v>
      </c>
      <c r="D3936" s="4">
        <v>550138</v>
      </c>
    </row>
    <row r="3937" spans="1:4" x14ac:dyDescent="0.3">
      <c r="A3937" s="5" t="s">
        <v>124</v>
      </c>
      <c r="B3937" s="5" t="s">
        <v>125</v>
      </c>
      <c r="C3937" s="6">
        <v>1995</v>
      </c>
      <c r="D3937" s="7">
        <v>571264</v>
      </c>
    </row>
    <row r="3938" spans="1:4" x14ac:dyDescent="0.3">
      <c r="A3938" s="2" t="s">
        <v>124</v>
      </c>
      <c r="B3938" s="2" t="s">
        <v>125</v>
      </c>
      <c r="C3938" s="3">
        <v>1996</v>
      </c>
      <c r="D3938" s="4">
        <v>593492</v>
      </c>
    </row>
    <row r="3939" spans="1:4" x14ac:dyDescent="0.3">
      <c r="A3939" s="5" t="s">
        <v>124</v>
      </c>
      <c r="B3939" s="5" t="s">
        <v>125</v>
      </c>
      <c r="C3939" s="6">
        <v>1997</v>
      </c>
      <c r="D3939" s="7">
        <v>616893</v>
      </c>
    </row>
    <row r="3940" spans="1:4" x14ac:dyDescent="0.3">
      <c r="A3940" s="2" t="s">
        <v>124</v>
      </c>
      <c r="B3940" s="2" t="s">
        <v>125</v>
      </c>
      <c r="C3940" s="3">
        <v>1998</v>
      </c>
      <c r="D3940" s="4">
        <v>641474</v>
      </c>
    </row>
    <row r="3941" spans="1:4" x14ac:dyDescent="0.3">
      <c r="A3941" s="5" t="s">
        <v>124</v>
      </c>
      <c r="B3941" s="5" t="s">
        <v>125</v>
      </c>
      <c r="C3941" s="6">
        <v>1999</v>
      </c>
      <c r="D3941" s="7">
        <v>667214</v>
      </c>
    </row>
    <row r="3942" spans="1:4" x14ac:dyDescent="0.3">
      <c r="A3942" s="2" t="s">
        <v>124</v>
      </c>
      <c r="B3942" s="2" t="s">
        <v>125</v>
      </c>
      <c r="C3942" s="3">
        <v>2000</v>
      </c>
      <c r="D3942" s="4">
        <v>703279</v>
      </c>
    </row>
    <row r="3943" spans="1:4" x14ac:dyDescent="0.3">
      <c r="A3943" s="5" t="s">
        <v>124</v>
      </c>
      <c r="B3943" s="5" t="s">
        <v>125</v>
      </c>
      <c r="C3943" s="6">
        <v>2001</v>
      </c>
      <c r="D3943" s="7">
        <v>749836</v>
      </c>
    </row>
    <row r="3944" spans="1:4" x14ac:dyDescent="0.3">
      <c r="A3944" s="2" t="s">
        <v>124</v>
      </c>
      <c r="B3944" s="2" t="s">
        <v>125</v>
      </c>
      <c r="C3944" s="3">
        <v>2002</v>
      </c>
      <c r="D3944" s="4">
        <v>797957</v>
      </c>
    </row>
    <row r="3945" spans="1:4" x14ac:dyDescent="0.3">
      <c r="A3945" s="5" t="s">
        <v>124</v>
      </c>
      <c r="B3945" s="5" t="s">
        <v>125</v>
      </c>
      <c r="C3945" s="6">
        <v>2003</v>
      </c>
      <c r="D3945" s="7">
        <v>847862</v>
      </c>
    </row>
    <row r="3946" spans="1:4" x14ac:dyDescent="0.3">
      <c r="A3946" s="2" t="s">
        <v>124</v>
      </c>
      <c r="B3946" s="2" t="s">
        <v>125</v>
      </c>
      <c r="C3946" s="3">
        <v>2004</v>
      </c>
      <c r="D3946" s="4">
        <v>899917</v>
      </c>
    </row>
    <row r="3947" spans="1:4" x14ac:dyDescent="0.3">
      <c r="A3947" s="5" t="s">
        <v>124</v>
      </c>
      <c r="B3947" s="5" t="s">
        <v>125</v>
      </c>
      <c r="C3947" s="6">
        <v>2005</v>
      </c>
      <c r="D3947" s="7">
        <v>947367</v>
      </c>
    </row>
    <row r="3948" spans="1:4" x14ac:dyDescent="0.3">
      <c r="A3948" s="2" t="s">
        <v>124</v>
      </c>
      <c r="B3948" s="2" t="s">
        <v>125</v>
      </c>
      <c r="C3948" s="3">
        <v>2006</v>
      </c>
      <c r="D3948" s="4">
        <v>990343</v>
      </c>
    </row>
    <row r="3949" spans="1:4" x14ac:dyDescent="0.3">
      <c r="A3949" s="5" t="s">
        <v>124</v>
      </c>
      <c r="B3949" s="5" t="s">
        <v>125</v>
      </c>
      <c r="C3949" s="6">
        <v>2007</v>
      </c>
      <c r="D3949" s="7">
        <v>1036044</v>
      </c>
    </row>
    <row r="3950" spans="1:4" x14ac:dyDescent="0.3">
      <c r="A3950" s="2" t="s">
        <v>124</v>
      </c>
      <c r="B3950" s="2" t="s">
        <v>125</v>
      </c>
      <c r="C3950" s="3">
        <v>2008</v>
      </c>
      <c r="D3950" s="4">
        <v>1084530</v>
      </c>
    </row>
    <row r="3951" spans="1:4" x14ac:dyDescent="0.3">
      <c r="A3951" s="5" t="s">
        <v>124</v>
      </c>
      <c r="B3951" s="5" t="s">
        <v>125</v>
      </c>
      <c r="C3951" s="6">
        <v>2009</v>
      </c>
      <c r="D3951" s="7">
        <v>1135673</v>
      </c>
    </row>
    <row r="3952" spans="1:4" x14ac:dyDescent="0.3">
      <c r="A3952" s="2" t="s">
        <v>124</v>
      </c>
      <c r="B3952" s="2" t="s">
        <v>125</v>
      </c>
      <c r="C3952" s="3">
        <v>2010</v>
      </c>
      <c r="D3952" s="4">
        <v>1189085</v>
      </c>
    </row>
    <row r="3953" spans="1:4" x14ac:dyDescent="0.3">
      <c r="A3953" s="5" t="s">
        <v>124</v>
      </c>
      <c r="B3953" s="5" t="s">
        <v>125</v>
      </c>
      <c r="C3953" s="6">
        <v>2011</v>
      </c>
      <c r="D3953" s="7">
        <v>1241835</v>
      </c>
    </row>
    <row r="3954" spans="1:4" x14ac:dyDescent="0.3">
      <c r="A3954" s="2" t="s">
        <v>124</v>
      </c>
      <c r="B3954" s="2" t="s">
        <v>125</v>
      </c>
      <c r="C3954" s="3">
        <v>2012</v>
      </c>
      <c r="D3954" s="4">
        <v>1293483</v>
      </c>
    </row>
    <row r="3955" spans="1:4" x14ac:dyDescent="0.3">
      <c r="A3955" s="5" t="s">
        <v>124</v>
      </c>
      <c r="B3955" s="5" t="s">
        <v>125</v>
      </c>
      <c r="C3955" s="6">
        <v>2013</v>
      </c>
      <c r="D3955" s="7">
        <v>1346218</v>
      </c>
    </row>
    <row r="3956" spans="1:4" x14ac:dyDescent="0.3">
      <c r="A3956" s="2" t="s">
        <v>124</v>
      </c>
      <c r="B3956" s="2" t="s">
        <v>125</v>
      </c>
      <c r="C3956" s="3">
        <v>2014</v>
      </c>
      <c r="D3956" s="4">
        <v>1399828</v>
      </c>
    </row>
    <row r="3957" spans="1:4" x14ac:dyDescent="0.3">
      <c r="A3957" s="5" t="s">
        <v>124</v>
      </c>
      <c r="B3957" s="5" t="s">
        <v>125</v>
      </c>
      <c r="C3957" s="6">
        <v>2015</v>
      </c>
      <c r="D3957" s="7">
        <v>1453923</v>
      </c>
    </row>
    <row r="3958" spans="1:4" x14ac:dyDescent="0.3">
      <c r="A3958" s="2" t="s">
        <v>124</v>
      </c>
      <c r="B3958" s="2" t="s">
        <v>125</v>
      </c>
      <c r="C3958" s="3">
        <v>2016</v>
      </c>
      <c r="D3958" s="4">
        <v>1508186</v>
      </c>
    </row>
    <row r="3959" spans="1:4" x14ac:dyDescent="0.3">
      <c r="A3959" s="5" t="s">
        <v>124</v>
      </c>
      <c r="B3959" s="5" t="s">
        <v>125</v>
      </c>
      <c r="C3959" s="6">
        <v>2017</v>
      </c>
      <c r="D3959" s="7">
        <v>1562396</v>
      </c>
    </row>
    <row r="3960" spans="1:4" x14ac:dyDescent="0.3">
      <c r="A3960" s="2" t="s">
        <v>124</v>
      </c>
      <c r="B3960" s="2" t="s">
        <v>125</v>
      </c>
      <c r="C3960" s="3">
        <v>2018</v>
      </c>
      <c r="D3960" s="4">
        <v>1616422</v>
      </c>
    </row>
    <row r="3961" spans="1:4" x14ac:dyDescent="0.3">
      <c r="A3961" s="5" t="s">
        <v>124</v>
      </c>
      <c r="B3961" s="5" t="s">
        <v>125</v>
      </c>
      <c r="C3961" s="6">
        <v>2019</v>
      </c>
      <c r="D3961" s="7">
        <v>1670177</v>
      </c>
    </row>
    <row r="3962" spans="1:4" x14ac:dyDescent="0.3">
      <c r="A3962" s="2" t="s">
        <v>124</v>
      </c>
      <c r="B3962" s="2" t="s">
        <v>125</v>
      </c>
      <c r="C3962" s="3">
        <v>2020</v>
      </c>
      <c r="D3962" s="4">
        <v>1716468</v>
      </c>
    </row>
    <row r="3963" spans="1:4" x14ac:dyDescent="0.3">
      <c r="A3963" s="5" t="s">
        <v>124</v>
      </c>
      <c r="B3963" s="5" t="s">
        <v>125</v>
      </c>
      <c r="C3963" s="6">
        <v>2021</v>
      </c>
      <c r="D3963" s="7">
        <v>1758786</v>
      </c>
    </row>
    <row r="3964" spans="1:4" x14ac:dyDescent="0.3">
      <c r="A3964" s="2" t="s">
        <v>124</v>
      </c>
      <c r="B3964" s="2" t="s">
        <v>125</v>
      </c>
      <c r="C3964" s="3">
        <v>2022</v>
      </c>
      <c r="D3964" s="4">
        <v>1803545</v>
      </c>
    </row>
    <row r="3965" spans="1:4" x14ac:dyDescent="0.3">
      <c r="A3965" s="5" t="s">
        <v>124</v>
      </c>
      <c r="B3965" s="5" t="s">
        <v>125</v>
      </c>
      <c r="C3965" s="6">
        <v>2023</v>
      </c>
      <c r="D3965" s="7">
        <v>1847549</v>
      </c>
    </row>
    <row r="3966" spans="1:4" x14ac:dyDescent="0.3">
      <c r="A3966" s="2" t="s">
        <v>124</v>
      </c>
      <c r="B3966" s="2" t="s">
        <v>125</v>
      </c>
      <c r="C3966" s="3">
        <v>2024</v>
      </c>
      <c r="D3966" s="4">
        <v>1892516</v>
      </c>
    </row>
    <row r="3967" spans="1:4" x14ac:dyDescent="0.3">
      <c r="A3967" s="5" t="s">
        <v>126</v>
      </c>
      <c r="B3967" s="5" t="s">
        <v>127</v>
      </c>
      <c r="C3967" s="6">
        <v>1960</v>
      </c>
      <c r="D3967" s="7">
        <v>972547</v>
      </c>
    </row>
    <row r="3968" spans="1:4" x14ac:dyDescent="0.3">
      <c r="A3968" s="2" t="s">
        <v>126</v>
      </c>
      <c r="B3968" s="2" t="s">
        <v>127</v>
      </c>
      <c r="C3968" s="3">
        <v>1961</v>
      </c>
      <c r="D3968" s="4">
        <v>995573</v>
      </c>
    </row>
    <row r="3969" spans="1:4" x14ac:dyDescent="0.3">
      <c r="A3969" s="5" t="s">
        <v>126</v>
      </c>
      <c r="B3969" s="5" t="s">
        <v>127</v>
      </c>
      <c r="C3969" s="6">
        <v>1962</v>
      </c>
      <c r="D3969" s="7">
        <v>1019788</v>
      </c>
    </row>
    <row r="3970" spans="1:4" x14ac:dyDescent="0.3">
      <c r="A3970" s="2" t="s">
        <v>126</v>
      </c>
      <c r="B3970" s="2" t="s">
        <v>127</v>
      </c>
      <c r="C3970" s="3">
        <v>1963</v>
      </c>
      <c r="D3970" s="4">
        <v>1045092</v>
      </c>
    </row>
    <row r="3971" spans="1:4" x14ac:dyDescent="0.3">
      <c r="A3971" s="5" t="s">
        <v>126</v>
      </c>
      <c r="B3971" s="5" t="s">
        <v>127</v>
      </c>
      <c r="C3971" s="6">
        <v>1964</v>
      </c>
      <c r="D3971" s="7">
        <v>1071287</v>
      </c>
    </row>
    <row r="3972" spans="1:4" x14ac:dyDescent="0.3">
      <c r="A3972" s="2" t="s">
        <v>126</v>
      </c>
      <c r="B3972" s="2" t="s">
        <v>127</v>
      </c>
      <c r="C3972" s="3">
        <v>1965</v>
      </c>
      <c r="D3972" s="4">
        <v>1098335</v>
      </c>
    </row>
    <row r="3973" spans="1:4" x14ac:dyDescent="0.3">
      <c r="A3973" s="5" t="s">
        <v>126</v>
      </c>
      <c r="B3973" s="5" t="s">
        <v>127</v>
      </c>
      <c r="C3973" s="6">
        <v>1966</v>
      </c>
      <c r="D3973" s="7">
        <v>1124957</v>
      </c>
    </row>
    <row r="3974" spans="1:4" x14ac:dyDescent="0.3">
      <c r="A3974" s="2" t="s">
        <v>126</v>
      </c>
      <c r="B3974" s="2" t="s">
        <v>127</v>
      </c>
      <c r="C3974" s="3">
        <v>1967</v>
      </c>
      <c r="D3974" s="4">
        <v>1152339</v>
      </c>
    </row>
    <row r="3975" spans="1:4" x14ac:dyDescent="0.3">
      <c r="A3975" s="5" t="s">
        <v>126</v>
      </c>
      <c r="B3975" s="5" t="s">
        <v>127</v>
      </c>
      <c r="C3975" s="6">
        <v>1968</v>
      </c>
      <c r="D3975" s="7">
        <v>1181737</v>
      </c>
    </row>
    <row r="3976" spans="1:4" x14ac:dyDescent="0.3">
      <c r="A3976" s="2" t="s">
        <v>126</v>
      </c>
      <c r="B3976" s="2" t="s">
        <v>127</v>
      </c>
      <c r="C3976" s="3">
        <v>1969</v>
      </c>
      <c r="D3976" s="4">
        <v>1212005</v>
      </c>
    </row>
    <row r="3977" spans="1:4" x14ac:dyDescent="0.3">
      <c r="A3977" s="5" t="s">
        <v>126</v>
      </c>
      <c r="B3977" s="5" t="s">
        <v>127</v>
      </c>
      <c r="C3977" s="6">
        <v>1970</v>
      </c>
      <c r="D3977" s="7">
        <v>1243453</v>
      </c>
    </row>
    <row r="3978" spans="1:4" x14ac:dyDescent="0.3">
      <c r="A3978" s="2" t="s">
        <v>126</v>
      </c>
      <c r="B3978" s="2" t="s">
        <v>127</v>
      </c>
      <c r="C3978" s="3">
        <v>1971</v>
      </c>
      <c r="D3978" s="4">
        <v>1276154</v>
      </c>
    </row>
    <row r="3979" spans="1:4" x14ac:dyDescent="0.3">
      <c r="A3979" s="5" t="s">
        <v>126</v>
      </c>
      <c r="B3979" s="5" t="s">
        <v>127</v>
      </c>
      <c r="C3979" s="6">
        <v>1972</v>
      </c>
      <c r="D3979" s="7">
        <v>1309235</v>
      </c>
    </row>
    <row r="3980" spans="1:4" x14ac:dyDescent="0.3">
      <c r="A3980" s="2" t="s">
        <v>126</v>
      </c>
      <c r="B3980" s="2" t="s">
        <v>127</v>
      </c>
      <c r="C3980" s="3">
        <v>1973</v>
      </c>
      <c r="D3980" s="4">
        <v>1342669</v>
      </c>
    </row>
    <row r="3981" spans="1:4" x14ac:dyDescent="0.3">
      <c r="A3981" s="5" t="s">
        <v>126</v>
      </c>
      <c r="B3981" s="5" t="s">
        <v>127</v>
      </c>
      <c r="C3981" s="6">
        <v>1974</v>
      </c>
      <c r="D3981" s="7">
        <v>1375688</v>
      </c>
    </row>
    <row r="3982" spans="1:4" x14ac:dyDescent="0.3">
      <c r="A3982" s="2" t="s">
        <v>126</v>
      </c>
      <c r="B3982" s="2" t="s">
        <v>127</v>
      </c>
      <c r="C3982" s="3">
        <v>1975</v>
      </c>
      <c r="D3982" s="4">
        <v>1408210</v>
      </c>
    </row>
    <row r="3983" spans="1:4" x14ac:dyDescent="0.3">
      <c r="A3983" s="5" t="s">
        <v>126</v>
      </c>
      <c r="B3983" s="5" t="s">
        <v>127</v>
      </c>
      <c r="C3983" s="6">
        <v>1976</v>
      </c>
      <c r="D3983" s="7">
        <v>1443807</v>
      </c>
    </row>
    <row r="3984" spans="1:4" x14ac:dyDescent="0.3">
      <c r="A3984" s="2" t="s">
        <v>126</v>
      </c>
      <c r="B3984" s="2" t="s">
        <v>127</v>
      </c>
      <c r="C3984" s="3">
        <v>1977</v>
      </c>
      <c r="D3984" s="4">
        <v>1482565</v>
      </c>
    </row>
    <row r="3985" spans="1:4" x14ac:dyDescent="0.3">
      <c r="A3985" s="5" t="s">
        <v>126</v>
      </c>
      <c r="B3985" s="5" t="s">
        <v>127</v>
      </c>
      <c r="C3985" s="6">
        <v>1978</v>
      </c>
      <c r="D3985" s="7">
        <v>1522378</v>
      </c>
    </row>
    <row r="3986" spans="1:4" x14ac:dyDescent="0.3">
      <c r="A3986" s="2" t="s">
        <v>126</v>
      </c>
      <c r="B3986" s="2" t="s">
        <v>127</v>
      </c>
      <c r="C3986" s="3">
        <v>1979</v>
      </c>
      <c r="D3986" s="4">
        <v>1563332</v>
      </c>
    </row>
    <row r="3987" spans="1:4" x14ac:dyDescent="0.3">
      <c r="A3987" s="5" t="s">
        <v>126</v>
      </c>
      <c r="B3987" s="5" t="s">
        <v>127</v>
      </c>
      <c r="C3987" s="6">
        <v>1980</v>
      </c>
      <c r="D3987" s="7">
        <v>1605797</v>
      </c>
    </row>
    <row r="3988" spans="1:4" x14ac:dyDescent="0.3">
      <c r="A3988" s="2" t="s">
        <v>126</v>
      </c>
      <c r="B3988" s="2" t="s">
        <v>127</v>
      </c>
      <c r="C3988" s="3">
        <v>1981</v>
      </c>
      <c r="D3988" s="4">
        <v>1649939</v>
      </c>
    </row>
    <row r="3989" spans="1:4" x14ac:dyDescent="0.3">
      <c r="A3989" s="5" t="s">
        <v>126</v>
      </c>
      <c r="B3989" s="5" t="s">
        <v>127</v>
      </c>
      <c r="C3989" s="6">
        <v>1982</v>
      </c>
      <c r="D3989" s="7">
        <v>1695461</v>
      </c>
    </row>
    <row r="3990" spans="1:4" x14ac:dyDescent="0.3">
      <c r="A3990" s="2" t="s">
        <v>126</v>
      </c>
      <c r="B3990" s="2" t="s">
        <v>127</v>
      </c>
      <c r="C3990" s="3">
        <v>1983</v>
      </c>
      <c r="D3990" s="4">
        <v>1736160</v>
      </c>
    </row>
    <row r="3991" spans="1:4" x14ac:dyDescent="0.3">
      <c r="A3991" s="5" t="s">
        <v>126</v>
      </c>
      <c r="B3991" s="5" t="s">
        <v>127</v>
      </c>
      <c r="C3991" s="6">
        <v>1984</v>
      </c>
      <c r="D3991" s="7">
        <v>1771730</v>
      </c>
    </row>
    <row r="3992" spans="1:4" x14ac:dyDescent="0.3">
      <c r="A3992" s="2" t="s">
        <v>126</v>
      </c>
      <c r="B3992" s="2" t="s">
        <v>127</v>
      </c>
      <c r="C3992" s="3">
        <v>1985</v>
      </c>
      <c r="D3992" s="4">
        <v>1807816</v>
      </c>
    </row>
    <row r="3993" spans="1:4" x14ac:dyDescent="0.3">
      <c r="A3993" s="5" t="s">
        <v>126</v>
      </c>
      <c r="B3993" s="5" t="s">
        <v>127</v>
      </c>
      <c r="C3993" s="6">
        <v>1986</v>
      </c>
      <c r="D3993" s="7">
        <v>1845164</v>
      </c>
    </row>
    <row r="3994" spans="1:4" x14ac:dyDescent="0.3">
      <c r="A3994" s="2" t="s">
        <v>126</v>
      </c>
      <c r="B3994" s="2" t="s">
        <v>127</v>
      </c>
      <c r="C3994" s="3">
        <v>1987</v>
      </c>
      <c r="D3994" s="4">
        <v>1888669</v>
      </c>
    </row>
    <row r="3995" spans="1:4" x14ac:dyDescent="0.3">
      <c r="A3995" s="5" t="s">
        <v>126</v>
      </c>
      <c r="B3995" s="5" t="s">
        <v>127</v>
      </c>
      <c r="C3995" s="6">
        <v>1988</v>
      </c>
      <c r="D3995" s="7">
        <v>1938255</v>
      </c>
    </row>
    <row r="3996" spans="1:4" x14ac:dyDescent="0.3">
      <c r="A3996" s="2" t="s">
        <v>126</v>
      </c>
      <c r="B3996" s="2" t="s">
        <v>127</v>
      </c>
      <c r="C3996" s="3">
        <v>1989</v>
      </c>
      <c r="D3996" s="4">
        <v>1987017</v>
      </c>
    </row>
    <row r="3997" spans="1:4" x14ac:dyDescent="0.3">
      <c r="A3997" s="5" t="s">
        <v>126</v>
      </c>
      <c r="B3997" s="5" t="s">
        <v>127</v>
      </c>
      <c r="C3997" s="6">
        <v>1990</v>
      </c>
      <c r="D3997" s="7">
        <v>2032737</v>
      </c>
    </row>
    <row r="3998" spans="1:4" x14ac:dyDescent="0.3">
      <c r="A3998" s="2" t="s">
        <v>126</v>
      </c>
      <c r="B3998" s="2" t="s">
        <v>127</v>
      </c>
      <c r="C3998" s="3">
        <v>1991</v>
      </c>
      <c r="D3998" s="4">
        <v>1919571</v>
      </c>
    </row>
    <row r="3999" spans="1:4" x14ac:dyDescent="0.3">
      <c r="A3999" s="5" t="s">
        <v>126</v>
      </c>
      <c r="B3999" s="5" t="s">
        <v>127</v>
      </c>
      <c r="C3999" s="6">
        <v>1992</v>
      </c>
      <c r="D3999" s="7">
        <v>1798748</v>
      </c>
    </row>
    <row r="4000" spans="1:4" x14ac:dyDescent="0.3">
      <c r="A4000" s="2" t="s">
        <v>126</v>
      </c>
      <c r="B4000" s="2" t="s">
        <v>127</v>
      </c>
      <c r="C4000" s="3">
        <v>1993</v>
      </c>
      <c r="D4000" s="4">
        <v>1856006</v>
      </c>
    </row>
    <row r="4001" spans="1:4" x14ac:dyDescent="0.3">
      <c r="A4001" s="5" t="s">
        <v>126</v>
      </c>
      <c r="B4001" s="5" t="s">
        <v>127</v>
      </c>
      <c r="C4001" s="6">
        <v>1994</v>
      </c>
      <c r="D4001" s="7">
        <v>1913915</v>
      </c>
    </row>
    <row r="4002" spans="1:4" x14ac:dyDescent="0.3">
      <c r="A4002" s="2" t="s">
        <v>126</v>
      </c>
      <c r="B4002" s="2" t="s">
        <v>127</v>
      </c>
      <c r="C4002" s="3">
        <v>1995</v>
      </c>
      <c r="D4002" s="4">
        <v>2025267</v>
      </c>
    </row>
    <row r="4003" spans="1:4" x14ac:dyDescent="0.3">
      <c r="A4003" s="5" t="s">
        <v>126</v>
      </c>
      <c r="B4003" s="5" t="s">
        <v>127</v>
      </c>
      <c r="C4003" s="6">
        <v>1996</v>
      </c>
      <c r="D4003" s="7">
        <v>2128464</v>
      </c>
    </row>
    <row r="4004" spans="1:4" x14ac:dyDescent="0.3">
      <c r="A4004" s="2" t="s">
        <v>126</v>
      </c>
      <c r="B4004" s="2" t="s">
        <v>127</v>
      </c>
      <c r="C4004" s="3">
        <v>1997</v>
      </c>
      <c r="D4004" s="4">
        <v>2152135</v>
      </c>
    </row>
    <row r="4005" spans="1:4" x14ac:dyDescent="0.3">
      <c r="A4005" s="5" t="s">
        <v>126</v>
      </c>
      <c r="B4005" s="5" t="s">
        <v>127</v>
      </c>
      <c r="C4005" s="6">
        <v>1998</v>
      </c>
      <c r="D4005" s="7">
        <v>2180419</v>
      </c>
    </row>
    <row r="4006" spans="1:4" x14ac:dyDescent="0.3">
      <c r="A4006" s="2" t="s">
        <v>126</v>
      </c>
      <c r="B4006" s="2" t="s">
        <v>127</v>
      </c>
      <c r="C4006" s="3">
        <v>1999</v>
      </c>
      <c r="D4006" s="4">
        <v>2212780</v>
      </c>
    </row>
    <row r="4007" spans="1:4" x14ac:dyDescent="0.3">
      <c r="A4007" s="5" t="s">
        <v>126</v>
      </c>
      <c r="B4007" s="5" t="s">
        <v>127</v>
      </c>
      <c r="C4007" s="6">
        <v>2000</v>
      </c>
      <c r="D4007" s="7">
        <v>2247031</v>
      </c>
    </row>
    <row r="4008" spans="1:4" x14ac:dyDescent="0.3">
      <c r="A4008" s="2" t="s">
        <v>126</v>
      </c>
      <c r="B4008" s="2" t="s">
        <v>127</v>
      </c>
      <c r="C4008" s="3">
        <v>2001</v>
      </c>
      <c r="D4008" s="4">
        <v>2312079</v>
      </c>
    </row>
    <row r="4009" spans="1:4" x14ac:dyDescent="0.3">
      <c r="A4009" s="5" t="s">
        <v>126</v>
      </c>
      <c r="B4009" s="5" t="s">
        <v>127</v>
      </c>
      <c r="C4009" s="6">
        <v>2002</v>
      </c>
      <c r="D4009" s="7">
        <v>2392978</v>
      </c>
    </row>
    <row r="4010" spans="1:4" x14ac:dyDescent="0.3">
      <c r="A4010" s="2" t="s">
        <v>126</v>
      </c>
      <c r="B4010" s="2" t="s">
        <v>127</v>
      </c>
      <c r="C4010" s="3">
        <v>2003</v>
      </c>
      <c r="D4010" s="4">
        <v>2493903</v>
      </c>
    </row>
    <row r="4011" spans="1:4" x14ac:dyDescent="0.3">
      <c r="A4011" s="5" t="s">
        <v>126</v>
      </c>
      <c r="B4011" s="5" t="s">
        <v>127</v>
      </c>
      <c r="C4011" s="6">
        <v>2004</v>
      </c>
      <c r="D4011" s="7">
        <v>2598284</v>
      </c>
    </row>
    <row r="4012" spans="1:4" x14ac:dyDescent="0.3">
      <c r="A4012" s="2" t="s">
        <v>126</v>
      </c>
      <c r="B4012" s="2" t="s">
        <v>127</v>
      </c>
      <c r="C4012" s="3">
        <v>2005</v>
      </c>
      <c r="D4012" s="4">
        <v>2661215</v>
      </c>
    </row>
    <row r="4013" spans="1:4" x14ac:dyDescent="0.3">
      <c r="A4013" s="5" t="s">
        <v>126</v>
      </c>
      <c r="B4013" s="5" t="s">
        <v>127</v>
      </c>
      <c r="C4013" s="6">
        <v>2006</v>
      </c>
      <c r="D4013" s="7">
        <v>2703502</v>
      </c>
    </row>
    <row r="4014" spans="1:4" x14ac:dyDescent="0.3">
      <c r="A4014" s="2" t="s">
        <v>126</v>
      </c>
      <c r="B4014" s="2" t="s">
        <v>127</v>
      </c>
      <c r="C4014" s="3">
        <v>2007</v>
      </c>
      <c r="D4014" s="4">
        <v>2743222</v>
      </c>
    </row>
    <row r="4015" spans="1:4" x14ac:dyDescent="0.3">
      <c r="A4015" s="5" t="s">
        <v>126</v>
      </c>
      <c r="B4015" s="5" t="s">
        <v>127</v>
      </c>
      <c r="C4015" s="6">
        <v>2008</v>
      </c>
      <c r="D4015" s="7">
        <v>2816327</v>
      </c>
    </row>
    <row r="4016" spans="1:4" x14ac:dyDescent="0.3">
      <c r="A4016" s="2" t="s">
        <v>126</v>
      </c>
      <c r="B4016" s="2" t="s">
        <v>127</v>
      </c>
      <c r="C4016" s="3">
        <v>2009</v>
      </c>
      <c r="D4016" s="4">
        <v>2887885</v>
      </c>
    </row>
    <row r="4017" spans="1:4" x14ac:dyDescent="0.3">
      <c r="A4017" s="5" t="s">
        <v>126</v>
      </c>
      <c r="B4017" s="5" t="s">
        <v>127</v>
      </c>
      <c r="C4017" s="6">
        <v>2010</v>
      </c>
      <c r="D4017" s="7">
        <v>2945186</v>
      </c>
    </row>
    <row r="4018" spans="1:4" x14ac:dyDescent="0.3">
      <c r="A4018" s="2" t="s">
        <v>126</v>
      </c>
      <c r="B4018" s="2" t="s">
        <v>127</v>
      </c>
      <c r="C4018" s="3">
        <v>2011</v>
      </c>
      <c r="D4018" s="4">
        <v>2998485</v>
      </c>
    </row>
    <row r="4019" spans="1:4" x14ac:dyDescent="0.3">
      <c r="A4019" s="5" t="s">
        <v>126</v>
      </c>
      <c r="B4019" s="5" t="s">
        <v>127</v>
      </c>
      <c r="C4019" s="6">
        <v>2012</v>
      </c>
      <c r="D4019" s="7">
        <v>3036988</v>
      </c>
    </row>
    <row r="4020" spans="1:4" x14ac:dyDescent="0.3">
      <c r="A4020" s="2" t="s">
        <v>126</v>
      </c>
      <c r="B4020" s="2" t="s">
        <v>127</v>
      </c>
      <c r="C4020" s="3">
        <v>2013</v>
      </c>
      <c r="D4020" s="4">
        <v>3074360</v>
      </c>
    </row>
    <row r="4021" spans="1:4" x14ac:dyDescent="0.3">
      <c r="A4021" s="5" t="s">
        <v>126</v>
      </c>
      <c r="B4021" s="5" t="s">
        <v>127</v>
      </c>
      <c r="C4021" s="6">
        <v>2014</v>
      </c>
      <c r="D4021" s="7">
        <v>3095173</v>
      </c>
    </row>
    <row r="4022" spans="1:4" x14ac:dyDescent="0.3">
      <c r="A4022" s="2" t="s">
        <v>126</v>
      </c>
      <c r="B4022" s="2" t="s">
        <v>127</v>
      </c>
      <c r="C4022" s="3">
        <v>2015</v>
      </c>
      <c r="D4022" s="4">
        <v>3105546</v>
      </c>
    </row>
    <row r="4023" spans="1:4" x14ac:dyDescent="0.3">
      <c r="A4023" s="5" t="s">
        <v>126</v>
      </c>
      <c r="B4023" s="5" t="s">
        <v>127</v>
      </c>
      <c r="C4023" s="6">
        <v>2016</v>
      </c>
      <c r="D4023" s="7">
        <v>3124698</v>
      </c>
    </row>
    <row r="4024" spans="1:4" x14ac:dyDescent="0.3">
      <c r="A4024" s="2" t="s">
        <v>126</v>
      </c>
      <c r="B4024" s="2" t="s">
        <v>127</v>
      </c>
      <c r="C4024" s="3">
        <v>2017</v>
      </c>
      <c r="D4024" s="4">
        <v>3150347</v>
      </c>
    </row>
    <row r="4025" spans="1:4" x14ac:dyDescent="0.3">
      <c r="A4025" s="5" t="s">
        <v>126</v>
      </c>
      <c r="B4025" s="5" t="s">
        <v>127</v>
      </c>
      <c r="C4025" s="6">
        <v>2018</v>
      </c>
      <c r="D4025" s="7">
        <v>3192760</v>
      </c>
    </row>
    <row r="4026" spans="1:4" x14ac:dyDescent="0.3">
      <c r="A4026" s="2" t="s">
        <v>126</v>
      </c>
      <c r="B4026" s="2" t="s">
        <v>127</v>
      </c>
      <c r="C4026" s="3">
        <v>2019</v>
      </c>
      <c r="D4026" s="4">
        <v>3240194</v>
      </c>
    </row>
    <row r="4027" spans="1:4" x14ac:dyDescent="0.3">
      <c r="A4027" s="5" t="s">
        <v>126</v>
      </c>
      <c r="B4027" s="5" t="s">
        <v>127</v>
      </c>
      <c r="C4027" s="6">
        <v>2020</v>
      </c>
      <c r="D4027" s="7">
        <v>3291271</v>
      </c>
    </row>
    <row r="4028" spans="1:4" x14ac:dyDescent="0.3">
      <c r="A4028" s="2" t="s">
        <v>126</v>
      </c>
      <c r="B4028" s="2" t="s">
        <v>127</v>
      </c>
      <c r="C4028" s="3">
        <v>2021</v>
      </c>
      <c r="D4028" s="4">
        <v>3350183</v>
      </c>
    </row>
    <row r="4029" spans="1:4" x14ac:dyDescent="0.3">
      <c r="A4029" s="5" t="s">
        <v>126</v>
      </c>
      <c r="B4029" s="5" t="s">
        <v>127</v>
      </c>
      <c r="C4029" s="6">
        <v>2022</v>
      </c>
      <c r="D4029" s="7">
        <v>3409447</v>
      </c>
    </row>
    <row r="4030" spans="1:4" x14ac:dyDescent="0.3">
      <c r="A4030" s="2" t="s">
        <v>126</v>
      </c>
      <c r="B4030" s="2" t="s">
        <v>127</v>
      </c>
      <c r="C4030" s="3">
        <v>2023</v>
      </c>
      <c r="D4030" s="4">
        <v>3470390</v>
      </c>
    </row>
    <row r="4031" spans="1:4" x14ac:dyDescent="0.3">
      <c r="A4031" s="5" t="s">
        <v>126</v>
      </c>
      <c r="B4031" s="5" t="s">
        <v>127</v>
      </c>
      <c r="C4031" s="6">
        <v>2024</v>
      </c>
      <c r="D4031" s="7">
        <v>3535603</v>
      </c>
    </row>
    <row r="4032" spans="1:4" x14ac:dyDescent="0.3">
      <c r="A4032" s="2" t="s">
        <v>128</v>
      </c>
      <c r="B4032" s="2" t="s">
        <v>129</v>
      </c>
      <c r="C4032" s="3">
        <v>1960</v>
      </c>
      <c r="D4032" s="4">
        <v>1211537</v>
      </c>
    </row>
    <row r="4033" spans="1:4" x14ac:dyDescent="0.3">
      <c r="A4033" s="5" t="s">
        <v>128</v>
      </c>
      <c r="B4033" s="5" t="s">
        <v>129</v>
      </c>
      <c r="C4033" s="6">
        <v>1961</v>
      </c>
      <c r="D4033" s="7">
        <v>1225077</v>
      </c>
    </row>
    <row r="4034" spans="1:4" x14ac:dyDescent="0.3">
      <c r="A4034" s="2" t="s">
        <v>128</v>
      </c>
      <c r="B4034" s="2" t="s">
        <v>129</v>
      </c>
      <c r="C4034" s="3">
        <v>1962</v>
      </c>
      <c r="D4034" s="4">
        <v>1241623</v>
      </c>
    </row>
    <row r="4035" spans="1:4" x14ac:dyDescent="0.3">
      <c r="A4035" s="5" t="s">
        <v>128</v>
      </c>
      <c r="B4035" s="5" t="s">
        <v>129</v>
      </c>
      <c r="C4035" s="6">
        <v>1963</v>
      </c>
      <c r="D4035" s="7">
        <v>1258857</v>
      </c>
    </row>
    <row r="4036" spans="1:4" x14ac:dyDescent="0.3">
      <c r="A4036" s="2" t="s">
        <v>128</v>
      </c>
      <c r="B4036" s="2" t="s">
        <v>129</v>
      </c>
      <c r="C4036" s="3">
        <v>1964</v>
      </c>
      <c r="D4036" s="4">
        <v>1277086</v>
      </c>
    </row>
    <row r="4037" spans="1:4" x14ac:dyDescent="0.3">
      <c r="A4037" s="5" t="s">
        <v>128</v>
      </c>
      <c r="B4037" s="5" t="s">
        <v>129</v>
      </c>
      <c r="C4037" s="6">
        <v>1965</v>
      </c>
      <c r="D4037" s="7">
        <v>1294566</v>
      </c>
    </row>
    <row r="4038" spans="1:4" x14ac:dyDescent="0.3">
      <c r="A4038" s="2" t="s">
        <v>128</v>
      </c>
      <c r="B4038" s="2" t="s">
        <v>129</v>
      </c>
      <c r="C4038" s="3">
        <v>1966</v>
      </c>
      <c r="D4038" s="4">
        <v>1308597</v>
      </c>
    </row>
    <row r="4039" spans="1:4" x14ac:dyDescent="0.3">
      <c r="A4039" s="5" t="s">
        <v>128</v>
      </c>
      <c r="B4039" s="5" t="s">
        <v>129</v>
      </c>
      <c r="C4039" s="6">
        <v>1967</v>
      </c>
      <c r="D4039" s="7">
        <v>1318946</v>
      </c>
    </row>
    <row r="4040" spans="1:4" x14ac:dyDescent="0.3">
      <c r="A4040" s="2" t="s">
        <v>128</v>
      </c>
      <c r="B4040" s="2" t="s">
        <v>129</v>
      </c>
      <c r="C4040" s="3">
        <v>1968</v>
      </c>
      <c r="D4040" s="4">
        <v>1331214</v>
      </c>
    </row>
    <row r="4041" spans="1:4" x14ac:dyDescent="0.3">
      <c r="A4041" s="5" t="s">
        <v>128</v>
      </c>
      <c r="B4041" s="5" t="s">
        <v>129</v>
      </c>
      <c r="C4041" s="6">
        <v>1969</v>
      </c>
      <c r="D4041" s="7">
        <v>1345249</v>
      </c>
    </row>
    <row r="4042" spans="1:4" x14ac:dyDescent="0.3">
      <c r="A4042" s="2" t="s">
        <v>128</v>
      </c>
      <c r="B4042" s="2" t="s">
        <v>129</v>
      </c>
      <c r="C4042" s="3">
        <v>1970</v>
      </c>
      <c r="D4042" s="4">
        <v>1360076</v>
      </c>
    </row>
    <row r="4043" spans="1:4" x14ac:dyDescent="0.3">
      <c r="A4043" s="5" t="s">
        <v>128</v>
      </c>
      <c r="B4043" s="5" t="s">
        <v>129</v>
      </c>
      <c r="C4043" s="6">
        <v>1971</v>
      </c>
      <c r="D4043" s="7">
        <v>1376955</v>
      </c>
    </row>
    <row r="4044" spans="1:4" x14ac:dyDescent="0.3">
      <c r="A4044" s="2" t="s">
        <v>128</v>
      </c>
      <c r="B4044" s="2" t="s">
        <v>129</v>
      </c>
      <c r="C4044" s="3">
        <v>1972</v>
      </c>
      <c r="D4044" s="4">
        <v>1392518</v>
      </c>
    </row>
    <row r="4045" spans="1:4" x14ac:dyDescent="0.3">
      <c r="A4045" s="5" t="s">
        <v>128</v>
      </c>
      <c r="B4045" s="5" t="s">
        <v>129</v>
      </c>
      <c r="C4045" s="6">
        <v>1973</v>
      </c>
      <c r="D4045" s="7">
        <v>1405951</v>
      </c>
    </row>
    <row r="4046" spans="1:4" x14ac:dyDescent="0.3">
      <c r="A4046" s="2" t="s">
        <v>128</v>
      </c>
      <c r="B4046" s="2" t="s">
        <v>129</v>
      </c>
      <c r="C4046" s="3">
        <v>1974</v>
      </c>
      <c r="D4046" s="4">
        <v>1418169</v>
      </c>
    </row>
    <row r="4047" spans="1:4" x14ac:dyDescent="0.3">
      <c r="A4047" s="5" t="s">
        <v>128</v>
      </c>
      <c r="B4047" s="5" t="s">
        <v>129</v>
      </c>
      <c r="C4047" s="6">
        <v>1975</v>
      </c>
      <c r="D4047" s="7">
        <v>1429352</v>
      </c>
    </row>
    <row r="4048" spans="1:4" x14ac:dyDescent="0.3">
      <c r="A4048" s="2" t="s">
        <v>128</v>
      </c>
      <c r="B4048" s="2" t="s">
        <v>129</v>
      </c>
      <c r="C4048" s="3">
        <v>1976</v>
      </c>
      <c r="D4048" s="4">
        <v>1439576</v>
      </c>
    </row>
    <row r="4049" spans="1:4" x14ac:dyDescent="0.3">
      <c r="A4049" s="5" t="s">
        <v>128</v>
      </c>
      <c r="B4049" s="5" t="s">
        <v>129</v>
      </c>
      <c r="C4049" s="6">
        <v>1977</v>
      </c>
      <c r="D4049" s="7">
        <v>1450211</v>
      </c>
    </row>
    <row r="4050" spans="1:4" x14ac:dyDescent="0.3">
      <c r="A4050" s="2" t="s">
        <v>128</v>
      </c>
      <c r="B4050" s="2" t="s">
        <v>129</v>
      </c>
      <c r="C4050" s="3">
        <v>1978</v>
      </c>
      <c r="D4050" s="4">
        <v>1460188</v>
      </c>
    </row>
    <row r="4051" spans="1:4" x14ac:dyDescent="0.3">
      <c r="A4051" s="5" t="s">
        <v>128</v>
      </c>
      <c r="B4051" s="5" t="s">
        <v>129</v>
      </c>
      <c r="C4051" s="6">
        <v>1979</v>
      </c>
      <c r="D4051" s="7">
        <v>1468333</v>
      </c>
    </row>
    <row r="4052" spans="1:4" x14ac:dyDescent="0.3">
      <c r="A4052" s="2" t="s">
        <v>128</v>
      </c>
      <c r="B4052" s="2" t="s">
        <v>129</v>
      </c>
      <c r="C4052" s="3">
        <v>1980</v>
      </c>
      <c r="D4052" s="4">
        <v>1477219</v>
      </c>
    </row>
    <row r="4053" spans="1:4" x14ac:dyDescent="0.3">
      <c r="A4053" s="5" t="s">
        <v>128</v>
      </c>
      <c r="B4053" s="5" t="s">
        <v>129</v>
      </c>
      <c r="C4053" s="6">
        <v>1981</v>
      </c>
      <c r="D4053" s="7">
        <v>1487666</v>
      </c>
    </row>
    <row r="4054" spans="1:4" x14ac:dyDescent="0.3">
      <c r="A4054" s="2" t="s">
        <v>128</v>
      </c>
      <c r="B4054" s="2" t="s">
        <v>129</v>
      </c>
      <c r="C4054" s="3">
        <v>1982</v>
      </c>
      <c r="D4054" s="4">
        <v>1498414</v>
      </c>
    </row>
    <row r="4055" spans="1:4" x14ac:dyDescent="0.3">
      <c r="A4055" s="5" t="s">
        <v>128</v>
      </c>
      <c r="B4055" s="5" t="s">
        <v>129</v>
      </c>
      <c r="C4055" s="6">
        <v>1983</v>
      </c>
      <c r="D4055" s="7">
        <v>1508745</v>
      </c>
    </row>
    <row r="4056" spans="1:4" x14ac:dyDescent="0.3">
      <c r="A4056" s="2" t="s">
        <v>128</v>
      </c>
      <c r="B4056" s="2" t="s">
        <v>129</v>
      </c>
      <c r="C4056" s="3">
        <v>1984</v>
      </c>
      <c r="D4056" s="4">
        <v>1518617</v>
      </c>
    </row>
    <row r="4057" spans="1:4" x14ac:dyDescent="0.3">
      <c r="A4057" s="5" t="s">
        <v>128</v>
      </c>
      <c r="B4057" s="5" t="s">
        <v>129</v>
      </c>
      <c r="C4057" s="6">
        <v>1985</v>
      </c>
      <c r="D4057" s="7">
        <v>1528781</v>
      </c>
    </row>
    <row r="4058" spans="1:4" x14ac:dyDescent="0.3">
      <c r="A4058" s="2" t="s">
        <v>128</v>
      </c>
      <c r="B4058" s="2" t="s">
        <v>129</v>
      </c>
      <c r="C4058" s="3">
        <v>1986</v>
      </c>
      <c r="D4058" s="4">
        <v>1540190</v>
      </c>
    </row>
    <row r="4059" spans="1:4" x14ac:dyDescent="0.3">
      <c r="A4059" s="5" t="s">
        <v>128</v>
      </c>
      <c r="B4059" s="5" t="s">
        <v>129</v>
      </c>
      <c r="C4059" s="6">
        <v>1987</v>
      </c>
      <c r="D4059" s="7">
        <v>1552221</v>
      </c>
    </row>
    <row r="4060" spans="1:4" x14ac:dyDescent="0.3">
      <c r="A4060" s="2" t="s">
        <v>128</v>
      </c>
      <c r="B4060" s="2" t="s">
        <v>129</v>
      </c>
      <c r="C4060" s="3">
        <v>1988</v>
      </c>
      <c r="D4060" s="4">
        <v>1561900</v>
      </c>
    </row>
    <row r="4061" spans="1:4" x14ac:dyDescent="0.3">
      <c r="A4061" s="5" t="s">
        <v>128</v>
      </c>
      <c r="B4061" s="5" t="s">
        <v>129</v>
      </c>
      <c r="C4061" s="6">
        <v>1989</v>
      </c>
      <c r="D4061" s="7">
        <v>1568131</v>
      </c>
    </row>
    <row r="4062" spans="1:4" x14ac:dyDescent="0.3">
      <c r="A4062" s="2" t="s">
        <v>128</v>
      </c>
      <c r="B4062" s="2" t="s">
        <v>129</v>
      </c>
      <c r="C4062" s="3">
        <v>1990</v>
      </c>
      <c r="D4062" s="4">
        <v>1569174</v>
      </c>
    </row>
    <row r="4063" spans="1:4" x14ac:dyDescent="0.3">
      <c r="A4063" s="5" t="s">
        <v>128</v>
      </c>
      <c r="B4063" s="5" t="s">
        <v>129</v>
      </c>
      <c r="C4063" s="6">
        <v>1991</v>
      </c>
      <c r="D4063" s="7">
        <v>1561314</v>
      </c>
    </row>
    <row r="4064" spans="1:4" x14ac:dyDescent="0.3">
      <c r="A4064" s="2" t="s">
        <v>128</v>
      </c>
      <c r="B4064" s="2" t="s">
        <v>129</v>
      </c>
      <c r="C4064" s="3">
        <v>1992</v>
      </c>
      <c r="D4064" s="4">
        <v>1533091</v>
      </c>
    </row>
    <row r="4065" spans="1:4" x14ac:dyDescent="0.3">
      <c r="A4065" s="5" t="s">
        <v>128</v>
      </c>
      <c r="B4065" s="5" t="s">
        <v>129</v>
      </c>
      <c r="C4065" s="6">
        <v>1993</v>
      </c>
      <c r="D4065" s="7">
        <v>1494128</v>
      </c>
    </row>
    <row r="4066" spans="1:4" x14ac:dyDescent="0.3">
      <c r="A4066" s="2" t="s">
        <v>128</v>
      </c>
      <c r="B4066" s="2" t="s">
        <v>129</v>
      </c>
      <c r="C4066" s="3">
        <v>1994</v>
      </c>
      <c r="D4066" s="4">
        <v>1462514</v>
      </c>
    </row>
    <row r="4067" spans="1:4" x14ac:dyDescent="0.3">
      <c r="A4067" s="5" t="s">
        <v>128</v>
      </c>
      <c r="B4067" s="5" t="s">
        <v>129</v>
      </c>
      <c r="C4067" s="6">
        <v>1995</v>
      </c>
      <c r="D4067" s="7">
        <v>1436634</v>
      </c>
    </row>
    <row r="4068" spans="1:4" x14ac:dyDescent="0.3">
      <c r="A4068" s="2" t="s">
        <v>128</v>
      </c>
      <c r="B4068" s="2" t="s">
        <v>129</v>
      </c>
      <c r="C4068" s="3">
        <v>1996</v>
      </c>
      <c r="D4068" s="4">
        <v>1415594</v>
      </c>
    </row>
    <row r="4069" spans="1:4" x14ac:dyDescent="0.3">
      <c r="A4069" s="5" t="s">
        <v>128</v>
      </c>
      <c r="B4069" s="5" t="s">
        <v>129</v>
      </c>
      <c r="C4069" s="6">
        <v>1997</v>
      </c>
      <c r="D4069" s="7">
        <v>1399535</v>
      </c>
    </row>
    <row r="4070" spans="1:4" x14ac:dyDescent="0.3">
      <c r="A4070" s="2" t="s">
        <v>128</v>
      </c>
      <c r="B4070" s="2" t="s">
        <v>129</v>
      </c>
      <c r="C4070" s="3">
        <v>1998</v>
      </c>
      <c r="D4070" s="4">
        <v>1386156</v>
      </c>
    </row>
    <row r="4071" spans="1:4" x14ac:dyDescent="0.3">
      <c r="A4071" s="5" t="s">
        <v>128</v>
      </c>
      <c r="B4071" s="5" t="s">
        <v>129</v>
      </c>
      <c r="C4071" s="6">
        <v>1999</v>
      </c>
      <c r="D4071" s="7">
        <v>1390244</v>
      </c>
    </row>
    <row r="4072" spans="1:4" x14ac:dyDescent="0.3">
      <c r="A4072" s="2" t="s">
        <v>128</v>
      </c>
      <c r="B4072" s="2" t="s">
        <v>129</v>
      </c>
      <c r="C4072" s="3">
        <v>2000</v>
      </c>
      <c r="D4072" s="4">
        <v>1396985</v>
      </c>
    </row>
    <row r="4073" spans="1:4" x14ac:dyDescent="0.3">
      <c r="A4073" s="5" t="s">
        <v>128</v>
      </c>
      <c r="B4073" s="5" t="s">
        <v>129</v>
      </c>
      <c r="C4073" s="6">
        <v>2001</v>
      </c>
      <c r="D4073" s="7">
        <v>1388115</v>
      </c>
    </row>
    <row r="4074" spans="1:4" x14ac:dyDescent="0.3">
      <c r="A4074" s="2" t="s">
        <v>128</v>
      </c>
      <c r="B4074" s="2" t="s">
        <v>129</v>
      </c>
      <c r="C4074" s="3">
        <v>2002</v>
      </c>
      <c r="D4074" s="4">
        <v>1379350</v>
      </c>
    </row>
    <row r="4075" spans="1:4" x14ac:dyDescent="0.3">
      <c r="A4075" s="5" t="s">
        <v>128</v>
      </c>
      <c r="B4075" s="5" t="s">
        <v>129</v>
      </c>
      <c r="C4075" s="6">
        <v>2003</v>
      </c>
      <c r="D4075" s="7">
        <v>1370720</v>
      </c>
    </row>
    <row r="4076" spans="1:4" x14ac:dyDescent="0.3">
      <c r="A4076" s="2" t="s">
        <v>128</v>
      </c>
      <c r="B4076" s="2" t="s">
        <v>129</v>
      </c>
      <c r="C4076" s="3">
        <v>2004</v>
      </c>
      <c r="D4076" s="4">
        <v>1362550</v>
      </c>
    </row>
    <row r="4077" spans="1:4" x14ac:dyDescent="0.3">
      <c r="A4077" s="5" t="s">
        <v>128</v>
      </c>
      <c r="B4077" s="5" t="s">
        <v>129</v>
      </c>
      <c r="C4077" s="6">
        <v>2005</v>
      </c>
      <c r="D4077" s="7">
        <v>1354775</v>
      </c>
    </row>
    <row r="4078" spans="1:4" x14ac:dyDescent="0.3">
      <c r="A4078" s="2" t="s">
        <v>128</v>
      </c>
      <c r="B4078" s="2" t="s">
        <v>129</v>
      </c>
      <c r="C4078" s="3">
        <v>2006</v>
      </c>
      <c r="D4078" s="4">
        <v>1346810</v>
      </c>
    </row>
    <row r="4079" spans="1:4" x14ac:dyDescent="0.3">
      <c r="A4079" s="5" t="s">
        <v>128</v>
      </c>
      <c r="B4079" s="5" t="s">
        <v>129</v>
      </c>
      <c r="C4079" s="6">
        <v>2007</v>
      </c>
      <c r="D4079" s="7">
        <v>1340680</v>
      </c>
    </row>
    <row r="4080" spans="1:4" x14ac:dyDescent="0.3">
      <c r="A4080" s="2" t="s">
        <v>128</v>
      </c>
      <c r="B4080" s="2" t="s">
        <v>129</v>
      </c>
      <c r="C4080" s="3">
        <v>2008</v>
      </c>
      <c r="D4080" s="4">
        <v>1337090</v>
      </c>
    </row>
    <row r="4081" spans="1:4" x14ac:dyDescent="0.3">
      <c r="A4081" s="5" t="s">
        <v>128</v>
      </c>
      <c r="B4081" s="5" t="s">
        <v>129</v>
      </c>
      <c r="C4081" s="6">
        <v>2009</v>
      </c>
      <c r="D4081" s="7">
        <v>1334515</v>
      </c>
    </row>
    <row r="4082" spans="1:4" x14ac:dyDescent="0.3">
      <c r="A4082" s="2" t="s">
        <v>128</v>
      </c>
      <c r="B4082" s="2" t="s">
        <v>129</v>
      </c>
      <c r="C4082" s="3">
        <v>2010</v>
      </c>
      <c r="D4082" s="4">
        <v>1331475</v>
      </c>
    </row>
    <row r="4083" spans="1:4" x14ac:dyDescent="0.3">
      <c r="A4083" s="5" t="s">
        <v>128</v>
      </c>
      <c r="B4083" s="5" t="s">
        <v>129</v>
      </c>
      <c r="C4083" s="6">
        <v>2011</v>
      </c>
      <c r="D4083" s="7">
        <v>1327439</v>
      </c>
    </row>
    <row r="4084" spans="1:4" x14ac:dyDescent="0.3">
      <c r="A4084" s="2" t="s">
        <v>128</v>
      </c>
      <c r="B4084" s="2" t="s">
        <v>129</v>
      </c>
      <c r="C4084" s="3">
        <v>2012</v>
      </c>
      <c r="D4084" s="4">
        <v>1322696</v>
      </c>
    </row>
    <row r="4085" spans="1:4" x14ac:dyDescent="0.3">
      <c r="A4085" s="5" t="s">
        <v>128</v>
      </c>
      <c r="B4085" s="5" t="s">
        <v>129</v>
      </c>
      <c r="C4085" s="6">
        <v>2013</v>
      </c>
      <c r="D4085" s="7">
        <v>1317997</v>
      </c>
    </row>
    <row r="4086" spans="1:4" x14ac:dyDescent="0.3">
      <c r="A4086" s="2" t="s">
        <v>128</v>
      </c>
      <c r="B4086" s="2" t="s">
        <v>129</v>
      </c>
      <c r="C4086" s="3">
        <v>2014</v>
      </c>
      <c r="D4086" s="4">
        <v>1314545</v>
      </c>
    </row>
    <row r="4087" spans="1:4" x14ac:dyDescent="0.3">
      <c r="A4087" s="5" t="s">
        <v>128</v>
      </c>
      <c r="B4087" s="5" t="s">
        <v>129</v>
      </c>
      <c r="C4087" s="6">
        <v>2015</v>
      </c>
      <c r="D4087" s="7">
        <v>1315407</v>
      </c>
    </row>
    <row r="4088" spans="1:4" x14ac:dyDescent="0.3">
      <c r="A4088" s="2" t="s">
        <v>128</v>
      </c>
      <c r="B4088" s="2" t="s">
        <v>129</v>
      </c>
      <c r="C4088" s="3">
        <v>2016</v>
      </c>
      <c r="D4088" s="4">
        <v>1315790</v>
      </c>
    </row>
    <row r="4089" spans="1:4" x14ac:dyDescent="0.3">
      <c r="A4089" s="5" t="s">
        <v>128</v>
      </c>
      <c r="B4089" s="5" t="s">
        <v>129</v>
      </c>
      <c r="C4089" s="6">
        <v>2017</v>
      </c>
      <c r="D4089" s="7">
        <v>1317384</v>
      </c>
    </row>
    <row r="4090" spans="1:4" x14ac:dyDescent="0.3">
      <c r="A4090" s="2" t="s">
        <v>128</v>
      </c>
      <c r="B4090" s="2" t="s">
        <v>129</v>
      </c>
      <c r="C4090" s="3">
        <v>2018</v>
      </c>
      <c r="D4090" s="4">
        <v>1321977</v>
      </c>
    </row>
    <row r="4091" spans="1:4" x14ac:dyDescent="0.3">
      <c r="A4091" s="5" t="s">
        <v>128</v>
      </c>
      <c r="B4091" s="5" t="s">
        <v>129</v>
      </c>
      <c r="C4091" s="6">
        <v>2019</v>
      </c>
      <c r="D4091" s="7">
        <v>1326898</v>
      </c>
    </row>
    <row r="4092" spans="1:4" x14ac:dyDescent="0.3">
      <c r="A4092" s="2" t="s">
        <v>128</v>
      </c>
      <c r="B4092" s="2" t="s">
        <v>129</v>
      </c>
      <c r="C4092" s="3">
        <v>2020</v>
      </c>
      <c r="D4092" s="4">
        <v>1329522</v>
      </c>
    </row>
    <row r="4093" spans="1:4" x14ac:dyDescent="0.3">
      <c r="A4093" s="5" t="s">
        <v>128</v>
      </c>
      <c r="B4093" s="5" t="s">
        <v>129</v>
      </c>
      <c r="C4093" s="6">
        <v>2021</v>
      </c>
      <c r="D4093" s="7">
        <v>1330932</v>
      </c>
    </row>
    <row r="4094" spans="1:4" x14ac:dyDescent="0.3">
      <c r="A4094" s="2" t="s">
        <v>128</v>
      </c>
      <c r="B4094" s="2" t="s">
        <v>129</v>
      </c>
      <c r="C4094" s="3">
        <v>2022</v>
      </c>
      <c r="D4094" s="4">
        <v>1348840</v>
      </c>
    </row>
    <row r="4095" spans="1:4" x14ac:dyDescent="0.3">
      <c r="A4095" s="5" t="s">
        <v>128</v>
      </c>
      <c r="B4095" s="5" t="s">
        <v>129</v>
      </c>
      <c r="C4095" s="6">
        <v>2023</v>
      </c>
      <c r="D4095" s="7">
        <v>1370286</v>
      </c>
    </row>
    <row r="4096" spans="1:4" x14ac:dyDescent="0.3">
      <c r="A4096" s="2" t="s">
        <v>128</v>
      </c>
      <c r="B4096" s="2" t="s">
        <v>129</v>
      </c>
      <c r="C4096" s="3">
        <v>2024</v>
      </c>
      <c r="D4096" s="4">
        <v>1371986</v>
      </c>
    </row>
    <row r="4097" spans="1:4" x14ac:dyDescent="0.3">
      <c r="A4097" s="5" t="s">
        <v>130</v>
      </c>
      <c r="B4097" s="5" t="s">
        <v>131</v>
      </c>
      <c r="C4097" s="6">
        <v>1960</v>
      </c>
      <c r="D4097" s="7">
        <v>345337</v>
      </c>
    </row>
    <row r="4098" spans="1:4" x14ac:dyDescent="0.3">
      <c r="A4098" s="2" t="s">
        <v>130</v>
      </c>
      <c r="B4098" s="2" t="s">
        <v>131</v>
      </c>
      <c r="C4098" s="3">
        <v>1961</v>
      </c>
      <c r="D4098" s="4">
        <v>353264</v>
      </c>
    </row>
    <row r="4099" spans="1:4" x14ac:dyDescent="0.3">
      <c r="A4099" s="5" t="s">
        <v>130</v>
      </c>
      <c r="B4099" s="5" t="s">
        <v>131</v>
      </c>
      <c r="C4099" s="6">
        <v>1962</v>
      </c>
      <c r="D4099" s="7">
        <v>361365</v>
      </c>
    </row>
    <row r="4100" spans="1:4" x14ac:dyDescent="0.3">
      <c r="A4100" s="2" t="s">
        <v>130</v>
      </c>
      <c r="B4100" s="2" t="s">
        <v>131</v>
      </c>
      <c r="C4100" s="3">
        <v>1963</v>
      </c>
      <c r="D4100" s="4">
        <v>369759</v>
      </c>
    </row>
    <row r="4101" spans="1:4" x14ac:dyDescent="0.3">
      <c r="A4101" s="5" t="s">
        <v>130</v>
      </c>
      <c r="B4101" s="5" t="s">
        <v>131</v>
      </c>
      <c r="C4101" s="6">
        <v>1964</v>
      </c>
      <c r="D4101" s="7">
        <v>378656</v>
      </c>
    </row>
    <row r="4102" spans="1:4" x14ac:dyDescent="0.3">
      <c r="A4102" s="2" t="s">
        <v>130</v>
      </c>
      <c r="B4102" s="2" t="s">
        <v>131</v>
      </c>
      <c r="C4102" s="3">
        <v>1965</v>
      </c>
      <c r="D4102" s="4">
        <v>388336</v>
      </c>
    </row>
    <row r="4103" spans="1:4" x14ac:dyDescent="0.3">
      <c r="A4103" s="5" t="s">
        <v>130</v>
      </c>
      <c r="B4103" s="5" t="s">
        <v>131</v>
      </c>
      <c r="C4103" s="6">
        <v>1966</v>
      </c>
      <c r="D4103" s="7">
        <v>398766</v>
      </c>
    </row>
    <row r="4104" spans="1:4" x14ac:dyDescent="0.3">
      <c r="A4104" s="2" t="s">
        <v>130</v>
      </c>
      <c r="B4104" s="2" t="s">
        <v>131</v>
      </c>
      <c r="C4104" s="3">
        <v>1967</v>
      </c>
      <c r="D4104" s="4">
        <v>409031</v>
      </c>
    </row>
    <row r="4105" spans="1:4" x14ac:dyDescent="0.3">
      <c r="A4105" s="5" t="s">
        <v>130</v>
      </c>
      <c r="B4105" s="5" t="s">
        <v>131</v>
      </c>
      <c r="C4105" s="6">
        <v>1968</v>
      </c>
      <c r="D4105" s="7">
        <v>419147</v>
      </c>
    </row>
    <row r="4106" spans="1:4" x14ac:dyDescent="0.3">
      <c r="A4106" s="2" t="s">
        <v>130</v>
      </c>
      <c r="B4106" s="2" t="s">
        <v>131</v>
      </c>
      <c r="C4106" s="3">
        <v>1969</v>
      </c>
      <c r="D4106" s="4">
        <v>429875</v>
      </c>
    </row>
    <row r="4107" spans="1:4" x14ac:dyDescent="0.3">
      <c r="A4107" s="5" t="s">
        <v>130</v>
      </c>
      <c r="B4107" s="5" t="s">
        <v>131</v>
      </c>
      <c r="C4107" s="6">
        <v>1970</v>
      </c>
      <c r="D4107" s="7">
        <v>441216</v>
      </c>
    </row>
    <row r="4108" spans="1:4" x14ac:dyDescent="0.3">
      <c r="A4108" s="2" t="s">
        <v>130</v>
      </c>
      <c r="B4108" s="2" t="s">
        <v>131</v>
      </c>
      <c r="C4108" s="3">
        <v>1971</v>
      </c>
      <c r="D4108" s="4">
        <v>453183</v>
      </c>
    </row>
    <row r="4109" spans="1:4" x14ac:dyDescent="0.3">
      <c r="A4109" s="5" t="s">
        <v>130</v>
      </c>
      <c r="B4109" s="5" t="s">
        <v>131</v>
      </c>
      <c r="C4109" s="6">
        <v>1972</v>
      </c>
      <c r="D4109" s="7">
        <v>465788</v>
      </c>
    </row>
    <row r="4110" spans="1:4" x14ac:dyDescent="0.3">
      <c r="A4110" s="2" t="s">
        <v>130</v>
      </c>
      <c r="B4110" s="2" t="s">
        <v>131</v>
      </c>
      <c r="C4110" s="3">
        <v>1973</v>
      </c>
      <c r="D4110" s="4">
        <v>479038</v>
      </c>
    </row>
    <row r="4111" spans="1:4" x14ac:dyDescent="0.3">
      <c r="A4111" s="5" t="s">
        <v>130</v>
      </c>
      <c r="B4111" s="5" t="s">
        <v>131</v>
      </c>
      <c r="C4111" s="6">
        <v>1974</v>
      </c>
      <c r="D4111" s="7">
        <v>492988</v>
      </c>
    </row>
    <row r="4112" spans="1:4" x14ac:dyDescent="0.3">
      <c r="A4112" s="2" t="s">
        <v>130</v>
      </c>
      <c r="B4112" s="2" t="s">
        <v>131</v>
      </c>
      <c r="C4112" s="3">
        <v>1975</v>
      </c>
      <c r="D4112" s="4">
        <v>507673</v>
      </c>
    </row>
    <row r="4113" spans="1:4" x14ac:dyDescent="0.3">
      <c r="A4113" s="5" t="s">
        <v>130</v>
      </c>
      <c r="B4113" s="5" t="s">
        <v>131</v>
      </c>
      <c r="C4113" s="6">
        <v>1976</v>
      </c>
      <c r="D4113" s="7">
        <v>523330</v>
      </c>
    </row>
    <row r="4114" spans="1:4" x14ac:dyDescent="0.3">
      <c r="A4114" s="2" t="s">
        <v>130</v>
      </c>
      <c r="B4114" s="2" t="s">
        <v>131</v>
      </c>
      <c r="C4114" s="3">
        <v>1977</v>
      </c>
      <c r="D4114" s="4">
        <v>540348</v>
      </c>
    </row>
    <row r="4115" spans="1:4" x14ac:dyDescent="0.3">
      <c r="A4115" s="5" t="s">
        <v>130</v>
      </c>
      <c r="B4115" s="5" t="s">
        <v>131</v>
      </c>
      <c r="C4115" s="6">
        <v>1978</v>
      </c>
      <c r="D4115" s="7">
        <v>558446</v>
      </c>
    </row>
    <row r="4116" spans="1:4" x14ac:dyDescent="0.3">
      <c r="A4116" s="2" t="s">
        <v>130</v>
      </c>
      <c r="B4116" s="2" t="s">
        <v>131</v>
      </c>
      <c r="C4116" s="3">
        <v>1979</v>
      </c>
      <c r="D4116" s="4">
        <v>577199</v>
      </c>
    </row>
    <row r="4117" spans="1:4" x14ac:dyDescent="0.3">
      <c r="A4117" s="5" t="s">
        <v>130</v>
      </c>
      <c r="B4117" s="5" t="s">
        <v>131</v>
      </c>
      <c r="C4117" s="6">
        <v>1980</v>
      </c>
      <c r="D4117" s="7">
        <v>596644</v>
      </c>
    </row>
    <row r="4118" spans="1:4" x14ac:dyDescent="0.3">
      <c r="A4118" s="2" t="s">
        <v>130</v>
      </c>
      <c r="B4118" s="2" t="s">
        <v>131</v>
      </c>
      <c r="C4118" s="3">
        <v>1981</v>
      </c>
      <c r="D4118" s="4">
        <v>616808</v>
      </c>
    </row>
    <row r="4119" spans="1:4" x14ac:dyDescent="0.3">
      <c r="A4119" s="5" t="s">
        <v>130</v>
      </c>
      <c r="B4119" s="5" t="s">
        <v>131</v>
      </c>
      <c r="C4119" s="6">
        <v>1982</v>
      </c>
      <c r="D4119" s="7">
        <v>637652</v>
      </c>
    </row>
    <row r="4120" spans="1:4" x14ac:dyDescent="0.3">
      <c r="A4120" s="2" t="s">
        <v>130</v>
      </c>
      <c r="B4120" s="2" t="s">
        <v>131</v>
      </c>
      <c r="C4120" s="3">
        <v>1983</v>
      </c>
      <c r="D4120" s="4">
        <v>658957</v>
      </c>
    </row>
    <row r="4121" spans="1:4" x14ac:dyDescent="0.3">
      <c r="A4121" s="5" t="s">
        <v>130</v>
      </c>
      <c r="B4121" s="5" t="s">
        <v>131</v>
      </c>
      <c r="C4121" s="6">
        <v>1984</v>
      </c>
      <c r="D4121" s="7">
        <v>680783</v>
      </c>
    </row>
    <row r="4122" spans="1:4" x14ac:dyDescent="0.3">
      <c r="A4122" s="2" t="s">
        <v>130</v>
      </c>
      <c r="B4122" s="2" t="s">
        <v>131</v>
      </c>
      <c r="C4122" s="3">
        <v>1985</v>
      </c>
      <c r="D4122" s="4">
        <v>706196</v>
      </c>
    </row>
    <row r="4123" spans="1:4" x14ac:dyDescent="0.3">
      <c r="A4123" s="5" t="s">
        <v>130</v>
      </c>
      <c r="B4123" s="5" t="s">
        <v>131</v>
      </c>
      <c r="C4123" s="6">
        <v>1986</v>
      </c>
      <c r="D4123" s="7">
        <v>734732</v>
      </c>
    </row>
    <row r="4124" spans="1:4" x14ac:dyDescent="0.3">
      <c r="A4124" s="2" t="s">
        <v>130</v>
      </c>
      <c r="B4124" s="2" t="s">
        <v>131</v>
      </c>
      <c r="C4124" s="3">
        <v>1987</v>
      </c>
      <c r="D4124" s="4">
        <v>763811</v>
      </c>
    </row>
    <row r="4125" spans="1:4" x14ac:dyDescent="0.3">
      <c r="A4125" s="5" t="s">
        <v>130</v>
      </c>
      <c r="B4125" s="5" t="s">
        <v>131</v>
      </c>
      <c r="C4125" s="6">
        <v>1988</v>
      </c>
      <c r="D4125" s="7">
        <v>799798</v>
      </c>
    </row>
    <row r="4126" spans="1:4" x14ac:dyDescent="0.3">
      <c r="A4126" s="2" t="s">
        <v>130</v>
      </c>
      <c r="B4126" s="2" t="s">
        <v>131</v>
      </c>
      <c r="C4126" s="3">
        <v>1989</v>
      </c>
      <c r="D4126" s="4">
        <v>837800</v>
      </c>
    </row>
    <row r="4127" spans="1:4" x14ac:dyDescent="0.3">
      <c r="A4127" s="5" t="s">
        <v>130</v>
      </c>
      <c r="B4127" s="5" t="s">
        <v>131</v>
      </c>
      <c r="C4127" s="6">
        <v>1990</v>
      </c>
      <c r="D4127" s="7">
        <v>872428</v>
      </c>
    </row>
    <row r="4128" spans="1:4" x14ac:dyDescent="0.3">
      <c r="A4128" s="2" t="s">
        <v>130</v>
      </c>
      <c r="B4128" s="2" t="s">
        <v>131</v>
      </c>
      <c r="C4128" s="3">
        <v>1991</v>
      </c>
      <c r="D4128" s="4">
        <v>908189</v>
      </c>
    </row>
    <row r="4129" spans="1:4" x14ac:dyDescent="0.3">
      <c r="A4129" s="5" t="s">
        <v>130</v>
      </c>
      <c r="B4129" s="5" t="s">
        <v>131</v>
      </c>
      <c r="C4129" s="6">
        <v>1992</v>
      </c>
      <c r="D4129" s="7">
        <v>943416</v>
      </c>
    </row>
    <row r="4130" spans="1:4" x14ac:dyDescent="0.3">
      <c r="A4130" s="2" t="s">
        <v>130</v>
      </c>
      <c r="B4130" s="2" t="s">
        <v>131</v>
      </c>
      <c r="C4130" s="3">
        <v>1993</v>
      </c>
      <c r="D4130" s="4">
        <v>971318</v>
      </c>
    </row>
    <row r="4131" spans="1:4" x14ac:dyDescent="0.3">
      <c r="A4131" s="5" t="s">
        <v>130</v>
      </c>
      <c r="B4131" s="5" t="s">
        <v>131</v>
      </c>
      <c r="C4131" s="6">
        <v>1994</v>
      </c>
      <c r="D4131" s="7">
        <v>971212</v>
      </c>
    </row>
    <row r="4132" spans="1:4" x14ac:dyDescent="0.3">
      <c r="A4132" s="2" t="s">
        <v>130</v>
      </c>
      <c r="B4132" s="2" t="s">
        <v>131</v>
      </c>
      <c r="C4132" s="3">
        <v>1995</v>
      </c>
      <c r="D4132" s="4">
        <v>970433</v>
      </c>
    </row>
    <row r="4133" spans="1:4" x14ac:dyDescent="0.3">
      <c r="A4133" s="5" t="s">
        <v>130</v>
      </c>
      <c r="B4133" s="5" t="s">
        <v>131</v>
      </c>
      <c r="C4133" s="6">
        <v>1996</v>
      </c>
      <c r="D4133" s="7">
        <v>989841</v>
      </c>
    </row>
    <row r="4134" spans="1:4" x14ac:dyDescent="0.3">
      <c r="A4134" s="2" t="s">
        <v>130</v>
      </c>
      <c r="B4134" s="2" t="s">
        <v>131</v>
      </c>
      <c r="C4134" s="3">
        <v>1997</v>
      </c>
      <c r="D4134" s="4">
        <v>1006635</v>
      </c>
    </row>
    <row r="4135" spans="1:4" x14ac:dyDescent="0.3">
      <c r="A4135" s="5" t="s">
        <v>130</v>
      </c>
      <c r="B4135" s="5" t="s">
        <v>131</v>
      </c>
      <c r="C4135" s="6">
        <v>1998</v>
      </c>
      <c r="D4135" s="7">
        <v>1019653</v>
      </c>
    </row>
    <row r="4136" spans="1:4" x14ac:dyDescent="0.3">
      <c r="A4136" s="2" t="s">
        <v>130</v>
      </c>
      <c r="B4136" s="2" t="s">
        <v>131</v>
      </c>
      <c r="C4136" s="3">
        <v>1999</v>
      </c>
      <c r="D4136" s="4">
        <v>1030782</v>
      </c>
    </row>
    <row r="4137" spans="1:4" x14ac:dyDescent="0.3">
      <c r="A4137" s="5" t="s">
        <v>130</v>
      </c>
      <c r="B4137" s="5" t="s">
        <v>131</v>
      </c>
      <c r="C4137" s="6">
        <v>2000</v>
      </c>
      <c r="D4137" s="7">
        <v>1041414</v>
      </c>
    </row>
    <row r="4138" spans="1:4" x14ac:dyDescent="0.3">
      <c r="A4138" s="2" t="s">
        <v>130</v>
      </c>
      <c r="B4138" s="2" t="s">
        <v>131</v>
      </c>
      <c r="C4138" s="3">
        <v>2001</v>
      </c>
      <c r="D4138" s="4">
        <v>1051064</v>
      </c>
    </row>
    <row r="4139" spans="1:4" x14ac:dyDescent="0.3">
      <c r="A4139" s="5" t="s">
        <v>130</v>
      </c>
      <c r="B4139" s="5" t="s">
        <v>131</v>
      </c>
      <c r="C4139" s="6">
        <v>2002</v>
      </c>
      <c r="D4139" s="7">
        <v>1059441</v>
      </c>
    </row>
    <row r="4140" spans="1:4" x14ac:dyDescent="0.3">
      <c r="A4140" s="2" t="s">
        <v>130</v>
      </c>
      <c r="B4140" s="2" t="s">
        <v>131</v>
      </c>
      <c r="C4140" s="3">
        <v>2003</v>
      </c>
      <c r="D4140" s="4">
        <v>1066700</v>
      </c>
    </row>
    <row r="4141" spans="1:4" x14ac:dyDescent="0.3">
      <c r="A4141" s="5" t="s">
        <v>130</v>
      </c>
      <c r="B4141" s="5" t="s">
        <v>131</v>
      </c>
      <c r="C4141" s="6">
        <v>2004</v>
      </c>
      <c r="D4141" s="7">
        <v>1073159</v>
      </c>
    </row>
    <row r="4142" spans="1:4" x14ac:dyDescent="0.3">
      <c r="A4142" s="2" t="s">
        <v>130</v>
      </c>
      <c r="B4142" s="2" t="s">
        <v>131</v>
      </c>
      <c r="C4142" s="3">
        <v>2005</v>
      </c>
      <c r="D4142" s="4">
        <v>1079022</v>
      </c>
    </row>
    <row r="4143" spans="1:4" x14ac:dyDescent="0.3">
      <c r="A4143" s="5" t="s">
        <v>130</v>
      </c>
      <c r="B4143" s="5" t="s">
        <v>131</v>
      </c>
      <c r="C4143" s="6">
        <v>2006</v>
      </c>
      <c r="D4143" s="7">
        <v>1084436</v>
      </c>
    </row>
    <row r="4144" spans="1:4" x14ac:dyDescent="0.3">
      <c r="A4144" s="2" t="s">
        <v>130</v>
      </c>
      <c r="B4144" s="2" t="s">
        <v>131</v>
      </c>
      <c r="C4144" s="3">
        <v>2007</v>
      </c>
      <c r="D4144" s="4">
        <v>1090705</v>
      </c>
    </row>
    <row r="4145" spans="1:4" x14ac:dyDescent="0.3">
      <c r="A4145" s="5" t="s">
        <v>130</v>
      </c>
      <c r="B4145" s="5" t="s">
        <v>131</v>
      </c>
      <c r="C4145" s="6">
        <v>2008</v>
      </c>
      <c r="D4145" s="7">
        <v>1098091</v>
      </c>
    </row>
    <row r="4146" spans="1:4" x14ac:dyDescent="0.3">
      <c r="A4146" s="2" t="s">
        <v>130</v>
      </c>
      <c r="B4146" s="2" t="s">
        <v>131</v>
      </c>
      <c r="C4146" s="3">
        <v>2009</v>
      </c>
      <c r="D4146" s="4">
        <v>1105153</v>
      </c>
    </row>
    <row r="4147" spans="1:4" x14ac:dyDescent="0.3">
      <c r="A4147" s="5" t="s">
        <v>130</v>
      </c>
      <c r="B4147" s="5" t="s">
        <v>131</v>
      </c>
      <c r="C4147" s="6">
        <v>2010</v>
      </c>
      <c r="D4147" s="7">
        <v>1111650</v>
      </c>
    </row>
    <row r="4148" spans="1:4" x14ac:dyDescent="0.3">
      <c r="A4148" s="2" t="s">
        <v>130</v>
      </c>
      <c r="B4148" s="2" t="s">
        <v>131</v>
      </c>
      <c r="C4148" s="3">
        <v>2011</v>
      </c>
      <c r="D4148" s="4">
        <v>1117833</v>
      </c>
    </row>
    <row r="4149" spans="1:4" x14ac:dyDescent="0.3">
      <c r="A4149" s="5" t="s">
        <v>130</v>
      </c>
      <c r="B4149" s="5" t="s">
        <v>131</v>
      </c>
      <c r="C4149" s="6">
        <v>2012</v>
      </c>
      <c r="D4149" s="7">
        <v>1123863</v>
      </c>
    </row>
    <row r="4150" spans="1:4" x14ac:dyDescent="0.3">
      <c r="A4150" s="2" t="s">
        <v>130</v>
      </c>
      <c r="B4150" s="2" t="s">
        <v>131</v>
      </c>
      <c r="C4150" s="3">
        <v>2013</v>
      </c>
      <c r="D4150" s="4">
        <v>1129990</v>
      </c>
    </row>
    <row r="4151" spans="1:4" x14ac:dyDescent="0.3">
      <c r="A4151" s="5" t="s">
        <v>130</v>
      </c>
      <c r="B4151" s="5" t="s">
        <v>131</v>
      </c>
      <c r="C4151" s="6">
        <v>2014</v>
      </c>
      <c r="D4151" s="7">
        <v>1136299</v>
      </c>
    </row>
    <row r="4152" spans="1:4" x14ac:dyDescent="0.3">
      <c r="A4152" s="2" t="s">
        <v>130</v>
      </c>
      <c r="B4152" s="2" t="s">
        <v>131</v>
      </c>
      <c r="C4152" s="3">
        <v>2015</v>
      </c>
      <c r="D4152" s="4">
        <v>1142813</v>
      </c>
    </row>
    <row r="4153" spans="1:4" x14ac:dyDescent="0.3">
      <c r="A4153" s="5" t="s">
        <v>130</v>
      </c>
      <c r="B4153" s="5" t="s">
        <v>131</v>
      </c>
      <c r="C4153" s="6">
        <v>2016</v>
      </c>
      <c r="D4153" s="7">
        <v>1149507</v>
      </c>
    </row>
    <row r="4154" spans="1:4" x14ac:dyDescent="0.3">
      <c r="A4154" s="2" t="s">
        <v>130</v>
      </c>
      <c r="B4154" s="2" t="s">
        <v>131</v>
      </c>
      <c r="C4154" s="3">
        <v>2017</v>
      </c>
      <c r="D4154" s="4">
        <v>1158195</v>
      </c>
    </row>
    <row r="4155" spans="1:4" x14ac:dyDescent="0.3">
      <c r="A4155" s="5" t="s">
        <v>130</v>
      </c>
      <c r="B4155" s="5" t="s">
        <v>131</v>
      </c>
      <c r="C4155" s="6">
        <v>2018</v>
      </c>
      <c r="D4155" s="7">
        <v>1168929</v>
      </c>
    </row>
    <row r="4156" spans="1:4" x14ac:dyDescent="0.3">
      <c r="A4156" s="2" t="s">
        <v>130</v>
      </c>
      <c r="B4156" s="2" t="s">
        <v>131</v>
      </c>
      <c r="C4156" s="3">
        <v>2019</v>
      </c>
      <c r="D4156" s="4">
        <v>1179874</v>
      </c>
    </row>
    <row r="4157" spans="1:4" x14ac:dyDescent="0.3">
      <c r="A4157" s="5" t="s">
        <v>130</v>
      </c>
      <c r="B4157" s="5" t="s">
        <v>131</v>
      </c>
      <c r="C4157" s="6">
        <v>2020</v>
      </c>
      <c r="D4157" s="7">
        <v>1192729</v>
      </c>
    </row>
    <row r="4158" spans="1:4" x14ac:dyDescent="0.3">
      <c r="A4158" s="2" t="s">
        <v>130</v>
      </c>
      <c r="B4158" s="2" t="s">
        <v>131</v>
      </c>
      <c r="C4158" s="3">
        <v>2021</v>
      </c>
      <c r="D4158" s="4">
        <v>1206593</v>
      </c>
    </row>
    <row r="4159" spans="1:4" x14ac:dyDescent="0.3">
      <c r="A4159" s="5" t="s">
        <v>130</v>
      </c>
      <c r="B4159" s="5" t="s">
        <v>131</v>
      </c>
      <c r="C4159" s="6">
        <v>2022</v>
      </c>
      <c r="D4159" s="7">
        <v>1218917</v>
      </c>
    </row>
    <row r="4160" spans="1:4" x14ac:dyDescent="0.3">
      <c r="A4160" s="2" t="s">
        <v>130</v>
      </c>
      <c r="B4160" s="2" t="s">
        <v>131</v>
      </c>
      <c r="C4160" s="3">
        <v>2023</v>
      </c>
      <c r="D4160" s="4">
        <v>1230506</v>
      </c>
    </row>
    <row r="4161" spans="1:4" x14ac:dyDescent="0.3">
      <c r="A4161" s="5" t="s">
        <v>130</v>
      </c>
      <c r="B4161" s="5" t="s">
        <v>131</v>
      </c>
      <c r="C4161" s="6">
        <v>2024</v>
      </c>
      <c r="D4161" s="7">
        <v>1242822</v>
      </c>
    </row>
    <row r="4162" spans="1:4" x14ac:dyDescent="0.3">
      <c r="A4162" s="2" t="s">
        <v>132</v>
      </c>
      <c r="B4162" s="2" t="s">
        <v>133</v>
      </c>
      <c r="C4162" s="3">
        <v>1960</v>
      </c>
      <c r="D4162" s="4">
        <v>21376693</v>
      </c>
    </row>
    <row r="4163" spans="1:4" x14ac:dyDescent="0.3">
      <c r="A4163" s="5" t="s">
        <v>132</v>
      </c>
      <c r="B4163" s="5" t="s">
        <v>133</v>
      </c>
      <c r="C4163" s="6">
        <v>1961</v>
      </c>
      <c r="D4163" s="7">
        <v>21906102</v>
      </c>
    </row>
    <row r="4164" spans="1:4" x14ac:dyDescent="0.3">
      <c r="A4164" s="2" t="s">
        <v>132</v>
      </c>
      <c r="B4164" s="2" t="s">
        <v>133</v>
      </c>
      <c r="C4164" s="3">
        <v>1962</v>
      </c>
      <c r="D4164" s="4">
        <v>22465126</v>
      </c>
    </row>
    <row r="4165" spans="1:4" x14ac:dyDescent="0.3">
      <c r="A4165" s="5" t="s">
        <v>132</v>
      </c>
      <c r="B4165" s="5" t="s">
        <v>133</v>
      </c>
      <c r="C4165" s="6">
        <v>1963</v>
      </c>
      <c r="D4165" s="7">
        <v>23051637</v>
      </c>
    </row>
    <row r="4166" spans="1:4" x14ac:dyDescent="0.3">
      <c r="A4166" s="2" t="s">
        <v>132</v>
      </c>
      <c r="B4166" s="2" t="s">
        <v>133</v>
      </c>
      <c r="C4166" s="3">
        <v>1964</v>
      </c>
      <c r="D4166" s="4">
        <v>23666548</v>
      </c>
    </row>
    <row r="4167" spans="1:4" x14ac:dyDescent="0.3">
      <c r="A4167" s="5" t="s">
        <v>132</v>
      </c>
      <c r="B4167" s="5" t="s">
        <v>133</v>
      </c>
      <c r="C4167" s="6">
        <v>1965</v>
      </c>
      <c r="D4167" s="7">
        <v>24310612</v>
      </c>
    </row>
    <row r="4168" spans="1:4" x14ac:dyDescent="0.3">
      <c r="A4168" s="2" t="s">
        <v>132</v>
      </c>
      <c r="B4168" s="2" t="s">
        <v>133</v>
      </c>
      <c r="C4168" s="3">
        <v>1966</v>
      </c>
      <c r="D4168" s="4">
        <v>24952689</v>
      </c>
    </row>
    <row r="4169" spans="1:4" x14ac:dyDescent="0.3">
      <c r="A4169" s="5" t="s">
        <v>132</v>
      </c>
      <c r="B4169" s="5" t="s">
        <v>133</v>
      </c>
      <c r="C4169" s="6">
        <v>1967</v>
      </c>
      <c r="D4169" s="7">
        <v>25620276</v>
      </c>
    </row>
    <row r="4170" spans="1:4" x14ac:dyDescent="0.3">
      <c r="A4170" s="2" t="s">
        <v>132</v>
      </c>
      <c r="B4170" s="2" t="s">
        <v>133</v>
      </c>
      <c r="C4170" s="3">
        <v>1968</v>
      </c>
      <c r="D4170" s="4">
        <v>26337930</v>
      </c>
    </row>
    <row r="4171" spans="1:4" x14ac:dyDescent="0.3">
      <c r="A4171" s="5" t="s">
        <v>132</v>
      </c>
      <c r="B4171" s="5" t="s">
        <v>133</v>
      </c>
      <c r="C4171" s="6">
        <v>1969</v>
      </c>
      <c r="D4171" s="7">
        <v>27072571</v>
      </c>
    </row>
    <row r="4172" spans="1:4" x14ac:dyDescent="0.3">
      <c r="A4172" s="2" t="s">
        <v>132</v>
      </c>
      <c r="B4172" s="2" t="s">
        <v>133</v>
      </c>
      <c r="C4172" s="3">
        <v>1970</v>
      </c>
      <c r="D4172" s="4">
        <v>27829128</v>
      </c>
    </row>
    <row r="4173" spans="1:4" x14ac:dyDescent="0.3">
      <c r="A4173" s="5" t="s">
        <v>132</v>
      </c>
      <c r="B4173" s="5" t="s">
        <v>133</v>
      </c>
      <c r="C4173" s="6">
        <v>1971</v>
      </c>
      <c r="D4173" s="7">
        <v>28600106</v>
      </c>
    </row>
    <row r="4174" spans="1:4" x14ac:dyDescent="0.3">
      <c r="A4174" s="2" t="s">
        <v>132</v>
      </c>
      <c r="B4174" s="2" t="s">
        <v>133</v>
      </c>
      <c r="C4174" s="3">
        <v>1972</v>
      </c>
      <c r="D4174" s="4">
        <v>29374608</v>
      </c>
    </row>
    <row r="4175" spans="1:4" x14ac:dyDescent="0.3">
      <c r="A4175" s="5" t="s">
        <v>132</v>
      </c>
      <c r="B4175" s="5" t="s">
        <v>133</v>
      </c>
      <c r="C4175" s="6">
        <v>1973</v>
      </c>
      <c r="D4175" s="7">
        <v>30166785</v>
      </c>
    </row>
    <row r="4176" spans="1:4" x14ac:dyDescent="0.3">
      <c r="A4176" s="2" t="s">
        <v>132</v>
      </c>
      <c r="B4176" s="2" t="s">
        <v>133</v>
      </c>
      <c r="C4176" s="3">
        <v>1974</v>
      </c>
      <c r="D4176" s="4">
        <v>30957273</v>
      </c>
    </row>
    <row r="4177" spans="1:4" x14ac:dyDescent="0.3">
      <c r="A4177" s="5" t="s">
        <v>132</v>
      </c>
      <c r="B4177" s="5" t="s">
        <v>133</v>
      </c>
      <c r="C4177" s="6">
        <v>1975</v>
      </c>
      <c r="D4177" s="7">
        <v>31723252</v>
      </c>
    </row>
    <row r="4178" spans="1:4" x14ac:dyDescent="0.3">
      <c r="A4178" s="2" t="s">
        <v>132</v>
      </c>
      <c r="B4178" s="2" t="s">
        <v>133</v>
      </c>
      <c r="C4178" s="3">
        <v>1976</v>
      </c>
      <c r="D4178" s="4">
        <v>32534418</v>
      </c>
    </row>
    <row r="4179" spans="1:4" x14ac:dyDescent="0.3">
      <c r="A4179" s="5" t="s">
        <v>132</v>
      </c>
      <c r="B4179" s="5" t="s">
        <v>133</v>
      </c>
      <c r="C4179" s="6">
        <v>1977</v>
      </c>
      <c r="D4179" s="7">
        <v>33167272</v>
      </c>
    </row>
    <row r="4180" spans="1:4" x14ac:dyDescent="0.3">
      <c r="A4180" s="2" t="s">
        <v>132</v>
      </c>
      <c r="B4180" s="2" t="s">
        <v>133</v>
      </c>
      <c r="C4180" s="3">
        <v>1978</v>
      </c>
      <c r="D4180" s="4">
        <v>33734592</v>
      </c>
    </row>
    <row r="4181" spans="1:4" x14ac:dyDescent="0.3">
      <c r="A4181" s="5" t="s">
        <v>132</v>
      </c>
      <c r="B4181" s="5" t="s">
        <v>133</v>
      </c>
      <c r="C4181" s="6">
        <v>1979</v>
      </c>
      <c r="D4181" s="7">
        <v>34238652</v>
      </c>
    </row>
    <row r="4182" spans="1:4" x14ac:dyDescent="0.3">
      <c r="A4182" s="2" t="s">
        <v>132</v>
      </c>
      <c r="B4182" s="2" t="s">
        <v>133</v>
      </c>
      <c r="C4182" s="3">
        <v>1980</v>
      </c>
      <c r="D4182" s="4">
        <v>34428514</v>
      </c>
    </row>
    <row r="4183" spans="1:4" x14ac:dyDescent="0.3">
      <c r="A4183" s="5" t="s">
        <v>132</v>
      </c>
      <c r="B4183" s="5" t="s">
        <v>133</v>
      </c>
      <c r="C4183" s="6">
        <v>1981</v>
      </c>
      <c r="D4183" s="7">
        <v>35304012</v>
      </c>
    </row>
    <row r="4184" spans="1:4" x14ac:dyDescent="0.3">
      <c r="A4184" s="2" t="s">
        <v>132</v>
      </c>
      <c r="B4184" s="2" t="s">
        <v>133</v>
      </c>
      <c r="C4184" s="3">
        <v>1982</v>
      </c>
      <c r="D4184" s="4">
        <v>36701290</v>
      </c>
    </row>
    <row r="4185" spans="1:4" x14ac:dyDescent="0.3">
      <c r="A4185" s="5" t="s">
        <v>132</v>
      </c>
      <c r="B4185" s="5" t="s">
        <v>133</v>
      </c>
      <c r="C4185" s="6">
        <v>1983</v>
      </c>
      <c r="D4185" s="7">
        <v>37740817</v>
      </c>
    </row>
    <row r="4186" spans="1:4" x14ac:dyDescent="0.3">
      <c r="A4186" s="2" t="s">
        <v>132</v>
      </c>
      <c r="B4186" s="2" t="s">
        <v>133</v>
      </c>
      <c r="C4186" s="3">
        <v>1984</v>
      </c>
      <c r="D4186" s="4">
        <v>38735722</v>
      </c>
    </row>
    <row r="4187" spans="1:4" x14ac:dyDescent="0.3">
      <c r="A4187" s="5" t="s">
        <v>132</v>
      </c>
      <c r="B4187" s="5" t="s">
        <v>133</v>
      </c>
      <c r="C4187" s="6">
        <v>1985</v>
      </c>
      <c r="D4187" s="7">
        <v>39842136</v>
      </c>
    </row>
    <row r="4188" spans="1:4" x14ac:dyDescent="0.3">
      <c r="A4188" s="2" t="s">
        <v>132</v>
      </c>
      <c r="B4188" s="2" t="s">
        <v>133</v>
      </c>
      <c r="C4188" s="3">
        <v>1986</v>
      </c>
      <c r="D4188" s="4">
        <v>41037656</v>
      </c>
    </row>
    <row r="4189" spans="1:4" x14ac:dyDescent="0.3">
      <c r="A4189" s="5" t="s">
        <v>132</v>
      </c>
      <c r="B4189" s="5" t="s">
        <v>133</v>
      </c>
      <c r="C4189" s="6">
        <v>1987</v>
      </c>
      <c r="D4189" s="7">
        <v>42460039</v>
      </c>
    </row>
    <row r="4190" spans="1:4" x14ac:dyDescent="0.3">
      <c r="A4190" s="2" t="s">
        <v>132</v>
      </c>
      <c r="B4190" s="2" t="s">
        <v>133</v>
      </c>
      <c r="C4190" s="3">
        <v>1988</v>
      </c>
      <c r="D4190" s="4">
        <v>44150825</v>
      </c>
    </row>
    <row r="4191" spans="1:4" x14ac:dyDescent="0.3">
      <c r="A4191" s="5" t="s">
        <v>132</v>
      </c>
      <c r="B4191" s="5" t="s">
        <v>133</v>
      </c>
      <c r="C4191" s="6">
        <v>1989</v>
      </c>
      <c r="D4191" s="7">
        <v>45879690</v>
      </c>
    </row>
    <row r="4192" spans="1:4" x14ac:dyDescent="0.3">
      <c r="A4192" s="2" t="s">
        <v>132</v>
      </c>
      <c r="B4192" s="2" t="s">
        <v>133</v>
      </c>
      <c r="C4192" s="3">
        <v>1990</v>
      </c>
      <c r="D4192" s="4">
        <v>47609755</v>
      </c>
    </row>
    <row r="4193" spans="1:4" x14ac:dyDescent="0.3">
      <c r="A4193" s="5" t="s">
        <v>132</v>
      </c>
      <c r="B4193" s="5" t="s">
        <v>133</v>
      </c>
      <c r="C4193" s="6">
        <v>1991</v>
      </c>
      <c r="D4193" s="7">
        <v>49717198</v>
      </c>
    </row>
    <row r="4194" spans="1:4" x14ac:dyDescent="0.3">
      <c r="A4194" s="2" t="s">
        <v>132</v>
      </c>
      <c r="B4194" s="2" t="s">
        <v>133</v>
      </c>
      <c r="C4194" s="3">
        <v>1992</v>
      </c>
      <c r="D4194" s="4">
        <v>51853747</v>
      </c>
    </row>
    <row r="4195" spans="1:4" x14ac:dyDescent="0.3">
      <c r="A4195" s="5" t="s">
        <v>132</v>
      </c>
      <c r="B4195" s="5" t="s">
        <v>133</v>
      </c>
      <c r="C4195" s="6">
        <v>1993</v>
      </c>
      <c r="D4195" s="7">
        <v>53708891</v>
      </c>
    </row>
    <row r="4196" spans="1:4" x14ac:dyDescent="0.3">
      <c r="A4196" s="2" t="s">
        <v>132</v>
      </c>
      <c r="B4196" s="2" t="s">
        <v>133</v>
      </c>
      <c r="C4196" s="3">
        <v>1994</v>
      </c>
      <c r="D4196" s="4">
        <v>55611508</v>
      </c>
    </row>
    <row r="4197" spans="1:4" x14ac:dyDescent="0.3">
      <c r="A4197" s="5" t="s">
        <v>132</v>
      </c>
      <c r="B4197" s="5" t="s">
        <v>133</v>
      </c>
      <c r="C4197" s="6">
        <v>1995</v>
      </c>
      <c r="D4197" s="7">
        <v>57537335</v>
      </c>
    </row>
    <row r="4198" spans="1:4" x14ac:dyDescent="0.3">
      <c r="A4198" s="2" t="s">
        <v>132</v>
      </c>
      <c r="B4198" s="2" t="s">
        <v>133</v>
      </c>
      <c r="C4198" s="3">
        <v>1996</v>
      </c>
      <c r="D4198" s="4">
        <v>59467635</v>
      </c>
    </row>
    <row r="4199" spans="1:4" x14ac:dyDescent="0.3">
      <c r="A4199" s="5" t="s">
        <v>132</v>
      </c>
      <c r="B4199" s="5" t="s">
        <v>133</v>
      </c>
      <c r="C4199" s="6">
        <v>1997</v>
      </c>
      <c r="D4199" s="7">
        <v>61404539</v>
      </c>
    </row>
    <row r="4200" spans="1:4" x14ac:dyDescent="0.3">
      <c r="A4200" s="2" t="s">
        <v>132</v>
      </c>
      <c r="B4200" s="2" t="s">
        <v>133</v>
      </c>
      <c r="C4200" s="3">
        <v>1998</v>
      </c>
      <c r="D4200" s="4">
        <v>63363524</v>
      </c>
    </row>
    <row r="4201" spans="1:4" x14ac:dyDescent="0.3">
      <c r="A4201" s="5" t="s">
        <v>132</v>
      </c>
      <c r="B4201" s="5" t="s">
        <v>133</v>
      </c>
      <c r="C4201" s="6">
        <v>1999</v>
      </c>
      <c r="D4201" s="7">
        <v>65374561</v>
      </c>
    </row>
    <row r="4202" spans="1:4" x14ac:dyDescent="0.3">
      <c r="A4202" s="2" t="s">
        <v>132</v>
      </c>
      <c r="B4202" s="2" t="s">
        <v>133</v>
      </c>
      <c r="C4202" s="3">
        <v>2000</v>
      </c>
      <c r="D4202" s="4">
        <v>67411494</v>
      </c>
    </row>
    <row r="4203" spans="1:4" x14ac:dyDescent="0.3">
      <c r="A4203" s="5" t="s">
        <v>132</v>
      </c>
      <c r="B4203" s="5" t="s">
        <v>133</v>
      </c>
      <c r="C4203" s="6">
        <v>2001</v>
      </c>
      <c r="D4203" s="7">
        <v>69487762</v>
      </c>
    </row>
    <row r="4204" spans="1:4" x14ac:dyDescent="0.3">
      <c r="A4204" s="2" t="s">
        <v>132</v>
      </c>
      <c r="B4204" s="2" t="s">
        <v>133</v>
      </c>
      <c r="C4204" s="3">
        <v>2002</v>
      </c>
      <c r="D4204" s="4">
        <v>71635517</v>
      </c>
    </row>
    <row r="4205" spans="1:4" x14ac:dyDescent="0.3">
      <c r="A4205" s="5" t="s">
        <v>132</v>
      </c>
      <c r="B4205" s="5" t="s">
        <v>133</v>
      </c>
      <c r="C4205" s="6">
        <v>2003</v>
      </c>
      <c r="D4205" s="7">
        <v>73832663</v>
      </c>
    </row>
    <row r="4206" spans="1:4" x14ac:dyDescent="0.3">
      <c r="A4206" s="2" t="s">
        <v>132</v>
      </c>
      <c r="B4206" s="2" t="s">
        <v>133</v>
      </c>
      <c r="C4206" s="3">
        <v>2004</v>
      </c>
      <c r="D4206" s="4">
        <v>76077206</v>
      </c>
    </row>
    <row r="4207" spans="1:4" x14ac:dyDescent="0.3">
      <c r="A4207" s="5" t="s">
        <v>132</v>
      </c>
      <c r="B4207" s="5" t="s">
        <v>133</v>
      </c>
      <c r="C4207" s="6">
        <v>2005</v>
      </c>
      <c r="D4207" s="7">
        <v>78367470</v>
      </c>
    </row>
    <row r="4208" spans="1:4" x14ac:dyDescent="0.3">
      <c r="A4208" s="2" t="s">
        <v>132</v>
      </c>
      <c r="B4208" s="2" t="s">
        <v>133</v>
      </c>
      <c r="C4208" s="3">
        <v>2006</v>
      </c>
      <c r="D4208" s="4">
        <v>80703490</v>
      </c>
    </row>
    <row r="4209" spans="1:4" x14ac:dyDescent="0.3">
      <c r="A4209" s="5" t="s">
        <v>132</v>
      </c>
      <c r="B4209" s="5" t="s">
        <v>133</v>
      </c>
      <c r="C4209" s="6">
        <v>2007</v>
      </c>
      <c r="D4209" s="7">
        <v>83103217</v>
      </c>
    </row>
    <row r="4210" spans="1:4" x14ac:dyDescent="0.3">
      <c r="A4210" s="2" t="s">
        <v>132</v>
      </c>
      <c r="B4210" s="2" t="s">
        <v>133</v>
      </c>
      <c r="C4210" s="3">
        <v>2008</v>
      </c>
      <c r="D4210" s="4">
        <v>85543668</v>
      </c>
    </row>
    <row r="4211" spans="1:4" x14ac:dyDescent="0.3">
      <c r="A4211" s="5" t="s">
        <v>132</v>
      </c>
      <c r="B4211" s="5" t="s">
        <v>133</v>
      </c>
      <c r="C4211" s="6">
        <v>2009</v>
      </c>
      <c r="D4211" s="7">
        <v>88007636</v>
      </c>
    </row>
    <row r="4212" spans="1:4" x14ac:dyDescent="0.3">
      <c r="A4212" s="2" t="s">
        <v>132</v>
      </c>
      <c r="B4212" s="2" t="s">
        <v>133</v>
      </c>
      <c r="C4212" s="3">
        <v>2010</v>
      </c>
      <c r="D4212" s="4">
        <v>90538514</v>
      </c>
    </row>
    <row r="4213" spans="1:4" x14ac:dyDescent="0.3">
      <c r="A4213" s="5" t="s">
        <v>132</v>
      </c>
      <c r="B4213" s="5" t="s">
        <v>133</v>
      </c>
      <c r="C4213" s="6">
        <v>2011</v>
      </c>
      <c r="D4213" s="7">
        <v>93149970</v>
      </c>
    </row>
    <row r="4214" spans="1:4" x14ac:dyDescent="0.3">
      <c r="A4214" s="2" t="s">
        <v>132</v>
      </c>
      <c r="B4214" s="2" t="s">
        <v>133</v>
      </c>
      <c r="C4214" s="3">
        <v>2012</v>
      </c>
      <c r="D4214" s="4">
        <v>95798767</v>
      </c>
    </row>
    <row r="4215" spans="1:4" x14ac:dyDescent="0.3">
      <c r="A4215" s="5" t="s">
        <v>132</v>
      </c>
      <c r="B4215" s="5" t="s">
        <v>133</v>
      </c>
      <c r="C4215" s="6">
        <v>2013</v>
      </c>
      <c r="D4215" s="7">
        <v>98438751</v>
      </c>
    </row>
    <row r="4216" spans="1:4" x14ac:dyDescent="0.3">
      <c r="A4216" s="2" t="s">
        <v>132</v>
      </c>
      <c r="B4216" s="2" t="s">
        <v>133</v>
      </c>
      <c r="C4216" s="3">
        <v>2014</v>
      </c>
      <c r="D4216" s="4">
        <v>101115610</v>
      </c>
    </row>
    <row r="4217" spans="1:4" x14ac:dyDescent="0.3">
      <c r="A4217" s="5" t="s">
        <v>132</v>
      </c>
      <c r="B4217" s="5" t="s">
        <v>133</v>
      </c>
      <c r="C4217" s="6">
        <v>2015</v>
      </c>
      <c r="D4217" s="7">
        <v>103867135</v>
      </c>
    </row>
    <row r="4218" spans="1:4" x14ac:dyDescent="0.3">
      <c r="A4218" s="2" t="s">
        <v>132</v>
      </c>
      <c r="B4218" s="2" t="s">
        <v>133</v>
      </c>
      <c r="C4218" s="3">
        <v>2016</v>
      </c>
      <c r="D4218" s="4">
        <v>106718162</v>
      </c>
    </row>
    <row r="4219" spans="1:4" x14ac:dyDescent="0.3">
      <c r="A4219" s="5" t="s">
        <v>132</v>
      </c>
      <c r="B4219" s="5" t="s">
        <v>133</v>
      </c>
      <c r="C4219" s="6">
        <v>2017</v>
      </c>
      <c r="D4219" s="7">
        <v>109666481</v>
      </c>
    </row>
    <row r="4220" spans="1:4" x14ac:dyDescent="0.3">
      <c r="A4220" s="2" t="s">
        <v>132</v>
      </c>
      <c r="B4220" s="2" t="s">
        <v>133</v>
      </c>
      <c r="C4220" s="3">
        <v>2018</v>
      </c>
      <c r="D4220" s="4">
        <v>112664152</v>
      </c>
    </row>
    <row r="4221" spans="1:4" x14ac:dyDescent="0.3">
      <c r="A4221" s="5" t="s">
        <v>132</v>
      </c>
      <c r="B4221" s="5" t="s">
        <v>133</v>
      </c>
      <c r="C4221" s="6">
        <v>2019</v>
      </c>
      <c r="D4221" s="7">
        <v>115737383</v>
      </c>
    </row>
    <row r="4222" spans="1:4" x14ac:dyDescent="0.3">
      <c r="A4222" s="2" t="s">
        <v>132</v>
      </c>
      <c r="B4222" s="2" t="s">
        <v>133</v>
      </c>
      <c r="C4222" s="3">
        <v>2020</v>
      </c>
      <c r="D4222" s="4">
        <v>118917671</v>
      </c>
    </row>
    <row r="4223" spans="1:4" x14ac:dyDescent="0.3">
      <c r="A4223" s="5" t="s">
        <v>132</v>
      </c>
      <c r="B4223" s="5" t="s">
        <v>133</v>
      </c>
      <c r="C4223" s="6">
        <v>2021</v>
      </c>
      <c r="D4223" s="7">
        <v>122138588</v>
      </c>
    </row>
    <row r="4224" spans="1:4" x14ac:dyDescent="0.3">
      <c r="A4224" s="2" t="s">
        <v>132</v>
      </c>
      <c r="B4224" s="2" t="s">
        <v>133</v>
      </c>
      <c r="C4224" s="3">
        <v>2022</v>
      </c>
      <c r="D4224" s="4">
        <v>125384287</v>
      </c>
    </row>
    <row r="4225" spans="1:4" x14ac:dyDescent="0.3">
      <c r="A4225" s="5" t="s">
        <v>132</v>
      </c>
      <c r="B4225" s="5" t="s">
        <v>133</v>
      </c>
      <c r="C4225" s="6">
        <v>2023</v>
      </c>
      <c r="D4225" s="7">
        <v>128691692</v>
      </c>
    </row>
    <row r="4226" spans="1:4" x14ac:dyDescent="0.3">
      <c r="A4226" s="2" t="s">
        <v>132</v>
      </c>
      <c r="B4226" s="2" t="s">
        <v>133</v>
      </c>
      <c r="C4226" s="3">
        <v>2024</v>
      </c>
      <c r="D4226" s="4">
        <v>132059767</v>
      </c>
    </row>
    <row r="4227" spans="1:4" x14ac:dyDescent="0.3">
      <c r="A4227" s="5" t="s">
        <v>134</v>
      </c>
      <c r="B4227" s="5" t="s">
        <v>135</v>
      </c>
      <c r="C4227" s="6">
        <v>1960</v>
      </c>
      <c r="D4227" s="7">
        <v>34127</v>
      </c>
    </row>
    <row r="4228" spans="1:4" x14ac:dyDescent="0.3">
      <c r="A4228" s="2" t="s">
        <v>134</v>
      </c>
      <c r="B4228" s="2" t="s">
        <v>135</v>
      </c>
      <c r="C4228" s="3">
        <v>1961</v>
      </c>
      <c r="D4228" s="4">
        <v>34557</v>
      </c>
    </row>
    <row r="4229" spans="1:4" x14ac:dyDescent="0.3">
      <c r="A4229" s="5" t="s">
        <v>134</v>
      </c>
      <c r="B4229" s="5" t="s">
        <v>135</v>
      </c>
      <c r="C4229" s="6">
        <v>1962</v>
      </c>
      <c r="D4229" s="7">
        <v>34963</v>
      </c>
    </row>
    <row r="4230" spans="1:4" x14ac:dyDescent="0.3">
      <c r="A4230" s="2" t="s">
        <v>134</v>
      </c>
      <c r="B4230" s="2" t="s">
        <v>135</v>
      </c>
      <c r="C4230" s="3">
        <v>1963</v>
      </c>
      <c r="D4230" s="4">
        <v>35391</v>
      </c>
    </row>
    <row r="4231" spans="1:4" x14ac:dyDescent="0.3">
      <c r="A4231" s="5" t="s">
        <v>134</v>
      </c>
      <c r="B4231" s="5" t="s">
        <v>135</v>
      </c>
      <c r="C4231" s="6">
        <v>1964</v>
      </c>
      <c r="D4231" s="7">
        <v>35847</v>
      </c>
    </row>
    <row r="4232" spans="1:4" x14ac:dyDescent="0.3">
      <c r="A4232" s="2" t="s">
        <v>134</v>
      </c>
      <c r="B4232" s="2" t="s">
        <v>135</v>
      </c>
      <c r="C4232" s="3">
        <v>1965</v>
      </c>
      <c r="D4232" s="4">
        <v>36347</v>
      </c>
    </row>
    <row r="4233" spans="1:4" x14ac:dyDescent="0.3">
      <c r="A4233" s="5" t="s">
        <v>134</v>
      </c>
      <c r="B4233" s="5" t="s">
        <v>135</v>
      </c>
      <c r="C4233" s="6">
        <v>1966</v>
      </c>
      <c r="D4233" s="7">
        <v>36816</v>
      </c>
    </row>
    <row r="4234" spans="1:4" x14ac:dyDescent="0.3">
      <c r="A4234" s="2" t="s">
        <v>134</v>
      </c>
      <c r="B4234" s="2" t="s">
        <v>135</v>
      </c>
      <c r="C4234" s="3">
        <v>1967</v>
      </c>
      <c r="D4234" s="4">
        <v>37202</v>
      </c>
    </row>
    <row r="4235" spans="1:4" x14ac:dyDescent="0.3">
      <c r="A4235" s="5" t="s">
        <v>134</v>
      </c>
      <c r="B4235" s="5" t="s">
        <v>135</v>
      </c>
      <c r="C4235" s="6">
        <v>1968</v>
      </c>
      <c r="D4235" s="7">
        <v>37560</v>
      </c>
    </row>
    <row r="4236" spans="1:4" x14ac:dyDescent="0.3">
      <c r="A4236" s="2" t="s">
        <v>134</v>
      </c>
      <c r="B4236" s="2" t="s">
        <v>135</v>
      </c>
      <c r="C4236" s="3">
        <v>1969</v>
      </c>
      <c r="D4236" s="4">
        <v>37907</v>
      </c>
    </row>
    <row r="4237" spans="1:4" x14ac:dyDescent="0.3">
      <c r="A4237" s="5" t="s">
        <v>134</v>
      </c>
      <c r="B4237" s="5" t="s">
        <v>135</v>
      </c>
      <c r="C4237" s="6">
        <v>1970</v>
      </c>
      <c r="D4237" s="7">
        <v>38269</v>
      </c>
    </row>
    <row r="4238" spans="1:4" x14ac:dyDescent="0.3">
      <c r="A4238" s="2" t="s">
        <v>134</v>
      </c>
      <c r="B4238" s="2" t="s">
        <v>135</v>
      </c>
      <c r="C4238" s="3">
        <v>1971</v>
      </c>
      <c r="D4238" s="4">
        <v>38703</v>
      </c>
    </row>
    <row r="4239" spans="1:4" x14ac:dyDescent="0.3">
      <c r="A4239" s="5" t="s">
        <v>134</v>
      </c>
      <c r="B4239" s="5" t="s">
        <v>135</v>
      </c>
      <c r="C4239" s="6">
        <v>1972</v>
      </c>
      <c r="D4239" s="7">
        <v>39172</v>
      </c>
    </row>
    <row r="4240" spans="1:4" x14ac:dyDescent="0.3">
      <c r="A4240" s="2" t="s">
        <v>134</v>
      </c>
      <c r="B4240" s="2" t="s">
        <v>135</v>
      </c>
      <c r="C4240" s="3">
        <v>1973</v>
      </c>
      <c r="D4240" s="4">
        <v>39636</v>
      </c>
    </row>
    <row r="4241" spans="1:4" x14ac:dyDescent="0.3">
      <c r="A4241" s="5" t="s">
        <v>134</v>
      </c>
      <c r="B4241" s="5" t="s">
        <v>135</v>
      </c>
      <c r="C4241" s="6">
        <v>1974</v>
      </c>
      <c r="D4241" s="7">
        <v>40106</v>
      </c>
    </row>
    <row r="4242" spans="1:4" x14ac:dyDescent="0.3">
      <c r="A4242" s="2" t="s">
        <v>134</v>
      </c>
      <c r="B4242" s="2" t="s">
        <v>135</v>
      </c>
      <c r="C4242" s="3">
        <v>1975</v>
      </c>
      <c r="D4242" s="4">
        <v>40568</v>
      </c>
    </row>
    <row r="4243" spans="1:4" x14ac:dyDescent="0.3">
      <c r="A4243" s="5" t="s">
        <v>134</v>
      </c>
      <c r="B4243" s="5" t="s">
        <v>135</v>
      </c>
      <c r="C4243" s="6">
        <v>1976</v>
      </c>
      <c r="D4243" s="7">
        <v>41020</v>
      </c>
    </row>
    <row r="4244" spans="1:4" x14ac:dyDescent="0.3">
      <c r="A4244" s="2" t="s">
        <v>134</v>
      </c>
      <c r="B4244" s="2" t="s">
        <v>135</v>
      </c>
      <c r="C4244" s="3">
        <v>1977</v>
      </c>
      <c r="D4244" s="4">
        <v>41468</v>
      </c>
    </row>
    <row r="4245" spans="1:4" x14ac:dyDescent="0.3">
      <c r="A4245" s="5" t="s">
        <v>134</v>
      </c>
      <c r="B4245" s="5" t="s">
        <v>135</v>
      </c>
      <c r="C4245" s="6">
        <v>1978</v>
      </c>
      <c r="D4245" s="7">
        <v>41968</v>
      </c>
    </row>
    <row r="4246" spans="1:4" x14ac:dyDescent="0.3">
      <c r="A4246" s="2" t="s">
        <v>134</v>
      </c>
      <c r="B4246" s="2" t="s">
        <v>135</v>
      </c>
      <c r="C4246" s="3">
        <v>1979</v>
      </c>
      <c r="D4246" s="4">
        <v>42521</v>
      </c>
    </row>
    <row r="4247" spans="1:4" x14ac:dyDescent="0.3">
      <c r="A4247" s="5" t="s">
        <v>134</v>
      </c>
      <c r="B4247" s="5" t="s">
        <v>135</v>
      </c>
      <c r="C4247" s="6">
        <v>1980</v>
      </c>
      <c r="D4247" s="7">
        <v>43072</v>
      </c>
    </row>
    <row r="4248" spans="1:4" x14ac:dyDescent="0.3">
      <c r="A4248" s="2" t="s">
        <v>134</v>
      </c>
      <c r="B4248" s="2" t="s">
        <v>135</v>
      </c>
      <c r="C4248" s="3">
        <v>1981</v>
      </c>
      <c r="D4248" s="4">
        <v>43626</v>
      </c>
    </row>
    <row r="4249" spans="1:4" x14ac:dyDescent="0.3">
      <c r="A4249" s="5" t="s">
        <v>134</v>
      </c>
      <c r="B4249" s="5" t="s">
        <v>135</v>
      </c>
      <c r="C4249" s="6">
        <v>1982</v>
      </c>
      <c r="D4249" s="7">
        <v>44171</v>
      </c>
    </row>
    <row r="4250" spans="1:4" x14ac:dyDescent="0.3">
      <c r="A4250" s="2" t="s">
        <v>134</v>
      </c>
      <c r="B4250" s="2" t="s">
        <v>135</v>
      </c>
      <c r="C4250" s="3">
        <v>1983</v>
      </c>
      <c r="D4250" s="4">
        <v>44670</v>
      </c>
    </row>
    <row r="4251" spans="1:4" x14ac:dyDescent="0.3">
      <c r="A4251" s="5" t="s">
        <v>134</v>
      </c>
      <c r="B4251" s="5" t="s">
        <v>135</v>
      </c>
      <c r="C4251" s="6">
        <v>1984</v>
      </c>
      <c r="D4251" s="7">
        <v>45141</v>
      </c>
    </row>
    <row r="4252" spans="1:4" x14ac:dyDescent="0.3">
      <c r="A4252" s="2" t="s">
        <v>134</v>
      </c>
      <c r="B4252" s="2" t="s">
        <v>135</v>
      </c>
      <c r="C4252" s="3">
        <v>1985</v>
      </c>
      <c r="D4252" s="4">
        <v>45707</v>
      </c>
    </row>
    <row r="4253" spans="1:4" x14ac:dyDescent="0.3">
      <c r="A4253" s="5" t="s">
        <v>134</v>
      </c>
      <c r="B4253" s="5" t="s">
        <v>135</v>
      </c>
      <c r="C4253" s="6">
        <v>1986</v>
      </c>
      <c r="D4253" s="7">
        <v>46131</v>
      </c>
    </row>
    <row r="4254" spans="1:4" x14ac:dyDescent="0.3">
      <c r="A4254" s="2" t="s">
        <v>134</v>
      </c>
      <c r="B4254" s="2" t="s">
        <v>135</v>
      </c>
      <c r="C4254" s="3">
        <v>1987</v>
      </c>
      <c r="D4254" s="4">
        <v>46701</v>
      </c>
    </row>
    <row r="4255" spans="1:4" x14ac:dyDescent="0.3">
      <c r="A4255" s="5" t="s">
        <v>134</v>
      </c>
      <c r="B4255" s="5" t="s">
        <v>135</v>
      </c>
      <c r="C4255" s="6">
        <v>1988</v>
      </c>
      <c r="D4255" s="7">
        <v>47355</v>
      </c>
    </row>
    <row r="4256" spans="1:4" x14ac:dyDescent="0.3">
      <c r="A4256" s="2" t="s">
        <v>134</v>
      </c>
      <c r="B4256" s="2" t="s">
        <v>135</v>
      </c>
      <c r="C4256" s="3">
        <v>1989</v>
      </c>
      <c r="D4256" s="4">
        <v>47958</v>
      </c>
    </row>
    <row r="4257" spans="1:4" x14ac:dyDescent="0.3">
      <c r="A4257" s="5" t="s">
        <v>134</v>
      </c>
      <c r="B4257" s="5" t="s">
        <v>135</v>
      </c>
      <c r="C4257" s="6">
        <v>1990</v>
      </c>
      <c r="D4257" s="7">
        <v>47740</v>
      </c>
    </row>
    <row r="4258" spans="1:4" x14ac:dyDescent="0.3">
      <c r="A4258" s="2" t="s">
        <v>134</v>
      </c>
      <c r="B4258" s="2" t="s">
        <v>135</v>
      </c>
      <c r="C4258" s="3">
        <v>1991</v>
      </c>
      <c r="D4258" s="4">
        <v>47446</v>
      </c>
    </row>
    <row r="4259" spans="1:4" x14ac:dyDescent="0.3">
      <c r="A4259" s="5" t="s">
        <v>134</v>
      </c>
      <c r="B4259" s="5" t="s">
        <v>135</v>
      </c>
      <c r="C4259" s="6">
        <v>1992</v>
      </c>
      <c r="D4259" s="7">
        <v>47286</v>
      </c>
    </row>
    <row r="4260" spans="1:4" x14ac:dyDescent="0.3">
      <c r="A4260" s="2" t="s">
        <v>134</v>
      </c>
      <c r="B4260" s="2" t="s">
        <v>135</v>
      </c>
      <c r="C4260" s="3">
        <v>1993</v>
      </c>
      <c r="D4260" s="4">
        <v>46473</v>
      </c>
    </row>
    <row r="4261" spans="1:4" x14ac:dyDescent="0.3">
      <c r="A4261" s="5" t="s">
        <v>134</v>
      </c>
      <c r="B4261" s="5" t="s">
        <v>135</v>
      </c>
      <c r="C4261" s="6">
        <v>1994</v>
      </c>
      <c r="D4261" s="7">
        <v>44694</v>
      </c>
    </row>
    <row r="4262" spans="1:4" x14ac:dyDescent="0.3">
      <c r="A4262" s="2" t="s">
        <v>134</v>
      </c>
      <c r="B4262" s="2" t="s">
        <v>135</v>
      </c>
      <c r="C4262" s="3">
        <v>1995</v>
      </c>
      <c r="D4262" s="4">
        <v>43610</v>
      </c>
    </row>
    <row r="4263" spans="1:4" x14ac:dyDescent="0.3">
      <c r="A4263" s="5" t="s">
        <v>134</v>
      </c>
      <c r="B4263" s="5" t="s">
        <v>135</v>
      </c>
      <c r="C4263" s="6">
        <v>1996</v>
      </c>
      <c r="D4263" s="7">
        <v>43580</v>
      </c>
    </row>
    <row r="4264" spans="1:4" x14ac:dyDescent="0.3">
      <c r="A4264" s="2" t="s">
        <v>134</v>
      </c>
      <c r="B4264" s="2" t="s">
        <v>135</v>
      </c>
      <c r="C4264" s="3">
        <v>1997</v>
      </c>
      <c r="D4264" s="4">
        <v>44131</v>
      </c>
    </row>
    <row r="4265" spans="1:4" x14ac:dyDescent="0.3">
      <c r="A4265" s="5" t="s">
        <v>134</v>
      </c>
      <c r="B4265" s="5" t="s">
        <v>135</v>
      </c>
      <c r="C4265" s="6">
        <v>1998</v>
      </c>
      <c r="D4265" s="7">
        <v>44674</v>
      </c>
    </row>
    <row r="4266" spans="1:4" x14ac:dyDescent="0.3">
      <c r="A4266" s="2" t="s">
        <v>134</v>
      </c>
      <c r="B4266" s="2" t="s">
        <v>135</v>
      </c>
      <c r="C4266" s="3">
        <v>1999</v>
      </c>
      <c r="D4266" s="4">
        <v>45146</v>
      </c>
    </row>
    <row r="4267" spans="1:4" x14ac:dyDescent="0.3">
      <c r="A4267" s="5" t="s">
        <v>134</v>
      </c>
      <c r="B4267" s="5" t="s">
        <v>135</v>
      </c>
      <c r="C4267" s="6">
        <v>2000</v>
      </c>
      <c r="D4267" s="7">
        <v>45754</v>
      </c>
    </row>
    <row r="4268" spans="1:4" x14ac:dyDescent="0.3">
      <c r="A4268" s="2" t="s">
        <v>134</v>
      </c>
      <c r="B4268" s="2" t="s">
        <v>135</v>
      </c>
      <c r="C4268" s="3">
        <v>2001</v>
      </c>
      <c r="D4268" s="4">
        <v>46635</v>
      </c>
    </row>
    <row r="4269" spans="1:4" x14ac:dyDescent="0.3">
      <c r="A4269" s="5" t="s">
        <v>134</v>
      </c>
      <c r="B4269" s="5" t="s">
        <v>135</v>
      </c>
      <c r="C4269" s="6">
        <v>2002</v>
      </c>
      <c r="D4269" s="7">
        <v>47335</v>
      </c>
    </row>
    <row r="4270" spans="1:4" x14ac:dyDescent="0.3">
      <c r="A4270" s="2" t="s">
        <v>134</v>
      </c>
      <c r="B4270" s="2" t="s">
        <v>135</v>
      </c>
      <c r="C4270" s="3">
        <v>2003</v>
      </c>
      <c r="D4270" s="4">
        <v>48032</v>
      </c>
    </row>
    <row r="4271" spans="1:4" x14ac:dyDescent="0.3">
      <c r="A4271" s="5" t="s">
        <v>134</v>
      </c>
      <c r="B4271" s="5" t="s">
        <v>135</v>
      </c>
      <c r="C4271" s="6">
        <v>2004</v>
      </c>
      <c r="D4271" s="7">
        <v>48384</v>
      </c>
    </row>
    <row r="4272" spans="1:4" x14ac:dyDescent="0.3">
      <c r="A4272" s="2" t="s">
        <v>134</v>
      </c>
      <c r="B4272" s="2" t="s">
        <v>135</v>
      </c>
      <c r="C4272" s="3">
        <v>2005</v>
      </c>
      <c r="D4272" s="4">
        <v>48359</v>
      </c>
    </row>
    <row r="4273" spans="1:4" x14ac:dyDescent="0.3">
      <c r="A4273" s="5" t="s">
        <v>134</v>
      </c>
      <c r="B4273" s="5" t="s">
        <v>135</v>
      </c>
      <c r="C4273" s="6">
        <v>2006</v>
      </c>
      <c r="D4273" s="7">
        <v>48335</v>
      </c>
    </row>
    <row r="4274" spans="1:4" x14ac:dyDescent="0.3">
      <c r="A4274" s="2" t="s">
        <v>134</v>
      </c>
      <c r="B4274" s="2" t="s">
        <v>135</v>
      </c>
      <c r="C4274" s="3">
        <v>2007</v>
      </c>
      <c r="D4274" s="4">
        <v>48378</v>
      </c>
    </row>
    <row r="4275" spans="1:4" x14ac:dyDescent="0.3">
      <c r="A4275" s="5" t="s">
        <v>134</v>
      </c>
      <c r="B4275" s="5" t="s">
        <v>135</v>
      </c>
      <c r="C4275" s="6">
        <v>2008</v>
      </c>
      <c r="D4275" s="7">
        <v>48547</v>
      </c>
    </row>
    <row r="4276" spans="1:4" x14ac:dyDescent="0.3">
      <c r="A4276" s="2" t="s">
        <v>134</v>
      </c>
      <c r="B4276" s="2" t="s">
        <v>135</v>
      </c>
      <c r="C4276" s="3">
        <v>2009</v>
      </c>
      <c r="D4276" s="4">
        <v>48791</v>
      </c>
    </row>
    <row r="4277" spans="1:4" x14ac:dyDescent="0.3">
      <c r="A4277" s="5" t="s">
        <v>134</v>
      </c>
      <c r="B4277" s="5" t="s">
        <v>135</v>
      </c>
      <c r="C4277" s="6">
        <v>2010</v>
      </c>
      <c r="D4277" s="7">
        <v>48657</v>
      </c>
    </row>
    <row r="4278" spans="1:4" x14ac:dyDescent="0.3">
      <c r="A4278" s="2" t="s">
        <v>134</v>
      </c>
      <c r="B4278" s="2" t="s">
        <v>135</v>
      </c>
      <c r="C4278" s="3">
        <v>2011</v>
      </c>
      <c r="D4278" s="4">
        <v>48543</v>
      </c>
    </row>
    <row r="4279" spans="1:4" x14ac:dyDescent="0.3">
      <c r="A4279" s="5" t="s">
        <v>134</v>
      </c>
      <c r="B4279" s="5" t="s">
        <v>135</v>
      </c>
      <c r="C4279" s="6">
        <v>2012</v>
      </c>
      <c r="D4279" s="7">
        <v>48291</v>
      </c>
    </row>
    <row r="4280" spans="1:4" x14ac:dyDescent="0.3">
      <c r="A4280" s="2" t="s">
        <v>134</v>
      </c>
      <c r="B4280" s="2" t="s">
        <v>135</v>
      </c>
      <c r="C4280" s="3">
        <v>2013</v>
      </c>
      <c r="D4280" s="4">
        <v>48246</v>
      </c>
    </row>
    <row r="4281" spans="1:4" x14ac:dyDescent="0.3">
      <c r="A4281" s="5" t="s">
        <v>134</v>
      </c>
      <c r="B4281" s="5" t="s">
        <v>135</v>
      </c>
      <c r="C4281" s="6">
        <v>2014</v>
      </c>
      <c r="D4281" s="7">
        <v>48428</v>
      </c>
    </row>
    <row r="4282" spans="1:4" x14ac:dyDescent="0.3">
      <c r="A4282" s="2" t="s">
        <v>134</v>
      </c>
      <c r="B4282" s="2" t="s">
        <v>135</v>
      </c>
      <c r="C4282" s="3">
        <v>2015</v>
      </c>
      <c r="D4282" s="4">
        <v>48901</v>
      </c>
    </row>
    <row r="4283" spans="1:4" x14ac:dyDescent="0.3">
      <c r="A4283" s="5" t="s">
        <v>134</v>
      </c>
      <c r="B4283" s="5" t="s">
        <v>135</v>
      </c>
      <c r="C4283" s="6">
        <v>2016</v>
      </c>
      <c r="D4283" s="7">
        <v>49464</v>
      </c>
    </row>
    <row r="4284" spans="1:4" x14ac:dyDescent="0.3">
      <c r="A4284" s="2" t="s">
        <v>134</v>
      </c>
      <c r="B4284" s="2" t="s">
        <v>135</v>
      </c>
      <c r="C4284" s="3">
        <v>2017</v>
      </c>
      <c r="D4284" s="4">
        <v>50180</v>
      </c>
    </row>
    <row r="4285" spans="1:4" x14ac:dyDescent="0.3">
      <c r="A4285" s="5" t="s">
        <v>134</v>
      </c>
      <c r="B4285" s="5" t="s">
        <v>135</v>
      </c>
      <c r="C4285" s="6">
        <v>2018</v>
      </c>
      <c r="D4285" s="7">
        <v>50996</v>
      </c>
    </row>
    <row r="4286" spans="1:4" x14ac:dyDescent="0.3">
      <c r="A4286" s="2" t="s">
        <v>134</v>
      </c>
      <c r="B4286" s="2" t="s">
        <v>135</v>
      </c>
      <c r="C4286" s="3">
        <v>2019</v>
      </c>
      <c r="D4286" s="4">
        <v>51793</v>
      </c>
    </row>
    <row r="4287" spans="1:4" x14ac:dyDescent="0.3">
      <c r="A4287" s="5" t="s">
        <v>134</v>
      </c>
      <c r="B4287" s="5" t="s">
        <v>135</v>
      </c>
      <c r="C4287" s="6">
        <v>2020</v>
      </c>
      <c r="D4287" s="7">
        <v>52567</v>
      </c>
    </row>
    <row r="4288" spans="1:4" x14ac:dyDescent="0.3">
      <c r="A4288" s="2" t="s">
        <v>134</v>
      </c>
      <c r="B4288" s="2" t="s">
        <v>135</v>
      </c>
      <c r="C4288" s="3">
        <v>2021</v>
      </c>
      <c r="D4288" s="4">
        <v>53305</v>
      </c>
    </row>
    <row r="4289" spans="1:4" x14ac:dyDescent="0.3">
      <c r="A4289" s="5" t="s">
        <v>134</v>
      </c>
      <c r="B4289" s="5" t="s">
        <v>135</v>
      </c>
      <c r="C4289" s="6">
        <v>2022</v>
      </c>
      <c r="D4289" s="7">
        <v>53927</v>
      </c>
    </row>
    <row r="4290" spans="1:4" x14ac:dyDescent="0.3">
      <c r="A4290" s="2" t="s">
        <v>134</v>
      </c>
      <c r="B4290" s="2" t="s">
        <v>135</v>
      </c>
      <c r="C4290" s="3">
        <v>2023</v>
      </c>
      <c r="D4290" s="4">
        <v>54439</v>
      </c>
    </row>
    <row r="4291" spans="1:4" x14ac:dyDescent="0.3">
      <c r="A4291" s="5" t="s">
        <v>134</v>
      </c>
      <c r="B4291" s="5" t="s">
        <v>135</v>
      </c>
      <c r="C4291" s="6">
        <v>2024</v>
      </c>
      <c r="D4291" s="7">
        <v>54719</v>
      </c>
    </row>
    <row r="4292" spans="1:4" x14ac:dyDescent="0.3">
      <c r="A4292" s="2" t="s">
        <v>136</v>
      </c>
      <c r="B4292" s="2" t="s">
        <v>137</v>
      </c>
      <c r="C4292" s="3">
        <v>1960</v>
      </c>
      <c r="D4292" s="4">
        <v>404887</v>
      </c>
    </row>
    <row r="4293" spans="1:4" x14ac:dyDescent="0.3">
      <c r="A4293" s="5" t="s">
        <v>136</v>
      </c>
      <c r="B4293" s="5" t="s">
        <v>137</v>
      </c>
      <c r="C4293" s="6">
        <v>1961</v>
      </c>
      <c r="D4293" s="7">
        <v>417406</v>
      </c>
    </row>
    <row r="4294" spans="1:4" x14ac:dyDescent="0.3">
      <c r="A4294" s="2" t="s">
        <v>136</v>
      </c>
      <c r="B4294" s="2" t="s">
        <v>137</v>
      </c>
      <c r="C4294" s="3">
        <v>1962</v>
      </c>
      <c r="D4294" s="4">
        <v>430536</v>
      </c>
    </row>
    <row r="4295" spans="1:4" x14ac:dyDescent="0.3">
      <c r="A4295" s="5" t="s">
        <v>136</v>
      </c>
      <c r="B4295" s="5" t="s">
        <v>137</v>
      </c>
      <c r="C4295" s="6">
        <v>1963</v>
      </c>
      <c r="D4295" s="7">
        <v>444276</v>
      </c>
    </row>
    <row r="4296" spans="1:4" x14ac:dyDescent="0.3">
      <c r="A4296" s="2" t="s">
        <v>136</v>
      </c>
      <c r="B4296" s="2" t="s">
        <v>137</v>
      </c>
      <c r="C4296" s="3">
        <v>1964</v>
      </c>
      <c r="D4296" s="4">
        <v>458324</v>
      </c>
    </row>
    <row r="4297" spans="1:4" x14ac:dyDescent="0.3">
      <c r="A4297" s="5" t="s">
        <v>136</v>
      </c>
      <c r="B4297" s="5" t="s">
        <v>137</v>
      </c>
      <c r="C4297" s="6">
        <v>1965</v>
      </c>
      <c r="D4297" s="7">
        <v>472575</v>
      </c>
    </row>
    <row r="4298" spans="1:4" x14ac:dyDescent="0.3">
      <c r="A4298" s="2" t="s">
        <v>136</v>
      </c>
      <c r="B4298" s="2" t="s">
        <v>137</v>
      </c>
      <c r="C4298" s="3">
        <v>1966</v>
      </c>
      <c r="D4298" s="4">
        <v>486487</v>
      </c>
    </row>
    <row r="4299" spans="1:4" x14ac:dyDescent="0.3">
      <c r="A4299" s="5" t="s">
        <v>136</v>
      </c>
      <c r="B4299" s="5" t="s">
        <v>137</v>
      </c>
      <c r="C4299" s="6">
        <v>1967</v>
      </c>
      <c r="D4299" s="7">
        <v>498873</v>
      </c>
    </row>
    <row r="4300" spans="1:4" x14ac:dyDescent="0.3">
      <c r="A4300" s="2" t="s">
        <v>136</v>
      </c>
      <c r="B4300" s="2" t="s">
        <v>137</v>
      </c>
      <c r="C4300" s="3">
        <v>1968</v>
      </c>
      <c r="D4300" s="4">
        <v>510002</v>
      </c>
    </row>
    <row r="4301" spans="1:4" x14ac:dyDescent="0.3">
      <c r="A4301" s="5" t="s">
        <v>136</v>
      </c>
      <c r="B4301" s="5" t="s">
        <v>137</v>
      </c>
      <c r="C4301" s="6">
        <v>1969</v>
      </c>
      <c r="D4301" s="7">
        <v>520797</v>
      </c>
    </row>
    <row r="4302" spans="1:4" x14ac:dyDescent="0.3">
      <c r="A4302" s="2" t="s">
        <v>136</v>
      </c>
      <c r="B4302" s="2" t="s">
        <v>137</v>
      </c>
      <c r="C4302" s="3">
        <v>1970</v>
      </c>
      <c r="D4302" s="4">
        <v>531188</v>
      </c>
    </row>
    <row r="4303" spans="1:4" x14ac:dyDescent="0.3">
      <c r="A4303" s="5" t="s">
        <v>136</v>
      </c>
      <c r="B4303" s="5" t="s">
        <v>137</v>
      </c>
      <c r="C4303" s="6">
        <v>1971</v>
      </c>
      <c r="D4303" s="7">
        <v>541121</v>
      </c>
    </row>
    <row r="4304" spans="1:4" x14ac:dyDescent="0.3">
      <c r="A4304" s="2" t="s">
        <v>136</v>
      </c>
      <c r="B4304" s="2" t="s">
        <v>137</v>
      </c>
      <c r="C4304" s="3">
        <v>1972</v>
      </c>
      <c r="D4304" s="4">
        <v>550499</v>
      </c>
    </row>
    <row r="4305" spans="1:4" x14ac:dyDescent="0.3">
      <c r="A4305" s="5" t="s">
        <v>136</v>
      </c>
      <c r="B4305" s="5" t="s">
        <v>137</v>
      </c>
      <c r="C4305" s="6">
        <v>1973</v>
      </c>
      <c r="D4305" s="7">
        <v>559222</v>
      </c>
    </row>
    <row r="4306" spans="1:4" x14ac:dyDescent="0.3">
      <c r="A4306" s="2" t="s">
        <v>136</v>
      </c>
      <c r="B4306" s="2" t="s">
        <v>137</v>
      </c>
      <c r="C4306" s="3">
        <v>1974</v>
      </c>
      <c r="D4306" s="4">
        <v>567489</v>
      </c>
    </row>
    <row r="4307" spans="1:4" x14ac:dyDescent="0.3">
      <c r="A4307" s="5" t="s">
        <v>136</v>
      </c>
      <c r="B4307" s="5" t="s">
        <v>137</v>
      </c>
      <c r="C4307" s="6">
        <v>1975</v>
      </c>
      <c r="D4307" s="7">
        <v>575906</v>
      </c>
    </row>
    <row r="4308" spans="1:4" x14ac:dyDescent="0.3">
      <c r="A4308" s="2" t="s">
        <v>136</v>
      </c>
      <c r="B4308" s="2" t="s">
        <v>137</v>
      </c>
      <c r="C4308" s="3">
        <v>1976</v>
      </c>
      <c r="D4308" s="4">
        <v>585534</v>
      </c>
    </row>
    <row r="4309" spans="1:4" x14ac:dyDescent="0.3">
      <c r="A4309" s="5" t="s">
        <v>136</v>
      </c>
      <c r="B4309" s="5" t="s">
        <v>137</v>
      </c>
      <c r="C4309" s="6">
        <v>1977</v>
      </c>
      <c r="D4309" s="7">
        <v>597805</v>
      </c>
    </row>
    <row r="4310" spans="1:4" x14ac:dyDescent="0.3">
      <c r="A4310" s="2" t="s">
        <v>136</v>
      </c>
      <c r="B4310" s="2" t="s">
        <v>137</v>
      </c>
      <c r="C4310" s="3">
        <v>1978</v>
      </c>
      <c r="D4310" s="4">
        <v>612091</v>
      </c>
    </row>
    <row r="4311" spans="1:4" x14ac:dyDescent="0.3">
      <c r="A4311" s="5" t="s">
        <v>136</v>
      </c>
      <c r="B4311" s="5" t="s">
        <v>137</v>
      </c>
      <c r="C4311" s="6">
        <v>1979</v>
      </c>
      <c r="D4311" s="7">
        <v>626862</v>
      </c>
    </row>
    <row r="4312" spans="1:4" x14ac:dyDescent="0.3">
      <c r="A4312" s="2" t="s">
        <v>136</v>
      </c>
      <c r="B4312" s="2" t="s">
        <v>137</v>
      </c>
      <c r="C4312" s="3">
        <v>1980</v>
      </c>
      <c r="D4312" s="4">
        <v>641975</v>
      </c>
    </row>
    <row r="4313" spans="1:4" x14ac:dyDescent="0.3">
      <c r="A4313" s="5" t="s">
        <v>136</v>
      </c>
      <c r="B4313" s="5" t="s">
        <v>137</v>
      </c>
      <c r="C4313" s="6">
        <v>1981</v>
      </c>
      <c r="D4313" s="7">
        <v>657471</v>
      </c>
    </row>
    <row r="4314" spans="1:4" x14ac:dyDescent="0.3">
      <c r="A4314" s="2" t="s">
        <v>136</v>
      </c>
      <c r="B4314" s="2" t="s">
        <v>137</v>
      </c>
      <c r="C4314" s="3">
        <v>1982</v>
      </c>
      <c r="D4314" s="4">
        <v>673414</v>
      </c>
    </row>
    <row r="4315" spans="1:4" x14ac:dyDescent="0.3">
      <c r="A4315" s="5" t="s">
        <v>136</v>
      </c>
      <c r="B4315" s="5" t="s">
        <v>137</v>
      </c>
      <c r="C4315" s="6">
        <v>1983</v>
      </c>
      <c r="D4315" s="7">
        <v>689835</v>
      </c>
    </row>
    <row r="4316" spans="1:4" x14ac:dyDescent="0.3">
      <c r="A4316" s="2" t="s">
        <v>136</v>
      </c>
      <c r="B4316" s="2" t="s">
        <v>137</v>
      </c>
      <c r="C4316" s="3">
        <v>1984</v>
      </c>
      <c r="D4316" s="4">
        <v>706716</v>
      </c>
    </row>
    <row r="4317" spans="1:4" x14ac:dyDescent="0.3">
      <c r="A4317" s="5" t="s">
        <v>136</v>
      </c>
      <c r="B4317" s="5" t="s">
        <v>137</v>
      </c>
      <c r="C4317" s="6">
        <v>1985</v>
      </c>
      <c r="D4317" s="7">
        <v>723761</v>
      </c>
    </row>
    <row r="4318" spans="1:4" x14ac:dyDescent="0.3">
      <c r="A4318" s="2" t="s">
        <v>136</v>
      </c>
      <c r="B4318" s="2" t="s">
        <v>137</v>
      </c>
      <c r="C4318" s="3">
        <v>1986</v>
      </c>
      <c r="D4318" s="4">
        <v>739306</v>
      </c>
    </row>
    <row r="4319" spans="1:4" x14ac:dyDescent="0.3">
      <c r="A4319" s="5" t="s">
        <v>136</v>
      </c>
      <c r="B4319" s="5" t="s">
        <v>137</v>
      </c>
      <c r="C4319" s="6">
        <v>1987</v>
      </c>
      <c r="D4319" s="7">
        <v>750540</v>
      </c>
    </row>
    <row r="4320" spans="1:4" x14ac:dyDescent="0.3">
      <c r="A4320" s="2" t="s">
        <v>136</v>
      </c>
      <c r="B4320" s="2" t="s">
        <v>137</v>
      </c>
      <c r="C4320" s="3">
        <v>1988</v>
      </c>
      <c r="D4320" s="4">
        <v>758697</v>
      </c>
    </row>
    <row r="4321" spans="1:4" x14ac:dyDescent="0.3">
      <c r="A4321" s="5" t="s">
        <v>136</v>
      </c>
      <c r="B4321" s="5" t="s">
        <v>137</v>
      </c>
      <c r="C4321" s="6">
        <v>1989</v>
      </c>
      <c r="D4321" s="7">
        <v>766321</v>
      </c>
    </row>
    <row r="4322" spans="1:4" x14ac:dyDescent="0.3">
      <c r="A4322" s="2" t="s">
        <v>136</v>
      </c>
      <c r="B4322" s="2" t="s">
        <v>137</v>
      </c>
      <c r="C4322" s="3">
        <v>1990</v>
      </c>
      <c r="D4322" s="4">
        <v>773316</v>
      </c>
    </row>
    <row r="4323" spans="1:4" x14ac:dyDescent="0.3">
      <c r="A4323" s="5" t="s">
        <v>136</v>
      </c>
      <c r="B4323" s="5" t="s">
        <v>137</v>
      </c>
      <c r="C4323" s="6">
        <v>1991</v>
      </c>
      <c r="D4323" s="7">
        <v>779656</v>
      </c>
    </row>
    <row r="4324" spans="1:4" x14ac:dyDescent="0.3">
      <c r="A4324" s="2" t="s">
        <v>136</v>
      </c>
      <c r="B4324" s="2" t="s">
        <v>137</v>
      </c>
      <c r="C4324" s="3">
        <v>1992</v>
      </c>
      <c r="D4324" s="4">
        <v>785346</v>
      </c>
    </row>
    <row r="4325" spans="1:4" x14ac:dyDescent="0.3">
      <c r="A4325" s="5" t="s">
        <v>136</v>
      </c>
      <c r="B4325" s="5" t="s">
        <v>137</v>
      </c>
      <c r="C4325" s="6">
        <v>1993</v>
      </c>
      <c r="D4325" s="7">
        <v>790369</v>
      </c>
    </row>
    <row r="4326" spans="1:4" x14ac:dyDescent="0.3">
      <c r="A4326" s="2" t="s">
        <v>136</v>
      </c>
      <c r="B4326" s="2" t="s">
        <v>137</v>
      </c>
      <c r="C4326" s="3">
        <v>1994</v>
      </c>
      <c r="D4326" s="4">
        <v>794771</v>
      </c>
    </row>
    <row r="4327" spans="1:4" x14ac:dyDescent="0.3">
      <c r="A4327" s="5" t="s">
        <v>136</v>
      </c>
      <c r="B4327" s="5" t="s">
        <v>137</v>
      </c>
      <c r="C4327" s="6">
        <v>1995</v>
      </c>
      <c r="D4327" s="7">
        <v>798746</v>
      </c>
    </row>
    <row r="4328" spans="1:4" x14ac:dyDescent="0.3">
      <c r="A4328" s="2" t="s">
        <v>136</v>
      </c>
      <c r="B4328" s="2" t="s">
        <v>137</v>
      </c>
      <c r="C4328" s="3">
        <v>1996</v>
      </c>
      <c r="D4328" s="4">
        <v>803789</v>
      </c>
    </row>
    <row r="4329" spans="1:4" x14ac:dyDescent="0.3">
      <c r="A4329" s="5" t="s">
        <v>136</v>
      </c>
      <c r="B4329" s="5" t="s">
        <v>137</v>
      </c>
      <c r="C4329" s="6">
        <v>1997</v>
      </c>
      <c r="D4329" s="7">
        <v>812139</v>
      </c>
    </row>
    <row r="4330" spans="1:4" x14ac:dyDescent="0.3">
      <c r="A4330" s="2" t="s">
        <v>136</v>
      </c>
      <c r="B4330" s="2" t="s">
        <v>137</v>
      </c>
      <c r="C4330" s="3">
        <v>1998</v>
      </c>
      <c r="D4330" s="4">
        <v>822258</v>
      </c>
    </row>
    <row r="4331" spans="1:4" x14ac:dyDescent="0.3">
      <c r="A4331" s="5" t="s">
        <v>136</v>
      </c>
      <c r="B4331" s="5" t="s">
        <v>137</v>
      </c>
      <c r="C4331" s="6">
        <v>1999</v>
      </c>
      <c r="D4331" s="7">
        <v>831828</v>
      </c>
    </row>
    <row r="4332" spans="1:4" x14ac:dyDescent="0.3">
      <c r="A4332" s="2" t="s">
        <v>136</v>
      </c>
      <c r="B4332" s="2" t="s">
        <v>137</v>
      </c>
      <c r="C4332" s="3">
        <v>2000</v>
      </c>
      <c r="D4332" s="4">
        <v>840909</v>
      </c>
    </row>
    <row r="4333" spans="1:4" x14ac:dyDescent="0.3">
      <c r="A4333" s="5" t="s">
        <v>136</v>
      </c>
      <c r="B4333" s="5" t="s">
        <v>137</v>
      </c>
      <c r="C4333" s="6">
        <v>2001</v>
      </c>
      <c r="D4333" s="7">
        <v>849596</v>
      </c>
    </row>
    <row r="4334" spans="1:4" x14ac:dyDescent="0.3">
      <c r="A4334" s="2" t="s">
        <v>136</v>
      </c>
      <c r="B4334" s="2" t="s">
        <v>137</v>
      </c>
      <c r="C4334" s="3">
        <v>2002</v>
      </c>
      <c r="D4334" s="4">
        <v>858049</v>
      </c>
    </row>
    <row r="4335" spans="1:4" x14ac:dyDescent="0.3">
      <c r="A4335" s="5" t="s">
        <v>136</v>
      </c>
      <c r="B4335" s="5" t="s">
        <v>137</v>
      </c>
      <c r="C4335" s="6">
        <v>2003</v>
      </c>
      <c r="D4335" s="7">
        <v>866286</v>
      </c>
    </row>
    <row r="4336" spans="1:4" x14ac:dyDescent="0.3">
      <c r="A4336" s="2" t="s">
        <v>136</v>
      </c>
      <c r="B4336" s="2" t="s">
        <v>137</v>
      </c>
      <c r="C4336" s="3">
        <v>2004</v>
      </c>
      <c r="D4336" s="4">
        <v>874366</v>
      </c>
    </row>
    <row r="4337" spans="1:4" x14ac:dyDescent="0.3">
      <c r="A4337" s="5" t="s">
        <v>136</v>
      </c>
      <c r="B4337" s="5" t="s">
        <v>137</v>
      </c>
      <c r="C4337" s="6">
        <v>2005</v>
      </c>
      <c r="D4337" s="7">
        <v>882379</v>
      </c>
    </row>
    <row r="4338" spans="1:4" x14ac:dyDescent="0.3">
      <c r="A4338" s="2" t="s">
        <v>136</v>
      </c>
      <c r="B4338" s="2" t="s">
        <v>137</v>
      </c>
      <c r="C4338" s="3">
        <v>2006</v>
      </c>
      <c r="D4338" s="4">
        <v>890365</v>
      </c>
    </row>
    <row r="4339" spans="1:4" x14ac:dyDescent="0.3">
      <c r="A4339" s="5" t="s">
        <v>136</v>
      </c>
      <c r="B4339" s="5" t="s">
        <v>137</v>
      </c>
      <c r="C4339" s="6">
        <v>2007</v>
      </c>
      <c r="D4339" s="7">
        <v>897832</v>
      </c>
    </row>
    <row r="4340" spans="1:4" x14ac:dyDescent="0.3">
      <c r="A4340" s="2" t="s">
        <v>136</v>
      </c>
      <c r="B4340" s="2" t="s">
        <v>137</v>
      </c>
      <c r="C4340" s="3">
        <v>2008</v>
      </c>
      <c r="D4340" s="4">
        <v>903399</v>
      </c>
    </row>
    <row r="4341" spans="1:4" x14ac:dyDescent="0.3">
      <c r="A4341" s="5" t="s">
        <v>136</v>
      </c>
      <c r="B4341" s="5" t="s">
        <v>137</v>
      </c>
      <c r="C4341" s="6">
        <v>2009</v>
      </c>
      <c r="D4341" s="7">
        <v>907239</v>
      </c>
    </row>
    <row r="4342" spans="1:4" x14ac:dyDescent="0.3">
      <c r="A4342" s="2" t="s">
        <v>136</v>
      </c>
      <c r="B4342" s="2" t="s">
        <v>137</v>
      </c>
      <c r="C4342" s="3">
        <v>2010</v>
      </c>
      <c r="D4342" s="4">
        <v>910419</v>
      </c>
    </row>
    <row r="4343" spans="1:4" x14ac:dyDescent="0.3">
      <c r="A4343" s="5" t="s">
        <v>136</v>
      </c>
      <c r="B4343" s="5" t="s">
        <v>137</v>
      </c>
      <c r="C4343" s="6">
        <v>2011</v>
      </c>
      <c r="D4343" s="7">
        <v>912989</v>
      </c>
    </row>
    <row r="4344" spans="1:4" x14ac:dyDescent="0.3">
      <c r="A4344" s="2" t="s">
        <v>136</v>
      </c>
      <c r="B4344" s="2" t="s">
        <v>137</v>
      </c>
      <c r="C4344" s="3">
        <v>2012</v>
      </c>
      <c r="D4344" s="4">
        <v>914918</v>
      </c>
    </row>
    <row r="4345" spans="1:4" x14ac:dyDescent="0.3">
      <c r="A4345" s="5" t="s">
        <v>136</v>
      </c>
      <c r="B4345" s="5" t="s">
        <v>137</v>
      </c>
      <c r="C4345" s="6">
        <v>2013</v>
      </c>
      <c r="D4345" s="7">
        <v>916352</v>
      </c>
    </row>
    <row r="4346" spans="1:4" x14ac:dyDescent="0.3">
      <c r="A4346" s="2" t="s">
        <v>136</v>
      </c>
      <c r="B4346" s="2" t="s">
        <v>137</v>
      </c>
      <c r="C4346" s="3">
        <v>2014</v>
      </c>
      <c r="D4346" s="4">
        <v>917585</v>
      </c>
    </row>
    <row r="4347" spans="1:4" x14ac:dyDescent="0.3">
      <c r="A4347" s="5" t="s">
        <v>136</v>
      </c>
      <c r="B4347" s="5" t="s">
        <v>137</v>
      </c>
      <c r="C4347" s="6">
        <v>2015</v>
      </c>
      <c r="D4347" s="7">
        <v>918578</v>
      </c>
    </row>
    <row r="4348" spans="1:4" x14ac:dyDescent="0.3">
      <c r="A4348" s="2" t="s">
        <v>136</v>
      </c>
      <c r="B4348" s="2" t="s">
        <v>137</v>
      </c>
      <c r="C4348" s="3">
        <v>2016</v>
      </c>
      <c r="D4348" s="4">
        <v>919166</v>
      </c>
    </row>
    <row r="4349" spans="1:4" x14ac:dyDescent="0.3">
      <c r="A4349" s="5" t="s">
        <v>136</v>
      </c>
      <c r="B4349" s="5" t="s">
        <v>137</v>
      </c>
      <c r="C4349" s="6">
        <v>2017</v>
      </c>
      <c r="D4349" s="7">
        <v>918759</v>
      </c>
    </row>
    <row r="4350" spans="1:4" x14ac:dyDescent="0.3">
      <c r="A4350" s="2" t="s">
        <v>136</v>
      </c>
      <c r="B4350" s="2" t="s">
        <v>137</v>
      </c>
      <c r="C4350" s="3">
        <v>2018</v>
      </c>
      <c r="D4350" s="4">
        <v>917180</v>
      </c>
    </row>
    <row r="4351" spans="1:4" x14ac:dyDescent="0.3">
      <c r="A4351" s="5" t="s">
        <v>136</v>
      </c>
      <c r="B4351" s="5" t="s">
        <v>137</v>
      </c>
      <c r="C4351" s="6">
        <v>2019</v>
      </c>
      <c r="D4351" s="7">
        <v>914899</v>
      </c>
    </row>
    <row r="4352" spans="1:4" x14ac:dyDescent="0.3">
      <c r="A4352" s="2" t="s">
        <v>136</v>
      </c>
      <c r="B4352" s="2" t="s">
        <v>137</v>
      </c>
      <c r="C4352" s="3">
        <v>2020</v>
      </c>
      <c r="D4352" s="4">
        <v>914963</v>
      </c>
    </row>
    <row r="4353" spans="1:4" x14ac:dyDescent="0.3">
      <c r="A4353" s="5" t="s">
        <v>136</v>
      </c>
      <c r="B4353" s="5" t="s">
        <v>137</v>
      </c>
      <c r="C4353" s="6">
        <v>2021</v>
      </c>
      <c r="D4353" s="7">
        <v>916711</v>
      </c>
    </row>
    <row r="4354" spans="1:4" x14ac:dyDescent="0.3">
      <c r="A4354" s="2" t="s">
        <v>136</v>
      </c>
      <c r="B4354" s="2" t="s">
        <v>137</v>
      </c>
      <c r="C4354" s="3">
        <v>2022</v>
      </c>
      <c r="D4354" s="4">
        <v>919422</v>
      </c>
    </row>
    <row r="4355" spans="1:4" x14ac:dyDescent="0.3">
      <c r="A4355" s="5" t="s">
        <v>136</v>
      </c>
      <c r="B4355" s="5" t="s">
        <v>137</v>
      </c>
      <c r="C4355" s="6">
        <v>2023</v>
      </c>
      <c r="D4355" s="7">
        <v>924145</v>
      </c>
    </row>
    <row r="4356" spans="1:4" x14ac:dyDescent="0.3">
      <c r="A4356" s="2" t="s">
        <v>136</v>
      </c>
      <c r="B4356" s="2" t="s">
        <v>137</v>
      </c>
      <c r="C4356" s="3">
        <v>2024</v>
      </c>
      <c r="D4356" s="4">
        <v>928784</v>
      </c>
    </row>
    <row r="4357" spans="1:4" x14ac:dyDescent="0.3">
      <c r="A4357" s="5" t="s">
        <v>138</v>
      </c>
      <c r="B4357" s="5" t="s">
        <v>139</v>
      </c>
      <c r="C4357" s="6">
        <v>1960</v>
      </c>
      <c r="D4357" s="7">
        <v>4429634</v>
      </c>
    </row>
    <row r="4358" spans="1:4" x14ac:dyDescent="0.3">
      <c r="A4358" s="2" t="s">
        <v>138</v>
      </c>
      <c r="B4358" s="2" t="s">
        <v>139</v>
      </c>
      <c r="C4358" s="3">
        <v>1961</v>
      </c>
      <c r="D4358" s="4">
        <v>4461005</v>
      </c>
    </row>
    <row r="4359" spans="1:4" x14ac:dyDescent="0.3">
      <c r="A4359" s="5" t="s">
        <v>138</v>
      </c>
      <c r="B4359" s="5" t="s">
        <v>139</v>
      </c>
      <c r="C4359" s="6">
        <v>1962</v>
      </c>
      <c r="D4359" s="7">
        <v>4491443</v>
      </c>
    </row>
    <row r="4360" spans="1:4" x14ac:dyDescent="0.3">
      <c r="A4360" s="2" t="s">
        <v>138</v>
      </c>
      <c r="B4360" s="2" t="s">
        <v>139</v>
      </c>
      <c r="C4360" s="3">
        <v>1963</v>
      </c>
      <c r="D4360" s="4">
        <v>4523309</v>
      </c>
    </row>
    <row r="4361" spans="1:4" x14ac:dyDescent="0.3">
      <c r="A4361" s="5" t="s">
        <v>138</v>
      </c>
      <c r="B4361" s="5" t="s">
        <v>139</v>
      </c>
      <c r="C4361" s="6">
        <v>1964</v>
      </c>
      <c r="D4361" s="7">
        <v>4548543</v>
      </c>
    </row>
    <row r="4362" spans="1:4" x14ac:dyDescent="0.3">
      <c r="A4362" s="2" t="s">
        <v>138</v>
      </c>
      <c r="B4362" s="2" t="s">
        <v>139</v>
      </c>
      <c r="C4362" s="3">
        <v>1965</v>
      </c>
      <c r="D4362" s="4">
        <v>4563732</v>
      </c>
    </row>
    <row r="4363" spans="1:4" x14ac:dyDescent="0.3">
      <c r="A4363" s="5" t="s">
        <v>138</v>
      </c>
      <c r="B4363" s="5" t="s">
        <v>139</v>
      </c>
      <c r="C4363" s="6">
        <v>1966</v>
      </c>
      <c r="D4363" s="7">
        <v>4580869</v>
      </c>
    </row>
    <row r="4364" spans="1:4" x14ac:dyDescent="0.3">
      <c r="A4364" s="2" t="s">
        <v>138</v>
      </c>
      <c r="B4364" s="2" t="s">
        <v>139</v>
      </c>
      <c r="C4364" s="3">
        <v>1967</v>
      </c>
      <c r="D4364" s="4">
        <v>4605744</v>
      </c>
    </row>
    <row r="4365" spans="1:4" x14ac:dyDescent="0.3">
      <c r="A4365" s="5" t="s">
        <v>138</v>
      </c>
      <c r="B4365" s="5" t="s">
        <v>139</v>
      </c>
      <c r="C4365" s="6">
        <v>1968</v>
      </c>
      <c r="D4365" s="7">
        <v>4626469</v>
      </c>
    </row>
    <row r="4366" spans="1:4" x14ac:dyDescent="0.3">
      <c r="A4366" s="2" t="s">
        <v>138</v>
      </c>
      <c r="B4366" s="2" t="s">
        <v>139</v>
      </c>
      <c r="C4366" s="3">
        <v>1969</v>
      </c>
      <c r="D4366" s="4">
        <v>4623785</v>
      </c>
    </row>
    <row r="4367" spans="1:4" x14ac:dyDescent="0.3">
      <c r="A4367" s="5" t="s">
        <v>138</v>
      </c>
      <c r="B4367" s="5" t="s">
        <v>139</v>
      </c>
      <c r="C4367" s="6">
        <v>1970</v>
      </c>
      <c r="D4367" s="7">
        <v>4606307</v>
      </c>
    </row>
    <row r="4368" spans="1:4" x14ac:dyDescent="0.3">
      <c r="A4368" s="2" t="s">
        <v>138</v>
      </c>
      <c r="B4368" s="2" t="s">
        <v>139</v>
      </c>
      <c r="C4368" s="3">
        <v>1971</v>
      </c>
      <c r="D4368" s="4">
        <v>4612124</v>
      </c>
    </row>
    <row r="4369" spans="1:4" x14ac:dyDescent="0.3">
      <c r="A4369" s="5" t="s">
        <v>138</v>
      </c>
      <c r="B4369" s="5" t="s">
        <v>139</v>
      </c>
      <c r="C4369" s="6">
        <v>1972</v>
      </c>
      <c r="D4369" s="7">
        <v>4639657</v>
      </c>
    </row>
    <row r="4370" spans="1:4" x14ac:dyDescent="0.3">
      <c r="A4370" s="2" t="s">
        <v>138</v>
      </c>
      <c r="B4370" s="2" t="s">
        <v>139</v>
      </c>
      <c r="C4370" s="3">
        <v>1973</v>
      </c>
      <c r="D4370" s="4">
        <v>4666081</v>
      </c>
    </row>
    <row r="4371" spans="1:4" x14ac:dyDescent="0.3">
      <c r="A4371" s="5" t="s">
        <v>138</v>
      </c>
      <c r="B4371" s="5" t="s">
        <v>139</v>
      </c>
      <c r="C4371" s="6">
        <v>1974</v>
      </c>
      <c r="D4371" s="7">
        <v>4690574</v>
      </c>
    </row>
    <row r="4372" spans="1:4" x14ac:dyDescent="0.3">
      <c r="A4372" s="2" t="s">
        <v>138</v>
      </c>
      <c r="B4372" s="2" t="s">
        <v>139</v>
      </c>
      <c r="C4372" s="3">
        <v>1975</v>
      </c>
      <c r="D4372" s="4">
        <v>4711440</v>
      </c>
    </row>
    <row r="4373" spans="1:4" x14ac:dyDescent="0.3">
      <c r="A4373" s="5" t="s">
        <v>138</v>
      </c>
      <c r="B4373" s="5" t="s">
        <v>139</v>
      </c>
      <c r="C4373" s="6">
        <v>1976</v>
      </c>
      <c r="D4373" s="7">
        <v>4725664</v>
      </c>
    </row>
    <row r="4374" spans="1:4" x14ac:dyDescent="0.3">
      <c r="A4374" s="2" t="s">
        <v>138</v>
      </c>
      <c r="B4374" s="2" t="s">
        <v>139</v>
      </c>
      <c r="C4374" s="3">
        <v>1977</v>
      </c>
      <c r="D4374" s="4">
        <v>4738902</v>
      </c>
    </row>
    <row r="4375" spans="1:4" x14ac:dyDescent="0.3">
      <c r="A4375" s="5" t="s">
        <v>138</v>
      </c>
      <c r="B4375" s="5" t="s">
        <v>139</v>
      </c>
      <c r="C4375" s="6">
        <v>1978</v>
      </c>
      <c r="D4375" s="7">
        <v>4752528</v>
      </c>
    </row>
    <row r="4376" spans="1:4" x14ac:dyDescent="0.3">
      <c r="A4376" s="2" t="s">
        <v>138</v>
      </c>
      <c r="B4376" s="2" t="s">
        <v>139</v>
      </c>
      <c r="C4376" s="3">
        <v>1979</v>
      </c>
      <c r="D4376" s="4">
        <v>4764690</v>
      </c>
    </row>
    <row r="4377" spans="1:4" x14ac:dyDescent="0.3">
      <c r="A4377" s="5" t="s">
        <v>138</v>
      </c>
      <c r="B4377" s="5" t="s">
        <v>139</v>
      </c>
      <c r="C4377" s="6">
        <v>1980</v>
      </c>
      <c r="D4377" s="7">
        <v>4779535</v>
      </c>
    </row>
    <row r="4378" spans="1:4" x14ac:dyDescent="0.3">
      <c r="A4378" s="2" t="s">
        <v>138</v>
      </c>
      <c r="B4378" s="2" t="s">
        <v>139</v>
      </c>
      <c r="C4378" s="3">
        <v>1981</v>
      </c>
      <c r="D4378" s="4">
        <v>4799964</v>
      </c>
    </row>
    <row r="4379" spans="1:4" x14ac:dyDescent="0.3">
      <c r="A4379" s="5" t="s">
        <v>138</v>
      </c>
      <c r="B4379" s="5" t="s">
        <v>139</v>
      </c>
      <c r="C4379" s="6">
        <v>1982</v>
      </c>
      <c r="D4379" s="7">
        <v>4826933</v>
      </c>
    </row>
    <row r="4380" spans="1:4" x14ac:dyDescent="0.3">
      <c r="A4380" s="2" t="s">
        <v>138</v>
      </c>
      <c r="B4380" s="2" t="s">
        <v>139</v>
      </c>
      <c r="C4380" s="3">
        <v>1983</v>
      </c>
      <c r="D4380" s="4">
        <v>4855787</v>
      </c>
    </row>
    <row r="4381" spans="1:4" x14ac:dyDescent="0.3">
      <c r="A4381" s="5" t="s">
        <v>138</v>
      </c>
      <c r="B4381" s="5" t="s">
        <v>139</v>
      </c>
      <c r="C4381" s="6">
        <v>1984</v>
      </c>
      <c r="D4381" s="7">
        <v>4881803</v>
      </c>
    </row>
    <row r="4382" spans="1:4" x14ac:dyDescent="0.3">
      <c r="A4382" s="2" t="s">
        <v>138</v>
      </c>
      <c r="B4382" s="2" t="s">
        <v>139</v>
      </c>
      <c r="C4382" s="3">
        <v>1985</v>
      </c>
      <c r="D4382" s="4">
        <v>4902206</v>
      </c>
    </row>
    <row r="4383" spans="1:4" x14ac:dyDescent="0.3">
      <c r="A4383" s="5" t="s">
        <v>138</v>
      </c>
      <c r="B4383" s="5" t="s">
        <v>139</v>
      </c>
      <c r="C4383" s="6">
        <v>1986</v>
      </c>
      <c r="D4383" s="7">
        <v>4918154</v>
      </c>
    </row>
    <row r="4384" spans="1:4" x14ac:dyDescent="0.3">
      <c r="A4384" s="2" t="s">
        <v>138</v>
      </c>
      <c r="B4384" s="2" t="s">
        <v>139</v>
      </c>
      <c r="C4384" s="3">
        <v>1987</v>
      </c>
      <c r="D4384" s="4">
        <v>4932123</v>
      </c>
    </row>
    <row r="4385" spans="1:4" x14ac:dyDescent="0.3">
      <c r="A4385" s="5" t="s">
        <v>138</v>
      </c>
      <c r="B4385" s="5" t="s">
        <v>139</v>
      </c>
      <c r="C4385" s="6">
        <v>1988</v>
      </c>
      <c r="D4385" s="7">
        <v>4946481</v>
      </c>
    </row>
    <row r="4386" spans="1:4" x14ac:dyDescent="0.3">
      <c r="A4386" s="2" t="s">
        <v>138</v>
      </c>
      <c r="B4386" s="2" t="s">
        <v>139</v>
      </c>
      <c r="C4386" s="3">
        <v>1989</v>
      </c>
      <c r="D4386" s="4">
        <v>4964371</v>
      </c>
    </row>
    <row r="4387" spans="1:4" x14ac:dyDescent="0.3">
      <c r="A4387" s="5" t="s">
        <v>138</v>
      </c>
      <c r="B4387" s="5" t="s">
        <v>139</v>
      </c>
      <c r="C4387" s="6">
        <v>1990</v>
      </c>
      <c r="D4387" s="7">
        <v>4986431</v>
      </c>
    </row>
    <row r="4388" spans="1:4" x14ac:dyDescent="0.3">
      <c r="A4388" s="2" t="s">
        <v>138</v>
      </c>
      <c r="B4388" s="2" t="s">
        <v>139</v>
      </c>
      <c r="C4388" s="3">
        <v>1991</v>
      </c>
      <c r="D4388" s="4">
        <v>5013740</v>
      </c>
    </row>
    <row r="4389" spans="1:4" x14ac:dyDescent="0.3">
      <c r="A4389" s="5" t="s">
        <v>138</v>
      </c>
      <c r="B4389" s="5" t="s">
        <v>139</v>
      </c>
      <c r="C4389" s="6">
        <v>1992</v>
      </c>
      <c r="D4389" s="7">
        <v>5041992</v>
      </c>
    </row>
    <row r="4390" spans="1:4" x14ac:dyDescent="0.3">
      <c r="A4390" s="2" t="s">
        <v>138</v>
      </c>
      <c r="B4390" s="2" t="s">
        <v>139</v>
      </c>
      <c r="C4390" s="3">
        <v>1993</v>
      </c>
      <c r="D4390" s="4">
        <v>5066447</v>
      </c>
    </row>
    <row r="4391" spans="1:4" x14ac:dyDescent="0.3">
      <c r="A4391" s="5" t="s">
        <v>138</v>
      </c>
      <c r="B4391" s="5" t="s">
        <v>139</v>
      </c>
      <c r="C4391" s="6">
        <v>1994</v>
      </c>
      <c r="D4391" s="7">
        <v>5088333</v>
      </c>
    </row>
    <row r="4392" spans="1:4" x14ac:dyDescent="0.3">
      <c r="A4392" s="2" t="s">
        <v>138</v>
      </c>
      <c r="B4392" s="2" t="s">
        <v>139</v>
      </c>
      <c r="C4392" s="3">
        <v>1995</v>
      </c>
      <c r="D4392" s="4">
        <v>5107790</v>
      </c>
    </row>
    <row r="4393" spans="1:4" x14ac:dyDescent="0.3">
      <c r="A4393" s="5" t="s">
        <v>138</v>
      </c>
      <c r="B4393" s="5" t="s">
        <v>139</v>
      </c>
      <c r="C4393" s="6">
        <v>1996</v>
      </c>
      <c r="D4393" s="7">
        <v>5124573</v>
      </c>
    </row>
    <row r="4394" spans="1:4" x14ac:dyDescent="0.3">
      <c r="A4394" s="2" t="s">
        <v>138</v>
      </c>
      <c r="B4394" s="2" t="s">
        <v>139</v>
      </c>
      <c r="C4394" s="3">
        <v>1997</v>
      </c>
      <c r="D4394" s="4">
        <v>5139835</v>
      </c>
    </row>
    <row r="4395" spans="1:4" x14ac:dyDescent="0.3">
      <c r="A4395" s="5" t="s">
        <v>138</v>
      </c>
      <c r="B4395" s="5" t="s">
        <v>139</v>
      </c>
      <c r="C4395" s="6">
        <v>1998</v>
      </c>
      <c r="D4395" s="7">
        <v>5153498</v>
      </c>
    </row>
    <row r="4396" spans="1:4" x14ac:dyDescent="0.3">
      <c r="A4396" s="2" t="s">
        <v>138</v>
      </c>
      <c r="B4396" s="2" t="s">
        <v>139</v>
      </c>
      <c r="C4396" s="3">
        <v>1999</v>
      </c>
      <c r="D4396" s="4">
        <v>5165474</v>
      </c>
    </row>
    <row r="4397" spans="1:4" x14ac:dyDescent="0.3">
      <c r="A4397" s="5" t="s">
        <v>138</v>
      </c>
      <c r="B4397" s="5" t="s">
        <v>139</v>
      </c>
      <c r="C4397" s="6">
        <v>2000</v>
      </c>
      <c r="D4397" s="7">
        <v>5176209</v>
      </c>
    </row>
    <row r="4398" spans="1:4" x14ac:dyDescent="0.3">
      <c r="A4398" s="2" t="s">
        <v>138</v>
      </c>
      <c r="B4398" s="2" t="s">
        <v>139</v>
      </c>
      <c r="C4398" s="3">
        <v>2001</v>
      </c>
      <c r="D4398" s="4">
        <v>5188008</v>
      </c>
    </row>
    <row r="4399" spans="1:4" x14ac:dyDescent="0.3">
      <c r="A4399" s="5" t="s">
        <v>138</v>
      </c>
      <c r="B4399" s="5" t="s">
        <v>139</v>
      </c>
      <c r="C4399" s="6">
        <v>2002</v>
      </c>
      <c r="D4399" s="7">
        <v>5200598</v>
      </c>
    </row>
    <row r="4400" spans="1:4" x14ac:dyDescent="0.3">
      <c r="A4400" s="2" t="s">
        <v>138</v>
      </c>
      <c r="B4400" s="2" t="s">
        <v>139</v>
      </c>
      <c r="C4400" s="3">
        <v>2003</v>
      </c>
      <c r="D4400" s="4">
        <v>5213014</v>
      </c>
    </row>
    <row r="4401" spans="1:4" x14ac:dyDescent="0.3">
      <c r="A4401" s="5" t="s">
        <v>138</v>
      </c>
      <c r="B4401" s="5" t="s">
        <v>139</v>
      </c>
      <c r="C4401" s="6">
        <v>2004</v>
      </c>
      <c r="D4401" s="7">
        <v>5228172</v>
      </c>
    </row>
    <row r="4402" spans="1:4" x14ac:dyDescent="0.3">
      <c r="A4402" s="2" t="s">
        <v>138</v>
      </c>
      <c r="B4402" s="2" t="s">
        <v>139</v>
      </c>
      <c r="C4402" s="3">
        <v>2005</v>
      </c>
      <c r="D4402" s="4">
        <v>5246096</v>
      </c>
    </row>
    <row r="4403" spans="1:4" x14ac:dyDescent="0.3">
      <c r="A4403" s="5" t="s">
        <v>138</v>
      </c>
      <c r="B4403" s="5" t="s">
        <v>139</v>
      </c>
      <c r="C4403" s="6">
        <v>2006</v>
      </c>
      <c r="D4403" s="7">
        <v>5266268</v>
      </c>
    </row>
    <row r="4404" spans="1:4" x14ac:dyDescent="0.3">
      <c r="A4404" s="2" t="s">
        <v>138</v>
      </c>
      <c r="B4404" s="2" t="s">
        <v>139</v>
      </c>
      <c r="C4404" s="3">
        <v>2007</v>
      </c>
      <c r="D4404" s="4">
        <v>5288720</v>
      </c>
    </row>
    <row r="4405" spans="1:4" x14ac:dyDescent="0.3">
      <c r="A4405" s="5" t="s">
        <v>138</v>
      </c>
      <c r="B4405" s="5" t="s">
        <v>139</v>
      </c>
      <c r="C4405" s="6">
        <v>2008</v>
      </c>
      <c r="D4405" s="7">
        <v>5313399</v>
      </c>
    </row>
    <row r="4406" spans="1:4" x14ac:dyDescent="0.3">
      <c r="A4406" s="2" t="s">
        <v>138</v>
      </c>
      <c r="B4406" s="2" t="s">
        <v>139</v>
      </c>
      <c r="C4406" s="3">
        <v>2009</v>
      </c>
      <c r="D4406" s="4">
        <v>5338871</v>
      </c>
    </row>
    <row r="4407" spans="1:4" x14ac:dyDescent="0.3">
      <c r="A4407" s="5" t="s">
        <v>138</v>
      </c>
      <c r="B4407" s="5" t="s">
        <v>139</v>
      </c>
      <c r="C4407" s="6">
        <v>2010</v>
      </c>
      <c r="D4407" s="7">
        <v>5363352</v>
      </c>
    </row>
    <row r="4408" spans="1:4" x14ac:dyDescent="0.3">
      <c r="A4408" s="2" t="s">
        <v>138</v>
      </c>
      <c r="B4408" s="2" t="s">
        <v>139</v>
      </c>
      <c r="C4408" s="3">
        <v>2011</v>
      </c>
      <c r="D4408" s="4">
        <v>5388272</v>
      </c>
    </row>
    <row r="4409" spans="1:4" x14ac:dyDescent="0.3">
      <c r="A4409" s="5" t="s">
        <v>138</v>
      </c>
      <c r="B4409" s="5" t="s">
        <v>139</v>
      </c>
      <c r="C4409" s="6">
        <v>2012</v>
      </c>
      <c r="D4409" s="7">
        <v>5413971</v>
      </c>
    </row>
    <row r="4410" spans="1:4" x14ac:dyDescent="0.3">
      <c r="A4410" s="2" t="s">
        <v>138</v>
      </c>
      <c r="B4410" s="2" t="s">
        <v>139</v>
      </c>
      <c r="C4410" s="3">
        <v>2013</v>
      </c>
      <c r="D4410" s="4">
        <v>5438972</v>
      </c>
    </row>
    <row r="4411" spans="1:4" x14ac:dyDescent="0.3">
      <c r="A4411" s="5" t="s">
        <v>138</v>
      </c>
      <c r="B4411" s="5" t="s">
        <v>139</v>
      </c>
      <c r="C4411" s="6">
        <v>2014</v>
      </c>
      <c r="D4411" s="7">
        <v>5461512</v>
      </c>
    </row>
    <row r="4412" spans="1:4" x14ac:dyDescent="0.3">
      <c r="A4412" s="2" t="s">
        <v>138</v>
      </c>
      <c r="B4412" s="2" t="s">
        <v>139</v>
      </c>
      <c r="C4412" s="3">
        <v>2015</v>
      </c>
      <c r="D4412" s="4">
        <v>5479531</v>
      </c>
    </row>
    <row r="4413" spans="1:4" x14ac:dyDescent="0.3">
      <c r="A4413" s="5" t="s">
        <v>138</v>
      </c>
      <c r="B4413" s="5" t="s">
        <v>139</v>
      </c>
      <c r="C4413" s="6">
        <v>2016</v>
      </c>
      <c r="D4413" s="7">
        <v>5495303</v>
      </c>
    </row>
    <row r="4414" spans="1:4" x14ac:dyDescent="0.3">
      <c r="A4414" s="2" t="s">
        <v>138</v>
      </c>
      <c r="B4414" s="2" t="s">
        <v>139</v>
      </c>
      <c r="C4414" s="3">
        <v>2017</v>
      </c>
      <c r="D4414" s="4">
        <v>5508214</v>
      </c>
    </row>
    <row r="4415" spans="1:4" x14ac:dyDescent="0.3">
      <c r="A4415" s="5" t="s">
        <v>138</v>
      </c>
      <c r="B4415" s="5" t="s">
        <v>139</v>
      </c>
      <c r="C4415" s="6">
        <v>2018</v>
      </c>
      <c r="D4415" s="7">
        <v>5515525</v>
      </c>
    </row>
    <row r="4416" spans="1:4" x14ac:dyDescent="0.3">
      <c r="A4416" s="2" t="s">
        <v>138</v>
      </c>
      <c r="B4416" s="2" t="s">
        <v>139</v>
      </c>
      <c r="C4416" s="3">
        <v>2019</v>
      </c>
      <c r="D4416" s="4">
        <v>5521606</v>
      </c>
    </row>
    <row r="4417" spans="1:4" x14ac:dyDescent="0.3">
      <c r="A4417" s="5" t="s">
        <v>138</v>
      </c>
      <c r="B4417" s="5" t="s">
        <v>139</v>
      </c>
      <c r="C4417" s="6">
        <v>2020</v>
      </c>
      <c r="D4417" s="7">
        <v>5529543</v>
      </c>
    </row>
    <row r="4418" spans="1:4" x14ac:dyDescent="0.3">
      <c r="A4418" s="2" t="s">
        <v>138</v>
      </c>
      <c r="B4418" s="2" t="s">
        <v>139</v>
      </c>
      <c r="C4418" s="3">
        <v>2021</v>
      </c>
      <c r="D4418" s="4">
        <v>5541017</v>
      </c>
    </row>
    <row r="4419" spans="1:4" x14ac:dyDescent="0.3">
      <c r="A4419" s="5" t="s">
        <v>138</v>
      </c>
      <c r="B4419" s="5" t="s">
        <v>139</v>
      </c>
      <c r="C4419" s="6">
        <v>2022</v>
      </c>
      <c r="D4419" s="7">
        <v>5556106</v>
      </c>
    </row>
    <row r="4420" spans="1:4" x14ac:dyDescent="0.3">
      <c r="A4420" s="2" t="s">
        <v>138</v>
      </c>
      <c r="B4420" s="2" t="s">
        <v>139</v>
      </c>
      <c r="C4420" s="3">
        <v>2023</v>
      </c>
      <c r="D4420" s="4">
        <v>5583911</v>
      </c>
    </row>
    <row r="4421" spans="1:4" x14ac:dyDescent="0.3">
      <c r="A4421" s="5" t="s">
        <v>138</v>
      </c>
      <c r="B4421" s="5" t="s">
        <v>139</v>
      </c>
      <c r="C4421" s="6">
        <v>2024</v>
      </c>
      <c r="D4421" s="7">
        <v>5637214</v>
      </c>
    </row>
    <row r="4422" spans="1:4" x14ac:dyDescent="0.3">
      <c r="A4422" s="2" t="s">
        <v>140</v>
      </c>
      <c r="B4422" s="2" t="s">
        <v>141</v>
      </c>
      <c r="C4422" s="3">
        <v>1960</v>
      </c>
      <c r="D4422" s="4">
        <v>47412964</v>
      </c>
    </row>
    <row r="4423" spans="1:4" x14ac:dyDescent="0.3">
      <c r="A4423" s="5" t="s">
        <v>140</v>
      </c>
      <c r="B4423" s="5" t="s">
        <v>141</v>
      </c>
      <c r="C4423" s="6">
        <v>1961</v>
      </c>
      <c r="D4423" s="7">
        <v>47905982</v>
      </c>
    </row>
    <row r="4424" spans="1:4" x14ac:dyDescent="0.3">
      <c r="A4424" s="2" t="s">
        <v>140</v>
      </c>
      <c r="B4424" s="2" t="s">
        <v>141</v>
      </c>
      <c r="C4424" s="3">
        <v>1962</v>
      </c>
      <c r="D4424" s="4">
        <v>48389516</v>
      </c>
    </row>
    <row r="4425" spans="1:4" x14ac:dyDescent="0.3">
      <c r="A4425" s="5" t="s">
        <v>140</v>
      </c>
      <c r="B4425" s="5" t="s">
        <v>141</v>
      </c>
      <c r="C4425" s="6">
        <v>1963</v>
      </c>
      <c r="D4425" s="7">
        <v>48877567</v>
      </c>
    </row>
    <row r="4426" spans="1:4" x14ac:dyDescent="0.3">
      <c r="A4426" s="2" t="s">
        <v>140</v>
      </c>
      <c r="B4426" s="2" t="s">
        <v>141</v>
      </c>
      <c r="C4426" s="3">
        <v>1964</v>
      </c>
      <c r="D4426" s="4">
        <v>49401492</v>
      </c>
    </row>
    <row r="4427" spans="1:4" x14ac:dyDescent="0.3">
      <c r="A4427" s="5" t="s">
        <v>140</v>
      </c>
      <c r="B4427" s="5" t="s">
        <v>141</v>
      </c>
      <c r="C4427" s="6">
        <v>1965</v>
      </c>
      <c r="D4427" s="7">
        <v>49877725</v>
      </c>
    </row>
    <row r="4428" spans="1:4" x14ac:dyDescent="0.3">
      <c r="A4428" s="2" t="s">
        <v>140</v>
      </c>
      <c r="B4428" s="2" t="s">
        <v>141</v>
      </c>
      <c r="C4428" s="3">
        <v>1966</v>
      </c>
      <c r="D4428" s="4">
        <v>50311637</v>
      </c>
    </row>
    <row r="4429" spans="1:4" x14ac:dyDescent="0.3">
      <c r="A4429" s="5" t="s">
        <v>140</v>
      </c>
      <c r="B4429" s="5" t="s">
        <v>141</v>
      </c>
      <c r="C4429" s="6">
        <v>1967</v>
      </c>
      <c r="D4429" s="7">
        <v>50722791</v>
      </c>
    </row>
    <row r="4430" spans="1:4" x14ac:dyDescent="0.3">
      <c r="A4430" s="2" t="s">
        <v>140</v>
      </c>
      <c r="B4430" s="2" t="s">
        <v>141</v>
      </c>
      <c r="C4430" s="3">
        <v>1968</v>
      </c>
      <c r="D4430" s="4">
        <v>51112980</v>
      </c>
    </row>
    <row r="4431" spans="1:4" x14ac:dyDescent="0.3">
      <c r="A4431" s="5" t="s">
        <v>140</v>
      </c>
      <c r="B4431" s="5" t="s">
        <v>141</v>
      </c>
      <c r="C4431" s="6">
        <v>1969</v>
      </c>
      <c r="D4431" s="7">
        <v>51536014</v>
      </c>
    </row>
    <row r="4432" spans="1:4" x14ac:dyDescent="0.3">
      <c r="A4432" s="2" t="s">
        <v>140</v>
      </c>
      <c r="B4432" s="2" t="s">
        <v>141</v>
      </c>
      <c r="C4432" s="3">
        <v>1970</v>
      </c>
      <c r="D4432" s="4">
        <v>52007169</v>
      </c>
    </row>
    <row r="4433" spans="1:4" x14ac:dyDescent="0.3">
      <c r="A4433" s="5" t="s">
        <v>140</v>
      </c>
      <c r="B4433" s="5" t="s">
        <v>141</v>
      </c>
      <c r="C4433" s="6">
        <v>1971</v>
      </c>
      <c r="D4433" s="7">
        <v>52499553</v>
      </c>
    </row>
    <row r="4434" spans="1:4" x14ac:dyDescent="0.3">
      <c r="A4434" s="2" t="s">
        <v>140</v>
      </c>
      <c r="B4434" s="2" t="s">
        <v>141</v>
      </c>
      <c r="C4434" s="3">
        <v>1972</v>
      </c>
      <c r="D4434" s="4">
        <v>52962356</v>
      </c>
    </row>
    <row r="4435" spans="1:4" x14ac:dyDescent="0.3">
      <c r="A4435" s="5" t="s">
        <v>140</v>
      </c>
      <c r="B4435" s="5" t="s">
        <v>141</v>
      </c>
      <c r="C4435" s="6">
        <v>1973</v>
      </c>
      <c r="D4435" s="7">
        <v>53392161</v>
      </c>
    </row>
    <row r="4436" spans="1:4" x14ac:dyDescent="0.3">
      <c r="A4436" s="2" t="s">
        <v>140</v>
      </c>
      <c r="B4436" s="2" t="s">
        <v>141</v>
      </c>
      <c r="C4436" s="3">
        <v>1974</v>
      </c>
      <c r="D4436" s="4">
        <v>53746571</v>
      </c>
    </row>
    <row r="4437" spans="1:4" x14ac:dyDescent="0.3">
      <c r="A4437" s="5" t="s">
        <v>140</v>
      </c>
      <c r="B4437" s="5" t="s">
        <v>141</v>
      </c>
      <c r="C4437" s="6">
        <v>1975</v>
      </c>
      <c r="D4437" s="7">
        <v>54002853</v>
      </c>
    </row>
    <row r="4438" spans="1:4" x14ac:dyDescent="0.3">
      <c r="A4438" s="2" t="s">
        <v>140</v>
      </c>
      <c r="B4438" s="2" t="s">
        <v>141</v>
      </c>
      <c r="C4438" s="3">
        <v>1976</v>
      </c>
      <c r="D4438" s="4">
        <v>54232383</v>
      </c>
    </row>
    <row r="4439" spans="1:4" x14ac:dyDescent="0.3">
      <c r="A4439" s="5" t="s">
        <v>140</v>
      </c>
      <c r="B4439" s="5" t="s">
        <v>141</v>
      </c>
      <c r="C4439" s="6">
        <v>1977</v>
      </c>
      <c r="D4439" s="7">
        <v>54486467</v>
      </c>
    </row>
    <row r="4440" spans="1:4" x14ac:dyDescent="0.3">
      <c r="A4440" s="2" t="s">
        <v>140</v>
      </c>
      <c r="B4440" s="2" t="s">
        <v>141</v>
      </c>
      <c r="C4440" s="3">
        <v>1978</v>
      </c>
      <c r="D4440" s="4">
        <v>54734030</v>
      </c>
    </row>
    <row r="4441" spans="1:4" x14ac:dyDescent="0.3">
      <c r="A4441" s="5" t="s">
        <v>140</v>
      </c>
      <c r="B4441" s="5" t="s">
        <v>141</v>
      </c>
      <c r="C4441" s="6">
        <v>1979</v>
      </c>
      <c r="D4441" s="7">
        <v>54979851</v>
      </c>
    </row>
    <row r="4442" spans="1:4" x14ac:dyDescent="0.3">
      <c r="A4442" s="2" t="s">
        <v>140</v>
      </c>
      <c r="B4442" s="2" t="s">
        <v>141</v>
      </c>
      <c r="C4442" s="3">
        <v>1980</v>
      </c>
      <c r="D4442" s="4">
        <v>55274184</v>
      </c>
    </row>
    <row r="4443" spans="1:4" x14ac:dyDescent="0.3">
      <c r="A4443" s="5" t="s">
        <v>140</v>
      </c>
      <c r="B4443" s="5" t="s">
        <v>141</v>
      </c>
      <c r="C4443" s="6">
        <v>1981</v>
      </c>
      <c r="D4443" s="7">
        <v>55603353</v>
      </c>
    </row>
    <row r="4444" spans="1:4" x14ac:dyDescent="0.3">
      <c r="A4444" s="2" t="s">
        <v>140</v>
      </c>
      <c r="B4444" s="2" t="s">
        <v>141</v>
      </c>
      <c r="C4444" s="3">
        <v>1982</v>
      </c>
      <c r="D4444" s="4">
        <v>55806789</v>
      </c>
    </row>
    <row r="4445" spans="1:4" x14ac:dyDescent="0.3">
      <c r="A4445" s="5" t="s">
        <v>140</v>
      </c>
      <c r="B4445" s="5" t="s">
        <v>141</v>
      </c>
      <c r="C4445" s="6">
        <v>1983</v>
      </c>
      <c r="D4445" s="7">
        <v>56108330</v>
      </c>
    </row>
    <row r="4446" spans="1:4" x14ac:dyDescent="0.3">
      <c r="A4446" s="2" t="s">
        <v>140</v>
      </c>
      <c r="B4446" s="2" t="s">
        <v>141</v>
      </c>
      <c r="C4446" s="3">
        <v>1984</v>
      </c>
      <c r="D4446" s="4">
        <v>56383085</v>
      </c>
    </row>
    <row r="4447" spans="1:4" x14ac:dyDescent="0.3">
      <c r="A4447" s="5" t="s">
        <v>140</v>
      </c>
      <c r="B4447" s="5" t="s">
        <v>141</v>
      </c>
      <c r="C4447" s="6">
        <v>1985</v>
      </c>
      <c r="D4447" s="7">
        <v>56665619</v>
      </c>
    </row>
    <row r="4448" spans="1:4" x14ac:dyDescent="0.3">
      <c r="A4448" s="2" t="s">
        <v>140</v>
      </c>
      <c r="B4448" s="2" t="s">
        <v>141</v>
      </c>
      <c r="C4448" s="3">
        <v>1986</v>
      </c>
      <c r="D4448" s="4">
        <v>56956002</v>
      </c>
    </row>
    <row r="4449" spans="1:4" x14ac:dyDescent="0.3">
      <c r="A4449" s="5" t="s">
        <v>140</v>
      </c>
      <c r="B4449" s="5" t="s">
        <v>141</v>
      </c>
      <c r="C4449" s="6">
        <v>1987</v>
      </c>
      <c r="D4449" s="7">
        <v>57266167</v>
      </c>
    </row>
    <row r="4450" spans="1:4" x14ac:dyDescent="0.3">
      <c r="A4450" s="2" t="s">
        <v>140</v>
      </c>
      <c r="B4450" s="2" t="s">
        <v>141</v>
      </c>
      <c r="C4450" s="3">
        <v>1988</v>
      </c>
      <c r="D4450" s="4">
        <v>57598186</v>
      </c>
    </row>
    <row r="4451" spans="1:4" x14ac:dyDescent="0.3">
      <c r="A4451" s="5" t="s">
        <v>140</v>
      </c>
      <c r="B4451" s="5" t="s">
        <v>141</v>
      </c>
      <c r="C4451" s="6">
        <v>1989</v>
      </c>
      <c r="D4451" s="7">
        <v>57943062</v>
      </c>
    </row>
    <row r="4452" spans="1:4" x14ac:dyDescent="0.3">
      <c r="A4452" s="2" t="s">
        <v>140</v>
      </c>
      <c r="B4452" s="2" t="s">
        <v>141</v>
      </c>
      <c r="C4452" s="3">
        <v>1990</v>
      </c>
      <c r="D4452" s="4">
        <v>58261012</v>
      </c>
    </row>
    <row r="4453" spans="1:4" x14ac:dyDescent="0.3">
      <c r="A4453" s="5" t="s">
        <v>140</v>
      </c>
      <c r="B4453" s="5" t="s">
        <v>141</v>
      </c>
      <c r="C4453" s="6">
        <v>1991</v>
      </c>
      <c r="D4453" s="7">
        <v>58554242</v>
      </c>
    </row>
    <row r="4454" spans="1:4" x14ac:dyDescent="0.3">
      <c r="A4454" s="2" t="s">
        <v>140</v>
      </c>
      <c r="B4454" s="2" t="s">
        <v>141</v>
      </c>
      <c r="C4454" s="3">
        <v>1992</v>
      </c>
      <c r="D4454" s="4">
        <v>58846584</v>
      </c>
    </row>
    <row r="4455" spans="1:4" x14ac:dyDescent="0.3">
      <c r="A4455" s="5" t="s">
        <v>140</v>
      </c>
      <c r="B4455" s="5" t="s">
        <v>141</v>
      </c>
      <c r="C4455" s="6">
        <v>1993</v>
      </c>
      <c r="D4455" s="7">
        <v>59103094</v>
      </c>
    </row>
    <row r="4456" spans="1:4" x14ac:dyDescent="0.3">
      <c r="A4456" s="2" t="s">
        <v>140</v>
      </c>
      <c r="B4456" s="2" t="s">
        <v>141</v>
      </c>
      <c r="C4456" s="3">
        <v>1994</v>
      </c>
      <c r="D4456" s="4">
        <v>59324863</v>
      </c>
    </row>
    <row r="4457" spans="1:4" x14ac:dyDescent="0.3">
      <c r="A4457" s="5" t="s">
        <v>140</v>
      </c>
      <c r="B4457" s="5" t="s">
        <v>141</v>
      </c>
      <c r="C4457" s="6">
        <v>1995</v>
      </c>
      <c r="D4457" s="7">
        <v>59541294</v>
      </c>
    </row>
    <row r="4458" spans="1:4" x14ac:dyDescent="0.3">
      <c r="A4458" s="2" t="s">
        <v>140</v>
      </c>
      <c r="B4458" s="2" t="s">
        <v>141</v>
      </c>
      <c r="C4458" s="3">
        <v>1996</v>
      </c>
      <c r="D4458" s="4">
        <v>59754504</v>
      </c>
    </row>
    <row r="4459" spans="1:4" x14ac:dyDescent="0.3">
      <c r="A4459" s="5" t="s">
        <v>140</v>
      </c>
      <c r="B4459" s="5" t="s">
        <v>141</v>
      </c>
      <c r="C4459" s="6">
        <v>1997</v>
      </c>
      <c r="D4459" s="7">
        <v>59968066</v>
      </c>
    </row>
    <row r="4460" spans="1:4" x14ac:dyDescent="0.3">
      <c r="A4460" s="2" t="s">
        <v>140</v>
      </c>
      <c r="B4460" s="2" t="s">
        <v>141</v>
      </c>
      <c r="C4460" s="3">
        <v>1998</v>
      </c>
      <c r="D4460" s="4">
        <v>60190684</v>
      </c>
    </row>
    <row r="4461" spans="1:4" x14ac:dyDescent="0.3">
      <c r="A4461" s="5" t="s">
        <v>140</v>
      </c>
      <c r="B4461" s="5" t="s">
        <v>141</v>
      </c>
      <c r="C4461" s="6">
        <v>1999</v>
      </c>
      <c r="D4461" s="7">
        <v>60501986</v>
      </c>
    </row>
    <row r="4462" spans="1:4" x14ac:dyDescent="0.3">
      <c r="A4462" s="2" t="s">
        <v>140</v>
      </c>
      <c r="B4462" s="2" t="s">
        <v>141</v>
      </c>
      <c r="C4462" s="3">
        <v>2000</v>
      </c>
      <c r="D4462" s="4">
        <v>60918661</v>
      </c>
    </row>
    <row r="4463" spans="1:4" x14ac:dyDescent="0.3">
      <c r="A4463" s="5" t="s">
        <v>140</v>
      </c>
      <c r="B4463" s="5" t="s">
        <v>141</v>
      </c>
      <c r="C4463" s="6">
        <v>2001</v>
      </c>
      <c r="D4463" s="7">
        <v>61364377</v>
      </c>
    </row>
    <row r="4464" spans="1:4" x14ac:dyDescent="0.3">
      <c r="A4464" s="2" t="s">
        <v>140</v>
      </c>
      <c r="B4464" s="2" t="s">
        <v>141</v>
      </c>
      <c r="C4464" s="3">
        <v>2002</v>
      </c>
      <c r="D4464" s="4">
        <v>61812142</v>
      </c>
    </row>
    <row r="4465" spans="1:4" x14ac:dyDescent="0.3">
      <c r="A4465" s="5" t="s">
        <v>140</v>
      </c>
      <c r="B4465" s="5" t="s">
        <v>141</v>
      </c>
      <c r="C4465" s="6">
        <v>2003</v>
      </c>
      <c r="D4465" s="7">
        <v>62249855</v>
      </c>
    </row>
    <row r="4466" spans="1:4" x14ac:dyDescent="0.3">
      <c r="A4466" s="2" t="s">
        <v>140</v>
      </c>
      <c r="B4466" s="2" t="s">
        <v>141</v>
      </c>
      <c r="C4466" s="3">
        <v>2004</v>
      </c>
      <c r="D4466" s="4">
        <v>62707588</v>
      </c>
    </row>
    <row r="4467" spans="1:4" x14ac:dyDescent="0.3">
      <c r="A4467" s="5" t="s">
        <v>140</v>
      </c>
      <c r="B4467" s="5" t="s">
        <v>141</v>
      </c>
      <c r="C4467" s="6">
        <v>2005</v>
      </c>
      <c r="D4467" s="7">
        <v>63180854</v>
      </c>
    </row>
    <row r="4468" spans="1:4" x14ac:dyDescent="0.3">
      <c r="A4468" s="2" t="s">
        <v>140</v>
      </c>
      <c r="B4468" s="2" t="s">
        <v>141</v>
      </c>
      <c r="C4468" s="3">
        <v>2006</v>
      </c>
      <c r="D4468" s="4">
        <v>63622342</v>
      </c>
    </row>
    <row r="4469" spans="1:4" x14ac:dyDescent="0.3">
      <c r="A4469" s="5" t="s">
        <v>140</v>
      </c>
      <c r="B4469" s="5" t="s">
        <v>141</v>
      </c>
      <c r="C4469" s="6">
        <v>2007</v>
      </c>
      <c r="D4469" s="7">
        <v>64016890</v>
      </c>
    </row>
    <row r="4470" spans="1:4" x14ac:dyDescent="0.3">
      <c r="A4470" s="2" t="s">
        <v>140</v>
      </c>
      <c r="B4470" s="2" t="s">
        <v>141</v>
      </c>
      <c r="C4470" s="3">
        <v>2008</v>
      </c>
      <c r="D4470" s="4">
        <v>64375116</v>
      </c>
    </row>
    <row r="4471" spans="1:4" x14ac:dyDescent="0.3">
      <c r="A4471" s="5" t="s">
        <v>140</v>
      </c>
      <c r="B4471" s="5" t="s">
        <v>141</v>
      </c>
      <c r="C4471" s="6">
        <v>2009</v>
      </c>
      <c r="D4471" s="7">
        <v>64706436</v>
      </c>
    </row>
    <row r="4472" spans="1:4" x14ac:dyDescent="0.3">
      <c r="A4472" s="2" t="s">
        <v>140</v>
      </c>
      <c r="B4472" s="2" t="s">
        <v>141</v>
      </c>
      <c r="C4472" s="3">
        <v>2010</v>
      </c>
      <c r="D4472" s="4">
        <v>65026211</v>
      </c>
    </row>
    <row r="4473" spans="1:4" x14ac:dyDescent="0.3">
      <c r="A4473" s="5" t="s">
        <v>140</v>
      </c>
      <c r="B4473" s="5" t="s">
        <v>141</v>
      </c>
      <c r="C4473" s="6">
        <v>2011</v>
      </c>
      <c r="D4473" s="7">
        <v>65340830</v>
      </c>
    </row>
    <row r="4474" spans="1:4" x14ac:dyDescent="0.3">
      <c r="A4474" s="2" t="s">
        <v>140</v>
      </c>
      <c r="B4474" s="2" t="s">
        <v>141</v>
      </c>
      <c r="C4474" s="3">
        <v>2012</v>
      </c>
      <c r="D4474" s="4">
        <v>65657659</v>
      </c>
    </row>
    <row r="4475" spans="1:4" x14ac:dyDescent="0.3">
      <c r="A4475" s="5" t="s">
        <v>140</v>
      </c>
      <c r="B4475" s="5" t="s">
        <v>141</v>
      </c>
      <c r="C4475" s="6">
        <v>2013</v>
      </c>
      <c r="D4475" s="7">
        <v>65997932</v>
      </c>
    </row>
    <row r="4476" spans="1:4" x14ac:dyDescent="0.3">
      <c r="A4476" s="2" t="s">
        <v>140</v>
      </c>
      <c r="B4476" s="2" t="s">
        <v>141</v>
      </c>
      <c r="C4476" s="3">
        <v>2014</v>
      </c>
      <c r="D4476" s="4">
        <v>66312067</v>
      </c>
    </row>
    <row r="4477" spans="1:4" x14ac:dyDescent="0.3">
      <c r="A4477" s="5" t="s">
        <v>140</v>
      </c>
      <c r="B4477" s="5" t="s">
        <v>141</v>
      </c>
      <c r="C4477" s="6">
        <v>2015</v>
      </c>
      <c r="D4477" s="7">
        <v>66548272</v>
      </c>
    </row>
    <row r="4478" spans="1:4" x14ac:dyDescent="0.3">
      <c r="A4478" s="2" t="s">
        <v>140</v>
      </c>
      <c r="B4478" s="2" t="s">
        <v>141</v>
      </c>
      <c r="C4478" s="3">
        <v>2016</v>
      </c>
      <c r="D4478" s="4">
        <v>66724104</v>
      </c>
    </row>
    <row r="4479" spans="1:4" x14ac:dyDescent="0.3">
      <c r="A4479" s="5" t="s">
        <v>140</v>
      </c>
      <c r="B4479" s="5" t="s">
        <v>141</v>
      </c>
      <c r="C4479" s="6">
        <v>2017</v>
      </c>
      <c r="D4479" s="7">
        <v>66918020</v>
      </c>
    </row>
    <row r="4480" spans="1:4" x14ac:dyDescent="0.3">
      <c r="A4480" s="2" t="s">
        <v>140</v>
      </c>
      <c r="B4480" s="2" t="s">
        <v>141</v>
      </c>
      <c r="C4480" s="3">
        <v>2018</v>
      </c>
      <c r="D4480" s="4">
        <v>67158348</v>
      </c>
    </row>
    <row r="4481" spans="1:4" x14ac:dyDescent="0.3">
      <c r="A4481" s="5" t="s">
        <v>140</v>
      </c>
      <c r="B4481" s="5" t="s">
        <v>141</v>
      </c>
      <c r="C4481" s="6">
        <v>2019</v>
      </c>
      <c r="D4481" s="7">
        <v>67382061</v>
      </c>
    </row>
    <row r="4482" spans="1:4" x14ac:dyDescent="0.3">
      <c r="A4482" s="2" t="s">
        <v>140</v>
      </c>
      <c r="B4482" s="2" t="s">
        <v>141</v>
      </c>
      <c r="C4482" s="3">
        <v>2020</v>
      </c>
      <c r="D4482" s="4">
        <v>67601110</v>
      </c>
    </row>
    <row r="4483" spans="1:4" x14ac:dyDescent="0.3">
      <c r="A4483" s="5" t="s">
        <v>140</v>
      </c>
      <c r="B4483" s="5" t="s">
        <v>141</v>
      </c>
      <c r="C4483" s="6">
        <v>2021</v>
      </c>
      <c r="D4483" s="7">
        <v>67842811</v>
      </c>
    </row>
    <row r="4484" spans="1:4" x14ac:dyDescent="0.3">
      <c r="A4484" s="2" t="s">
        <v>140</v>
      </c>
      <c r="B4484" s="2" t="s">
        <v>141</v>
      </c>
      <c r="C4484" s="3">
        <v>2022</v>
      </c>
      <c r="D4484" s="4">
        <v>68065015</v>
      </c>
    </row>
    <row r="4485" spans="1:4" x14ac:dyDescent="0.3">
      <c r="A4485" s="5" t="s">
        <v>140</v>
      </c>
      <c r="B4485" s="5" t="s">
        <v>141</v>
      </c>
      <c r="C4485" s="6">
        <v>2023</v>
      </c>
      <c r="D4485" s="7">
        <v>68287487</v>
      </c>
    </row>
    <row r="4486" spans="1:4" x14ac:dyDescent="0.3">
      <c r="A4486" s="2" t="s">
        <v>140</v>
      </c>
      <c r="B4486" s="2" t="s">
        <v>141</v>
      </c>
      <c r="C4486" s="3">
        <v>2024</v>
      </c>
      <c r="D4486" s="4">
        <v>68516699</v>
      </c>
    </row>
    <row r="4487" spans="1:4" x14ac:dyDescent="0.3">
      <c r="A4487" s="5" t="s">
        <v>142</v>
      </c>
      <c r="B4487" s="5" t="s">
        <v>143</v>
      </c>
      <c r="C4487" s="6">
        <v>1960</v>
      </c>
      <c r="D4487" s="7">
        <v>83671</v>
      </c>
    </row>
    <row r="4488" spans="1:4" x14ac:dyDescent="0.3">
      <c r="A4488" s="2" t="s">
        <v>142</v>
      </c>
      <c r="B4488" s="2" t="s">
        <v>143</v>
      </c>
      <c r="C4488" s="3">
        <v>1961</v>
      </c>
      <c r="D4488" s="4">
        <v>85434</v>
      </c>
    </row>
    <row r="4489" spans="1:4" x14ac:dyDescent="0.3">
      <c r="A4489" s="5" t="s">
        <v>142</v>
      </c>
      <c r="B4489" s="5" t="s">
        <v>143</v>
      </c>
      <c r="C4489" s="6">
        <v>1962</v>
      </c>
      <c r="D4489" s="7">
        <v>87261</v>
      </c>
    </row>
    <row r="4490" spans="1:4" x14ac:dyDescent="0.3">
      <c r="A4490" s="2" t="s">
        <v>142</v>
      </c>
      <c r="B4490" s="2" t="s">
        <v>143</v>
      </c>
      <c r="C4490" s="3">
        <v>1963</v>
      </c>
      <c r="D4490" s="4">
        <v>89737</v>
      </c>
    </row>
    <row r="4491" spans="1:4" x14ac:dyDescent="0.3">
      <c r="A4491" s="5" t="s">
        <v>142</v>
      </c>
      <c r="B4491" s="5" t="s">
        <v>143</v>
      </c>
      <c r="C4491" s="6">
        <v>1964</v>
      </c>
      <c r="D4491" s="7">
        <v>92823</v>
      </c>
    </row>
    <row r="4492" spans="1:4" x14ac:dyDescent="0.3">
      <c r="A4492" s="2" t="s">
        <v>142</v>
      </c>
      <c r="B4492" s="2" t="s">
        <v>143</v>
      </c>
      <c r="C4492" s="3">
        <v>1965</v>
      </c>
      <c r="D4492" s="4">
        <v>96017</v>
      </c>
    </row>
    <row r="4493" spans="1:4" x14ac:dyDescent="0.3">
      <c r="A4493" s="5" t="s">
        <v>142</v>
      </c>
      <c r="B4493" s="5" t="s">
        <v>143</v>
      </c>
      <c r="C4493" s="6">
        <v>1966</v>
      </c>
      <c r="D4493" s="7">
        <v>99320</v>
      </c>
    </row>
    <row r="4494" spans="1:4" x14ac:dyDescent="0.3">
      <c r="A4494" s="2" t="s">
        <v>142</v>
      </c>
      <c r="B4494" s="2" t="s">
        <v>143</v>
      </c>
      <c r="C4494" s="3">
        <v>1967</v>
      </c>
      <c r="D4494" s="4">
        <v>102754</v>
      </c>
    </row>
    <row r="4495" spans="1:4" x14ac:dyDescent="0.3">
      <c r="A4495" s="5" t="s">
        <v>142</v>
      </c>
      <c r="B4495" s="5" t="s">
        <v>143</v>
      </c>
      <c r="C4495" s="6">
        <v>1968</v>
      </c>
      <c r="D4495" s="7">
        <v>106353</v>
      </c>
    </row>
    <row r="4496" spans="1:4" x14ac:dyDescent="0.3">
      <c r="A4496" s="2" t="s">
        <v>142</v>
      </c>
      <c r="B4496" s="2" t="s">
        <v>143</v>
      </c>
      <c r="C4496" s="3">
        <v>1969</v>
      </c>
      <c r="D4496" s="4">
        <v>110111</v>
      </c>
    </row>
    <row r="4497" spans="1:4" x14ac:dyDescent="0.3">
      <c r="A4497" s="5" t="s">
        <v>142</v>
      </c>
      <c r="B4497" s="5" t="s">
        <v>143</v>
      </c>
      <c r="C4497" s="6">
        <v>1970</v>
      </c>
      <c r="D4497" s="7">
        <v>114010</v>
      </c>
    </row>
    <row r="4498" spans="1:4" x14ac:dyDescent="0.3">
      <c r="A4498" s="2" t="s">
        <v>142</v>
      </c>
      <c r="B4498" s="2" t="s">
        <v>143</v>
      </c>
      <c r="C4498" s="3">
        <v>1971</v>
      </c>
      <c r="D4498" s="4">
        <v>117945</v>
      </c>
    </row>
    <row r="4499" spans="1:4" x14ac:dyDescent="0.3">
      <c r="A4499" s="5" t="s">
        <v>142</v>
      </c>
      <c r="B4499" s="5" t="s">
        <v>143</v>
      </c>
      <c r="C4499" s="6">
        <v>1972</v>
      </c>
      <c r="D4499" s="7">
        <v>121886</v>
      </c>
    </row>
    <row r="4500" spans="1:4" x14ac:dyDescent="0.3">
      <c r="A4500" s="2" t="s">
        <v>142</v>
      </c>
      <c r="B4500" s="2" t="s">
        <v>143</v>
      </c>
      <c r="C4500" s="3">
        <v>1973</v>
      </c>
      <c r="D4500" s="4">
        <v>125897</v>
      </c>
    </row>
    <row r="4501" spans="1:4" x14ac:dyDescent="0.3">
      <c r="A4501" s="5" t="s">
        <v>142</v>
      </c>
      <c r="B4501" s="5" t="s">
        <v>143</v>
      </c>
      <c r="C4501" s="6">
        <v>1974</v>
      </c>
      <c r="D4501" s="7">
        <v>129960</v>
      </c>
    </row>
    <row r="4502" spans="1:4" x14ac:dyDescent="0.3">
      <c r="A4502" s="2" t="s">
        <v>142</v>
      </c>
      <c r="B4502" s="2" t="s">
        <v>143</v>
      </c>
      <c r="C4502" s="3">
        <v>1975</v>
      </c>
      <c r="D4502" s="4">
        <v>134045</v>
      </c>
    </row>
    <row r="4503" spans="1:4" x14ac:dyDescent="0.3">
      <c r="A4503" s="5" t="s">
        <v>142</v>
      </c>
      <c r="B4503" s="5" t="s">
        <v>143</v>
      </c>
      <c r="C4503" s="6">
        <v>1976</v>
      </c>
      <c r="D4503" s="7">
        <v>138114</v>
      </c>
    </row>
    <row r="4504" spans="1:4" x14ac:dyDescent="0.3">
      <c r="A4504" s="2" t="s">
        <v>142</v>
      </c>
      <c r="B4504" s="2" t="s">
        <v>143</v>
      </c>
      <c r="C4504" s="3">
        <v>1977</v>
      </c>
      <c r="D4504" s="4">
        <v>142313</v>
      </c>
    </row>
    <row r="4505" spans="1:4" x14ac:dyDescent="0.3">
      <c r="A4505" s="5" t="s">
        <v>142</v>
      </c>
      <c r="B4505" s="5" t="s">
        <v>143</v>
      </c>
      <c r="C4505" s="6">
        <v>1978</v>
      </c>
      <c r="D4505" s="7">
        <v>146821</v>
      </c>
    </row>
    <row r="4506" spans="1:4" x14ac:dyDescent="0.3">
      <c r="A4506" s="2" t="s">
        <v>142</v>
      </c>
      <c r="B4506" s="2" t="s">
        <v>143</v>
      </c>
      <c r="C4506" s="3">
        <v>1979</v>
      </c>
      <c r="D4506" s="4">
        <v>151569</v>
      </c>
    </row>
    <row r="4507" spans="1:4" x14ac:dyDescent="0.3">
      <c r="A4507" s="5" t="s">
        <v>142</v>
      </c>
      <c r="B4507" s="5" t="s">
        <v>143</v>
      </c>
      <c r="C4507" s="6">
        <v>1980</v>
      </c>
      <c r="D4507" s="7">
        <v>156471</v>
      </c>
    </row>
    <row r="4508" spans="1:4" x14ac:dyDescent="0.3">
      <c r="A4508" s="2" t="s">
        <v>142</v>
      </c>
      <c r="B4508" s="2" t="s">
        <v>143</v>
      </c>
      <c r="C4508" s="3">
        <v>1981</v>
      </c>
      <c r="D4508" s="4">
        <v>161506</v>
      </c>
    </row>
    <row r="4509" spans="1:4" x14ac:dyDescent="0.3">
      <c r="A4509" s="5" t="s">
        <v>142</v>
      </c>
      <c r="B4509" s="5" t="s">
        <v>143</v>
      </c>
      <c r="C4509" s="6">
        <v>1982</v>
      </c>
      <c r="D4509" s="7">
        <v>166646</v>
      </c>
    </row>
    <row r="4510" spans="1:4" x14ac:dyDescent="0.3">
      <c r="A4510" s="2" t="s">
        <v>142</v>
      </c>
      <c r="B4510" s="2" t="s">
        <v>143</v>
      </c>
      <c r="C4510" s="3">
        <v>1983</v>
      </c>
      <c r="D4510" s="4">
        <v>171750</v>
      </c>
    </row>
    <row r="4511" spans="1:4" x14ac:dyDescent="0.3">
      <c r="A4511" s="5" t="s">
        <v>142</v>
      </c>
      <c r="B4511" s="5" t="s">
        <v>143</v>
      </c>
      <c r="C4511" s="6">
        <v>1984</v>
      </c>
      <c r="D4511" s="7">
        <v>176469</v>
      </c>
    </row>
    <row r="4512" spans="1:4" x14ac:dyDescent="0.3">
      <c r="A4512" s="2" t="s">
        <v>142</v>
      </c>
      <c r="B4512" s="2" t="s">
        <v>143</v>
      </c>
      <c r="C4512" s="3">
        <v>1985</v>
      </c>
      <c r="D4512" s="4">
        <v>180988</v>
      </c>
    </row>
    <row r="4513" spans="1:4" x14ac:dyDescent="0.3">
      <c r="A4513" s="5" t="s">
        <v>142</v>
      </c>
      <c r="B4513" s="5" t="s">
        <v>143</v>
      </c>
      <c r="C4513" s="6">
        <v>1986</v>
      </c>
      <c r="D4513" s="7">
        <v>185669</v>
      </c>
    </row>
    <row r="4514" spans="1:4" x14ac:dyDescent="0.3">
      <c r="A4514" s="2" t="s">
        <v>142</v>
      </c>
      <c r="B4514" s="2" t="s">
        <v>143</v>
      </c>
      <c r="C4514" s="3">
        <v>1987</v>
      </c>
      <c r="D4514" s="4">
        <v>190449</v>
      </c>
    </row>
    <row r="4515" spans="1:4" x14ac:dyDescent="0.3">
      <c r="A4515" s="5" t="s">
        <v>142</v>
      </c>
      <c r="B4515" s="5" t="s">
        <v>143</v>
      </c>
      <c r="C4515" s="6">
        <v>1988</v>
      </c>
      <c r="D4515" s="7">
        <v>195193</v>
      </c>
    </row>
    <row r="4516" spans="1:4" x14ac:dyDescent="0.3">
      <c r="A4516" s="2" t="s">
        <v>142</v>
      </c>
      <c r="B4516" s="2" t="s">
        <v>143</v>
      </c>
      <c r="C4516" s="3">
        <v>1989</v>
      </c>
      <c r="D4516" s="4">
        <v>199643</v>
      </c>
    </row>
    <row r="4517" spans="1:4" x14ac:dyDescent="0.3">
      <c r="A4517" s="5" t="s">
        <v>142</v>
      </c>
      <c r="B4517" s="5" t="s">
        <v>143</v>
      </c>
      <c r="C4517" s="6">
        <v>1990</v>
      </c>
      <c r="D4517" s="7">
        <v>203776</v>
      </c>
    </row>
    <row r="4518" spans="1:4" x14ac:dyDescent="0.3">
      <c r="A4518" s="2" t="s">
        <v>142</v>
      </c>
      <c r="B4518" s="2" t="s">
        <v>143</v>
      </c>
      <c r="C4518" s="3">
        <v>1991</v>
      </c>
      <c r="D4518" s="4">
        <v>207744</v>
      </c>
    </row>
    <row r="4519" spans="1:4" x14ac:dyDescent="0.3">
      <c r="A4519" s="5" t="s">
        <v>142</v>
      </c>
      <c r="B4519" s="5" t="s">
        <v>143</v>
      </c>
      <c r="C4519" s="6">
        <v>1992</v>
      </c>
      <c r="D4519" s="7">
        <v>211559</v>
      </c>
    </row>
    <row r="4520" spans="1:4" x14ac:dyDescent="0.3">
      <c r="A4520" s="2" t="s">
        <v>142</v>
      </c>
      <c r="B4520" s="2" t="s">
        <v>143</v>
      </c>
      <c r="C4520" s="3">
        <v>1993</v>
      </c>
      <c r="D4520" s="4">
        <v>215219</v>
      </c>
    </row>
    <row r="4521" spans="1:4" x14ac:dyDescent="0.3">
      <c r="A4521" s="5" t="s">
        <v>142</v>
      </c>
      <c r="B4521" s="5" t="s">
        <v>143</v>
      </c>
      <c r="C4521" s="6">
        <v>1994</v>
      </c>
      <c r="D4521" s="7">
        <v>218738</v>
      </c>
    </row>
    <row r="4522" spans="1:4" x14ac:dyDescent="0.3">
      <c r="A4522" s="2" t="s">
        <v>142</v>
      </c>
      <c r="B4522" s="2" t="s">
        <v>143</v>
      </c>
      <c r="C4522" s="3">
        <v>1995</v>
      </c>
      <c r="D4522" s="4">
        <v>222118</v>
      </c>
    </row>
    <row r="4523" spans="1:4" x14ac:dyDescent="0.3">
      <c r="A4523" s="5" t="s">
        <v>142</v>
      </c>
      <c r="B4523" s="5" t="s">
        <v>143</v>
      </c>
      <c r="C4523" s="6">
        <v>1996</v>
      </c>
      <c r="D4523" s="7">
        <v>225489</v>
      </c>
    </row>
    <row r="4524" spans="1:4" x14ac:dyDescent="0.3">
      <c r="A4524" s="2" t="s">
        <v>142</v>
      </c>
      <c r="B4524" s="2" t="s">
        <v>143</v>
      </c>
      <c r="C4524" s="3">
        <v>1997</v>
      </c>
      <c r="D4524" s="4">
        <v>229121</v>
      </c>
    </row>
    <row r="4525" spans="1:4" x14ac:dyDescent="0.3">
      <c r="A4525" s="5" t="s">
        <v>142</v>
      </c>
      <c r="B4525" s="5" t="s">
        <v>143</v>
      </c>
      <c r="C4525" s="6">
        <v>1998</v>
      </c>
      <c r="D4525" s="7">
        <v>232891</v>
      </c>
    </row>
    <row r="4526" spans="1:4" x14ac:dyDescent="0.3">
      <c r="A4526" s="2" t="s">
        <v>142</v>
      </c>
      <c r="B4526" s="2" t="s">
        <v>143</v>
      </c>
      <c r="C4526" s="3">
        <v>1999</v>
      </c>
      <c r="D4526" s="4">
        <v>236595</v>
      </c>
    </row>
    <row r="4527" spans="1:4" x14ac:dyDescent="0.3">
      <c r="A4527" s="5" t="s">
        <v>142</v>
      </c>
      <c r="B4527" s="5" t="s">
        <v>143</v>
      </c>
      <c r="C4527" s="6">
        <v>2000</v>
      </c>
      <c r="D4527" s="7">
        <v>240337</v>
      </c>
    </row>
    <row r="4528" spans="1:4" x14ac:dyDescent="0.3">
      <c r="A4528" s="2" t="s">
        <v>142</v>
      </c>
      <c r="B4528" s="2" t="s">
        <v>143</v>
      </c>
      <c r="C4528" s="3">
        <v>2001</v>
      </c>
      <c r="D4528" s="4">
        <v>244097</v>
      </c>
    </row>
    <row r="4529" spans="1:4" x14ac:dyDescent="0.3">
      <c r="A4529" s="5" t="s">
        <v>142</v>
      </c>
      <c r="B4529" s="5" t="s">
        <v>143</v>
      </c>
      <c r="C4529" s="6">
        <v>2002</v>
      </c>
      <c r="D4529" s="7">
        <v>247775</v>
      </c>
    </row>
    <row r="4530" spans="1:4" x14ac:dyDescent="0.3">
      <c r="A4530" s="2" t="s">
        <v>142</v>
      </c>
      <c r="B4530" s="2" t="s">
        <v>143</v>
      </c>
      <c r="C4530" s="3">
        <v>2003</v>
      </c>
      <c r="D4530" s="4">
        <v>251637</v>
      </c>
    </row>
    <row r="4531" spans="1:4" x14ac:dyDescent="0.3">
      <c r="A4531" s="5" t="s">
        <v>142</v>
      </c>
      <c r="B4531" s="5" t="s">
        <v>143</v>
      </c>
      <c r="C4531" s="6">
        <v>2004</v>
      </c>
      <c r="D4531" s="7">
        <v>255654</v>
      </c>
    </row>
    <row r="4532" spans="1:4" x14ac:dyDescent="0.3">
      <c r="A4532" s="2" t="s">
        <v>142</v>
      </c>
      <c r="B4532" s="2" t="s">
        <v>143</v>
      </c>
      <c r="C4532" s="3">
        <v>2005</v>
      </c>
      <c r="D4532" s="4">
        <v>259507</v>
      </c>
    </row>
    <row r="4533" spans="1:4" x14ac:dyDescent="0.3">
      <c r="A4533" s="5" t="s">
        <v>142</v>
      </c>
      <c r="B4533" s="5" t="s">
        <v>143</v>
      </c>
      <c r="C4533" s="6">
        <v>2006</v>
      </c>
      <c r="D4533" s="7">
        <v>263223</v>
      </c>
    </row>
    <row r="4534" spans="1:4" x14ac:dyDescent="0.3">
      <c r="A4534" s="2" t="s">
        <v>142</v>
      </c>
      <c r="B4534" s="2" t="s">
        <v>143</v>
      </c>
      <c r="C4534" s="3">
        <v>2007</v>
      </c>
      <c r="D4534" s="4">
        <v>266438</v>
      </c>
    </row>
    <row r="4535" spans="1:4" x14ac:dyDescent="0.3">
      <c r="A4535" s="5" t="s">
        <v>142</v>
      </c>
      <c r="B4535" s="5" t="s">
        <v>143</v>
      </c>
      <c r="C4535" s="6">
        <v>2008</v>
      </c>
      <c r="D4535" s="7">
        <v>268379</v>
      </c>
    </row>
    <row r="4536" spans="1:4" x14ac:dyDescent="0.3">
      <c r="A4536" s="2" t="s">
        <v>142</v>
      </c>
      <c r="B4536" s="2" t="s">
        <v>143</v>
      </c>
      <c r="C4536" s="3">
        <v>2009</v>
      </c>
      <c r="D4536" s="4">
        <v>269481</v>
      </c>
    </row>
    <row r="4537" spans="1:4" x14ac:dyDescent="0.3">
      <c r="A4537" s="5" t="s">
        <v>142</v>
      </c>
      <c r="B4537" s="5" t="s">
        <v>143</v>
      </c>
      <c r="C4537" s="6">
        <v>2010</v>
      </c>
      <c r="D4537" s="7">
        <v>270580</v>
      </c>
    </row>
    <row r="4538" spans="1:4" x14ac:dyDescent="0.3">
      <c r="A4538" s="2" t="s">
        <v>142</v>
      </c>
      <c r="B4538" s="2" t="s">
        <v>143</v>
      </c>
      <c r="C4538" s="3">
        <v>2011</v>
      </c>
      <c r="D4538" s="4">
        <v>271727</v>
      </c>
    </row>
    <row r="4539" spans="1:4" x14ac:dyDescent="0.3">
      <c r="A4539" s="5" t="s">
        <v>142</v>
      </c>
      <c r="B4539" s="5" t="s">
        <v>143</v>
      </c>
      <c r="C4539" s="6">
        <v>2012</v>
      </c>
      <c r="D4539" s="7">
        <v>273084</v>
      </c>
    </row>
    <row r="4540" spans="1:4" x14ac:dyDescent="0.3">
      <c r="A4540" s="2" t="s">
        <v>142</v>
      </c>
      <c r="B4540" s="2" t="s">
        <v>143</v>
      </c>
      <c r="C4540" s="3">
        <v>2013</v>
      </c>
      <c r="D4540" s="4">
        <v>274728</v>
      </c>
    </row>
    <row r="4541" spans="1:4" x14ac:dyDescent="0.3">
      <c r="A4541" s="5" t="s">
        <v>142</v>
      </c>
      <c r="B4541" s="5" t="s">
        <v>143</v>
      </c>
      <c r="C4541" s="6">
        <v>2014</v>
      </c>
      <c r="D4541" s="7">
        <v>276387</v>
      </c>
    </row>
    <row r="4542" spans="1:4" x14ac:dyDescent="0.3">
      <c r="A4542" s="2" t="s">
        <v>142</v>
      </c>
      <c r="B4542" s="2" t="s">
        <v>143</v>
      </c>
      <c r="C4542" s="3">
        <v>2015</v>
      </c>
      <c r="D4542" s="4">
        <v>277866</v>
      </c>
    </row>
    <row r="4543" spans="1:4" x14ac:dyDescent="0.3">
      <c r="A4543" s="5" t="s">
        <v>142</v>
      </c>
      <c r="B4543" s="5" t="s">
        <v>143</v>
      </c>
      <c r="C4543" s="6">
        <v>2016</v>
      </c>
      <c r="D4543" s="7">
        <v>279178</v>
      </c>
    </row>
    <row r="4544" spans="1:4" x14ac:dyDescent="0.3">
      <c r="A4544" s="2" t="s">
        <v>142</v>
      </c>
      <c r="B4544" s="2" t="s">
        <v>143</v>
      </c>
      <c r="C4544" s="3">
        <v>2017</v>
      </c>
      <c r="D4544" s="4">
        <v>280087</v>
      </c>
    </row>
    <row r="4545" spans="1:4" x14ac:dyDescent="0.3">
      <c r="A4545" s="5" t="s">
        <v>142</v>
      </c>
      <c r="B4545" s="5" t="s">
        <v>143</v>
      </c>
      <c r="C4545" s="6">
        <v>2018</v>
      </c>
      <c r="D4545" s="7">
        <v>279815</v>
      </c>
    </row>
    <row r="4546" spans="1:4" x14ac:dyDescent="0.3">
      <c r="A4546" s="2" t="s">
        <v>142</v>
      </c>
      <c r="B4546" s="2" t="s">
        <v>143</v>
      </c>
      <c r="C4546" s="3">
        <v>2019</v>
      </c>
      <c r="D4546" s="4">
        <v>279034</v>
      </c>
    </row>
    <row r="4547" spans="1:4" x14ac:dyDescent="0.3">
      <c r="A4547" s="5" t="s">
        <v>142</v>
      </c>
      <c r="B4547" s="5" t="s">
        <v>143</v>
      </c>
      <c r="C4547" s="6">
        <v>2020</v>
      </c>
      <c r="D4547" s="7">
        <v>279209</v>
      </c>
    </row>
    <row r="4548" spans="1:4" x14ac:dyDescent="0.3">
      <c r="A4548" s="2" t="s">
        <v>142</v>
      </c>
      <c r="B4548" s="2" t="s">
        <v>143</v>
      </c>
      <c r="C4548" s="3">
        <v>2021</v>
      </c>
      <c r="D4548" s="4">
        <v>279792</v>
      </c>
    </row>
    <row r="4549" spans="1:4" x14ac:dyDescent="0.3">
      <c r="A4549" s="5" t="s">
        <v>142</v>
      </c>
      <c r="B4549" s="5" t="s">
        <v>143</v>
      </c>
      <c r="C4549" s="6">
        <v>2022</v>
      </c>
      <c r="D4549" s="7">
        <v>280378</v>
      </c>
    </row>
    <row r="4550" spans="1:4" x14ac:dyDescent="0.3">
      <c r="A4550" s="2" t="s">
        <v>142</v>
      </c>
      <c r="B4550" s="2" t="s">
        <v>143</v>
      </c>
      <c r="C4550" s="3">
        <v>2023</v>
      </c>
      <c r="D4550" s="4">
        <v>281118</v>
      </c>
    </row>
    <row r="4551" spans="1:4" x14ac:dyDescent="0.3">
      <c r="A4551" s="5" t="s">
        <v>142</v>
      </c>
      <c r="B4551" s="5" t="s">
        <v>143</v>
      </c>
      <c r="C4551" s="6">
        <v>2024</v>
      </c>
      <c r="D4551" s="7">
        <v>281807</v>
      </c>
    </row>
    <row r="4552" spans="1:4" x14ac:dyDescent="0.3">
      <c r="A4552" s="2" t="s">
        <v>144</v>
      </c>
      <c r="B4552" s="2" t="s">
        <v>145</v>
      </c>
      <c r="C4552" s="3">
        <v>1960</v>
      </c>
      <c r="D4552" s="4">
        <v>512316</v>
      </c>
    </row>
    <row r="4553" spans="1:4" x14ac:dyDescent="0.3">
      <c r="A4553" s="5" t="s">
        <v>144</v>
      </c>
      <c r="B4553" s="5" t="s">
        <v>145</v>
      </c>
      <c r="C4553" s="6">
        <v>1961</v>
      </c>
      <c r="D4553" s="7">
        <v>518266</v>
      </c>
    </row>
    <row r="4554" spans="1:4" x14ac:dyDescent="0.3">
      <c r="A4554" s="2" t="s">
        <v>144</v>
      </c>
      <c r="B4554" s="2" t="s">
        <v>145</v>
      </c>
      <c r="C4554" s="3">
        <v>1962</v>
      </c>
      <c r="D4554" s="4">
        <v>524649</v>
      </c>
    </row>
    <row r="4555" spans="1:4" x14ac:dyDescent="0.3">
      <c r="A4555" s="5" t="s">
        <v>144</v>
      </c>
      <c r="B4555" s="5" t="s">
        <v>145</v>
      </c>
      <c r="C4555" s="6">
        <v>1963</v>
      </c>
      <c r="D4555" s="7">
        <v>531452</v>
      </c>
    </row>
    <row r="4556" spans="1:4" x14ac:dyDescent="0.3">
      <c r="A4556" s="2" t="s">
        <v>144</v>
      </c>
      <c r="B4556" s="2" t="s">
        <v>145</v>
      </c>
      <c r="C4556" s="3">
        <v>1964</v>
      </c>
      <c r="D4556" s="4">
        <v>538657</v>
      </c>
    </row>
    <row r="4557" spans="1:4" x14ac:dyDescent="0.3">
      <c r="A4557" s="5" t="s">
        <v>144</v>
      </c>
      <c r="B4557" s="5" t="s">
        <v>145</v>
      </c>
      <c r="C4557" s="6">
        <v>1965</v>
      </c>
      <c r="D4557" s="7">
        <v>546308</v>
      </c>
    </row>
    <row r="4558" spans="1:4" x14ac:dyDescent="0.3">
      <c r="A4558" s="2" t="s">
        <v>144</v>
      </c>
      <c r="B4558" s="2" t="s">
        <v>145</v>
      </c>
      <c r="C4558" s="3">
        <v>1966</v>
      </c>
      <c r="D4558" s="4">
        <v>554463</v>
      </c>
    </row>
    <row r="4559" spans="1:4" x14ac:dyDescent="0.3">
      <c r="A4559" s="5" t="s">
        <v>144</v>
      </c>
      <c r="B4559" s="5" t="s">
        <v>145</v>
      </c>
      <c r="C4559" s="6">
        <v>1967</v>
      </c>
      <c r="D4559" s="7">
        <v>563108</v>
      </c>
    </row>
    <row r="4560" spans="1:4" x14ac:dyDescent="0.3">
      <c r="A4560" s="2" t="s">
        <v>144</v>
      </c>
      <c r="B4560" s="2" t="s">
        <v>145</v>
      </c>
      <c r="C4560" s="3">
        <v>1968</v>
      </c>
      <c r="D4560" s="4">
        <v>572257</v>
      </c>
    </row>
    <row r="4561" spans="1:4" x14ac:dyDescent="0.3">
      <c r="A4561" s="5" t="s">
        <v>144</v>
      </c>
      <c r="B4561" s="5" t="s">
        <v>145</v>
      </c>
      <c r="C4561" s="6">
        <v>1969</v>
      </c>
      <c r="D4561" s="7">
        <v>583276</v>
      </c>
    </row>
    <row r="4562" spans="1:4" x14ac:dyDescent="0.3">
      <c r="A4562" s="2" t="s">
        <v>144</v>
      </c>
      <c r="B4562" s="2" t="s">
        <v>145</v>
      </c>
      <c r="C4562" s="3">
        <v>1970</v>
      </c>
      <c r="D4562" s="4">
        <v>595846</v>
      </c>
    </row>
    <row r="4563" spans="1:4" x14ac:dyDescent="0.3">
      <c r="A4563" s="5" t="s">
        <v>144</v>
      </c>
      <c r="B4563" s="5" t="s">
        <v>145</v>
      </c>
      <c r="C4563" s="6">
        <v>1971</v>
      </c>
      <c r="D4563" s="7">
        <v>608348</v>
      </c>
    </row>
    <row r="4564" spans="1:4" x14ac:dyDescent="0.3">
      <c r="A4564" s="2" t="s">
        <v>144</v>
      </c>
      <c r="B4564" s="2" t="s">
        <v>145</v>
      </c>
      <c r="C4564" s="3">
        <v>1972</v>
      </c>
      <c r="D4564" s="4">
        <v>620960</v>
      </c>
    </row>
    <row r="4565" spans="1:4" x14ac:dyDescent="0.3">
      <c r="A4565" s="5" t="s">
        <v>144</v>
      </c>
      <c r="B4565" s="5" t="s">
        <v>145</v>
      </c>
      <c r="C4565" s="6">
        <v>1973</v>
      </c>
      <c r="D4565" s="7">
        <v>633995</v>
      </c>
    </row>
    <row r="4566" spans="1:4" x14ac:dyDescent="0.3">
      <c r="A4566" s="2" t="s">
        <v>144</v>
      </c>
      <c r="B4566" s="2" t="s">
        <v>145</v>
      </c>
      <c r="C4566" s="3">
        <v>1974</v>
      </c>
      <c r="D4566" s="4">
        <v>647691</v>
      </c>
    </row>
    <row r="4567" spans="1:4" x14ac:dyDescent="0.3">
      <c r="A4567" s="5" t="s">
        <v>144</v>
      </c>
      <c r="B4567" s="5" t="s">
        <v>145</v>
      </c>
      <c r="C4567" s="6">
        <v>1975</v>
      </c>
      <c r="D4567" s="7">
        <v>662197</v>
      </c>
    </row>
    <row r="4568" spans="1:4" x14ac:dyDescent="0.3">
      <c r="A4568" s="2" t="s">
        <v>144</v>
      </c>
      <c r="B4568" s="2" t="s">
        <v>145</v>
      </c>
      <c r="C4568" s="3">
        <v>1976</v>
      </c>
      <c r="D4568" s="4">
        <v>677628</v>
      </c>
    </row>
    <row r="4569" spans="1:4" x14ac:dyDescent="0.3">
      <c r="A4569" s="5" t="s">
        <v>144</v>
      </c>
      <c r="B4569" s="5" t="s">
        <v>145</v>
      </c>
      <c r="C4569" s="6">
        <v>1977</v>
      </c>
      <c r="D4569" s="7">
        <v>693984</v>
      </c>
    </row>
    <row r="4570" spans="1:4" x14ac:dyDescent="0.3">
      <c r="A4570" s="2" t="s">
        <v>144</v>
      </c>
      <c r="B4570" s="2" t="s">
        <v>145</v>
      </c>
      <c r="C4570" s="3">
        <v>1978</v>
      </c>
      <c r="D4570" s="4">
        <v>711245</v>
      </c>
    </row>
    <row r="4571" spans="1:4" x14ac:dyDescent="0.3">
      <c r="A4571" s="5" t="s">
        <v>144</v>
      </c>
      <c r="B4571" s="5" t="s">
        <v>145</v>
      </c>
      <c r="C4571" s="6">
        <v>1979</v>
      </c>
      <c r="D4571" s="7">
        <v>729375</v>
      </c>
    </row>
    <row r="4572" spans="1:4" x14ac:dyDescent="0.3">
      <c r="A4572" s="2" t="s">
        <v>144</v>
      </c>
      <c r="B4572" s="2" t="s">
        <v>145</v>
      </c>
      <c r="C4572" s="3">
        <v>1980</v>
      </c>
      <c r="D4572" s="4">
        <v>748389</v>
      </c>
    </row>
    <row r="4573" spans="1:4" x14ac:dyDescent="0.3">
      <c r="A4573" s="5" t="s">
        <v>144</v>
      </c>
      <c r="B4573" s="5" t="s">
        <v>145</v>
      </c>
      <c r="C4573" s="6">
        <v>1981</v>
      </c>
      <c r="D4573" s="7">
        <v>768385</v>
      </c>
    </row>
    <row r="4574" spans="1:4" x14ac:dyDescent="0.3">
      <c r="A4574" s="2" t="s">
        <v>144</v>
      </c>
      <c r="B4574" s="2" t="s">
        <v>145</v>
      </c>
      <c r="C4574" s="3">
        <v>1982</v>
      </c>
      <c r="D4574" s="4">
        <v>789286</v>
      </c>
    </row>
    <row r="4575" spans="1:4" x14ac:dyDescent="0.3">
      <c r="A4575" s="5" t="s">
        <v>144</v>
      </c>
      <c r="B4575" s="5" t="s">
        <v>145</v>
      </c>
      <c r="C4575" s="6">
        <v>1983</v>
      </c>
      <c r="D4575" s="7">
        <v>811005</v>
      </c>
    </row>
    <row r="4576" spans="1:4" x14ac:dyDescent="0.3">
      <c r="A4576" s="2" t="s">
        <v>144</v>
      </c>
      <c r="B4576" s="2" t="s">
        <v>145</v>
      </c>
      <c r="C4576" s="3">
        <v>1984</v>
      </c>
      <c r="D4576" s="4">
        <v>833501</v>
      </c>
    </row>
    <row r="4577" spans="1:4" x14ac:dyDescent="0.3">
      <c r="A4577" s="5" t="s">
        <v>144</v>
      </c>
      <c r="B4577" s="5" t="s">
        <v>145</v>
      </c>
      <c r="C4577" s="6">
        <v>1985</v>
      </c>
      <c r="D4577" s="7">
        <v>856726</v>
      </c>
    </row>
    <row r="4578" spans="1:4" x14ac:dyDescent="0.3">
      <c r="A4578" s="2" t="s">
        <v>144</v>
      </c>
      <c r="B4578" s="2" t="s">
        <v>145</v>
      </c>
      <c r="C4578" s="3">
        <v>1986</v>
      </c>
      <c r="D4578" s="4">
        <v>880705</v>
      </c>
    </row>
    <row r="4579" spans="1:4" x14ac:dyDescent="0.3">
      <c r="A4579" s="5" t="s">
        <v>144</v>
      </c>
      <c r="B4579" s="5" t="s">
        <v>145</v>
      </c>
      <c r="C4579" s="6">
        <v>1987</v>
      </c>
      <c r="D4579" s="7">
        <v>905479</v>
      </c>
    </row>
    <row r="4580" spans="1:4" x14ac:dyDescent="0.3">
      <c r="A4580" s="2" t="s">
        <v>144</v>
      </c>
      <c r="B4580" s="2" t="s">
        <v>145</v>
      </c>
      <c r="C4580" s="3">
        <v>1988</v>
      </c>
      <c r="D4580" s="4">
        <v>931020</v>
      </c>
    </row>
    <row r="4581" spans="1:4" x14ac:dyDescent="0.3">
      <c r="A4581" s="5" t="s">
        <v>144</v>
      </c>
      <c r="B4581" s="5" t="s">
        <v>145</v>
      </c>
      <c r="C4581" s="6">
        <v>1989</v>
      </c>
      <c r="D4581" s="7">
        <v>957138</v>
      </c>
    </row>
    <row r="4582" spans="1:4" x14ac:dyDescent="0.3">
      <c r="A4582" s="2" t="s">
        <v>144</v>
      </c>
      <c r="B4582" s="2" t="s">
        <v>145</v>
      </c>
      <c r="C4582" s="3">
        <v>1990</v>
      </c>
      <c r="D4582" s="4">
        <v>983734</v>
      </c>
    </row>
    <row r="4583" spans="1:4" x14ac:dyDescent="0.3">
      <c r="A4583" s="5" t="s">
        <v>144</v>
      </c>
      <c r="B4583" s="5" t="s">
        <v>145</v>
      </c>
      <c r="C4583" s="6">
        <v>1991</v>
      </c>
      <c r="D4583" s="7">
        <v>1010818</v>
      </c>
    </row>
    <row r="4584" spans="1:4" x14ac:dyDescent="0.3">
      <c r="A4584" s="2" t="s">
        <v>144</v>
      </c>
      <c r="B4584" s="2" t="s">
        <v>145</v>
      </c>
      <c r="C4584" s="3">
        <v>1992</v>
      </c>
      <c r="D4584" s="4">
        <v>1038380</v>
      </c>
    </row>
    <row r="4585" spans="1:4" x14ac:dyDescent="0.3">
      <c r="A4585" s="5" t="s">
        <v>144</v>
      </c>
      <c r="B4585" s="5" t="s">
        <v>145</v>
      </c>
      <c r="C4585" s="6">
        <v>1993</v>
      </c>
      <c r="D4585" s="7">
        <v>1066405</v>
      </c>
    </row>
    <row r="4586" spans="1:4" x14ac:dyDescent="0.3">
      <c r="A4586" s="2" t="s">
        <v>144</v>
      </c>
      <c r="B4586" s="2" t="s">
        <v>145</v>
      </c>
      <c r="C4586" s="3">
        <v>1994</v>
      </c>
      <c r="D4586" s="4">
        <v>1094720</v>
      </c>
    </row>
    <row r="4587" spans="1:4" x14ac:dyDescent="0.3">
      <c r="A4587" s="5" t="s">
        <v>144</v>
      </c>
      <c r="B4587" s="5" t="s">
        <v>145</v>
      </c>
      <c r="C4587" s="6">
        <v>1995</v>
      </c>
      <c r="D4587" s="7">
        <v>1123213</v>
      </c>
    </row>
    <row r="4588" spans="1:4" x14ac:dyDescent="0.3">
      <c r="A4588" s="2" t="s">
        <v>144</v>
      </c>
      <c r="B4588" s="2" t="s">
        <v>145</v>
      </c>
      <c r="C4588" s="3">
        <v>1996</v>
      </c>
      <c r="D4588" s="4">
        <v>1152015</v>
      </c>
    </row>
    <row r="4589" spans="1:4" x14ac:dyDescent="0.3">
      <c r="A4589" s="5" t="s">
        <v>144</v>
      </c>
      <c r="B4589" s="5" t="s">
        <v>145</v>
      </c>
      <c r="C4589" s="6">
        <v>1997</v>
      </c>
      <c r="D4589" s="7">
        <v>1181439</v>
      </c>
    </row>
    <row r="4590" spans="1:4" x14ac:dyDescent="0.3">
      <c r="A4590" s="2" t="s">
        <v>144</v>
      </c>
      <c r="B4590" s="2" t="s">
        <v>145</v>
      </c>
      <c r="C4590" s="3">
        <v>1998</v>
      </c>
      <c r="D4590" s="4">
        <v>1211736</v>
      </c>
    </row>
    <row r="4591" spans="1:4" x14ac:dyDescent="0.3">
      <c r="A4591" s="5" t="s">
        <v>144</v>
      </c>
      <c r="B4591" s="5" t="s">
        <v>145</v>
      </c>
      <c r="C4591" s="6">
        <v>1999</v>
      </c>
      <c r="D4591" s="7">
        <v>1243016</v>
      </c>
    </row>
    <row r="4592" spans="1:4" x14ac:dyDescent="0.3">
      <c r="A4592" s="2" t="s">
        <v>144</v>
      </c>
      <c r="B4592" s="2" t="s">
        <v>145</v>
      </c>
      <c r="C4592" s="3">
        <v>2000</v>
      </c>
      <c r="D4592" s="4">
        <v>1275572</v>
      </c>
    </row>
    <row r="4593" spans="1:4" x14ac:dyDescent="0.3">
      <c r="A4593" s="5" t="s">
        <v>144</v>
      </c>
      <c r="B4593" s="5" t="s">
        <v>145</v>
      </c>
      <c r="C4593" s="6">
        <v>2001</v>
      </c>
      <c r="D4593" s="7">
        <v>1309589</v>
      </c>
    </row>
    <row r="4594" spans="1:4" x14ac:dyDescent="0.3">
      <c r="A4594" s="2" t="s">
        <v>144</v>
      </c>
      <c r="B4594" s="2" t="s">
        <v>145</v>
      </c>
      <c r="C4594" s="3">
        <v>2002</v>
      </c>
      <c r="D4594" s="4">
        <v>1345135</v>
      </c>
    </row>
    <row r="4595" spans="1:4" x14ac:dyDescent="0.3">
      <c r="A4595" s="5" t="s">
        <v>144</v>
      </c>
      <c r="B4595" s="5" t="s">
        <v>145</v>
      </c>
      <c r="C4595" s="6">
        <v>2003</v>
      </c>
      <c r="D4595" s="7">
        <v>1382350</v>
      </c>
    </row>
    <row r="4596" spans="1:4" x14ac:dyDescent="0.3">
      <c r="A4596" s="2" t="s">
        <v>144</v>
      </c>
      <c r="B4596" s="2" t="s">
        <v>145</v>
      </c>
      <c r="C4596" s="3">
        <v>2004</v>
      </c>
      <c r="D4596" s="4">
        <v>1421609</v>
      </c>
    </row>
    <row r="4597" spans="1:4" x14ac:dyDescent="0.3">
      <c r="A4597" s="5" t="s">
        <v>144</v>
      </c>
      <c r="B4597" s="5" t="s">
        <v>145</v>
      </c>
      <c r="C4597" s="6">
        <v>2005</v>
      </c>
      <c r="D4597" s="7">
        <v>1463495</v>
      </c>
    </row>
    <row r="4598" spans="1:4" x14ac:dyDescent="0.3">
      <c r="A4598" s="2" t="s">
        <v>144</v>
      </c>
      <c r="B4598" s="2" t="s">
        <v>145</v>
      </c>
      <c r="C4598" s="3">
        <v>2006</v>
      </c>
      <c r="D4598" s="4">
        <v>1508337</v>
      </c>
    </row>
    <row r="4599" spans="1:4" x14ac:dyDescent="0.3">
      <c r="A4599" s="5" t="s">
        <v>144</v>
      </c>
      <c r="B4599" s="5" t="s">
        <v>145</v>
      </c>
      <c r="C4599" s="6">
        <v>2007</v>
      </c>
      <c r="D4599" s="7">
        <v>1556237</v>
      </c>
    </row>
    <row r="4600" spans="1:4" x14ac:dyDescent="0.3">
      <c r="A4600" s="2" t="s">
        <v>144</v>
      </c>
      <c r="B4600" s="2" t="s">
        <v>145</v>
      </c>
      <c r="C4600" s="3">
        <v>2008</v>
      </c>
      <c r="D4600" s="4">
        <v>1607175</v>
      </c>
    </row>
    <row r="4601" spans="1:4" x14ac:dyDescent="0.3">
      <c r="A4601" s="5" t="s">
        <v>144</v>
      </c>
      <c r="B4601" s="5" t="s">
        <v>145</v>
      </c>
      <c r="C4601" s="6">
        <v>2009</v>
      </c>
      <c r="D4601" s="7">
        <v>1661556</v>
      </c>
    </row>
    <row r="4602" spans="1:4" x14ac:dyDescent="0.3">
      <c r="A4602" s="2" t="s">
        <v>144</v>
      </c>
      <c r="B4602" s="2" t="s">
        <v>145</v>
      </c>
      <c r="C4602" s="3">
        <v>2010</v>
      </c>
      <c r="D4602" s="4">
        <v>1719879</v>
      </c>
    </row>
    <row r="4603" spans="1:4" x14ac:dyDescent="0.3">
      <c r="A4603" s="5" t="s">
        <v>144</v>
      </c>
      <c r="B4603" s="5" t="s">
        <v>145</v>
      </c>
      <c r="C4603" s="6">
        <v>2011</v>
      </c>
      <c r="D4603" s="7">
        <v>1781985</v>
      </c>
    </row>
    <row r="4604" spans="1:4" x14ac:dyDescent="0.3">
      <c r="A4604" s="2" t="s">
        <v>144</v>
      </c>
      <c r="B4604" s="2" t="s">
        <v>145</v>
      </c>
      <c r="C4604" s="3">
        <v>2012</v>
      </c>
      <c r="D4604" s="4">
        <v>1846889</v>
      </c>
    </row>
    <row r="4605" spans="1:4" x14ac:dyDescent="0.3">
      <c r="A4605" s="5" t="s">
        <v>144</v>
      </c>
      <c r="B4605" s="5" t="s">
        <v>145</v>
      </c>
      <c r="C4605" s="6">
        <v>2013</v>
      </c>
      <c r="D4605" s="7">
        <v>1913059</v>
      </c>
    </row>
    <row r="4606" spans="1:4" x14ac:dyDescent="0.3">
      <c r="A4606" s="2" t="s">
        <v>144</v>
      </c>
      <c r="B4606" s="2" t="s">
        <v>145</v>
      </c>
      <c r="C4606" s="3">
        <v>2014</v>
      </c>
      <c r="D4606" s="4">
        <v>1978399</v>
      </c>
    </row>
    <row r="4607" spans="1:4" x14ac:dyDescent="0.3">
      <c r="A4607" s="5" t="s">
        <v>144</v>
      </c>
      <c r="B4607" s="5" t="s">
        <v>145</v>
      </c>
      <c r="C4607" s="6">
        <v>2015</v>
      </c>
      <c r="D4607" s="7">
        <v>2040989</v>
      </c>
    </row>
    <row r="4608" spans="1:4" x14ac:dyDescent="0.3">
      <c r="A4608" s="2" t="s">
        <v>144</v>
      </c>
      <c r="B4608" s="2" t="s">
        <v>145</v>
      </c>
      <c r="C4608" s="3">
        <v>2016</v>
      </c>
      <c r="D4608" s="4">
        <v>2100306</v>
      </c>
    </row>
    <row r="4609" spans="1:4" x14ac:dyDescent="0.3">
      <c r="A4609" s="5" t="s">
        <v>144</v>
      </c>
      <c r="B4609" s="5" t="s">
        <v>145</v>
      </c>
      <c r="C4609" s="6">
        <v>2017</v>
      </c>
      <c r="D4609" s="7">
        <v>2156900</v>
      </c>
    </row>
    <row r="4610" spans="1:4" x14ac:dyDescent="0.3">
      <c r="A4610" s="2" t="s">
        <v>144</v>
      </c>
      <c r="B4610" s="2" t="s">
        <v>145</v>
      </c>
      <c r="C4610" s="3">
        <v>2018</v>
      </c>
      <c r="D4610" s="4">
        <v>2212318</v>
      </c>
    </row>
    <row r="4611" spans="1:4" x14ac:dyDescent="0.3">
      <c r="A4611" s="5" t="s">
        <v>144</v>
      </c>
      <c r="B4611" s="5" t="s">
        <v>145</v>
      </c>
      <c r="C4611" s="6">
        <v>2019</v>
      </c>
      <c r="D4611" s="7">
        <v>2267706</v>
      </c>
    </row>
    <row r="4612" spans="1:4" x14ac:dyDescent="0.3">
      <c r="A4612" s="2" t="s">
        <v>144</v>
      </c>
      <c r="B4612" s="2" t="s">
        <v>145</v>
      </c>
      <c r="C4612" s="3">
        <v>2020</v>
      </c>
      <c r="D4612" s="4">
        <v>2322539</v>
      </c>
    </row>
    <row r="4613" spans="1:4" x14ac:dyDescent="0.3">
      <c r="A4613" s="5" t="s">
        <v>144</v>
      </c>
      <c r="B4613" s="5" t="s">
        <v>145</v>
      </c>
      <c r="C4613" s="6">
        <v>2021</v>
      </c>
      <c r="D4613" s="7">
        <v>2376722</v>
      </c>
    </row>
    <row r="4614" spans="1:4" x14ac:dyDescent="0.3">
      <c r="A4614" s="2" t="s">
        <v>144</v>
      </c>
      <c r="B4614" s="2" t="s">
        <v>145</v>
      </c>
      <c r="C4614" s="3">
        <v>2022</v>
      </c>
      <c r="D4614" s="4">
        <v>2430747</v>
      </c>
    </row>
    <row r="4615" spans="1:4" x14ac:dyDescent="0.3">
      <c r="A4615" s="5" t="s">
        <v>144</v>
      </c>
      <c r="B4615" s="5" t="s">
        <v>145</v>
      </c>
      <c r="C4615" s="6">
        <v>2023</v>
      </c>
      <c r="D4615" s="7">
        <v>2484789</v>
      </c>
    </row>
    <row r="4616" spans="1:4" x14ac:dyDescent="0.3">
      <c r="A4616" s="2" t="s">
        <v>144</v>
      </c>
      <c r="B4616" s="2" t="s">
        <v>145</v>
      </c>
      <c r="C4616" s="3">
        <v>2024</v>
      </c>
      <c r="D4616" s="4">
        <v>2538952</v>
      </c>
    </row>
    <row r="4617" spans="1:4" x14ac:dyDescent="0.3">
      <c r="A4617" s="5" t="s">
        <v>146</v>
      </c>
      <c r="B4617" s="5" t="s">
        <v>147</v>
      </c>
      <c r="C4617" s="6">
        <v>1960</v>
      </c>
      <c r="D4617" s="7">
        <v>398060</v>
      </c>
    </row>
    <row r="4618" spans="1:4" x14ac:dyDescent="0.3">
      <c r="A4618" s="2" t="s">
        <v>146</v>
      </c>
      <c r="B4618" s="2" t="s">
        <v>147</v>
      </c>
      <c r="C4618" s="3">
        <v>1961</v>
      </c>
      <c r="D4618" s="4">
        <v>408930</v>
      </c>
    </row>
    <row r="4619" spans="1:4" x14ac:dyDescent="0.3">
      <c r="A4619" s="5" t="s">
        <v>146</v>
      </c>
      <c r="B4619" s="5" t="s">
        <v>147</v>
      </c>
      <c r="C4619" s="6">
        <v>1962</v>
      </c>
      <c r="D4619" s="7">
        <v>420163</v>
      </c>
    </row>
    <row r="4620" spans="1:4" x14ac:dyDescent="0.3">
      <c r="A4620" s="2" t="s">
        <v>146</v>
      </c>
      <c r="B4620" s="2" t="s">
        <v>147</v>
      </c>
      <c r="C4620" s="3">
        <v>1963</v>
      </c>
      <c r="D4620" s="4">
        <v>431757</v>
      </c>
    </row>
    <row r="4621" spans="1:4" x14ac:dyDescent="0.3">
      <c r="A4621" s="5" t="s">
        <v>146</v>
      </c>
      <c r="B4621" s="5" t="s">
        <v>147</v>
      </c>
      <c r="C4621" s="6">
        <v>1964</v>
      </c>
      <c r="D4621" s="7">
        <v>443687</v>
      </c>
    </row>
    <row r="4622" spans="1:4" x14ac:dyDescent="0.3">
      <c r="A4622" s="2" t="s">
        <v>146</v>
      </c>
      <c r="B4622" s="2" t="s">
        <v>147</v>
      </c>
      <c r="C4622" s="3">
        <v>1965</v>
      </c>
      <c r="D4622" s="4">
        <v>455952</v>
      </c>
    </row>
    <row r="4623" spans="1:4" x14ac:dyDescent="0.3">
      <c r="A4623" s="5" t="s">
        <v>146</v>
      </c>
      <c r="B4623" s="5" t="s">
        <v>147</v>
      </c>
      <c r="C4623" s="6">
        <v>1966</v>
      </c>
      <c r="D4623" s="7">
        <v>468516</v>
      </c>
    </row>
    <row r="4624" spans="1:4" x14ac:dyDescent="0.3">
      <c r="A4624" s="2" t="s">
        <v>146</v>
      </c>
      <c r="B4624" s="2" t="s">
        <v>147</v>
      </c>
      <c r="C4624" s="3">
        <v>1967</v>
      </c>
      <c r="D4624" s="4">
        <v>481588</v>
      </c>
    </row>
    <row r="4625" spans="1:4" x14ac:dyDescent="0.3">
      <c r="A4625" s="5" t="s">
        <v>146</v>
      </c>
      <c r="B4625" s="5" t="s">
        <v>147</v>
      </c>
      <c r="C4625" s="6">
        <v>1968</v>
      </c>
      <c r="D4625" s="7">
        <v>495269</v>
      </c>
    </row>
    <row r="4626" spans="1:4" x14ac:dyDescent="0.3">
      <c r="A4626" s="2" t="s">
        <v>146</v>
      </c>
      <c r="B4626" s="2" t="s">
        <v>147</v>
      </c>
      <c r="C4626" s="3">
        <v>1969</v>
      </c>
      <c r="D4626" s="4">
        <v>509440</v>
      </c>
    </row>
    <row r="4627" spans="1:4" x14ac:dyDescent="0.3">
      <c r="A4627" s="5" t="s">
        <v>146</v>
      </c>
      <c r="B4627" s="5" t="s">
        <v>147</v>
      </c>
      <c r="C4627" s="6">
        <v>1970</v>
      </c>
      <c r="D4627" s="7">
        <v>524105</v>
      </c>
    </row>
    <row r="4628" spans="1:4" x14ac:dyDescent="0.3">
      <c r="A4628" s="2" t="s">
        <v>146</v>
      </c>
      <c r="B4628" s="2" t="s">
        <v>147</v>
      </c>
      <c r="C4628" s="3">
        <v>1971</v>
      </c>
      <c r="D4628" s="4">
        <v>539388</v>
      </c>
    </row>
    <row r="4629" spans="1:4" x14ac:dyDescent="0.3">
      <c r="A4629" s="5" t="s">
        <v>146</v>
      </c>
      <c r="B4629" s="5" t="s">
        <v>147</v>
      </c>
      <c r="C4629" s="6">
        <v>1972</v>
      </c>
      <c r="D4629" s="7">
        <v>555370</v>
      </c>
    </row>
    <row r="4630" spans="1:4" x14ac:dyDescent="0.3">
      <c r="A4630" s="2" t="s">
        <v>146</v>
      </c>
      <c r="B4630" s="2" t="s">
        <v>147</v>
      </c>
      <c r="C4630" s="3">
        <v>1973</v>
      </c>
      <c r="D4630" s="4">
        <v>571991</v>
      </c>
    </row>
    <row r="4631" spans="1:4" x14ac:dyDescent="0.3">
      <c r="A4631" s="5" t="s">
        <v>146</v>
      </c>
      <c r="B4631" s="5" t="s">
        <v>147</v>
      </c>
      <c r="C4631" s="6">
        <v>1974</v>
      </c>
      <c r="D4631" s="7">
        <v>589085</v>
      </c>
    </row>
    <row r="4632" spans="1:4" x14ac:dyDescent="0.3">
      <c r="A4632" s="2" t="s">
        <v>146</v>
      </c>
      <c r="B4632" s="2" t="s">
        <v>147</v>
      </c>
      <c r="C4632" s="3">
        <v>1975</v>
      </c>
      <c r="D4632" s="4">
        <v>606821</v>
      </c>
    </row>
    <row r="4633" spans="1:4" x14ac:dyDescent="0.3">
      <c r="A4633" s="5" t="s">
        <v>146</v>
      </c>
      <c r="B4633" s="5" t="s">
        <v>147</v>
      </c>
      <c r="C4633" s="6">
        <v>1976</v>
      </c>
      <c r="D4633" s="7">
        <v>625667</v>
      </c>
    </row>
    <row r="4634" spans="1:4" x14ac:dyDescent="0.3">
      <c r="A4634" s="2" t="s">
        <v>146</v>
      </c>
      <c r="B4634" s="2" t="s">
        <v>147</v>
      </c>
      <c r="C4634" s="3">
        <v>1977</v>
      </c>
      <c r="D4634" s="4">
        <v>645770</v>
      </c>
    </row>
    <row r="4635" spans="1:4" x14ac:dyDescent="0.3">
      <c r="A4635" s="5" t="s">
        <v>146</v>
      </c>
      <c r="B4635" s="5" t="s">
        <v>147</v>
      </c>
      <c r="C4635" s="6">
        <v>1978</v>
      </c>
      <c r="D4635" s="7">
        <v>667103</v>
      </c>
    </row>
    <row r="4636" spans="1:4" x14ac:dyDescent="0.3">
      <c r="A4636" s="2" t="s">
        <v>146</v>
      </c>
      <c r="B4636" s="2" t="s">
        <v>147</v>
      </c>
      <c r="C4636" s="3">
        <v>1979</v>
      </c>
      <c r="D4636" s="4">
        <v>689781</v>
      </c>
    </row>
    <row r="4637" spans="1:4" x14ac:dyDescent="0.3">
      <c r="A4637" s="5" t="s">
        <v>146</v>
      </c>
      <c r="B4637" s="5" t="s">
        <v>147</v>
      </c>
      <c r="C4637" s="6">
        <v>1980</v>
      </c>
      <c r="D4637" s="7">
        <v>713913</v>
      </c>
    </row>
    <row r="4638" spans="1:4" x14ac:dyDescent="0.3">
      <c r="A4638" s="2" t="s">
        <v>146</v>
      </c>
      <c r="B4638" s="2" t="s">
        <v>147</v>
      </c>
      <c r="C4638" s="3">
        <v>1981</v>
      </c>
      <c r="D4638" s="4">
        <v>739125</v>
      </c>
    </row>
    <row r="4639" spans="1:4" x14ac:dyDescent="0.3">
      <c r="A4639" s="5" t="s">
        <v>146</v>
      </c>
      <c r="B4639" s="5" t="s">
        <v>147</v>
      </c>
      <c r="C4639" s="6">
        <v>1982</v>
      </c>
      <c r="D4639" s="7">
        <v>765753</v>
      </c>
    </row>
    <row r="4640" spans="1:4" x14ac:dyDescent="0.3">
      <c r="A4640" s="2" t="s">
        <v>146</v>
      </c>
      <c r="B4640" s="2" t="s">
        <v>147</v>
      </c>
      <c r="C4640" s="3">
        <v>1983</v>
      </c>
      <c r="D4640" s="4">
        <v>794525</v>
      </c>
    </row>
    <row r="4641" spans="1:4" x14ac:dyDescent="0.3">
      <c r="A4641" s="5" t="s">
        <v>146</v>
      </c>
      <c r="B4641" s="5" t="s">
        <v>147</v>
      </c>
      <c r="C4641" s="6">
        <v>1984</v>
      </c>
      <c r="D4641" s="7">
        <v>825631</v>
      </c>
    </row>
    <row r="4642" spans="1:4" x14ac:dyDescent="0.3">
      <c r="A4642" s="2" t="s">
        <v>146</v>
      </c>
      <c r="B4642" s="2" t="s">
        <v>147</v>
      </c>
      <c r="C4642" s="3">
        <v>1985</v>
      </c>
      <c r="D4642" s="4">
        <v>858874</v>
      </c>
    </row>
    <row r="4643" spans="1:4" x14ac:dyDescent="0.3">
      <c r="A4643" s="5" t="s">
        <v>146</v>
      </c>
      <c r="B4643" s="5" t="s">
        <v>147</v>
      </c>
      <c r="C4643" s="6">
        <v>1986</v>
      </c>
      <c r="D4643" s="7">
        <v>894019</v>
      </c>
    </row>
    <row r="4644" spans="1:4" x14ac:dyDescent="0.3">
      <c r="A4644" s="2" t="s">
        <v>146</v>
      </c>
      <c r="B4644" s="2" t="s">
        <v>147</v>
      </c>
      <c r="C4644" s="3">
        <v>1987</v>
      </c>
      <c r="D4644" s="4">
        <v>931091</v>
      </c>
    </row>
    <row r="4645" spans="1:4" x14ac:dyDescent="0.3">
      <c r="A4645" s="5" t="s">
        <v>146</v>
      </c>
      <c r="B4645" s="5" t="s">
        <v>147</v>
      </c>
      <c r="C4645" s="6">
        <v>1988</v>
      </c>
      <c r="D4645" s="7">
        <v>970160</v>
      </c>
    </row>
    <row r="4646" spans="1:4" x14ac:dyDescent="0.3">
      <c r="A4646" s="2" t="s">
        <v>146</v>
      </c>
      <c r="B4646" s="2" t="s">
        <v>147</v>
      </c>
      <c r="C4646" s="3">
        <v>1989</v>
      </c>
      <c r="D4646" s="4">
        <v>1011357</v>
      </c>
    </row>
    <row r="4647" spans="1:4" x14ac:dyDescent="0.3">
      <c r="A4647" s="5" t="s">
        <v>146</v>
      </c>
      <c r="B4647" s="5" t="s">
        <v>147</v>
      </c>
      <c r="C4647" s="6">
        <v>1990</v>
      </c>
      <c r="D4647" s="7">
        <v>1054696</v>
      </c>
    </row>
    <row r="4648" spans="1:4" x14ac:dyDescent="0.3">
      <c r="A4648" s="2" t="s">
        <v>146</v>
      </c>
      <c r="B4648" s="2" t="s">
        <v>147</v>
      </c>
      <c r="C4648" s="3">
        <v>1991</v>
      </c>
      <c r="D4648" s="4">
        <v>1099959</v>
      </c>
    </row>
    <row r="4649" spans="1:4" x14ac:dyDescent="0.3">
      <c r="A4649" s="5" t="s">
        <v>146</v>
      </c>
      <c r="B4649" s="5" t="s">
        <v>147</v>
      </c>
      <c r="C4649" s="6">
        <v>1992</v>
      </c>
      <c r="D4649" s="7">
        <v>1145582</v>
      </c>
    </row>
    <row r="4650" spans="1:4" x14ac:dyDescent="0.3">
      <c r="A4650" s="2" t="s">
        <v>146</v>
      </c>
      <c r="B4650" s="2" t="s">
        <v>147</v>
      </c>
      <c r="C4650" s="3">
        <v>1993</v>
      </c>
      <c r="D4650" s="4">
        <v>1188365</v>
      </c>
    </row>
    <row r="4651" spans="1:4" x14ac:dyDescent="0.3">
      <c r="A4651" s="5" t="s">
        <v>146</v>
      </c>
      <c r="B4651" s="5" t="s">
        <v>147</v>
      </c>
      <c r="C4651" s="6">
        <v>1994</v>
      </c>
      <c r="D4651" s="7">
        <v>1227226</v>
      </c>
    </row>
    <row r="4652" spans="1:4" x14ac:dyDescent="0.3">
      <c r="A4652" s="2" t="s">
        <v>146</v>
      </c>
      <c r="B4652" s="2" t="s">
        <v>147</v>
      </c>
      <c r="C4652" s="3">
        <v>1995</v>
      </c>
      <c r="D4652" s="4">
        <v>1264313</v>
      </c>
    </row>
    <row r="4653" spans="1:4" x14ac:dyDescent="0.3">
      <c r="A4653" s="5" t="s">
        <v>146</v>
      </c>
      <c r="B4653" s="5" t="s">
        <v>147</v>
      </c>
      <c r="C4653" s="6">
        <v>1996</v>
      </c>
      <c r="D4653" s="7">
        <v>1301410</v>
      </c>
    </row>
    <row r="4654" spans="1:4" x14ac:dyDescent="0.3">
      <c r="A4654" s="2" t="s">
        <v>146</v>
      </c>
      <c r="B4654" s="2" t="s">
        <v>147</v>
      </c>
      <c r="C4654" s="3">
        <v>1997</v>
      </c>
      <c r="D4654" s="4">
        <v>1338889</v>
      </c>
    </row>
    <row r="4655" spans="1:4" x14ac:dyDescent="0.3">
      <c r="A4655" s="5" t="s">
        <v>146</v>
      </c>
      <c r="B4655" s="5" t="s">
        <v>147</v>
      </c>
      <c r="C4655" s="6">
        <v>1998</v>
      </c>
      <c r="D4655" s="7">
        <v>1376987</v>
      </c>
    </row>
    <row r="4656" spans="1:4" x14ac:dyDescent="0.3">
      <c r="A4656" s="2" t="s">
        <v>146</v>
      </c>
      <c r="B4656" s="2" t="s">
        <v>147</v>
      </c>
      <c r="C4656" s="3">
        <v>1999</v>
      </c>
      <c r="D4656" s="4">
        <v>1415779</v>
      </c>
    </row>
    <row r="4657" spans="1:4" x14ac:dyDescent="0.3">
      <c r="A4657" s="5" t="s">
        <v>146</v>
      </c>
      <c r="B4657" s="5" t="s">
        <v>147</v>
      </c>
      <c r="C4657" s="6">
        <v>2000</v>
      </c>
      <c r="D4657" s="7">
        <v>1455084</v>
      </c>
    </row>
    <row r="4658" spans="1:4" x14ac:dyDescent="0.3">
      <c r="A4658" s="2" t="s">
        <v>146</v>
      </c>
      <c r="B4658" s="2" t="s">
        <v>147</v>
      </c>
      <c r="C4658" s="3">
        <v>2001</v>
      </c>
      <c r="D4658" s="4">
        <v>1495011</v>
      </c>
    </row>
    <row r="4659" spans="1:4" x14ac:dyDescent="0.3">
      <c r="A4659" s="5" t="s">
        <v>146</v>
      </c>
      <c r="B4659" s="5" t="s">
        <v>147</v>
      </c>
      <c r="C4659" s="6">
        <v>2002</v>
      </c>
      <c r="D4659" s="7">
        <v>1535691</v>
      </c>
    </row>
    <row r="4660" spans="1:4" x14ac:dyDescent="0.3">
      <c r="A4660" s="2" t="s">
        <v>146</v>
      </c>
      <c r="B4660" s="2" t="s">
        <v>147</v>
      </c>
      <c r="C4660" s="3">
        <v>2003</v>
      </c>
      <c r="D4660" s="4">
        <v>1577611</v>
      </c>
    </row>
    <row r="4661" spans="1:4" x14ac:dyDescent="0.3">
      <c r="A4661" s="5" t="s">
        <v>146</v>
      </c>
      <c r="B4661" s="5" t="s">
        <v>147</v>
      </c>
      <c r="C4661" s="6">
        <v>2004</v>
      </c>
      <c r="D4661" s="7">
        <v>1621312</v>
      </c>
    </row>
    <row r="4662" spans="1:4" x14ac:dyDescent="0.3">
      <c r="A4662" s="2" t="s">
        <v>146</v>
      </c>
      <c r="B4662" s="2" t="s">
        <v>147</v>
      </c>
      <c r="C4662" s="3">
        <v>2005</v>
      </c>
      <c r="D4662" s="4">
        <v>1667037</v>
      </c>
    </row>
    <row r="4663" spans="1:4" x14ac:dyDescent="0.3">
      <c r="A4663" s="5" t="s">
        <v>146</v>
      </c>
      <c r="B4663" s="5" t="s">
        <v>147</v>
      </c>
      <c r="C4663" s="6">
        <v>2006</v>
      </c>
      <c r="D4663" s="7">
        <v>1715275</v>
      </c>
    </row>
    <row r="4664" spans="1:4" x14ac:dyDescent="0.3">
      <c r="A4664" s="2" t="s">
        <v>146</v>
      </c>
      <c r="B4664" s="2" t="s">
        <v>147</v>
      </c>
      <c r="C4664" s="3">
        <v>2007</v>
      </c>
      <c r="D4664" s="4">
        <v>1765774</v>
      </c>
    </row>
    <row r="4665" spans="1:4" x14ac:dyDescent="0.3">
      <c r="A4665" s="5" t="s">
        <v>146</v>
      </c>
      <c r="B4665" s="5" t="s">
        <v>147</v>
      </c>
      <c r="C4665" s="6">
        <v>2008</v>
      </c>
      <c r="D4665" s="7">
        <v>1817852</v>
      </c>
    </row>
    <row r="4666" spans="1:4" x14ac:dyDescent="0.3">
      <c r="A4666" s="2" t="s">
        <v>146</v>
      </c>
      <c r="B4666" s="2" t="s">
        <v>147</v>
      </c>
      <c r="C4666" s="3">
        <v>2009</v>
      </c>
      <c r="D4666" s="4">
        <v>1871422</v>
      </c>
    </row>
    <row r="4667" spans="1:4" x14ac:dyDescent="0.3">
      <c r="A4667" s="5" t="s">
        <v>146</v>
      </c>
      <c r="B4667" s="5" t="s">
        <v>147</v>
      </c>
      <c r="C4667" s="6">
        <v>2010</v>
      </c>
      <c r="D4667" s="7">
        <v>1926630</v>
      </c>
    </row>
    <row r="4668" spans="1:4" x14ac:dyDescent="0.3">
      <c r="A4668" s="2" t="s">
        <v>146</v>
      </c>
      <c r="B4668" s="2" t="s">
        <v>147</v>
      </c>
      <c r="C4668" s="3">
        <v>2011</v>
      </c>
      <c r="D4668" s="4">
        <v>1983784</v>
      </c>
    </row>
    <row r="4669" spans="1:4" x14ac:dyDescent="0.3">
      <c r="A4669" s="5" t="s">
        <v>146</v>
      </c>
      <c r="B4669" s="5" t="s">
        <v>147</v>
      </c>
      <c r="C4669" s="6">
        <v>2012</v>
      </c>
      <c r="D4669" s="7">
        <v>2043094</v>
      </c>
    </row>
    <row r="4670" spans="1:4" x14ac:dyDescent="0.3">
      <c r="A4670" s="2" t="s">
        <v>146</v>
      </c>
      <c r="B4670" s="2" t="s">
        <v>147</v>
      </c>
      <c r="C4670" s="3">
        <v>2013</v>
      </c>
      <c r="D4670" s="4">
        <v>2103820</v>
      </c>
    </row>
    <row r="4671" spans="1:4" x14ac:dyDescent="0.3">
      <c r="A4671" s="5" t="s">
        <v>146</v>
      </c>
      <c r="B4671" s="5" t="s">
        <v>147</v>
      </c>
      <c r="C4671" s="6">
        <v>2014</v>
      </c>
      <c r="D4671" s="7">
        <v>2164528</v>
      </c>
    </row>
    <row r="4672" spans="1:4" x14ac:dyDescent="0.3">
      <c r="A4672" s="2" t="s">
        <v>146</v>
      </c>
      <c r="B4672" s="2" t="s">
        <v>147</v>
      </c>
      <c r="C4672" s="3">
        <v>2015</v>
      </c>
      <c r="D4672" s="4">
        <v>2224529</v>
      </c>
    </row>
    <row r="4673" spans="1:4" x14ac:dyDescent="0.3">
      <c r="A4673" s="5" t="s">
        <v>146</v>
      </c>
      <c r="B4673" s="5" t="s">
        <v>147</v>
      </c>
      <c r="C4673" s="6">
        <v>2016</v>
      </c>
      <c r="D4673" s="7">
        <v>2283769</v>
      </c>
    </row>
    <row r="4674" spans="1:4" x14ac:dyDescent="0.3">
      <c r="A4674" s="2" t="s">
        <v>146</v>
      </c>
      <c r="B4674" s="2" t="s">
        <v>147</v>
      </c>
      <c r="C4674" s="3">
        <v>2017</v>
      </c>
      <c r="D4674" s="4">
        <v>2342189</v>
      </c>
    </row>
    <row r="4675" spans="1:4" x14ac:dyDescent="0.3">
      <c r="A4675" s="5" t="s">
        <v>146</v>
      </c>
      <c r="B4675" s="5" t="s">
        <v>147</v>
      </c>
      <c r="C4675" s="6">
        <v>2018</v>
      </c>
      <c r="D4675" s="7">
        <v>2399632</v>
      </c>
    </row>
    <row r="4676" spans="1:4" x14ac:dyDescent="0.3">
      <c r="A4676" s="2" t="s">
        <v>146</v>
      </c>
      <c r="B4676" s="2" t="s">
        <v>147</v>
      </c>
      <c r="C4676" s="3">
        <v>2019</v>
      </c>
      <c r="D4676" s="4">
        <v>2456844</v>
      </c>
    </row>
    <row r="4677" spans="1:4" x14ac:dyDescent="0.3">
      <c r="A4677" s="5" t="s">
        <v>146</v>
      </c>
      <c r="B4677" s="5" t="s">
        <v>147</v>
      </c>
      <c r="C4677" s="6">
        <v>2020</v>
      </c>
      <c r="D4677" s="7">
        <v>2515733</v>
      </c>
    </row>
    <row r="4678" spans="1:4" x14ac:dyDescent="0.3">
      <c r="A4678" s="2" t="s">
        <v>146</v>
      </c>
      <c r="B4678" s="2" t="s">
        <v>147</v>
      </c>
      <c r="C4678" s="3">
        <v>2021</v>
      </c>
      <c r="D4678" s="4">
        <v>2576010</v>
      </c>
    </row>
    <row r="4679" spans="1:4" x14ac:dyDescent="0.3">
      <c r="A4679" s="5" t="s">
        <v>146</v>
      </c>
      <c r="B4679" s="5" t="s">
        <v>147</v>
      </c>
      <c r="C4679" s="6">
        <v>2022</v>
      </c>
      <c r="D4679" s="7">
        <v>2636470</v>
      </c>
    </row>
    <row r="4680" spans="1:4" x14ac:dyDescent="0.3">
      <c r="A4680" s="2" t="s">
        <v>146</v>
      </c>
      <c r="B4680" s="2" t="s">
        <v>147</v>
      </c>
      <c r="C4680" s="3">
        <v>2023</v>
      </c>
      <c r="D4680" s="4">
        <v>2697845</v>
      </c>
    </row>
    <row r="4681" spans="1:4" x14ac:dyDescent="0.3">
      <c r="A4681" s="5" t="s">
        <v>146</v>
      </c>
      <c r="B4681" s="5" t="s">
        <v>147</v>
      </c>
      <c r="C4681" s="6">
        <v>2024</v>
      </c>
      <c r="D4681" s="7">
        <v>2759988</v>
      </c>
    </row>
    <row r="4682" spans="1:4" x14ac:dyDescent="0.3">
      <c r="A4682" s="2" t="s">
        <v>148</v>
      </c>
      <c r="B4682" s="2" t="s">
        <v>149</v>
      </c>
      <c r="C4682" s="3">
        <v>1960</v>
      </c>
      <c r="D4682" s="4">
        <v>3645600</v>
      </c>
    </row>
    <row r="4683" spans="1:4" x14ac:dyDescent="0.3">
      <c r="A4683" s="5" t="s">
        <v>148</v>
      </c>
      <c r="B4683" s="5" t="s">
        <v>149</v>
      </c>
      <c r="C4683" s="6">
        <v>1961</v>
      </c>
      <c r="D4683" s="7">
        <v>3703600</v>
      </c>
    </row>
    <row r="4684" spans="1:4" x14ac:dyDescent="0.3">
      <c r="A4684" s="2" t="s">
        <v>148</v>
      </c>
      <c r="B4684" s="2" t="s">
        <v>149</v>
      </c>
      <c r="C4684" s="3">
        <v>1962</v>
      </c>
      <c r="D4684" s="4">
        <v>3760300</v>
      </c>
    </row>
    <row r="4685" spans="1:4" x14ac:dyDescent="0.3">
      <c r="A4685" s="5" t="s">
        <v>148</v>
      </c>
      <c r="B4685" s="5" t="s">
        <v>149</v>
      </c>
      <c r="C4685" s="6">
        <v>1963</v>
      </c>
      <c r="D4685" s="7">
        <v>3816100</v>
      </c>
    </row>
    <row r="4686" spans="1:4" x14ac:dyDescent="0.3">
      <c r="A4686" s="2" t="s">
        <v>148</v>
      </c>
      <c r="B4686" s="2" t="s">
        <v>149</v>
      </c>
      <c r="C4686" s="3">
        <v>1964</v>
      </c>
      <c r="D4686" s="4">
        <v>3870300</v>
      </c>
    </row>
    <row r="4687" spans="1:4" x14ac:dyDescent="0.3">
      <c r="A4687" s="5" t="s">
        <v>148</v>
      </c>
      <c r="B4687" s="5" t="s">
        <v>149</v>
      </c>
      <c r="C4687" s="6">
        <v>1965</v>
      </c>
      <c r="D4687" s="7">
        <v>3921600</v>
      </c>
    </row>
    <row r="4688" spans="1:4" x14ac:dyDescent="0.3">
      <c r="A4688" s="2" t="s">
        <v>148</v>
      </c>
      <c r="B4688" s="2" t="s">
        <v>149</v>
      </c>
      <c r="C4688" s="3">
        <v>1966</v>
      </c>
      <c r="D4688" s="4">
        <v>3966700</v>
      </c>
    </row>
    <row r="4689" spans="1:4" x14ac:dyDescent="0.3">
      <c r="A4689" s="5" t="s">
        <v>148</v>
      </c>
      <c r="B4689" s="5" t="s">
        <v>149</v>
      </c>
      <c r="C4689" s="6">
        <v>1967</v>
      </c>
      <c r="D4689" s="7">
        <v>4005800</v>
      </c>
    </row>
    <row r="4690" spans="1:4" x14ac:dyDescent="0.3">
      <c r="A4690" s="2" t="s">
        <v>148</v>
      </c>
      <c r="B4690" s="2" t="s">
        <v>149</v>
      </c>
      <c r="C4690" s="3">
        <v>1968</v>
      </c>
      <c r="D4690" s="4">
        <v>4042300</v>
      </c>
    </row>
    <row r="4691" spans="1:4" x14ac:dyDescent="0.3">
      <c r="A4691" s="5" t="s">
        <v>148</v>
      </c>
      <c r="B4691" s="5" t="s">
        <v>149</v>
      </c>
      <c r="C4691" s="6">
        <v>1969</v>
      </c>
      <c r="D4691" s="7">
        <v>4080300</v>
      </c>
    </row>
    <row r="4692" spans="1:4" x14ac:dyDescent="0.3">
      <c r="A4692" s="2" t="s">
        <v>148</v>
      </c>
      <c r="B4692" s="2" t="s">
        <v>149</v>
      </c>
      <c r="C4692" s="3">
        <v>1970</v>
      </c>
      <c r="D4692" s="4">
        <v>4119900</v>
      </c>
    </row>
    <row r="4693" spans="1:4" x14ac:dyDescent="0.3">
      <c r="A4693" s="5" t="s">
        <v>148</v>
      </c>
      <c r="B4693" s="5" t="s">
        <v>149</v>
      </c>
      <c r="C4693" s="6">
        <v>1971</v>
      </c>
      <c r="D4693" s="7">
        <v>4163000</v>
      </c>
    </row>
    <row r="4694" spans="1:4" x14ac:dyDescent="0.3">
      <c r="A4694" s="2" t="s">
        <v>148</v>
      </c>
      <c r="B4694" s="2" t="s">
        <v>149</v>
      </c>
      <c r="C4694" s="3">
        <v>1972</v>
      </c>
      <c r="D4694" s="4">
        <v>4205300</v>
      </c>
    </row>
    <row r="4695" spans="1:4" x14ac:dyDescent="0.3">
      <c r="A4695" s="5" t="s">
        <v>148</v>
      </c>
      <c r="B4695" s="5" t="s">
        <v>149</v>
      </c>
      <c r="C4695" s="6">
        <v>1973</v>
      </c>
      <c r="D4695" s="7">
        <v>4242500</v>
      </c>
    </row>
    <row r="4696" spans="1:4" x14ac:dyDescent="0.3">
      <c r="A4696" s="2" t="s">
        <v>148</v>
      </c>
      <c r="B4696" s="2" t="s">
        <v>149</v>
      </c>
      <c r="C4696" s="3">
        <v>1974</v>
      </c>
      <c r="D4696" s="4">
        <v>4279500</v>
      </c>
    </row>
    <row r="4697" spans="1:4" x14ac:dyDescent="0.3">
      <c r="A4697" s="5" t="s">
        <v>148</v>
      </c>
      <c r="B4697" s="5" t="s">
        <v>149</v>
      </c>
      <c r="C4697" s="6">
        <v>1975</v>
      </c>
      <c r="D4697" s="7">
        <v>4311200</v>
      </c>
    </row>
    <row r="4698" spans="1:4" x14ac:dyDescent="0.3">
      <c r="A4698" s="2" t="s">
        <v>148</v>
      </c>
      <c r="B4698" s="2" t="s">
        <v>149</v>
      </c>
      <c r="C4698" s="3">
        <v>1976</v>
      </c>
      <c r="D4698" s="4">
        <v>4342400</v>
      </c>
    </row>
    <row r="4699" spans="1:4" x14ac:dyDescent="0.3">
      <c r="A4699" s="5" t="s">
        <v>148</v>
      </c>
      <c r="B4699" s="5" t="s">
        <v>149</v>
      </c>
      <c r="C4699" s="6">
        <v>1977</v>
      </c>
      <c r="D4699" s="7">
        <v>4372100</v>
      </c>
    </row>
    <row r="4700" spans="1:4" x14ac:dyDescent="0.3">
      <c r="A4700" s="2" t="s">
        <v>148</v>
      </c>
      <c r="B4700" s="2" t="s">
        <v>149</v>
      </c>
      <c r="C4700" s="3">
        <v>1978</v>
      </c>
      <c r="D4700" s="4">
        <v>4397700</v>
      </c>
    </row>
    <row r="4701" spans="1:4" x14ac:dyDescent="0.3">
      <c r="A4701" s="5" t="s">
        <v>148</v>
      </c>
      <c r="B4701" s="5" t="s">
        <v>149</v>
      </c>
      <c r="C4701" s="6">
        <v>1979</v>
      </c>
      <c r="D4701" s="7">
        <v>4430200</v>
      </c>
    </row>
    <row r="4702" spans="1:4" x14ac:dyDescent="0.3">
      <c r="A4702" s="2" t="s">
        <v>148</v>
      </c>
      <c r="B4702" s="2" t="s">
        <v>149</v>
      </c>
      <c r="C4702" s="3">
        <v>1980</v>
      </c>
      <c r="D4702" s="4">
        <v>4467700</v>
      </c>
    </row>
    <row r="4703" spans="1:4" x14ac:dyDescent="0.3">
      <c r="A4703" s="5" t="s">
        <v>148</v>
      </c>
      <c r="B4703" s="5" t="s">
        <v>149</v>
      </c>
      <c r="C4703" s="6">
        <v>1981</v>
      </c>
      <c r="D4703" s="7">
        <v>4504500</v>
      </c>
    </row>
    <row r="4704" spans="1:4" x14ac:dyDescent="0.3">
      <c r="A4704" s="2" t="s">
        <v>148</v>
      </c>
      <c r="B4704" s="2" t="s">
        <v>149</v>
      </c>
      <c r="C4704" s="3">
        <v>1982</v>
      </c>
      <c r="D4704" s="4">
        <v>4542800</v>
      </c>
    </row>
    <row r="4705" spans="1:4" x14ac:dyDescent="0.3">
      <c r="A4705" s="5" t="s">
        <v>148</v>
      </c>
      <c r="B4705" s="5" t="s">
        <v>149</v>
      </c>
      <c r="C4705" s="6">
        <v>1983</v>
      </c>
      <c r="D4705" s="7">
        <v>4582900</v>
      </c>
    </row>
    <row r="4706" spans="1:4" x14ac:dyDescent="0.3">
      <c r="A4706" s="2" t="s">
        <v>148</v>
      </c>
      <c r="B4706" s="2" t="s">
        <v>149</v>
      </c>
      <c r="C4706" s="3">
        <v>1984</v>
      </c>
      <c r="D4706" s="4">
        <v>4622200</v>
      </c>
    </row>
    <row r="4707" spans="1:4" x14ac:dyDescent="0.3">
      <c r="A4707" s="5" t="s">
        <v>148</v>
      </c>
      <c r="B4707" s="5" t="s">
        <v>149</v>
      </c>
      <c r="C4707" s="6">
        <v>1985</v>
      </c>
      <c r="D4707" s="7">
        <v>4662900</v>
      </c>
    </row>
    <row r="4708" spans="1:4" x14ac:dyDescent="0.3">
      <c r="A4708" s="2" t="s">
        <v>148</v>
      </c>
      <c r="B4708" s="2" t="s">
        <v>149</v>
      </c>
      <c r="C4708" s="3">
        <v>1986</v>
      </c>
      <c r="D4708" s="4">
        <v>4704500</v>
      </c>
    </row>
    <row r="4709" spans="1:4" x14ac:dyDescent="0.3">
      <c r="A4709" s="5" t="s">
        <v>148</v>
      </c>
      <c r="B4709" s="5" t="s">
        <v>149</v>
      </c>
      <c r="C4709" s="6">
        <v>1987</v>
      </c>
      <c r="D4709" s="7">
        <v>4743500</v>
      </c>
    </row>
    <row r="4710" spans="1:4" x14ac:dyDescent="0.3">
      <c r="A4710" s="2" t="s">
        <v>148</v>
      </c>
      <c r="B4710" s="2" t="s">
        <v>149</v>
      </c>
      <c r="C4710" s="3">
        <v>1988</v>
      </c>
      <c r="D4710" s="4">
        <v>4790700</v>
      </c>
    </row>
    <row r="4711" spans="1:4" x14ac:dyDescent="0.3">
      <c r="A4711" s="5" t="s">
        <v>148</v>
      </c>
      <c r="B4711" s="5" t="s">
        <v>149</v>
      </c>
      <c r="C4711" s="6">
        <v>1989</v>
      </c>
      <c r="D4711" s="7">
        <v>4803300</v>
      </c>
    </row>
    <row r="4712" spans="1:4" x14ac:dyDescent="0.3">
      <c r="A4712" s="2" t="s">
        <v>148</v>
      </c>
      <c r="B4712" s="2" t="s">
        <v>149</v>
      </c>
      <c r="C4712" s="3">
        <v>1990</v>
      </c>
      <c r="D4712" s="4">
        <v>4802000</v>
      </c>
    </row>
    <row r="4713" spans="1:4" x14ac:dyDescent="0.3">
      <c r="A4713" s="5" t="s">
        <v>148</v>
      </c>
      <c r="B4713" s="5" t="s">
        <v>149</v>
      </c>
      <c r="C4713" s="6">
        <v>1991</v>
      </c>
      <c r="D4713" s="7">
        <v>4835900</v>
      </c>
    </row>
    <row r="4714" spans="1:4" x14ac:dyDescent="0.3">
      <c r="A4714" s="2" t="s">
        <v>148</v>
      </c>
      <c r="B4714" s="2" t="s">
        <v>149</v>
      </c>
      <c r="C4714" s="3">
        <v>1992</v>
      </c>
      <c r="D4714" s="4">
        <v>4873500</v>
      </c>
    </row>
    <row r="4715" spans="1:4" x14ac:dyDescent="0.3">
      <c r="A4715" s="5" t="s">
        <v>148</v>
      </c>
      <c r="B4715" s="5" t="s">
        <v>149</v>
      </c>
      <c r="C4715" s="6">
        <v>1993</v>
      </c>
      <c r="D4715" s="7">
        <v>4911100</v>
      </c>
    </row>
    <row r="4716" spans="1:4" x14ac:dyDescent="0.3">
      <c r="A4716" s="2" t="s">
        <v>148</v>
      </c>
      <c r="B4716" s="2" t="s">
        <v>149</v>
      </c>
      <c r="C4716" s="3">
        <v>1994</v>
      </c>
      <c r="D4716" s="4">
        <v>4836076</v>
      </c>
    </row>
    <row r="4717" spans="1:4" x14ac:dyDescent="0.3">
      <c r="A4717" s="5" t="s">
        <v>148</v>
      </c>
      <c r="B4717" s="5" t="s">
        <v>149</v>
      </c>
      <c r="C4717" s="6">
        <v>1995</v>
      </c>
      <c r="D4717" s="7">
        <v>4657722</v>
      </c>
    </row>
    <row r="4718" spans="1:4" x14ac:dyDescent="0.3">
      <c r="A4718" s="2" t="s">
        <v>148</v>
      </c>
      <c r="B4718" s="2" t="s">
        <v>149</v>
      </c>
      <c r="C4718" s="3">
        <v>1996</v>
      </c>
      <c r="D4718" s="4">
        <v>4491699</v>
      </c>
    </row>
    <row r="4719" spans="1:4" x14ac:dyDescent="0.3">
      <c r="A4719" s="5" t="s">
        <v>148</v>
      </c>
      <c r="B4719" s="5" t="s">
        <v>149</v>
      </c>
      <c r="C4719" s="6">
        <v>1997</v>
      </c>
      <c r="D4719" s="7">
        <v>4349913</v>
      </c>
    </row>
    <row r="4720" spans="1:4" x14ac:dyDescent="0.3">
      <c r="A4720" s="2" t="s">
        <v>148</v>
      </c>
      <c r="B4720" s="2" t="s">
        <v>149</v>
      </c>
      <c r="C4720" s="3">
        <v>1998</v>
      </c>
      <c r="D4720" s="4">
        <v>4243607</v>
      </c>
    </row>
    <row r="4721" spans="1:4" x14ac:dyDescent="0.3">
      <c r="A4721" s="5" t="s">
        <v>148</v>
      </c>
      <c r="B4721" s="5" t="s">
        <v>149</v>
      </c>
      <c r="C4721" s="6">
        <v>1999</v>
      </c>
      <c r="D4721" s="7">
        <v>4157192</v>
      </c>
    </row>
    <row r="4722" spans="1:4" x14ac:dyDescent="0.3">
      <c r="A4722" s="2" t="s">
        <v>148</v>
      </c>
      <c r="B4722" s="2" t="s">
        <v>149</v>
      </c>
      <c r="C4722" s="3">
        <v>2000</v>
      </c>
      <c r="D4722" s="4">
        <v>4077131</v>
      </c>
    </row>
    <row r="4723" spans="1:4" x14ac:dyDescent="0.3">
      <c r="A4723" s="5" t="s">
        <v>148</v>
      </c>
      <c r="B4723" s="5" t="s">
        <v>149</v>
      </c>
      <c r="C4723" s="6">
        <v>2001</v>
      </c>
      <c r="D4723" s="7">
        <v>4014373</v>
      </c>
    </row>
    <row r="4724" spans="1:4" x14ac:dyDescent="0.3">
      <c r="A4724" s="2" t="s">
        <v>148</v>
      </c>
      <c r="B4724" s="2" t="s">
        <v>149</v>
      </c>
      <c r="C4724" s="3">
        <v>2002</v>
      </c>
      <c r="D4724" s="4">
        <v>3978515</v>
      </c>
    </row>
    <row r="4725" spans="1:4" x14ac:dyDescent="0.3">
      <c r="A4725" s="5" t="s">
        <v>148</v>
      </c>
      <c r="B4725" s="5" t="s">
        <v>149</v>
      </c>
      <c r="C4725" s="6">
        <v>2003</v>
      </c>
      <c r="D4725" s="7">
        <v>3951736</v>
      </c>
    </row>
    <row r="4726" spans="1:4" x14ac:dyDescent="0.3">
      <c r="A4726" s="2" t="s">
        <v>148</v>
      </c>
      <c r="B4726" s="2" t="s">
        <v>149</v>
      </c>
      <c r="C4726" s="3">
        <v>2004</v>
      </c>
      <c r="D4726" s="4">
        <v>3927340</v>
      </c>
    </row>
    <row r="4727" spans="1:4" x14ac:dyDescent="0.3">
      <c r="A4727" s="5" t="s">
        <v>148</v>
      </c>
      <c r="B4727" s="5" t="s">
        <v>149</v>
      </c>
      <c r="C4727" s="6">
        <v>2005</v>
      </c>
      <c r="D4727" s="7">
        <v>3902469</v>
      </c>
    </row>
    <row r="4728" spans="1:4" x14ac:dyDescent="0.3">
      <c r="A4728" s="2" t="s">
        <v>148</v>
      </c>
      <c r="B4728" s="2" t="s">
        <v>149</v>
      </c>
      <c r="C4728" s="3">
        <v>2006</v>
      </c>
      <c r="D4728" s="4">
        <v>3880347</v>
      </c>
    </row>
    <row r="4729" spans="1:4" x14ac:dyDescent="0.3">
      <c r="A4729" s="5" t="s">
        <v>148</v>
      </c>
      <c r="B4729" s="5" t="s">
        <v>149</v>
      </c>
      <c r="C4729" s="6">
        <v>2007</v>
      </c>
      <c r="D4729" s="7">
        <v>3860158</v>
      </c>
    </row>
    <row r="4730" spans="1:4" x14ac:dyDescent="0.3">
      <c r="A4730" s="2" t="s">
        <v>148</v>
      </c>
      <c r="B4730" s="2" t="s">
        <v>149</v>
      </c>
      <c r="C4730" s="3">
        <v>2008</v>
      </c>
      <c r="D4730" s="4">
        <v>3848449</v>
      </c>
    </row>
    <row r="4731" spans="1:4" x14ac:dyDescent="0.3">
      <c r="A4731" s="5" t="s">
        <v>148</v>
      </c>
      <c r="B4731" s="5" t="s">
        <v>149</v>
      </c>
      <c r="C4731" s="6">
        <v>2009</v>
      </c>
      <c r="D4731" s="7">
        <v>3814419</v>
      </c>
    </row>
    <row r="4732" spans="1:4" x14ac:dyDescent="0.3">
      <c r="A4732" s="2" t="s">
        <v>148</v>
      </c>
      <c r="B4732" s="2" t="s">
        <v>149</v>
      </c>
      <c r="C4732" s="3">
        <v>2010</v>
      </c>
      <c r="D4732" s="4">
        <v>3786695</v>
      </c>
    </row>
    <row r="4733" spans="1:4" x14ac:dyDescent="0.3">
      <c r="A4733" s="5" t="s">
        <v>148</v>
      </c>
      <c r="B4733" s="5" t="s">
        <v>149</v>
      </c>
      <c r="C4733" s="6">
        <v>2011</v>
      </c>
      <c r="D4733" s="7">
        <v>3756441</v>
      </c>
    </row>
    <row r="4734" spans="1:4" x14ac:dyDescent="0.3">
      <c r="A4734" s="2" t="s">
        <v>148</v>
      </c>
      <c r="B4734" s="2" t="s">
        <v>149</v>
      </c>
      <c r="C4734" s="3">
        <v>2012</v>
      </c>
      <c r="D4734" s="4">
        <v>3728874</v>
      </c>
    </row>
    <row r="4735" spans="1:4" x14ac:dyDescent="0.3">
      <c r="A4735" s="5" t="s">
        <v>148</v>
      </c>
      <c r="B4735" s="5" t="s">
        <v>149</v>
      </c>
      <c r="C4735" s="6">
        <v>2013</v>
      </c>
      <c r="D4735" s="7">
        <v>3717668</v>
      </c>
    </row>
    <row r="4736" spans="1:4" x14ac:dyDescent="0.3">
      <c r="A4736" s="2" t="s">
        <v>148</v>
      </c>
      <c r="B4736" s="2" t="s">
        <v>149</v>
      </c>
      <c r="C4736" s="3">
        <v>2014</v>
      </c>
      <c r="D4736" s="4">
        <v>3719414</v>
      </c>
    </row>
    <row r="4737" spans="1:4" x14ac:dyDescent="0.3">
      <c r="A4737" s="5" t="s">
        <v>148</v>
      </c>
      <c r="B4737" s="5" t="s">
        <v>149</v>
      </c>
      <c r="C4737" s="6">
        <v>2015</v>
      </c>
      <c r="D4737" s="7">
        <v>3725276</v>
      </c>
    </row>
    <row r="4738" spans="1:4" x14ac:dyDescent="0.3">
      <c r="A4738" s="2" t="s">
        <v>148</v>
      </c>
      <c r="B4738" s="2" t="s">
        <v>149</v>
      </c>
      <c r="C4738" s="3">
        <v>2016</v>
      </c>
      <c r="D4738" s="4">
        <v>3727505</v>
      </c>
    </row>
    <row r="4739" spans="1:4" x14ac:dyDescent="0.3">
      <c r="A4739" s="5" t="s">
        <v>148</v>
      </c>
      <c r="B4739" s="5" t="s">
        <v>149</v>
      </c>
      <c r="C4739" s="6">
        <v>2017</v>
      </c>
      <c r="D4739" s="7">
        <v>3728004</v>
      </c>
    </row>
    <row r="4740" spans="1:4" x14ac:dyDescent="0.3">
      <c r="A4740" s="2" t="s">
        <v>148</v>
      </c>
      <c r="B4740" s="2" t="s">
        <v>149</v>
      </c>
      <c r="C4740" s="3">
        <v>2018</v>
      </c>
      <c r="D4740" s="4">
        <v>3726549</v>
      </c>
    </row>
    <row r="4741" spans="1:4" x14ac:dyDescent="0.3">
      <c r="A4741" s="5" t="s">
        <v>148</v>
      </c>
      <c r="B4741" s="5" t="s">
        <v>149</v>
      </c>
      <c r="C4741" s="6">
        <v>2019</v>
      </c>
      <c r="D4741" s="7">
        <v>3720161</v>
      </c>
    </row>
    <row r="4742" spans="1:4" x14ac:dyDescent="0.3">
      <c r="A4742" s="2" t="s">
        <v>148</v>
      </c>
      <c r="B4742" s="2" t="s">
        <v>149</v>
      </c>
      <c r="C4742" s="3">
        <v>2020</v>
      </c>
      <c r="D4742" s="4">
        <v>3722716</v>
      </c>
    </row>
    <row r="4743" spans="1:4" x14ac:dyDescent="0.3">
      <c r="A4743" s="5" t="s">
        <v>148</v>
      </c>
      <c r="B4743" s="5" t="s">
        <v>149</v>
      </c>
      <c r="C4743" s="6">
        <v>2021</v>
      </c>
      <c r="D4743" s="7">
        <v>3708610</v>
      </c>
    </row>
    <row r="4744" spans="1:4" x14ac:dyDescent="0.3">
      <c r="A4744" s="2" t="s">
        <v>148</v>
      </c>
      <c r="B4744" s="2" t="s">
        <v>149</v>
      </c>
      <c r="C4744" s="3">
        <v>2022</v>
      </c>
      <c r="D4744" s="4">
        <v>3712502</v>
      </c>
    </row>
    <row r="4745" spans="1:4" x14ac:dyDescent="0.3">
      <c r="A4745" s="5" t="s">
        <v>148</v>
      </c>
      <c r="B4745" s="5" t="s">
        <v>149</v>
      </c>
      <c r="C4745" s="6">
        <v>2023</v>
      </c>
      <c r="D4745" s="7">
        <v>3715483</v>
      </c>
    </row>
    <row r="4746" spans="1:4" x14ac:dyDescent="0.3">
      <c r="A4746" s="2" t="s">
        <v>148</v>
      </c>
      <c r="B4746" s="2" t="s">
        <v>149</v>
      </c>
      <c r="C4746" s="3">
        <v>2024</v>
      </c>
      <c r="D4746" s="4">
        <v>3673850</v>
      </c>
    </row>
    <row r="4747" spans="1:4" x14ac:dyDescent="0.3">
      <c r="A4747" s="5" t="s">
        <v>150</v>
      </c>
      <c r="B4747" s="5" t="s">
        <v>151</v>
      </c>
      <c r="C4747" s="6">
        <v>1960</v>
      </c>
      <c r="D4747" s="7">
        <v>72814900</v>
      </c>
    </row>
    <row r="4748" spans="1:4" x14ac:dyDescent="0.3">
      <c r="A4748" s="2" t="s">
        <v>150</v>
      </c>
      <c r="B4748" s="2" t="s">
        <v>151</v>
      </c>
      <c r="C4748" s="3">
        <v>1961</v>
      </c>
      <c r="D4748" s="4">
        <v>73377632</v>
      </c>
    </row>
    <row r="4749" spans="1:4" x14ac:dyDescent="0.3">
      <c r="A4749" s="5" t="s">
        <v>150</v>
      </c>
      <c r="B4749" s="5" t="s">
        <v>151</v>
      </c>
      <c r="C4749" s="6">
        <v>1962</v>
      </c>
      <c r="D4749" s="7">
        <v>74025784</v>
      </c>
    </row>
    <row r="4750" spans="1:4" x14ac:dyDescent="0.3">
      <c r="A4750" s="2" t="s">
        <v>150</v>
      </c>
      <c r="B4750" s="2" t="s">
        <v>151</v>
      </c>
      <c r="C4750" s="3">
        <v>1963</v>
      </c>
      <c r="D4750" s="4">
        <v>74714353</v>
      </c>
    </row>
    <row r="4751" spans="1:4" x14ac:dyDescent="0.3">
      <c r="A4751" s="5" t="s">
        <v>150</v>
      </c>
      <c r="B4751" s="5" t="s">
        <v>151</v>
      </c>
      <c r="C4751" s="6">
        <v>1964</v>
      </c>
      <c r="D4751" s="7">
        <v>75318337</v>
      </c>
    </row>
    <row r="4752" spans="1:4" x14ac:dyDescent="0.3">
      <c r="A4752" s="2" t="s">
        <v>150</v>
      </c>
      <c r="B4752" s="2" t="s">
        <v>151</v>
      </c>
      <c r="C4752" s="3">
        <v>1965</v>
      </c>
      <c r="D4752" s="4">
        <v>75963695</v>
      </c>
    </row>
    <row r="4753" spans="1:4" x14ac:dyDescent="0.3">
      <c r="A4753" s="5" t="s">
        <v>150</v>
      </c>
      <c r="B4753" s="5" t="s">
        <v>151</v>
      </c>
      <c r="C4753" s="6">
        <v>1966</v>
      </c>
      <c r="D4753" s="7">
        <v>76600311</v>
      </c>
    </row>
    <row r="4754" spans="1:4" x14ac:dyDescent="0.3">
      <c r="A4754" s="2" t="s">
        <v>150</v>
      </c>
      <c r="B4754" s="2" t="s">
        <v>151</v>
      </c>
      <c r="C4754" s="3">
        <v>1967</v>
      </c>
      <c r="D4754" s="4">
        <v>76951336</v>
      </c>
    </row>
    <row r="4755" spans="1:4" x14ac:dyDescent="0.3">
      <c r="A4755" s="5" t="s">
        <v>150</v>
      </c>
      <c r="B4755" s="5" t="s">
        <v>151</v>
      </c>
      <c r="C4755" s="6">
        <v>1968</v>
      </c>
      <c r="D4755" s="7">
        <v>77294314</v>
      </c>
    </row>
    <row r="4756" spans="1:4" x14ac:dyDescent="0.3">
      <c r="A4756" s="2" t="s">
        <v>150</v>
      </c>
      <c r="B4756" s="2" t="s">
        <v>151</v>
      </c>
      <c r="C4756" s="3">
        <v>1969</v>
      </c>
      <c r="D4756" s="4">
        <v>77909682</v>
      </c>
    </row>
    <row r="4757" spans="1:4" x14ac:dyDescent="0.3">
      <c r="A4757" s="5" t="s">
        <v>150</v>
      </c>
      <c r="B4757" s="5" t="s">
        <v>151</v>
      </c>
      <c r="C4757" s="6">
        <v>1970</v>
      </c>
      <c r="D4757" s="7">
        <v>78169289</v>
      </c>
    </row>
    <row r="4758" spans="1:4" x14ac:dyDescent="0.3">
      <c r="A4758" s="2" t="s">
        <v>150</v>
      </c>
      <c r="B4758" s="2" t="s">
        <v>151</v>
      </c>
      <c r="C4758" s="3">
        <v>1971</v>
      </c>
      <c r="D4758" s="4">
        <v>78312842</v>
      </c>
    </row>
    <row r="4759" spans="1:4" x14ac:dyDescent="0.3">
      <c r="A4759" s="5" t="s">
        <v>150</v>
      </c>
      <c r="B4759" s="5" t="s">
        <v>151</v>
      </c>
      <c r="C4759" s="6">
        <v>1972</v>
      </c>
      <c r="D4759" s="7">
        <v>78688452</v>
      </c>
    </row>
    <row r="4760" spans="1:4" x14ac:dyDescent="0.3">
      <c r="A4760" s="2" t="s">
        <v>150</v>
      </c>
      <c r="B4760" s="2" t="s">
        <v>151</v>
      </c>
      <c r="C4760" s="3">
        <v>1973</v>
      </c>
      <c r="D4760" s="4">
        <v>78936666</v>
      </c>
    </row>
    <row r="4761" spans="1:4" x14ac:dyDescent="0.3">
      <c r="A4761" s="5" t="s">
        <v>150</v>
      </c>
      <c r="B4761" s="5" t="s">
        <v>151</v>
      </c>
      <c r="C4761" s="6">
        <v>1974</v>
      </c>
      <c r="D4761" s="7">
        <v>78967433</v>
      </c>
    </row>
    <row r="4762" spans="1:4" x14ac:dyDescent="0.3">
      <c r="A4762" s="2" t="s">
        <v>150</v>
      </c>
      <c r="B4762" s="2" t="s">
        <v>151</v>
      </c>
      <c r="C4762" s="3">
        <v>1975</v>
      </c>
      <c r="D4762" s="4">
        <v>78673554</v>
      </c>
    </row>
    <row r="4763" spans="1:4" x14ac:dyDescent="0.3">
      <c r="A4763" s="5" t="s">
        <v>150</v>
      </c>
      <c r="B4763" s="5" t="s">
        <v>151</v>
      </c>
      <c r="C4763" s="6">
        <v>1976</v>
      </c>
      <c r="D4763" s="7">
        <v>78336950</v>
      </c>
    </row>
    <row r="4764" spans="1:4" x14ac:dyDescent="0.3">
      <c r="A4764" s="2" t="s">
        <v>150</v>
      </c>
      <c r="B4764" s="2" t="s">
        <v>151</v>
      </c>
      <c r="C4764" s="3">
        <v>1977</v>
      </c>
      <c r="D4764" s="4">
        <v>78159814</v>
      </c>
    </row>
    <row r="4765" spans="1:4" x14ac:dyDescent="0.3">
      <c r="A4765" s="5" t="s">
        <v>150</v>
      </c>
      <c r="B4765" s="5" t="s">
        <v>151</v>
      </c>
      <c r="C4765" s="6">
        <v>1978</v>
      </c>
      <c r="D4765" s="7">
        <v>78091820</v>
      </c>
    </row>
    <row r="4766" spans="1:4" x14ac:dyDescent="0.3">
      <c r="A4766" s="2" t="s">
        <v>150</v>
      </c>
      <c r="B4766" s="2" t="s">
        <v>151</v>
      </c>
      <c r="C4766" s="3">
        <v>1979</v>
      </c>
      <c r="D4766" s="4">
        <v>78126350</v>
      </c>
    </row>
    <row r="4767" spans="1:4" x14ac:dyDescent="0.3">
      <c r="A4767" s="5" t="s">
        <v>150</v>
      </c>
      <c r="B4767" s="5" t="s">
        <v>151</v>
      </c>
      <c r="C4767" s="6">
        <v>1980</v>
      </c>
      <c r="D4767" s="7">
        <v>78288576</v>
      </c>
    </row>
    <row r="4768" spans="1:4" x14ac:dyDescent="0.3">
      <c r="A4768" s="2" t="s">
        <v>150</v>
      </c>
      <c r="B4768" s="2" t="s">
        <v>151</v>
      </c>
      <c r="C4768" s="3">
        <v>1981</v>
      </c>
      <c r="D4768" s="4">
        <v>78407907</v>
      </c>
    </row>
    <row r="4769" spans="1:4" x14ac:dyDescent="0.3">
      <c r="A4769" s="5" t="s">
        <v>150</v>
      </c>
      <c r="B4769" s="5" t="s">
        <v>151</v>
      </c>
      <c r="C4769" s="6">
        <v>1982</v>
      </c>
      <c r="D4769" s="7">
        <v>78333366</v>
      </c>
    </row>
    <row r="4770" spans="1:4" x14ac:dyDescent="0.3">
      <c r="A4770" s="2" t="s">
        <v>150</v>
      </c>
      <c r="B4770" s="2" t="s">
        <v>151</v>
      </c>
      <c r="C4770" s="3">
        <v>1983</v>
      </c>
      <c r="D4770" s="4">
        <v>78128282</v>
      </c>
    </row>
    <row r="4771" spans="1:4" x14ac:dyDescent="0.3">
      <c r="A4771" s="5" t="s">
        <v>150</v>
      </c>
      <c r="B4771" s="5" t="s">
        <v>151</v>
      </c>
      <c r="C4771" s="6">
        <v>1984</v>
      </c>
      <c r="D4771" s="7">
        <v>77858685</v>
      </c>
    </row>
    <row r="4772" spans="1:4" x14ac:dyDescent="0.3">
      <c r="A4772" s="2" t="s">
        <v>150</v>
      </c>
      <c r="B4772" s="2" t="s">
        <v>151</v>
      </c>
      <c r="C4772" s="3">
        <v>1985</v>
      </c>
      <c r="D4772" s="4">
        <v>77684873</v>
      </c>
    </row>
    <row r="4773" spans="1:4" x14ac:dyDescent="0.3">
      <c r="A4773" s="5" t="s">
        <v>150</v>
      </c>
      <c r="B4773" s="5" t="s">
        <v>151</v>
      </c>
      <c r="C4773" s="6">
        <v>1986</v>
      </c>
      <c r="D4773" s="7">
        <v>77720436</v>
      </c>
    </row>
    <row r="4774" spans="1:4" x14ac:dyDescent="0.3">
      <c r="A4774" s="2" t="s">
        <v>150</v>
      </c>
      <c r="B4774" s="2" t="s">
        <v>151</v>
      </c>
      <c r="C4774" s="3">
        <v>1987</v>
      </c>
      <c r="D4774" s="4">
        <v>77839920</v>
      </c>
    </row>
    <row r="4775" spans="1:4" x14ac:dyDescent="0.3">
      <c r="A4775" s="5" t="s">
        <v>150</v>
      </c>
      <c r="B4775" s="5" t="s">
        <v>151</v>
      </c>
      <c r="C4775" s="6">
        <v>1988</v>
      </c>
      <c r="D4775" s="7">
        <v>78144619</v>
      </c>
    </row>
    <row r="4776" spans="1:4" x14ac:dyDescent="0.3">
      <c r="A4776" s="2" t="s">
        <v>150</v>
      </c>
      <c r="B4776" s="2" t="s">
        <v>151</v>
      </c>
      <c r="C4776" s="3">
        <v>1989</v>
      </c>
      <c r="D4776" s="4">
        <v>78751283</v>
      </c>
    </row>
    <row r="4777" spans="1:4" x14ac:dyDescent="0.3">
      <c r="A4777" s="5" t="s">
        <v>150</v>
      </c>
      <c r="B4777" s="5" t="s">
        <v>151</v>
      </c>
      <c r="C4777" s="6">
        <v>1990</v>
      </c>
      <c r="D4777" s="7">
        <v>79433029</v>
      </c>
    </row>
    <row r="4778" spans="1:4" x14ac:dyDescent="0.3">
      <c r="A4778" s="2" t="s">
        <v>150</v>
      </c>
      <c r="B4778" s="2" t="s">
        <v>151</v>
      </c>
      <c r="C4778" s="3">
        <v>1991</v>
      </c>
      <c r="D4778" s="4">
        <v>80013896</v>
      </c>
    </row>
    <row r="4779" spans="1:4" x14ac:dyDescent="0.3">
      <c r="A4779" s="5" t="s">
        <v>150</v>
      </c>
      <c r="B4779" s="5" t="s">
        <v>151</v>
      </c>
      <c r="C4779" s="6">
        <v>1992</v>
      </c>
      <c r="D4779" s="7">
        <v>80624598</v>
      </c>
    </row>
    <row r="4780" spans="1:4" x14ac:dyDescent="0.3">
      <c r="A4780" s="2" t="s">
        <v>150</v>
      </c>
      <c r="B4780" s="2" t="s">
        <v>151</v>
      </c>
      <c r="C4780" s="3">
        <v>1993</v>
      </c>
      <c r="D4780" s="4">
        <v>81156363</v>
      </c>
    </row>
    <row r="4781" spans="1:4" x14ac:dyDescent="0.3">
      <c r="A4781" s="5" t="s">
        <v>150</v>
      </c>
      <c r="B4781" s="5" t="s">
        <v>151</v>
      </c>
      <c r="C4781" s="6">
        <v>1994</v>
      </c>
      <c r="D4781" s="7">
        <v>81438348</v>
      </c>
    </row>
    <row r="4782" spans="1:4" x14ac:dyDescent="0.3">
      <c r="A4782" s="2" t="s">
        <v>150</v>
      </c>
      <c r="B4782" s="2" t="s">
        <v>151</v>
      </c>
      <c r="C4782" s="3">
        <v>1995</v>
      </c>
      <c r="D4782" s="4">
        <v>81678051</v>
      </c>
    </row>
    <row r="4783" spans="1:4" x14ac:dyDescent="0.3">
      <c r="A4783" s="5" t="s">
        <v>150</v>
      </c>
      <c r="B4783" s="5" t="s">
        <v>151</v>
      </c>
      <c r="C4783" s="6">
        <v>1996</v>
      </c>
      <c r="D4783" s="7">
        <v>81914831</v>
      </c>
    </row>
    <row r="4784" spans="1:4" x14ac:dyDescent="0.3">
      <c r="A4784" s="2" t="s">
        <v>150</v>
      </c>
      <c r="B4784" s="2" t="s">
        <v>151</v>
      </c>
      <c r="C4784" s="3">
        <v>1997</v>
      </c>
      <c r="D4784" s="4">
        <v>82034771</v>
      </c>
    </row>
    <row r="4785" spans="1:4" x14ac:dyDescent="0.3">
      <c r="A4785" s="5" t="s">
        <v>150</v>
      </c>
      <c r="B4785" s="5" t="s">
        <v>151</v>
      </c>
      <c r="C4785" s="6">
        <v>1998</v>
      </c>
      <c r="D4785" s="7">
        <v>82047195</v>
      </c>
    </row>
    <row r="4786" spans="1:4" x14ac:dyDescent="0.3">
      <c r="A4786" s="2" t="s">
        <v>150</v>
      </c>
      <c r="B4786" s="2" t="s">
        <v>151</v>
      </c>
      <c r="C4786" s="3">
        <v>1999</v>
      </c>
      <c r="D4786" s="4">
        <v>82100243</v>
      </c>
    </row>
    <row r="4787" spans="1:4" x14ac:dyDescent="0.3">
      <c r="A4787" s="5" t="s">
        <v>150</v>
      </c>
      <c r="B4787" s="5" t="s">
        <v>151</v>
      </c>
      <c r="C4787" s="6">
        <v>2000</v>
      </c>
      <c r="D4787" s="7">
        <v>82211508</v>
      </c>
    </row>
    <row r="4788" spans="1:4" x14ac:dyDescent="0.3">
      <c r="A4788" s="2" t="s">
        <v>150</v>
      </c>
      <c r="B4788" s="2" t="s">
        <v>151</v>
      </c>
      <c r="C4788" s="3">
        <v>2001</v>
      </c>
      <c r="D4788" s="4">
        <v>82349925</v>
      </c>
    </row>
    <row r="4789" spans="1:4" x14ac:dyDescent="0.3">
      <c r="A4789" s="5" t="s">
        <v>150</v>
      </c>
      <c r="B4789" s="5" t="s">
        <v>151</v>
      </c>
      <c r="C4789" s="6">
        <v>2002</v>
      </c>
      <c r="D4789" s="7">
        <v>82488495</v>
      </c>
    </row>
    <row r="4790" spans="1:4" x14ac:dyDescent="0.3">
      <c r="A4790" s="2" t="s">
        <v>150</v>
      </c>
      <c r="B4790" s="2" t="s">
        <v>151</v>
      </c>
      <c r="C4790" s="3">
        <v>2003</v>
      </c>
      <c r="D4790" s="4">
        <v>82534176</v>
      </c>
    </row>
    <row r="4791" spans="1:4" x14ac:dyDescent="0.3">
      <c r="A4791" s="5" t="s">
        <v>150</v>
      </c>
      <c r="B4791" s="5" t="s">
        <v>151</v>
      </c>
      <c r="C4791" s="6">
        <v>2004</v>
      </c>
      <c r="D4791" s="7">
        <v>82516260</v>
      </c>
    </row>
    <row r="4792" spans="1:4" x14ac:dyDescent="0.3">
      <c r="A4792" s="2" t="s">
        <v>150</v>
      </c>
      <c r="B4792" s="2" t="s">
        <v>151</v>
      </c>
      <c r="C4792" s="3">
        <v>2005</v>
      </c>
      <c r="D4792" s="4">
        <v>82469422</v>
      </c>
    </row>
    <row r="4793" spans="1:4" x14ac:dyDescent="0.3">
      <c r="A4793" s="5" t="s">
        <v>150</v>
      </c>
      <c r="B4793" s="5" t="s">
        <v>151</v>
      </c>
      <c r="C4793" s="6">
        <v>2006</v>
      </c>
      <c r="D4793" s="7">
        <v>82376451</v>
      </c>
    </row>
    <row r="4794" spans="1:4" x14ac:dyDescent="0.3">
      <c r="A4794" s="2" t="s">
        <v>150</v>
      </c>
      <c r="B4794" s="2" t="s">
        <v>151</v>
      </c>
      <c r="C4794" s="3">
        <v>2007</v>
      </c>
      <c r="D4794" s="4">
        <v>82266372</v>
      </c>
    </row>
    <row r="4795" spans="1:4" x14ac:dyDescent="0.3">
      <c r="A4795" s="5" t="s">
        <v>150</v>
      </c>
      <c r="B4795" s="5" t="s">
        <v>151</v>
      </c>
      <c r="C4795" s="6">
        <v>2008</v>
      </c>
      <c r="D4795" s="7">
        <v>82110097</v>
      </c>
    </row>
    <row r="4796" spans="1:4" x14ac:dyDescent="0.3">
      <c r="A4796" s="2" t="s">
        <v>150</v>
      </c>
      <c r="B4796" s="2" t="s">
        <v>151</v>
      </c>
      <c r="C4796" s="3">
        <v>2009</v>
      </c>
      <c r="D4796" s="4">
        <v>81902307</v>
      </c>
    </row>
    <row r="4797" spans="1:4" x14ac:dyDescent="0.3">
      <c r="A4797" s="5" t="s">
        <v>150</v>
      </c>
      <c r="B4797" s="5" t="s">
        <v>151</v>
      </c>
      <c r="C4797" s="6">
        <v>2010</v>
      </c>
      <c r="D4797" s="7">
        <v>81776930</v>
      </c>
    </row>
    <row r="4798" spans="1:4" x14ac:dyDescent="0.3">
      <c r="A4798" s="2" t="s">
        <v>150</v>
      </c>
      <c r="B4798" s="2" t="s">
        <v>151</v>
      </c>
      <c r="C4798" s="3">
        <v>2011</v>
      </c>
      <c r="D4798" s="4">
        <v>80274983</v>
      </c>
    </row>
    <row r="4799" spans="1:4" x14ac:dyDescent="0.3">
      <c r="A4799" s="5" t="s">
        <v>150</v>
      </c>
      <c r="B4799" s="5" t="s">
        <v>151</v>
      </c>
      <c r="C4799" s="6">
        <v>2012</v>
      </c>
      <c r="D4799" s="7">
        <v>80425823</v>
      </c>
    </row>
    <row r="4800" spans="1:4" x14ac:dyDescent="0.3">
      <c r="A4800" s="2" t="s">
        <v>150</v>
      </c>
      <c r="B4800" s="2" t="s">
        <v>151</v>
      </c>
      <c r="C4800" s="3">
        <v>2013</v>
      </c>
      <c r="D4800" s="4">
        <v>80645605</v>
      </c>
    </row>
    <row r="4801" spans="1:4" x14ac:dyDescent="0.3">
      <c r="A4801" s="5" t="s">
        <v>150</v>
      </c>
      <c r="B4801" s="5" t="s">
        <v>151</v>
      </c>
      <c r="C4801" s="6">
        <v>2014</v>
      </c>
      <c r="D4801" s="7">
        <v>80982500</v>
      </c>
    </row>
    <row r="4802" spans="1:4" x14ac:dyDescent="0.3">
      <c r="A4802" s="2" t="s">
        <v>150</v>
      </c>
      <c r="B4802" s="2" t="s">
        <v>151</v>
      </c>
      <c r="C4802" s="3">
        <v>2015</v>
      </c>
      <c r="D4802" s="4">
        <v>81686611</v>
      </c>
    </row>
    <row r="4803" spans="1:4" x14ac:dyDescent="0.3">
      <c r="A4803" s="5" t="s">
        <v>150</v>
      </c>
      <c r="B4803" s="5" t="s">
        <v>151</v>
      </c>
      <c r="C4803" s="6">
        <v>2016</v>
      </c>
      <c r="D4803" s="7">
        <v>82348669</v>
      </c>
    </row>
    <row r="4804" spans="1:4" x14ac:dyDescent="0.3">
      <c r="A4804" s="2" t="s">
        <v>150</v>
      </c>
      <c r="B4804" s="2" t="s">
        <v>151</v>
      </c>
      <c r="C4804" s="3">
        <v>2017</v>
      </c>
      <c r="D4804" s="4">
        <v>82657002</v>
      </c>
    </row>
    <row r="4805" spans="1:4" x14ac:dyDescent="0.3">
      <c r="A4805" s="5" t="s">
        <v>150</v>
      </c>
      <c r="B4805" s="5" t="s">
        <v>151</v>
      </c>
      <c r="C4805" s="6">
        <v>2018</v>
      </c>
      <c r="D4805" s="7">
        <v>82905782</v>
      </c>
    </row>
    <row r="4806" spans="1:4" x14ac:dyDescent="0.3">
      <c r="A4806" s="2" t="s">
        <v>150</v>
      </c>
      <c r="B4806" s="2" t="s">
        <v>151</v>
      </c>
      <c r="C4806" s="3">
        <v>2019</v>
      </c>
      <c r="D4806" s="4">
        <v>83092962</v>
      </c>
    </row>
    <row r="4807" spans="1:4" x14ac:dyDescent="0.3">
      <c r="A4807" s="5" t="s">
        <v>150</v>
      </c>
      <c r="B4807" s="5" t="s">
        <v>151</v>
      </c>
      <c r="C4807" s="6">
        <v>2020</v>
      </c>
      <c r="D4807" s="7">
        <v>83160871</v>
      </c>
    </row>
    <row r="4808" spans="1:4" x14ac:dyDescent="0.3">
      <c r="A4808" s="2" t="s">
        <v>150</v>
      </c>
      <c r="B4808" s="2" t="s">
        <v>151</v>
      </c>
      <c r="C4808" s="3">
        <v>2021</v>
      </c>
      <c r="D4808" s="4">
        <v>83196078</v>
      </c>
    </row>
    <row r="4809" spans="1:4" x14ac:dyDescent="0.3">
      <c r="A4809" s="5" t="s">
        <v>150</v>
      </c>
      <c r="B4809" s="5" t="s">
        <v>151</v>
      </c>
      <c r="C4809" s="6">
        <v>2022</v>
      </c>
      <c r="D4809" s="7">
        <v>83797985</v>
      </c>
    </row>
    <row r="4810" spans="1:4" x14ac:dyDescent="0.3">
      <c r="A4810" s="2" t="s">
        <v>150</v>
      </c>
      <c r="B4810" s="2" t="s">
        <v>151</v>
      </c>
      <c r="C4810" s="3">
        <v>2023</v>
      </c>
      <c r="D4810" s="4">
        <v>83901923</v>
      </c>
    </row>
    <row r="4811" spans="1:4" x14ac:dyDescent="0.3">
      <c r="A4811" s="5" t="s">
        <v>150</v>
      </c>
      <c r="B4811" s="5" t="s">
        <v>151</v>
      </c>
      <c r="C4811" s="6">
        <v>2024</v>
      </c>
      <c r="D4811" s="7">
        <v>83510950</v>
      </c>
    </row>
    <row r="4812" spans="1:4" x14ac:dyDescent="0.3">
      <c r="A4812" s="2" t="s">
        <v>152</v>
      </c>
      <c r="B4812" s="2" t="s">
        <v>153</v>
      </c>
      <c r="C4812" s="3">
        <v>1960</v>
      </c>
      <c r="D4812" s="4">
        <v>6961215</v>
      </c>
    </row>
    <row r="4813" spans="1:4" x14ac:dyDescent="0.3">
      <c r="A4813" s="5" t="s">
        <v>152</v>
      </c>
      <c r="B4813" s="5" t="s">
        <v>153</v>
      </c>
      <c r="C4813" s="6">
        <v>1961</v>
      </c>
      <c r="D4813" s="7">
        <v>7162667</v>
      </c>
    </row>
    <row r="4814" spans="1:4" x14ac:dyDescent="0.3">
      <c r="A4814" s="2" t="s">
        <v>152</v>
      </c>
      <c r="B4814" s="2" t="s">
        <v>153</v>
      </c>
      <c r="C4814" s="3">
        <v>1962</v>
      </c>
      <c r="D4814" s="4">
        <v>7337375</v>
      </c>
    </row>
    <row r="4815" spans="1:4" x14ac:dyDescent="0.3">
      <c r="A4815" s="5" t="s">
        <v>152</v>
      </c>
      <c r="B4815" s="5" t="s">
        <v>153</v>
      </c>
      <c r="C4815" s="6">
        <v>1963</v>
      </c>
      <c r="D4815" s="7">
        <v>7514714</v>
      </c>
    </row>
    <row r="4816" spans="1:4" x14ac:dyDescent="0.3">
      <c r="A4816" s="2" t="s">
        <v>152</v>
      </c>
      <c r="B4816" s="2" t="s">
        <v>153</v>
      </c>
      <c r="C4816" s="3">
        <v>1964</v>
      </c>
      <c r="D4816" s="4">
        <v>7695739</v>
      </c>
    </row>
    <row r="4817" spans="1:4" x14ac:dyDescent="0.3">
      <c r="A4817" s="5" t="s">
        <v>152</v>
      </c>
      <c r="B4817" s="5" t="s">
        <v>153</v>
      </c>
      <c r="C4817" s="6">
        <v>1965</v>
      </c>
      <c r="D4817" s="7">
        <v>7882606</v>
      </c>
    </row>
    <row r="4818" spans="1:4" x14ac:dyDescent="0.3">
      <c r="A4818" s="2" t="s">
        <v>152</v>
      </c>
      <c r="B4818" s="2" t="s">
        <v>153</v>
      </c>
      <c r="C4818" s="3">
        <v>1966</v>
      </c>
      <c r="D4818" s="4">
        <v>8074521</v>
      </c>
    </row>
    <row r="4819" spans="1:4" x14ac:dyDescent="0.3">
      <c r="A4819" s="5" t="s">
        <v>152</v>
      </c>
      <c r="B4819" s="5" t="s">
        <v>153</v>
      </c>
      <c r="C4819" s="6">
        <v>1967</v>
      </c>
      <c r="D4819" s="7">
        <v>8271913</v>
      </c>
    </row>
    <row r="4820" spans="1:4" x14ac:dyDescent="0.3">
      <c r="A4820" s="2" t="s">
        <v>152</v>
      </c>
      <c r="B4820" s="2" t="s">
        <v>153</v>
      </c>
      <c r="C4820" s="3">
        <v>1968</v>
      </c>
      <c r="D4820" s="4">
        <v>8475729</v>
      </c>
    </row>
    <row r="4821" spans="1:4" x14ac:dyDescent="0.3">
      <c r="A4821" s="5" t="s">
        <v>152</v>
      </c>
      <c r="B4821" s="5" t="s">
        <v>153</v>
      </c>
      <c r="C4821" s="6">
        <v>1969</v>
      </c>
      <c r="D4821" s="7">
        <v>8690383</v>
      </c>
    </row>
    <row r="4822" spans="1:4" x14ac:dyDescent="0.3">
      <c r="A4822" s="2" t="s">
        <v>152</v>
      </c>
      <c r="B4822" s="2" t="s">
        <v>153</v>
      </c>
      <c r="C4822" s="3">
        <v>1970</v>
      </c>
      <c r="D4822" s="4">
        <v>8925813</v>
      </c>
    </row>
    <row r="4823" spans="1:4" x14ac:dyDescent="0.3">
      <c r="A4823" s="5" t="s">
        <v>152</v>
      </c>
      <c r="B4823" s="5" t="s">
        <v>153</v>
      </c>
      <c r="C4823" s="6">
        <v>1971</v>
      </c>
      <c r="D4823" s="7">
        <v>9176264</v>
      </c>
    </row>
    <row r="4824" spans="1:4" x14ac:dyDescent="0.3">
      <c r="A4824" s="2" t="s">
        <v>152</v>
      </c>
      <c r="B4824" s="2" t="s">
        <v>153</v>
      </c>
      <c r="C4824" s="3">
        <v>1972</v>
      </c>
      <c r="D4824" s="4">
        <v>9438187</v>
      </c>
    </row>
    <row r="4825" spans="1:4" x14ac:dyDescent="0.3">
      <c r="A4825" s="5" t="s">
        <v>152</v>
      </c>
      <c r="B4825" s="5" t="s">
        <v>153</v>
      </c>
      <c r="C4825" s="6">
        <v>1973</v>
      </c>
      <c r="D4825" s="7">
        <v>9714617</v>
      </c>
    </row>
    <row r="4826" spans="1:4" x14ac:dyDescent="0.3">
      <c r="A4826" s="2" t="s">
        <v>152</v>
      </c>
      <c r="B4826" s="2" t="s">
        <v>153</v>
      </c>
      <c r="C4826" s="3">
        <v>1974</v>
      </c>
      <c r="D4826" s="4">
        <v>10000523</v>
      </c>
    </row>
    <row r="4827" spans="1:4" x14ac:dyDescent="0.3">
      <c r="A4827" s="5" t="s">
        <v>152</v>
      </c>
      <c r="B4827" s="5" t="s">
        <v>153</v>
      </c>
      <c r="C4827" s="6">
        <v>1975</v>
      </c>
      <c r="D4827" s="7">
        <v>10294308</v>
      </c>
    </row>
    <row r="4828" spans="1:4" x14ac:dyDescent="0.3">
      <c r="A4828" s="2" t="s">
        <v>152</v>
      </c>
      <c r="B4828" s="2" t="s">
        <v>153</v>
      </c>
      <c r="C4828" s="3">
        <v>1976</v>
      </c>
      <c r="D4828" s="4">
        <v>10594913</v>
      </c>
    </row>
    <row r="4829" spans="1:4" x14ac:dyDescent="0.3">
      <c r="A4829" s="5" t="s">
        <v>152</v>
      </c>
      <c r="B4829" s="5" t="s">
        <v>153</v>
      </c>
      <c r="C4829" s="6">
        <v>1977</v>
      </c>
      <c r="D4829" s="7">
        <v>10911871</v>
      </c>
    </row>
    <row r="4830" spans="1:4" x14ac:dyDescent="0.3">
      <c r="A4830" s="2" t="s">
        <v>152</v>
      </c>
      <c r="B4830" s="2" t="s">
        <v>153</v>
      </c>
      <c r="C4830" s="3">
        <v>1978</v>
      </c>
      <c r="D4830" s="4">
        <v>11248450</v>
      </c>
    </row>
    <row r="4831" spans="1:4" x14ac:dyDescent="0.3">
      <c r="A4831" s="5" t="s">
        <v>152</v>
      </c>
      <c r="B4831" s="5" t="s">
        <v>153</v>
      </c>
      <c r="C4831" s="6">
        <v>1979</v>
      </c>
      <c r="D4831" s="7">
        <v>11597255</v>
      </c>
    </row>
    <row r="4832" spans="1:4" x14ac:dyDescent="0.3">
      <c r="A4832" s="2" t="s">
        <v>152</v>
      </c>
      <c r="B4832" s="2" t="s">
        <v>153</v>
      </c>
      <c r="C4832" s="3">
        <v>1980</v>
      </c>
      <c r="D4832" s="4">
        <v>11941448</v>
      </c>
    </row>
    <row r="4833" spans="1:4" x14ac:dyDescent="0.3">
      <c r="A4833" s="5" t="s">
        <v>152</v>
      </c>
      <c r="B4833" s="5" t="s">
        <v>153</v>
      </c>
      <c r="C4833" s="6">
        <v>1981</v>
      </c>
      <c r="D4833" s="7">
        <v>12281712</v>
      </c>
    </row>
    <row r="4834" spans="1:4" x14ac:dyDescent="0.3">
      <c r="A4834" s="2" t="s">
        <v>152</v>
      </c>
      <c r="B4834" s="2" t="s">
        <v>153</v>
      </c>
      <c r="C4834" s="3">
        <v>1982</v>
      </c>
      <c r="D4834" s="4">
        <v>12643819</v>
      </c>
    </row>
    <row r="4835" spans="1:4" x14ac:dyDescent="0.3">
      <c r="A4835" s="5" t="s">
        <v>152</v>
      </c>
      <c r="B4835" s="5" t="s">
        <v>153</v>
      </c>
      <c r="C4835" s="6">
        <v>1983</v>
      </c>
      <c r="D4835" s="7">
        <v>13029836</v>
      </c>
    </row>
    <row r="4836" spans="1:4" x14ac:dyDescent="0.3">
      <c r="A4836" s="2" t="s">
        <v>152</v>
      </c>
      <c r="B4836" s="2" t="s">
        <v>153</v>
      </c>
      <c r="C4836" s="3">
        <v>1984</v>
      </c>
      <c r="D4836" s="4">
        <v>13370590</v>
      </c>
    </row>
    <row r="4837" spans="1:4" x14ac:dyDescent="0.3">
      <c r="A4837" s="5" t="s">
        <v>152</v>
      </c>
      <c r="B4837" s="5" t="s">
        <v>153</v>
      </c>
      <c r="C4837" s="6">
        <v>1985</v>
      </c>
      <c r="D4837" s="7">
        <v>13661229</v>
      </c>
    </row>
    <row r="4838" spans="1:4" x14ac:dyDescent="0.3">
      <c r="A4838" s="2" t="s">
        <v>152</v>
      </c>
      <c r="B4838" s="2" t="s">
        <v>153</v>
      </c>
      <c r="C4838" s="3">
        <v>1986</v>
      </c>
      <c r="D4838" s="4">
        <v>13965217</v>
      </c>
    </row>
    <row r="4839" spans="1:4" x14ac:dyDescent="0.3">
      <c r="A4839" s="5" t="s">
        <v>152</v>
      </c>
      <c r="B4839" s="5" t="s">
        <v>153</v>
      </c>
      <c r="C4839" s="6">
        <v>1987</v>
      </c>
      <c r="D4839" s="7">
        <v>14289108</v>
      </c>
    </row>
    <row r="4840" spans="1:4" x14ac:dyDescent="0.3">
      <c r="A4840" s="2" t="s">
        <v>152</v>
      </c>
      <c r="B4840" s="2" t="s">
        <v>153</v>
      </c>
      <c r="C4840" s="3">
        <v>1988</v>
      </c>
      <c r="D4840" s="4">
        <v>14636568</v>
      </c>
    </row>
    <row r="4841" spans="1:4" x14ac:dyDescent="0.3">
      <c r="A4841" s="5" t="s">
        <v>152</v>
      </c>
      <c r="B4841" s="5" t="s">
        <v>153</v>
      </c>
      <c r="C4841" s="6">
        <v>1989</v>
      </c>
      <c r="D4841" s="7">
        <v>15006813</v>
      </c>
    </row>
    <row r="4842" spans="1:4" x14ac:dyDescent="0.3">
      <c r="A4842" s="2" t="s">
        <v>152</v>
      </c>
      <c r="B4842" s="2" t="s">
        <v>153</v>
      </c>
      <c r="C4842" s="3">
        <v>1990</v>
      </c>
      <c r="D4842" s="4">
        <v>15394648</v>
      </c>
    </row>
    <row r="4843" spans="1:4" x14ac:dyDescent="0.3">
      <c r="A4843" s="5" t="s">
        <v>152</v>
      </c>
      <c r="B4843" s="5" t="s">
        <v>153</v>
      </c>
      <c r="C4843" s="6">
        <v>1991</v>
      </c>
      <c r="D4843" s="7">
        <v>15787496</v>
      </c>
    </row>
    <row r="4844" spans="1:4" x14ac:dyDescent="0.3">
      <c r="A4844" s="2" t="s">
        <v>152</v>
      </c>
      <c r="B4844" s="2" t="s">
        <v>153</v>
      </c>
      <c r="C4844" s="3">
        <v>1992</v>
      </c>
      <c r="D4844" s="4">
        <v>16184855</v>
      </c>
    </row>
    <row r="4845" spans="1:4" x14ac:dyDescent="0.3">
      <c r="A4845" s="5" t="s">
        <v>152</v>
      </c>
      <c r="B4845" s="5" t="s">
        <v>153</v>
      </c>
      <c r="C4845" s="6">
        <v>1993</v>
      </c>
      <c r="D4845" s="7">
        <v>16589519</v>
      </c>
    </row>
    <row r="4846" spans="1:4" x14ac:dyDescent="0.3">
      <c r="A4846" s="2" t="s">
        <v>152</v>
      </c>
      <c r="B4846" s="2" t="s">
        <v>153</v>
      </c>
      <c r="C4846" s="3">
        <v>1994</v>
      </c>
      <c r="D4846" s="4">
        <v>16993190</v>
      </c>
    </row>
    <row r="4847" spans="1:4" x14ac:dyDescent="0.3">
      <c r="A4847" s="5" t="s">
        <v>152</v>
      </c>
      <c r="B4847" s="5" t="s">
        <v>153</v>
      </c>
      <c r="C4847" s="6">
        <v>1995</v>
      </c>
      <c r="D4847" s="7">
        <v>17399017</v>
      </c>
    </row>
    <row r="4848" spans="1:4" x14ac:dyDescent="0.3">
      <c r="A4848" s="2" t="s">
        <v>152</v>
      </c>
      <c r="B4848" s="2" t="s">
        <v>153</v>
      </c>
      <c r="C4848" s="3">
        <v>1996</v>
      </c>
      <c r="D4848" s="4">
        <v>17810181</v>
      </c>
    </row>
    <row r="4849" spans="1:4" x14ac:dyDescent="0.3">
      <c r="A4849" s="5" t="s">
        <v>152</v>
      </c>
      <c r="B4849" s="5" t="s">
        <v>153</v>
      </c>
      <c r="C4849" s="6">
        <v>1997</v>
      </c>
      <c r="D4849" s="7">
        <v>18238958</v>
      </c>
    </row>
    <row r="4850" spans="1:4" x14ac:dyDescent="0.3">
      <c r="A4850" s="2" t="s">
        <v>152</v>
      </c>
      <c r="B4850" s="2" t="s">
        <v>153</v>
      </c>
      <c r="C4850" s="3">
        <v>1998</v>
      </c>
      <c r="D4850" s="4">
        <v>18688036</v>
      </c>
    </row>
    <row r="4851" spans="1:4" x14ac:dyDescent="0.3">
      <c r="A4851" s="5" t="s">
        <v>152</v>
      </c>
      <c r="B4851" s="5" t="s">
        <v>153</v>
      </c>
      <c r="C4851" s="6">
        <v>1999</v>
      </c>
      <c r="D4851" s="7">
        <v>19149864</v>
      </c>
    </row>
    <row r="4852" spans="1:4" x14ac:dyDescent="0.3">
      <c r="A4852" s="2" t="s">
        <v>152</v>
      </c>
      <c r="B4852" s="2" t="s">
        <v>153</v>
      </c>
      <c r="C4852" s="3">
        <v>2000</v>
      </c>
      <c r="D4852" s="4">
        <v>19637087</v>
      </c>
    </row>
    <row r="4853" spans="1:4" x14ac:dyDescent="0.3">
      <c r="A4853" s="5" t="s">
        <v>152</v>
      </c>
      <c r="B4853" s="5" t="s">
        <v>153</v>
      </c>
      <c r="C4853" s="6">
        <v>2001</v>
      </c>
      <c r="D4853" s="7">
        <v>20167069</v>
      </c>
    </row>
    <row r="4854" spans="1:4" x14ac:dyDescent="0.3">
      <c r="A4854" s="2" t="s">
        <v>152</v>
      </c>
      <c r="B4854" s="2" t="s">
        <v>153</v>
      </c>
      <c r="C4854" s="3">
        <v>2002</v>
      </c>
      <c r="D4854" s="4">
        <v>20729388</v>
      </c>
    </row>
    <row r="4855" spans="1:4" x14ac:dyDescent="0.3">
      <c r="A4855" s="5" t="s">
        <v>152</v>
      </c>
      <c r="B4855" s="5" t="s">
        <v>153</v>
      </c>
      <c r="C4855" s="6">
        <v>2003</v>
      </c>
      <c r="D4855" s="7">
        <v>21296705</v>
      </c>
    </row>
    <row r="4856" spans="1:4" x14ac:dyDescent="0.3">
      <c r="A4856" s="2" t="s">
        <v>152</v>
      </c>
      <c r="B4856" s="2" t="s">
        <v>153</v>
      </c>
      <c r="C4856" s="3">
        <v>2004</v>
      </c>
      <c r="D4856" s="4">
        <v>21868298</v>
      </c>
    </row>
    <row r="4857" spans="1:4" x14ac:dyDescent="0.3">
      <c r="A4857" s="5" t="s">
        <v>152</v>
      </c>
      <c r="B4857" s="5" t="s">
        <v>153</v>
      </c>
      <c r="C4857" s="6">
        <v>2005</v>
      </c>
      <c r="D4857" s="7">
        <v>22449438</v>
      </c>
    </row>
    <row r="4858" spans="1:4" x14ac:dyDescent="0.3">
      <c r="A4858" s="2" t="s">
        <v>152</v>
      </c>
      <c r="B4858" s="2" t="s">
        <v>153</v>
      </c>
      <c r="C4858" s="3">
        <v>2006</v>
      </c>
      <c r="D4858" s="4">
        <v>23040702</v>
      </c>
    </row>
    <row r="4859" spans="1:4" x14ac:dyDescent="0.3">
      <c r="A4859" s="5" t="s">
        <v>152</v>
      </c>
      <c r="B4859" s="5" t="s">
        <v>153</v>
      </c>
      <c r="C4859" s="6">
        <v>2007</v>
      </c>
      <c r="D4859" s="7">
        <v>23642279</v>
      </c>
    </row>
    <row r="4860" spans="1:4" x14ac:dyDescent="0.3">
      <c r="A4860" s="2" t="s">
        <v>152</v>
      </c>
      <c r="B4860" s="2" t="s">
        <v>153</v>
      </c>
      <c r="C4860" s="3">
        <v>2008</v>
      </c>
      <c r="D4860" s="4">
        <v>24249946</v>
      </c>
    </row>
    <row r="4861" spans="1:4" x14ac:dyDescent="0.3">
      <c r="A4861" s="5" t="s">
        <v>152</v>
      </c>
      <c r="B4861" s="5" t="s">
        <v>153</v>
      </c>
      <c r="C4861" s="6">
        <v>2009</v>
      </c>
      <c r="D4861" s="7">
        <v>24862664</v>
      </c>
    </row>
    <row r="4862" spans="1:4" x14ac:dyDescent="0.3">
      <c r="A4862" s="2" t="s">
        <v>152</v>
      </c>
      <c r="B4862" s="2" t="s">
        <v>153</v>
      </c>
      <c r="C4862" s="3">
        <v>2010</v>
      </c>
      <c r="D4862" s="4">
        <v>25474995</v>
      </c>
    </row>
    <row r="4863" spans="1:4" x14ac:dyDescent="0.3">
      <c r="A4863" s="5" t="s">
        <v>152</v>
      </c>
      <c r="B4863" s="5" t="s">
        <v>153</v>
      </c>
      <c r="C4863" s="6">
        <v>2011</v>
      </c>
      <c r="D4863" s="7">
        <v>26095088</v>
      </c>
    </row>
    <row r="4864" spans="1:4" x14ac:dyDescent="0.3">
      <c r="A4864" s="2" t="s">
        <v>152</v>
      </c>
      <c r="B4864" s="2" t="s">
        <v>153</v>
      </c>
      <c r="C4864" s="3">
        <v>2012</v>
      </c>
      <c r="D4864" s="4">
        <v>26734268</v>
      </c>
    </row>
    <row r="4865" spans="1:4" x14ac:dyDescent="0.3">
      <c r="A4865" s="5" t="s">
        <v>152</v>
      </c>
      <c r="B4865" s="5" t="s">
        <v>153</v>
      </c>
      <c r="C4865" s="6">
        <v>2013</v>
      </c>
      <c r="D4865" s="7">
        <v>27386193</v>
      </c>
    </row>
    <row r="4866" spans="1:4" x14ac:dyDescent="0.3">
      <c r="A4866" s="2" t="s">
        <v>152</v>
      </c>
      <c r="B4866" s="2" t="s">
        <v>153</v>
      </c>
      <c r="C4866" s="3">
        <v>2014</v>
      </c>
      <c r="D4866" s="4">
        <v>28041592</v>
      </c>
    </row>
    <row r="4867" spans="1:4" x14ac:dyDescent="0.3">
      <c r="A4867" s="5" t="s">
        <v>152</v>
      </c>
      <c r="B4867" s="5" t="s">
        <v>153</v>
      </c>
      <c r="C4867" s="6">
        <v>2015</v>
      </c>
      <c r="D4867" s="7">
        <v>28696068</v>
      </c>
    </row>
    <row r="4868" spans="1:4" x14ac:dyDescent="0.3">
      <c r="A4868" s="2" t="s">
        <v>152</v>
      </c>
      <c r="B4868" s="2" t="s">
        <v>153</v>
      </c>
      <c r="C4868" s="3">
        <v>2016</v>
      </c>
      <c r="D4868" s="4">
        <v>29356742</v>
      </c>
    </row>
    <row r="4869" spans="1:4" x14ac:dyDescent="0.3">
      <c r="A4869" s="5" t="s">
        <v>152</v>
      </c>
      <c r="B4869" s="5" t="s">
        <v>153</v>
      </c>
      <c r="C4869" s="6">
        <v>2017</v>
      </c>
      <c r="D4869" s="7">
        <v>30008354</v>
      </c>
    </row>
    <row r="4870" spans="1:4" x14ac:dyDescent="0.3">
      <c r="A4870" s="2" t="s">
        <v>152</v>
      </c>
      <c r="B4870" s="2" t="s">
        <v>153</v>
      </c>
      <c r="C4870" s="3">
        <v>2018</v>
      </c>
      <c r="D4870" s="4">
        <v>30637585</v>
      </c>
    </row>
    <row r="4871" spans="1:4" x14ac:dyDescent="0.3">
      <c r="A4871" s="5" t="s">
        <v>152</v>
      </c>
      <c r="B4871" s="5" t="s">
        <v>153</v>
      </c>
      <c r="C4871" s="6">
        <v>2019</v>
      </c>
      <c r="D4871" s="7">
        <v>31258945</v>
      </c>
    </row>
    <row r="4872" spans="1:4" x14ac:dyDescent="0.3">
      <c r="A4872" s="2" t="s">
        <v>152</v>
      </c>
      <c r="B4872" s="2" t="s">
        <v>153</v>
      </c>
      <c r="C4872" s="3">
        <v>2020</v>
      </c>
      <c r="D4872" s="4">
        <v>31887809</v>
      </c>
    </row>
    <row r="4873" spans="1:4" x14ac:dyDescent="0.3">
      <c r="A4873" s="5" t="s">
        <v>152</v>
      </c>
      <c r="B4873" s="5" t="s">
        <v>153</v>
      </c>
      <c r="C4873" s="6">
        <v>2021</v>
      </c>
      <c r="D4873" s="7">
        <v>32518665</v>
      </c>
    </row>
    <row r="4874" spans="1:4" x14ac:dyDescent="0.3">
      <c r="A4874" s="2" t="s">
        <v>152</v>
      </c>
      <c r="B4874" s="2" t="s">
        <v>153</v>
      </c>
      <c r="C4874" s="3">
        <v>2022</v>
      </c>
      <c r="D4874" s="4">
        <v>33149152</v>
      </c>
    </row>
    <row r="4875" spans="1:4" x14ac:dyDescent="0.3">
      <c r="A4875" s="5" t="s">
        <v>152</v>
      </c>
      <c r="B4875" s="5" t="s">
        <v>153</v>
      </c>
      <c r="C4875" s="6">
        <v>2023</v>
      </c>
      <c r="D4875" s="7">
        <v>33787914</v>
      </c>
    </row>
    <row r="4876" spans="1:4" x14ac:dyDescent="0.3">
      <c r="A4876" s="2" t="s">
        <v>152</v>
      </c>
      <c r="B4876" s="2" t="s">
        <v>153</v>
      </c>
      <c r="C4876" s="3">
        <v>2024</v>
      </c>
      <c r="D4876" s="4">
        <v>34427414</v>
      </c>
    </row>
    <row r="4877" spans="1:4" x14ac:dyDescent="0.3">
      <c r="A4877" s="5" t="s">
        <v>154</v>
      </c>
      <c r="B4877" s="5" t="s">
        <v>155</v>
      </c>
      <c r="C4877" s="6">
        <v>1960</v>
      </c>
      <c r="D4877" s="7">
        <v>21839</v>
      </c>
    </row>
    <row r="4878" spans="1:4" x14ac:dyDescent="0.3">
      <c r="A4878" s="2" t="s">
        <v>154</v>
      </c>
      <c r="B4878" s="2" t="s">
        <v>155</v>
      </c>
      <c r="C4878" s="3">
        <v>1961</v>
      </c>
      <c r="D4878" s="4">
        <v>21872</v>
      </c>
    </row>
    <row r="4879" spans="1:4" x14ac:dyDescent="0.3">
      <c r="A4879" s="5" t="s">
        <v>154</v>
      </c>
      <c r="B4879" s="5" t="s">
        <v>155</v>
      </c>
      <c r="C4879" s="6">
        <v>1962</v>
      </c>
      <c r="D4879" s="7">
        <v>22197</v>
      </c>
    </row>
    <row r="4880" spans="1:4" x14ac:dyDescent="0.3">
      <c r="A4880" s="2" t="s">
        <v>154</v>
      </c>
      <c r="B4880" s="2" t="s">
        <v>155</v>
      </c>
      <c r="C4880" s="3">
        <v>1963</v>
      </c>
      <c r="D4880" s="4">
        <v>22753</v>
      </c>
    </row>
    <row r="4881" spans="1:4" x14ac:dyDescent="0.3">
      <c r="A4881" s="5" t="s">
        <v>154</v>
      </c>
      <c r="B4881" s="5" t="s">
        <v>155</v>
      </c>
      <c r="C4881" s="6">
        <v>1964</v>
      </c>
      <c r="D4881" s="7">
        <v>23315</v>
      </c>
    </row>
    <row r="4882" spans="1:4" x14ac:dyDescent="0.3">
      <c r="A4882" s="2" t="s">
        <v>154</v>
      </c>
      <c r="B4882" s="2" t="s">
        <v>155</v>
      </c>
      <c r="C4882" s="3">
        <v>1965</v>
      </c>
      <c r="D4882" s="4">
        <v>23878</v>
      </c>
    </row>
    <row r="4883" spans="1:4" x14ac:dyDescent="0.3">
      <c r="A4883" s="5" t="s">
        <v>154</v>
      </c>
      <c r="B4883" s="5" t="s">
        <v>155</v>
      </c>
      <c r="C4883" s="6">
        <v>1966</v>
      </c>
      <c r="D4883" s="7">
        <v>24444</v>
      </c>
    </row>
    <row r="4884" spans="1:4" x14ac:dyDescent="0.3">
      <c r="A4884" s="2" t="s">
        <v>154</v>
      </c>
      <c r="B4884" s="2" t="s">
        <v>155</v>
      </c>
      <c r="C4884" s="3">
        <v>1967</v>
      </c>
      <c r="D4884" s="4">
        <v>25015</v>
      </c>
    </row>
    <row r="4885" spans="1:4" x14ac:dyDescent="0.3">
      <c r="A4885" s="5" t="s">
        <v>154</v>
      </c>
      <c r="B4885" s="5" t="s">
        <v>155</v>
      </c>
      <c r="C4885" s="6">
        <v>1968</v>
      </c>
      <c r="D4885" s="7">
        <v>25578</v>
      </c>
    </row>
    <row r="4886" spans="1:4" x14ac:dyDescent="0.3">
      <c r="A4886" s="2" t="s">
        <v>154</v>
      </c>
      <c r="B4886" s="2" t="s">
        <v>155</v>
      </c>
      <c r="C4886" s="3">
        <v>1969</v>
      </c>
      <c r="D4886" s="4">
        <v>26120</v>
      </c>
    </row>
    <row r="4887" spans="1:4" x14ac:dyDescent="0.3">
      <c r="A4887" s="5" t="s">
        <v>154</v>
      </c>
      <c r="B4887" s="5" t="s">
        <v>155</v>
      </c>
      <c r="C4887" s="6">
        <v>1970</v>
      </c>
      <c r="D4887" s="7">
        <v>26634</v>
      </c>
    </row>
    <row r="4888" spans="1:4" x14ac:dyDescent="0.3">
      <c r="A4888" s="2" t="s">
        <v>154</v>
      </c>
      <c r="B4888" s="2" t="s">
        <v>155</v>
      </c>
      <c r="C4888" s="3">
        <v>1971</v>
      </c>
      <c r="D4888" s="4">
        <v>27020</v>
      </c>
    </row>
    <row r="4889" spans="1:4" x14ac:dyDescent="0.3">
      <c r="A4889" s="5" t="s">
        <v>154</v>
      </c>
      <c r="B4889" s="5" t="s">
        <v>155</v>
      </c>
      <c r="C4889" s="6">
        <v>1972</v>
      </c>
      <c r="D4889" s="7">
        <v>27290</v>
      </c>
    </row>
    <row r="4890" spans="1:4" x14ac:dyDescent="0.3">
      <c r="A4890" s="2" t="s">
        <v>154</v>
      </c>
      <c r="B4890" s="2" t="s">
        <v>155</v>
      </c>
      <c r="C4890" s="3">
        <v>1973</v>
      </c>
      <c r="D4890" s="4">
        <v>27537</v>
      </c>
    </row>
    <row r="4891" spans="1:4" x14ac:dyDescent="0.3">
      <c r="A4891" s="5" t="s">
        <v>154</v>
      </c>
      <c r="B4891" s="5" t="s">
        <v>155</v>
      </c>
      <c r="C4891" s="6">
        <v>1974</v>
      </c>
      <c r="D4891" s="7">
        <v>27755</v>
      </c>
    </row>
    <row r="4892" spans="1:4" x14ac:dyDescent="0.3">
      <c r="A4892" s="2" t="s">
        <v>154</v>
      </c>
      <c r="B4892" s="2" t="s">
        <v>155</v>
      </c>
      <c r="C4892" s="3">
        <v>1975</v>
      </c>
      <c r="D4892" s="4">
        <v>27951</v>
      </c>
    </row>
    <row r="4893" spans="1:4" x14ac:dyDescent="0.3">
      <c r="A4893" s="5" t="s">
        <v>154</v>
      </c>
      <c r="B4893" s="5" t="s">
        <v>155</v>
      </c>
      <c r="C4893" s="6">
        <v>1976</v>
      </c>
      <c r="D4893" s="7">
        <v>28134</v>
      </c>
    </row>
    <row r="4894" spans="1:4" x14ac:dyDescent="0.3">
      <c r="A4894" s="2" t="s">
        <v>154</v>
      </c>
      <c r="B4894" s="2" t="s">
        <v>155</v>
      </c>
      <c r="C4894" s="3">
        <v>1977</v>
      </c>
      <c r="D4894" s="4">
        <v>28300</v>
      </c>
    </row>
    <row r="4895" spans="1:4" x14ac:dyDescent="0.3">
      <c r="A4895" s="5" t="s">
        <v>154</v>
      </c>
      <c r="B4895" s="5" t="s">
        <v>155</v>
      </c>
      <c r="C4895" s="6">
        <v>1978</v>
      </c>
      <c r="D4895" s="7">
        <v>28446</v>
      </c>
    </row>
    <row r="4896" spans="1:4" x14ac:dyDescent="0.3">
      <c r="A4896" s="2" t="s">
        <v>154</v>
      </c>
      <c r="B4896" s="2" t="s">
        <v>155</v>
      </c>
      <c r="C4896" s="3">
        <v>1979</v>
      </c>
      <c r="D4896" s="4">
        <v>28575</v>
      </c>
    </row>
    <row r="4897" spans="1:4" x14ac:dyDescent="0.3">
      <c r="A4897" s="5" t="s">
        <v>154</v>
      </c>
      <c r="B4897" s="5" t="s">
        <v>155</v>
      </c>
      <c r="C4897" s="6">
        <v>1980</v>
      </c>
      <c r="D4897" s="7">
        <v>28675</v>
      </c>
    </row>
    <row r="4898" spans="1:4" x14ac:dyDescent="0.3">
      <c r="A4898" s="2" t="s">
        <v>154</v>
      </c>
      <c r="B4898" s="2" t="s">
        <v>155</v>
      </c>
      <c r="C4898" s="3">
        <v>1981</v>
      </c>
      <c r="D4898" s="4">
        <v>28740</v>
      </c>
    </row>
    <row r="4899" spans="1:4" x14ac:dyDescent="0.3">
      <c r="A4899" s="5" t="s">
        <v>154</v>
      </c>
      <c r="B4899" s="5" t="s">
        <v>155</v>
      </c>
      <c r="C4899" s="6">
        <v>1982</v>
      </c>
      <c r="D4899" s="7">
        <v>28765</v>
      </c>
    </row>
    <row r="4900" spans="1:4" x14ac:dyDescent="0.3">
      <c r="A4900" s="2" t="s">
        <v>154</v>
      </c>
      <c r="B4900" s="2" t="s">
        <v>155</v>
      </c>
      <c r="C4900" s="3">
        <v>1983</v>
      </c>
      <c r="D4900" s="4">
        <v>28733</v>
      </c>
    </row>
    <row r="4901" spans="1:4" x14ac:dyDescent="0.3">
      <c r="A4901" s="5" t="s">
        <v>154</v>
      </c>
      <c r="B4901" s="5" t="s">
        <v>155</v>
      </c>
      <c r="C4901" s="6">
        <v>1984</v>
      </c>
      <c r="D4901" s="7">
        <v>28643</v>
      </c>
    </row>
    <row r="4902" spans="1:4" x14ac:dyDescent="0.3">
      <c r="A4902" s="2" t="s">
        <v>154</v>
      </c>
      <c r="B4902" s="2" t="s">
        <v>155</v>
      </c>
      <c r="C4902" s="3">
        <v>1985</v>
      </c>
      <c r="D4902" s="4">
        <v>28512</v>
      </c>
    </row>
    <row r="4903" spans="1:4" x14ac:dyDescent="0.3">
      <c r="A4903" s="5" t="s">
        <v>154</v>
      </c>
      <c r="B4903" s="5" t="s">
        <v>155</v>
      </c>
      <c r="C4903" s="6">
        <v>1986</v>
      </c>
      <c r="D4903" s="7">
        <v>28328</v>
      </c>
    </row>
    <row r="4904" spans="1:4" x14ac:dyDescent="0.3">
      <c r="A4904" s="2" t="s">
        <v>154</v>
      </c>
      <c r="B4904" s="2" t="s">
        <v>155</v>
      </c>
      <c r="C4904" s="3">
        <v>1987</v>
      </c>
      <c r="D4904" s="4">
        <v>28096</v>
      </c>
    </row>
    <row r="4905" spans="1:4" x14ac:dyDescent="0.3">
      <c r="A4905" s="5" t="s">
        <v>154</v>
      </c>
      <c r="B4905" s="5" t="s">
        <v>155</v>
      </c>
      <c r="C4905" s="6">
        <v>1988</v>
      </c>
      <c r="D4905" s="7">
        <v>27839</v>
      </c>
    </row>
    <row r="4906" spans="1:4" x14ac:dyDescent="0.3">
      <c r="A4906" s="2" t="s">
        <v>154</v>
      </c>
      <c r="B4906" s="2" t="s">
        <v>155</v>
      </c>
      <c r="C4906" s="3">
        <v>1989</v>
      </c>
      <c r="D4906" s="4">
        <v>27544</v>
      </c>
    </row>
    <row r="4907" spans="1:4" x14ac:dyDescent="0.3">
      <c r="A4907" s="5" t="s">
        <v>154</v>
      </c>
      <c r="B4907" s="5" t="s">
        <v>155</v>
      </c>
      <c r="C4907" s="6">
        <v>1990</v>
      </c>
      <c r="D4907" s="7">
        <v>27200</v>
      </c>
    </row>
    <row r="4908" spans="1:4" x14ac:dyDescent="0.3">
      <c r="A4908" s="2" t="s">
        <v>154</v>
      </c>
      <c r="B4908" s="2" t="s">
        <v>155</v>
      </c>
      <c r="C4908" s="3">
        <v>1991</v>
      </c>
      <c r="D4908" s="4">
        <v>26898</v>
      </c>
    </row>
    <row r="4909" spans="1:4" x14ac:dyDescent="0.3">
      <c r="A4909" s="5" t="s">
        <v>154</v>
      </c>
      <c r="B4909" s="5" t="s">
        <v>155</v>
      </c>
      <c r="C4909" s="6">
        <v>1992</v>
      </c>
      <c r="D4909" s="7">
        <v>26878</v>
      </c>
    </row>
    <row r="4910" spans="1:4" x14ac:dyDescent="0.3">
      <c r="A4910" s="2" t="s">
        <v>154</v>
      </c>
      <c r="B4910" s="2" t="s">
        <v>155</v>
      </c>
      <c r="C4910" s="3">
        <v>1993</v>
      </c>
      <c r="D4910" s="4">
        <v>27070</v>
      </c>
    </row>
    <row r="4911" spans="1:4" x14ac:dyDescent="0.3">
      <c r="A4911" s="5" t="s">
        <v>154</v>
      </c>
      <c r="B4911" s="5" t="s">
        <v>155</v>
      </c>
      <c r="C4911" s="6">
        <v>1994</v>
      </c>
      <c r="D4911" s="7">
        <v>27239</v>
      </c>
    </row>
    <row r="4912" spans="1:4" x14ac:dyDescent="0.3">
      <c r="A4912" s="2" t="s">
        <v>154</v>
      </c>
      <c r="B4912" s="2" t="s">
        <v>155</v>
      </c>
      <c r="C4912" s="3">
        <v>1995</v>
      </c>
      <c r="D4912" s="4">
        <v>27377</v>
      </c>
    </row>
    <row r="4913" spans="1:4" x14ac:dyDescent="0.3">
      <c r="A4913" s="5" t="s">
        <v>154</v>
      </c>
      <c r="B4913" s="5" t="s">
        <v>155</v>
      </c>
      <c r="C4913" s="6">
        <v>1996</v>
      </c>
      <c r="D4913" s="7">
        <v>27487</v>
      </c>
    </row>
    <row r="4914" spans="1:4" x14ac:dyDescent="0.3">
      <c r="A4914" s="2" t="s">
        <v>154</v>
      </c>
      <c r="B4914" s="2" t="s">
        <v>155</v>
      </c>
      <c r="C4914" s="3">
        <v>1997</v>
      </c>
      <c r="D4914" s="4">
        <v>27582</v>
      </c>
    </row>
    <row r="4915" spans="1:4" x14ac:dyDescent="0.3">
      <c r="A4915" s="5" t="s">
        <v>154</v>
      </c>
      <c r="B4915" s="5" t="s">
        <v>155</v>
      </c>
      <c r="C4915" s="6">
        <v>1998</v>
      </c>
      <c r="D4915" s="7">
        <v>27650</v>
      </c>
    </row>
    <row r="4916" spans="1:4" x14ac:dyDescent="0.3">
      <c r="A4916" s="2" t="s">
        <v>154</v>
      </c>
      <c r="B4916" s="2" t="s">
        <v>155</v>
      </c>
      <c r="C4916" s="3">
        <v>1999</v>
      </c>
      <c r="D4916" s="4">
        <v>27692</v>
      </c>
    </row>
    <row r="4917" spans="1:4" x14ac:dyDescent="0.3">
      <c r="A4917" s="5" t="s">
        <v>154</v>
      </c>
      <c r="B4917" s="5" t="s">
        <v>155</v>
      </c>
      <c r="C4917" s="6">
        <v>2000</v>
      </c>
      <c r="D4917" s="7">
        <v>27709</v>
      </c>
    </row>
    <row r="4918" spans="1:4" x14ac:dyDescent="0.3">
      <c r="A4918" s="2" t="s">
        <v>154</v>
      </c>
      <c r="B4918" s="2" t="s">
        <v>155</v>
      </c>
      <c r="C4918" s="3">
        <v>2001</v>
      </c>
      <c r="D4918" s="4">
        <v>27657</v>
      </c>
    </row>
    <row r="4919" spans="1:4" x14ac:dyDescent="0.3">
      <c r="A4919" s="5" t="s">
        <v>154</v>
      </c>
      <c r="B4919" s="5" t="s">
        <v>155</v>
      </c>
      <c r="C4919" s="6">
        <v>2002</v>
      </c>
      <c r="D4919" s="7">
        <v>27831</v>
      </c>
    </row>
    <row r="4920" spans="1:4" x14ac:dyDescent="0.3">
      <c r="A4920" s="2" t="s">
        <v>154</v>
      </c>
      <c r="B4920" s="2" t="s">
        <v>155</v>
      </c>
      <c r="C4920" s="3">
        <v>2003</v>
      </c>
      <c r="D4920" s="4">
        <v>28274</v>
      </c>
    </row>
    <row r="4921" spans="1:4" x14ac:dyDescent="0.3">
      <c r="A4921" s="5" t="s">
        <v>154</v>
      </c>
      <c r="B4921" s="5" t="s">
        <v>155</v>
      </c>
      <c r="C4921" s="6">
        <v>2004</v>
      </c>
      <c r="D4921" s="7">
        <v>28715</v>
      </c>
    </row>
    <row r="4922" spans="1:4" x14ac:dyDescent="0.3">
      <c r="A4922" s="2" t="s">
        <v>154</v>
      </c>
      <c r="B4922" s="2" t="s">
        <v>155</v>
      </c>
      <c r="C4922" s="3">
        <v>2005</v>
      </c>
      <c r="D4922" s="4">
        <v>29163</v>
      </c>
    </row>
    <row r="4923" spans="1:4" x14ac:dyDescent="0.3">
      <c r="A4923" s="5" t="s">
        <v>154</v>
      </c>
      <c r="B4923" s="5" t="s">
        <v>155</v>
      </c>
      <c r="C4923" s="6">
        <v>2006</v>
      </c>
      <c r="D4923" s="7">
        <v>29594</v>
      </c>
    </row>
    <row r="4924" spans="1:4" x14ac:dyDescent="0.3">
      <c r="A4924" s="2" t="s">
        <v>154</v>
      </c>
      <c r="B4924" s="2" t="s">
        <v>155</v>
      </c>
      <c r="C4924" s="3">
        <v>2007</v>
      </c>
      <c r="D4924" s="4">
        <v>30006</v>
      </c>
    </row>
    <row r="4925" spans="1:4" x14ac:dyDescent="0.3">
      <c r="A4925" s="5" t="s">
        <v>154</v>
      </c>
      <c r="B4925" s="5" t="s">
        <v>155</v>
      </c>
      <c r="C4925" s="6">
        <v>2008</v>
      </c>
      <c r="D4925" s="7">
        <v>30413</v>
      </c>
    </row>
    <row r="4926" spans="1:4" x14ac:dyDescent="0.3">
      <c r="A4926" s="2" t="s">
        <v>154</v>
      </c>
      <c r="B4926" s="2" t="s">
        <v>155</v>
      </c>
      <c r="C4926" s="3">
        <v>2009</v>
      </c>
      <c r="D4926" s="4">
        <v>30823</v>
      </c>
    </row>
    <row r="4927" spans="1:4" x14ac:dyDescent="0.3">
      <c r="A4927" s="5" t="s">
        <v>154</v>
      </c>
      <c r="B4927" s="5" t="s">
        <v>155</v>
      </c>
      <c r="C4927" s="6">
        <v>2010</v>
      </c>
      <c r="D4927" s="7">
        <v>31248</v>
      </c>
    </row>
    <row r="4928" spans="1:4" x14ac:dyDescent="0.3">
      <c r="A4928" s="2" t="s">
        <v>154</v>
      </c>
      <c r="B4928" s="2" t="s">
        <v>155</v>
      </c>
      <c r="C4928" s="3">
        <v>2011</v>
      </c>
      <c r="D4928" s="4">
        <v>31660</v>
      </c>
    </row>
    <row r="4929" spans="1:4" x14ac:dyDescent="0.3">
      <c r="A4929" s="5" t="s">
        <v>154</v>
      </c>
      <c r="B4929" s="5" t="s">
        <v>155</v>
      </c>
      <c r="C4929" s="6">
        <v>2012</v>
      </c>
      <c r="D4929" s="7">
        <v>32029</v>
      </c>
    </row>
    <row r="4930" spans="1:4" x14ac:dyDescent="0.3">
      <c r="A4930" s="2" t="s">
        <v>154</v>
      </c>
      <c r="B4930" s="2" t="s">
        <v>155</v>
      </c>
      <c r="C4930" s="3">
        <v>2013</v>
      </c>
      <c r="D4930" s="4">
        <v>32407</v>
      </c>
    </row>
    <row r="4931" spans="1:4" x14ac:dyDescent="0.3">
      <c r="A4931" s="5" t="s">
        <v>154</v>
      </c>
      <c r="B4931" s="5" t="s">
        <v>155</v>
      </c>
      <c r="C4931" s="6">
        <v>2014</v>
      </c>
      <c r="D4931" s="7">
        <v>32813</v>
      </c>
    </row>
    <row r="4932" spans="1:4" x14ac:dyDescent="0.3">
      <c r="A4932" s="2" t="s">
        <v>154</v>
      </c>
      <c r="B4932" s="2" t="s">
        <v>155</v>
      </c>
      <c r="C4932" s="3">
        <v>2015</v>
      </c>
      <c r="D4932" s="4">
        <v>33193</v>
      </c>
    </row>
    <row r="4933" spans="1:4" x14ac:dyDescent="0.3">
      <c r="A4933" s="5" t="s">
        <v>154</v>
      </c>
      <c r="B4933" s="5" t="s">
        <v>155</v>
      </c>
      <c r="C4933" s="6">
        <v>2016</v>
      </c>
      <c r="D4933" s="7">
        <v>33658</v>
      </c>
    </row>
    <row r="4934" spans="1:4" x14ac:dyDescent="0.3">
      <c r="A4934" s="2" t="s">
        <v>154</v>
      </c>
      <c r="B4934" s="2" t="s">
        <v>155</v>
      </c>
      <c r="C4934" s="3">
        <v>2017</v>
      </c>
      <c r="D4934" s="4">
        <v>34245</v>
      </c>
    </row>
    <row r="4935" spans="1:4" x14ac:dyDescent="0.3">
      <c r="A4935" s="5" t="s">
        <v>154</v>
      </c>
      <c r="B4935" s="5" t="s">
        <v>155</v>
      </c>
      <c r="C4935" s="6">
        <v>2018</v>
      </c>
      <c r="D4935" s="7">
        <v>34854</v>
      </c>
    </row>
    <row r="4936" spans="1:4" x14ac:dyDescent="0.3">
      <c r="A4936" s="2" t="s">
        <v>154</v>
      </c>
      <c r="B4936" s="2" t="s">
        <v>155</v>
      </c>
      <c r="C4936" s="3">
        <v>2019</v>
      </c>
      <c r="D4936" s="4">
        <v>35494</v>
      </c>
    </row>
    <row r="4937" spans="1:4" x14ac:dyDescent="0.3">
      <c r="A4937" s="5" t="s">
        <v>154</v>
      </c>
      <c r="B4937" s="5" t="s">
        <v>155</v>
      </c>
      <c r="C4937" s="6">
        <v>2020</v>
      </c>
      <c r="D4937" s="7">
        <v>36173</v>
      </c>
    </row>
    <row r="4938" spans="1:4" x14ac:dyDescent="0.3">
      <c r="A4938" s="2" t="s">
        <v>154</v>
      </c>
      <c r="B4938" s="2" t="s">
        <v>155</v>
      </c>
      <c r="C4938" s="3">
        <v>2021</v>
      </c>
      <c r="D4938" s="4">
        <v>36858</v>
      </c>
    </row>
    <row r="4939" spans="1:4" x14ac:dyDescent="0.3">
      <c r="A4939" s="5" t="s">
        <v>154</v>
      </c>
      <c r="B4939" s="5" t="s">
        <v>155</v>
      </c>
      <c r="C4939" s="6">
        <v>2022</v>
      </c>
      <c r="D4939" s="7">
        <v>37609</v>
      </c>
    </row>
    <row r="4940" spans="1:4" x14ac:dyDescent="0.3">
      <c r="A4940" s="2" t="s">
        <v>154</v>
      </c>
      <c r="B4940" s="2" t="s">
        <v>155</v>
      </c>
      <c r="C4940" s="3">
        <v>2023</v>
      </c>
      <c r="D4940" s="4">
        <v>38471</v>
      </c>
    </row>
    <row r="4941" spans="1:4" x14ac:dyDescent="0.3">
      <c r="A4941" s="5" t="s">
        <v>154</v>
      </c>
      <c r="B4941" s="5" t="s">
        <v>155</v>
      </c>
      <c r="C4941" s="6">
        <v>2024</v>
      </c>
      <c r="D4941" s="7">
        <v>39329</v>
      </c>
    </row>
    <row r="4942" spans="1:4" x14ac:dyDescent="0.3">
      <c r="A4942" s="2" t="s">
        <v>156</v>
      </c>
      <c r="B4942" s="2" t="s">
        <v>157</v>
      </c>
      <c r="C4942" s="3">
        <v>1960</v>
      </c>
      <c r="D4942" s="4">
        <v>8331725</v>
      </c>
    </row>
    <row r="4943" spans="1:4" x14ac:dyDescent="0.3">
      <c r="A4943" s="5" t="s">
        <v>156</v>
      </c>
      <c r="B4943" s="5" t="s">
        <v>157</v>
      </c>
      <c r="C4943" s="6">
        <v>1961</v>
      </c>
      <c r="D4943" s="7">
        <v>8398050</v>
      </c>
    </row>
    <row r="4944" spans="1:4" x14ac:dyDescent="0.3">
      <c r="A4944" s="2" t="s">
        <v>156</v>
      </c>
      <c r="B4944" s="2" t="s">
        <v>157</v>
      </c>
      <c r="C4944" s="3">
        <v>1962</v>
      </c>
      <c r="D4944" s="4">
        <v>8448233</v>
      </c>
    </row>
    <row r="4945" spans="1:4" x14ac:dyDescent="0.3">
      <c r="A4945" s="5" t="s">
        <v>156</v>
      </c>
      <c r="B4945" s="5" t="s">
        <v>157</v>
      </c>
      <c r="C4945" s="6">
        <v>1963</v>
      </c>
      <c r="D4945" s="7">
        <v>8479625</v>
      </c>
    </row>
    <row r="4946" spans="1:4" x14ac:dyDescent="0.3">
      <c r="A4946" s="2" t="s">
        <v>156</v>
      </c>
      <c r="B4946" s="2" t="s">
        <v>157</v>
      </c>
      <c r="C4946" s="3">
        <v>1964</v>
      </c>
      <c r="D4946" s="4">
        <v>8510429</v>
      </c>
    </row>
    <row r="4947" spans="1:4" x14ac:dyDescent="0.3">
      <c r="A4947" s="5" t="s">
        <v>156</v>
      </c>
      <c r="B4947" s="5" t="s">
        <v>157</v>
      </c>
      <c r="C4947" s="6">
        <v>1965</v>
      </c>
      <c r="D4947" s="7">
        <v>8550333</v>
      </c>
    </row>
    <row r="4948" spans="1:4" x14ac:dyDescent="0.3">
      <c r="A4948" s="2" t="s">
        <v>156</v>
      </c>
      <c r="B4948" s="2" t="s">
        <v>157</v>
      </c>
      <c r="C4948" s="3">
        <v>1966</v>
      </c>
      <c r="D4948" s="4">
        <v>8613651</v>
      </c>
    </row>
    <row r="4949" spans="1:4" x14ac:dyDescent="0.3">
      <c r="A4949" s="5" t="s">
        <v>156</v>
      </c>
      <c r="B4949" s="5" t="s">
        <v>157</v>
      </c>
      <c r="C4949" s="6">
        <v>1967</v>
      </c>
      <c r="D4949" s="7">
        <v>8684088</v>
      </c>
    </row>
    <row r="4950" spans="1:4" x14ac:dyDescent="0.3">
      <c r="A4950" s="2" t="s">
        <v>156</v>
      </c>
      <c r="B4950" s="2" t="s">
        <v>157</v>
      </c>
      <c r="C4950" s="3">
        <v>1968</v>
      </c>
      <c r="D4950" s="4">
        <v>8740765</v>
      </c>
    </row>
    <row r="4951" spans="1:4" x14ac:dyDescent="0.3">
      <c r="A4951" s="5" t="s">
        <v>156</v>
      </c>
      <c r="B4951" s="5" t="s">
        <v>157</v>
      </c>
      <c r="C4951" s="6">
        <v>1969</v>
      </c>
      <c r="D4951" s="7">
        <v>8772764</v>
      </c>
    </row>
    <row r="4952" spans="1:4" x14ac:dyDescent="0.3">
      <c r="A4952" s="2" t="s">
        <v>156</v>
      </c>
      <c r="B4952" s="2" t="s">
        <v>157</v>
      </c>
      <c r="C4952" s="3">
        <v>1970</v>
      </c>
      <c r="D4952" s="4">
        <v>8792806</v>
      </c>
    </row>
    <row r="4953" spans="1:4" x14ac:dyDescent="0.3">
      <c r="A4953" s="5" t="s">
        <v>156</v>
      </c>
      <c r="B4953" s="5" t="s">
        <v>157</v>
      </c>
      <c r="C4953" s="6">
        <v>1971</v>
      </c>
      <c r="D4953" s="7">
        <v>8831036</v>
      </c>
    </row>
    <row r="4954" spans="1:4" x14ac:dyDescent="0.3">
      <c r="A4954" s="2" t="s">
        <v>156</v>
      </c>
      <c r="B4954" s="2" t="s">
        <v>157</v>
      </c>
      <c r="C4954" s="3">
        <v>1972</v>
      </c>
      <c r="D4954" s="4">
        <v>8888628</v>
      </c>
    </row>
    <row r="4955" spans="1:4" x14ac:dyDescent="0.3">
      <c r="A4955" s="5" t="s">
        <v>156</v>
      </c>
      <c r="B4955" s="5" t="s">
        <v>157</v>
      </c>
      <c r="C4955" s="6">
        <v>1973</v>
      </c>
      <c r="D4955" s="7">
        <v>8929086</v>
      </c>
    </row>
    <row r="4956" spans="1:4" x14ac:dyDescent="0.3">
      <c r="A4956" s="2" t="s">
        <v>156</v>
      </c>
      <c r="B4956" s="2" t="s">
        <v>157</v>
      </c>
      <c r="C4956" s="3">
        <v>1974</v>
      </c>
      <c r="D4956" s="4">
        <v>8962022</v>
      </c>
    </row>
    <row r="4957" spans="1:4" x14ac:dyDescent="0.3">
      <c r="A4957" s="5" t="s">
        <v>156</v>
      </c>
      <c r="B4957" s="5" t="s">
        <v>157</v>
      </c>
      <c r="C4957" s="6">
        <v>1975</v>
      </c>
      <c r="D4957" s="7">
        <v>9046541</v>
      </c>
    </row>
    <row r="4958" spans="1:4" x14ac:dyDescent="0.3">
      <c r="A4958" s="2" t="s">
        <v>156</v>
      </c>
      <c r="B4958" s="2" t="s">
        <v>157</v>
      </c>
      <c r="C4958" s="3">
        <v>1976</v>
      </c>
      <c r="D4958" s="4">
        <v>9188150</v>
      </c>
    </row>
    <row r="4959" spans="1:4" x14ac:dyDescent="0.3">
      <c r="A4959" s="5" t="s">
        <v>156</v>
      </c>
      <c r="B4959" s="5" t="s">
        <v>157</v>
      </c>
      <c r="C4959" s="6">
        <v>1977</v>
      </c>
      <c r="D4959" s="7">
        <v>9308479</v>
      </c>
    </row>
    <row r="4960" spans="1:4" x14ac:dyDescent="0.3">
      <c r="A4960" s="2" t="s">
        <v>156</v>
      </c>
      <c r="B4960" s="2" t="s">
        <v>157</v>
      </c>
      <c r="C4960" s="3">
        <v>1978</v>
      </c>
      <c r="D4960" s="4">
        <v>9429959</v>
      </c>
    </row>
    <row r="4961" spans="1:4" x14ac:dyDescent="0.3">
      <c r="A4961" s="5" t="s">
        <v>156</v>
      </c>
      <c r="B4961" s="5" t="s">
        <v>157</v>
      </c>
      <c r="C4961" s="6">
        <v>1979</v>
      </c>
      <c r="D4961" s="7">
        <v>9548258</v>
      </c>
    </row>
    <row r="4962" spans="1:4" x14ac:dyDescent="0.3">
      <c r="A4962" s="2" t="s">
        <v>156</v>
      </c>
      <c r="B4962" s="2" t="s">
        <v>157</v>
      </c>
      <c r="C4962" s="3">
        <v>1980</v>
      </c>
      <c r="D4962" s="4">
        <v>9642505</v>
      </c>
    </row>
    <row r="4963" spans="1:4" x14ac:dyDescent="0.3">
      <c r="A4963" s="5" t="s">
        <v>156</v>
      </c>
      <c r="B4963" s="5" t="s">
        <v>157</v>
      </c>
      <c r="C4963" s="6">
        <v>1981</v>
      </c>
      <c r="D4963" s="7">
        <v>9729350</v>
      </c>
    </row>
    <row r="4964" spans="1:4" x14ac:dyDescent="0.3">
      <c r="A4964" s="2" t="s">
        <v>156</v>
      </c>
      <c r="B4964" s="2" t="s">
        <v>157</v>
      </c>
      <c r="C4964" s="3">
        <v>1982</v>
      </c>
      <c r="D4964" s="4">
        <v>9789513</v>
      </c>
    </row>
    <row r="4965" spans="1:4" x14ac:dyDescent="0.3">
      <c r="A4965" s="5" t="s">
        <v>156</v>
      </c>
      <c r="B4965" s="5" t="s">
        <v>157</v>
      </c>
      <c r="C4965" s="6">
        <v>1983</v>
      </c>
      <c r="D4965" s="7">
        <v>9846627</v>
      </c>
    </row>
    <row r="4966" spans="1:4" x14ac:dyDescent="0.3">
      <c r="A4966" s="2" t="s">
        <v>156</v>
      </c>
      <c r="B4966" s="2" t="s">
        <v>157</v>
      </c>
      <c r="C4966" s="3">
        <v>1984</v>
      </c>
      <c r="D4966" s="4">
        <v>9895801</v>
      </c>
    </row>
    <row r="4967" spans="1:4" x14ac:dyDescent="0.3">
      <c r="A4967" s="5" t="s">
        <v>156</v>
      </c>
      <c r="B4967" s="5" t="s">
        <v>157</v>
      </c>
      <c r="C4967" s="6">
        <v>1985</v>
      </c>
      <c r="D4967" s="7">
        <v>9934300</v>
      </c>
    </row>
    <row r="4968" spans="1:4" x14ac:dyDescent="0.3">
      <c r="A4968" s="2" t="s">
        <v>156</v>
      </c>
      <c r="B4968" s="2" t="s">
        <v>157</v>
      </c>
      <c r="C4968" s="3">
        <v>1986</v>
      </c>
      <c r="D4968" s="4">
        <v>9967213</v>
      </c>
    </row>
    <row r="4969" spans="1:4" x14ac:dyDescent="0.3">
      <c r="A4969" s="5" t="s">
        <v>156</v>
      </c>
      <c r="B4969" s="5" t="s">
        <v>157</v>
      </c>
      <c r="C4969" s="6">
        <v>1987</v>
      </c>
      <c r="D4969" s="7">
        <v>10000595</v>
      </c>
    </row>
    <row r="4970" spans="1:4" x14ac:dyDescent="0.3">
      <c r="A4970" s="2" t="s">
        <v>156</v>
      </c>
      <c r="B4970" s="2" t="s">
        <v>157</v>
      </c>
      <c r="C4970" s="3">
        <v>1988</v>
      </c>
      <c r="D4970" s="4">
        <v>10036983</v>
      </c>
    </row>
    <row r="4971" spans="1:4" x14ac:dyDescent="0.3">
      <c r="A4971" s="5" t="s">
        <v>156</v>
      </c>
      <c r="B4971" s="5" t="s">
        <v>157</v>
      </c>
      <c r="C4971" s="6">
        <v>1989</v>
      </c>
      <c r="D4971" s="7">
        <v>10089498</v>
      </c>
    </row>
    <row r="4972" spans="1:4" x14ac:dyDescent="0.3">
      <c r="A4972" s="2" t="s">
        <v>156</v>
      </c>
      <c r="B4972" s="2" t="s">
        <v>157</v>
      </c>
      <c r="C4972" s="3">
        <v>1990</v>
      </c>
      <c r="D4972" s="4">
        <v>10196792</v>
      </c>
    </row>
    <row r="4973" spans="1:4" x14ac:dyDescent="0.3">
      <c r="A4973" s="5" t="s">
        <v>156</v>
      </c>
      <c r="B4973" s="5" t="s">
        <v>157</v>
      </c>
      <c r="C4973" s="6">
        <v>1991</v>
      </c>
      <c r="D4973" s="7">
        <v>10319927</v>
      </c>
    </row>
    <row r="4974" spans="1:4" x14ac:dyDescent="0.3">
      <c r="A4974" s="2" t="s">
        <v>156</v>
      </c>
      <c r="B4974" s="2" t="s">
        <v>157</v>
      </c>
      <c r="C4974" s="3">
        <v>1992</v>
      </c>
      <c r="D4974" s="4">
        <v>10399061</v>
      </c>
    </row>
    <row r="4975" spans="1:4" x14ac:dyDescent="0.3">
      <c r="A4975" s="5" t="s">
        <v>156</v>
      </c>
      <c r="B4975" s="5" t="s">
        <v>157</v>
      </c>
      <c r="C4975" s="6">
        <v>1993</v>
      </c>
      <c r="D4975" s="7">
        <v>10460415</v>
      </c>
    </row>
    <row r="4976" spans="1:4" x14ac:dyDescent="0.3">
      <c r="A4976" s="2" t="s">
        <v>156</v>
      </c>
      <c r="B4976" s="2" t="s">
        <v>157</v>
      </c>
      <c r="C4976" s="3">
        <v>1994</v>
      </c>
      <c r="D4976" s="4">
        <v>10512922</v>
      </c>
    </row>
    <row r="4977" spans="1:4" x14ac:dyDescent="0.3">
      <c r="A4977" s="5" t="s">
        <v>156</v>
      </c>
      <c r="B4977" s="5" t="s">
        <v>157</v>
      </c>
      <c r="C4977" s="6">
        <v>1995</v>
      </c>
      <c r="D4977" s="7">
        <v>10562153</v>
      </c>
    </row>
    <row r="4978" spans="1:4" x14ac:dyDescent="0.3">
      <c r="A4978" s="2" t="s">
        <v>156</v>
      </c>
      <c r="B4978" s="2" t="s">
        <v>157</v>
      </c>
      <c r="C4978" s="3">
        <v>1996</v>
      </c>
      <c r="D4978" s="4">
        <v>10608800</v>
      </c>
    </row>
    <row r="4979" spans="1:4" x14ac:dyDescent="0.3">
      <c r="A4979" s="5" t="s">
        <v>156</v>
      </c>
      <c r="B4979" s="5" t="s">
        <v>157</v>
      </c>
      <c r="C4979" s="6">
        <v>1997</v>
      </c>
      <c r="D4979" s="7">
        <v>10661259</v>
      </c>
    </row>
    <row r="4980" spans="1:4" x14ac:dyDescent="0.3">
      <c r="A4980" s="2" t="s">
        <v>156</v>
      </c>
      <c r="B4980" s="2" t="s">
        <v>157</v>
      </c>
      <c r="C4980" s="3">
        <v>1998</v>
      </c>
      <c r="D4980" s="4">
        <v>10720509</v>
      </c>
    </row>
    <row r="4981" spans="1:4" x14ac:dyDescent="0.3">
      <c r="A4981" s="5" t="s">
        <v>156</v>
      </c>
      <c r="B4981" s="5" t="s">
        <v>157</v>
      </c>
      <c r="C4981" s="6">
        <v>1999</v>
      </c>
      <c r="D4981" s="7">
        <v>10761698</v>
      </c>
    </row>
    <row r="4982" spans="1:4" x14ac:dyDescent="0.3">
      <c r="A4982" s="2" t="s">
        <v>156</v>
      </c>
      <c r="B4982" s="2" t="s">
        <v>157</v>
      </c>
      <c r="C4982" s="3">
        <v>2000</v>
      </c>
      <c r="D4982" s="4">
        <v>10805808</v>
      </c>
    </row>
    <row r="4983" spans="1:4" x14ac:dyDescent="0.3">
      <c r="A4983" s="5" t="s">
        <v>156</v>
      </c>
      <c r="B4983" s="5" t="s">
        <v>157</v>
      </c>
      <c r="C4983" s="6">
        <v>2001</v>
      </c>
      <c r="D4983" s="7">
        <v>10862132</v>
      </c>
    </row>
    <row r="4984" spans="1:4" x14ac:dyDescent="0.3">
      <c r="A4984" s="2" t="s">
        <v>156</v>
      </c>
      <c r="B4984" s="2" t="s">
        <v>157</v>
      </c>
      <c r="C4984" s="3">
        <v>2002</v>
      </c>
      <c r="D4984" s="4">
        <v>10902022</v>
      </c>
    </row>
    <row r="4985" spans="1:4" x14ac:dyDescent="0.3">
      <c r="A4985" s="5" t="s">
        <v>156</v>
      </c>
      <c r="B4985" s="5" t="s">
        <v>157</v>
      </c>
      <c r="C4985" s="6">
        <v>2003</v>
      </c>
      <c r="D4985" s="7">
        <v>10928070</v>
      </c>
    </row>
    <row r="4986" spans="1:4" x14ac:dyDescent="0.3">
      <c r="A4986" s="2" t="s">
        <v>156</v>
      </c>
      <c r="B4986" s="2" t="s">
        <v>157</v>
      </c>
      <c r="C4986" s="3">
        <v>2004</v>
      </c>
      <c r="D4986" s="4">
        <v>10955141</v>
      </c>
    </row>
    <row r="4987" spans="1:4" x14ac:dyDescent="0.3">
      <c r="A4987" s="5" t="s">
        <v>156</v>
      </c>
      <c r="B4987" s="5" t="s">
        <v>157</v>
      </c>
      <c r="C4987" s="6">
        <v>2005</v>
      </c>
      <c r="D4987" s="7">
        <v>10987314</v>
      </c>
    </row>
    <row r="4988" spans="1:4" x14ac:dyDescent="0.3">
      <c r="A4988" s="2" t="s">
        <v>156</v>
      </c>
      <c r="B4988" s="2" t="s">
        <v>157</v>
      </c>
      <c r="C4988" s="3">
        <v>2006</v>
      </c>
      <c r="D4988" s="4">
        <v>11020362</v>
      </c>
    </row>
    <row r="4989" spans="1:4" x14ac:dyDescent="0.3">
      <c r="A4989" s="5" t="s">
        <v>156</v>
      </c>
      <c r="B4989" s="5" t="s">
        <v>157</v>
      </c>
      <c r="C4989" s="6">
        <v>2007</v>
      </c>
      <c r="D4989" s="7">
        <v>11048473</v>
      </c>
    </row>
    <row r="4990" spans="1:4" x14ac:dyDescent="0.3">
      <c r="A4990" s="2" t="s">
        <v>156</v>
      </c>
      <c r="B4990" s="2" t="s">
        <v>157</v>
      </c>
      <c r="C4990" s="3">
        <v>2008</v>
      </c>
      <c r="D4990" s="4">
        <v>11077841</v>
      </c>
    </row>
    <row r="4991" spans="1:4" x14ac:dyDescent="0.3">
      <c r="A4991" s="5" t="s">
        <v>156</v>
      </c>
      <c r="B4991" s="5" t="s">
        <v>157</v>
      </c>
      <c r="C4991" s="6">
        <v>2009</v>
      </c>
      <c r="D4991" s="7">
        <v>11107017</v>
      </c>
    </row>
    <row r="4992" spans="1:4" x14ac:dyDescent="0.3">
      <c r="A4992" s="2" t="s">
        <v>156</v>
      </c>
      <c r="B4992" s="2" t="s">
        <v>157</v>
      </c>
      <c r="C4992" s="3">
        <v>2010</v>
      </c>
      <c r="D4992" s="4">
        <v>11121341</v>
      </c>
    </row>
    <row r="4993" spans="1:4" x14ac:dyDescent="0.3">
      <c r="A4993" s="5" t="s">
        <v>156</v>
      </c>
      <c r="B4993" s="5" t="s">
        <v>157</v>
      </c>
      <c r="C4993" s="6">
        <v>2011</v>
      </c>
      <c r="D4993" s="7">
        <v>11104899</v>
      </c>
    </row>
    <row r="4994" spans="1:4" x14ac:dyDescent="0.3">
      <c r="A4994" s="2" t="s">
        <v>156</v>
      </c>
      <c r="B4994" s="2" t="s">
        <v>157</v>
      </c>
      <c r="C4994" s="3">
        <v>2012</v>
      </c>
      <c r="D4994" s="4">
        <v>11045011</v>
      </c>
    </row>
    <row r="4995" spans="1:4" x14ac:dyDescent="0.3">
      <c r="A4995" s="5" t="s">
        <v>156</v>
      </c>
      <c r="B4995" s="5" t="s">
        <v>157</v>
      </c>
      <c r="C4995" s="6">
        <v>2013</v>
      </c>
      <c r="D4995" s="7">
        <v>10965211</v>
      </c>
    </row>
    <row r="4996" spans="1:4" x14ac:dyDescent="0.3">
      <c r="A4996" s="2" t="s">
        <v>156</v>
      </c>
      <c r="B4996" s="2" t="s">
        <v>157</v>
      </c>
      <c r="C4996" s="3">
        <v>2014</v>
      </c>
      <c r="D4996" s="4">
        <v>10892413</v>
      </c>
    </row>
    <row r="4997" spans="1:4" x14ac:dyDescent="0.3">
      <c r="A4997" s="5" t="s">
        <v>156</v>
      </c>
      <c r="B4997" s="5" t="s">
        <v>157</v>
      </c>
      <c r="C4997" s="6">
        <v>2015</v>
      </c>
      <c r="D4997" s="7">
        <v>10820883</v>
      </c>
    </row>
    <row r="4998" spans="1:4" x14ac:dyDescent="0.3">
      <c r="A4998" s="2" t="s">
        <v>156</v>
      </c>
      <c r="B4998" s="2" t="s">
        <v>157</v>
      </c>
      <c r="C4998" s="3">
        <v>2016</v>
      </c>
      <c r="D4998" s="4">
        <v>10775971</v>
      </c>
    </row>
    <row r="4999" spans="1:4" x14ac:dyDescent="0.3">
      <c r="A4999" s="5" t="s">
        <v>156</v>
      </c>
      <c r="B4999" s="5" t="s">
        <v>157</v>
      </c>
      <c r="C4999" s="6">
        <v>2017</v>
      </c>
      <c r="D4999" s="7">
        <v>10754679</v>
      </c>
    </row>
    <row r="5000" spans="1:4" x14ac:dyDescent="0.3">
      <c r="A5000" s="2" t="s">
        <v>156</v>
      </c>
      <c r="B5000" s="2" t="s">
        <v>157</v>
      </c>
      <c r="C5000" s="3">
        <v>2018</v>
      </c>
      <c r="D5000" s="4">
        <v>10732882</v>
      </c>
    </row>
    <row r="5001" spans="1:4" x14ac:dyDescent="0.3">
      <c r="A5001" s="5" t="s">
        <v>156</v>
      </c>
      <c r="B5001" s="5" t="s">
        <v>157</v>
      </c>
      <c r="C5001" s="6">
        <v>2019</v>
      </c>
      <c r="D5001" s="7">
        <v>10721582</v>
      </c>
    </row>
    <row r="5002" spans="1:4" x14ac:dyDescent="0.3">
      <c r="A5002" s="2" t="s">
        <v>156</v>
      </c>
      <c r="B5002" s="2" t="s">
        <v>157</v>
      </c>
      <c r="C5002" s="3">
        <v>2020</v>
      </c>
      <c r="D5002" s="4">
        <v>10698599</v>
      </c>
    </row>
    <row r="5003" spans="1:4" x14ac:dyDescent="0.3">
      <c r="A5003" s="5" t="s">
        <v>156</v>
      </c>
      <c r="B5003" s="5" t="s">
        <v>157</v>
      </c>
      <c r="C5003" s="6">
        <v>2021</v>
      </c>
      <c r="D5003" s="7">
        <v>10569207</v>
      </c>
    </row>
    <row r="5004" spans="1:4" x14ac:dyDescent="0.3">
      <c r="A5004" s="2" t="s">
        <v>156</v>
      </c>
      <c r="B5004" s="2" t="s">
        <v>157</v>
      </c>
      <c r="C5004" s="3">
        <v>2022</v>
      </c>
      <c r="D5004" s="4">
        <v>10436882</v>
      </c>
    </row>
    <row r="5005" spans="1:4" x14ac:dyDescent="0.3">
      <c r="A5005" s="5" t="s">
        <v>156</v>
      </c>
      <c r="B5005" s="5" t="s">
        <v>157</v>
      </c>
      <c r="C5005" s="6">
        <v>2023</v>
      </c>
      <c r="D5005" s="7">
        <v>10405588</v>
      </c>
    </row>
    <row r="5006" spans="1:4" x14ac:dyDescent="0.3">
      <c r="A5006" s="2" t="s">
        <v>156</v>
      </c>
      <c r="B5006" s="2" t="s">
        <v>157</v>
      </c>
      <c r="C5006" s="3">
        <v>2024</v>
      </c>
      <c r="D5006" s="4">
        <v>10388805</v>
      </c>
    </row>
    <row r="5007" spans="1:4" x14ac:dyDescent="0.3">
      <c r="A5007" s="5" t="s">
        <v>158</v>
      </c>
      <c r="B5007" s="5" t="s">
        <v>159</v>
      </c>
      <c r="C5007" s="6">
        <v>1960</v>
      </c>
      <c r="D5007" s="7">
        <v>32500</v>
      </c>
    </row>
    <row r="5008" spans="1:4" x14ac:dyDescent="0.3">
      <c r="A5008" s="2" t="s">
        <v>158</v>
      </c>
      <c r="B5008" s="2" t="s">
        <v>159</v>
      </c>
      <c r="C5008" s="3">
        <v>1961</v>
      </c>
      <c r="D5008" s="4">
        <v>33700</v>
      </c>
    </row>
    <row r="5009" spans="1:4" x14ac:dyDescent="0.3">
      <c r="A5009" s="5" t="s">
        <v>158</v>
      </c>
      <c r="B5009" s="5" t="s">
        <v>159</v>
      </c>
      <c r="C5009" s="6">
        <v>1962</v>
      </c>
      <c r="D5009" s="7">
        <v>35000</v>
      </c>
    </row>
    <row r="5010" spans="1:4" x14ac:dyDescent="0.3">
      <c r="A5010" s="2" t="s">
        <v>158</v>
      </c>
      <c r="B5010" s="2" t="s">
        <v>159</v>
      </c>
      <c r="C5010" s="3">
        <v>1963</v>
      </c>
      <c r="D5010" s="4">
        <v>36400</v>
      </c>
    </row>
    <row r="5011" spans="1:4" x14ac:dyDescent="0.3">
      <c r="A5011" s="5" t="s">
        <v>158</v>
      </c>
      <c r="B5011" s="5" t="s">
        <v>159</v>
      </c>
      <c r="C5011" s="6">
        <v>1964</v>
      </c>
      <c r="D5011" s="7">
        <v>37600</v>
      </c>
    </row>
    <row r="5012" spans="1:4" x14ac:dyDescent="0.3">
      <c r="A5012" s="2" t="s">
        <v>158</v>
      </c>
      <c r="B5012" s="2" t="s">
        <v>159</v>
      </c>
      <c r="C5012" s="3">
        <v>1965</v>
      </c>
      <c r="D5012" s="4">
        <v>39200</v>
      </c>
    </row>
    <row r="5013" spans="1:4" x14ac:dyDescent="0.3">
      <c r="A5013" s="5" t="s">
        <v>158</v>
      </c>
      <c r="B5013" s="5" t="s">
        <v>159</v>
      </c>
      <c r="C5013" s="6">
        <v>1966</v>
      </c>
      <c r="D5013" s="7">
        <v>40500</v>
      </c>
    </row>
    <row r="5014" spans="1:4" x14ac:dyDescent="0.3">
      <c r="A5014" s="2" t="s">
        <v>158</v>
      </c>
      <c r="B5014" s="2" t="s">
        <v>159</v>
      </c>
      <c r="C5014" s="3">
        <v>1967</v>
      </c>
      <c r="D5014" s="4">
        <v>41900</v>
      </c>
    </row>
    <row r="5015" spans="1:4" x14ac:dyDescent="0.3">
      <c r="A5015" s="5" t="s">
        <v>158</v>
      </c>
      <c r="B5015" s="5" t="s">
        <v>159</v>
      </c>
      <c r="C5015" s="6">
        <v>1968</v>
      </c>
      <c r="D5015" s="7">
        <v>43400</v>
      </c>
    </row>
    <row r="5016" spans="1:4" x14ac:dyDescent="0.3">
      <c r="A5016" s="2" t="s">
        <v>158</v>
      </c>
      <c r="B5016" s="2" t="s">
        <v>159</v>
      </c>
      <c r="C5016" s="3">
        <v>1969</v>
      </c>
      <c r="D5016" s="4">
        <v>44900</v>
      </c>
    </row>
    <row r="5017" spans="1:4" x14ac:dyDescent="0.3">
      <c r="A5017" s="5" t="s">
        <v>158</v>
      </c>
      <c r="B5017" s="5" t="s">
        <v>159</v>
      </c>
      <c r="C5017" s="6">
        <v>1970</v>
      </c>
      <c r="D5017" s="7">
        <v>46400</v>
      </c>
    </row>
    <row r="5018" spans="1:4" x14ac:dyDescent="0.3">
      <c r="A5018" s="2" t="s">
        <v>158</v>
      </c>
      <c r="B5018" s="2" t="s">
        <v>159</v>
      </c>
      <c r="C5018" s="3">
        <v>1971</v>
      </c>
      <c r="D5018" s="4">
        <v>47200</v>
      </c>
    </row>
    <row r="5019" spans="1:4" x14ac:dyDescent="0.3">
      <c r="A5019" s="5" t="s">
        <v>158</v>
      </c>
      <c r="B5019" s="5" t="s">
        <v>159</v>
      </c>
      <c r="C5019" s="6">
        <v>1972</v>
      </c>
      <c r="D5019" s="7">
        <v>48300</v>
      </c>
    </row>
    <row r="5020" spans="1:4" x14ac:dyDescent="0.3">
      <c r="A5020" s="2" t="s">
        <v>158</v>
      </c>
      <c r="B5020" s="2" t="s">
        <v>159</v>
      </c>
      <c r="C5020" s="3">
        <v>1973</v>
      </c>
      <c r="D5020" s="4">
        <v>49000</v>
      </c>
    </row>
    <row r="5021" spans="1:4" x14ac:dyDescent="0.3">
      <c r="A5021" s="5" t="s">
        <v>158</v>
      </c>
      <c r="B5021" s="5" t="s">
        <v>159</v>
      </c>
      <c r="C5021" s="6">
        <v>1974</v>
      </c>
      <c r="D5021" s="7">
        <v>49500</v>
      </c>
    </row>
    <row r="5022" spans="1:4" x14ac:dyDescent="0.3">
      <c r="A5022" s="2" t="s">
        <v>158</v>
      </c>
      <c r="B5022" s="2" t="s">
        <v>159</v>
      </c>
      <c r="C5022" s="3">
        <v>1975</v>
      </c>
      <c r="D5022" s="4">
        <v>49600</v>
      </c>
    </row>
    <row r="5023" spans="1:4" x14ac:dyDescent="0.3">
      <c r="A5023" s="5" t="s">
        <v>158</v>
      </c>
      <c r="B5023" s="5" t="s">
        <v>159</v>
      </c>
      <c r="C5023" s="6">
        <v>1976</v>
      </c>
      <c r="D5023" s="7">
        <v>49700</v>
      </c>
    </row>
    <row r="5024" spans="1:4" x14ac:dyDescent="0.3">
      <c r="A5024" s="2" t="s">
        <v>158</v>
      </c>
      <c r="B5024" s="2" t="s">
        <v>159</v>
      </c>
      <c r="C5024" s="3">
        <v>1977</v>
      </c>
      <c r="D5024" s="4">
        <v>49400</v>
      </c>
    </row>
    <row r="5025" spans="1:4" x14ac:dyDescent="0.3">
      <c r="A5025" s="5" t="s">
        <v>158</v>
      </c>
      <c r="B5025" s="5" t="s">
        <v>159</v>
      </c>
      <c r="C5025" s="6">
        <v>1978</v>
      </c>
      <c r="D5025" s="7">
        <v>49200</v>
      </c>
    </row>
    <row r="5026" spans="1:4" x14ac:dyDescent="0.3">
      <c r="A5026" s="2" t="s">
        <v>158</v>
      </c>
      <c r="B5026" s="2" t="s">
        <v>159</v>
      </c>
      <c r="C5026" s="3">
        <v>1979</v>
      </c>
      <c r="D5026" s="4">
        <v>49600</v>
      </c>
    </row>
    <row r="5027" spans="1:4" x14ac:dyDescent="0.3">
      <c r="A5027" s="5" t="s">
        <v>158</v>
      </c>
      <c r="B5027" s="5" t="s">
        <v>159</v>
      </c>
      <c r="C5027" s="6">
        <v>1980</v>
      </c>
      <c r="D5027" s="7">
        <v>50200</v>
      </c>
    </row>
    <row r="5028" spans="1:4" x14ac:dyDescent="0.3">
      <c r="A5028" s="2" t="s">
        <v>158</v>
      </c>
      <c r="B5028" s="2" t="s">
        <v>159</v>
      </c>
      <c r="C5028" s="3">
        <v>1981</v>
      </c>
      <c r="D5028" s="4">
        <v>51000</v>
      </c>
    </row>
    <row r="5029" spans="1:4" x14ac:dyDescent="0.3">
      <c r="A5029" s="5" t="s">
        <v>158</v>
      </c>
      <c r="B5029" s="5" t="s">
        <v>159</v>
      </c>
      <c r="C5029" s="6">
        <v>1982</v>
      </c>
      <c r="D5029" s="7">
        <v>51500</v>
      </c>
    </row>
    <row r="5030" spans="1:4" x14ac:dyDescent="0.3">
      <c r="A5030" s="2" t="s">
        <v>158</v>
      </c>
      <c r="B5030" s="2" t="s">
        <v>159</v>
      </c>
      <c r="C5030" s="3">
        <v>1983</v>
      </c>
      <c r="D5030" s="4">
        <v>52100</v>
      </c>
    </row>
    <row r="5031" spans="1:4" x14ac:dyDescent="0.3">
      <c r="A5031" s="5" t="s">
        <v>158</v>
      </c>
      <c r="B5031" s="5" t="s">
        <v>159</v>
      </c>
      <c r="C5031" s="6">
        <v>1984</v>
      </c>
      <c r="D5031" s="7">
        <v>52700</v>
      </c>
    </row>
    <row r="5032" spans="1:4" x14ac:dyDescent="0.3">
      <c r="A5032" s="2" t="s">
        <v>158</v>
      </c>
      <c r="B5032" s="2" t="s">
        <v>159</v>
      </c>
      <c r="C5032" s="3">
        <v>1985</v>
      </c>
      <c r="D5032" s="4">
        <v>53200</v>
      </c>
    </row>
    <row r="5033" spans="1:4" x14ac:dyDescent="0.3">
      <c r="A5033" s="5" t="s">
        <v>158</v>
      </c>
      <c r="B5033" s="5" t="s">
        <v>159</v>
      </c>
      <c r="C5033" s="6">
        <v>1986</v>
      </c>
      <c r="D5033" s="7">
        <v>53500</v>
      </c>
    </row>
    <row r="5034" spans="1:4" x14ac:dyDescent="0.3">
      <c r="A5034" s="2" t="s">
        <v>158</v>
      </c>
      <c r="B5034" s="2" t="s">
        <v>159</v>
      </c>
      <c r="C5034" s="3">
        <v>1987</v>
      </c>
      <c r="D5034" s="4">
        <v>54100</v>
      </c>
    </row>
    <row r="5035" spans="1:4" x14ac:dyDescent="0.3">
      <c r="A5035" s="5" t="s">
        <v>158</v>
      </c>
      <c r="B5035" s="5" t="s">
        <v>159</v>
      </c>
      <c r="C5035" s="6">
        <v>1988</v>
      </c>
      <c r="D5035" s="7">
        <v>54800</v>
      </c>
    </row>
    <row r="5036" spans="1:4" x14ac:dyDescent="0.3">
      <c r="A5036" s="2" t="s">
        <v>158</v>
      </c>
      <c r="B5036" s="2" t="s">
        <v>159</v>
      </c>
      <c r="C5036" s="3">
        <v>1989</v>
      </c>
      <c r="D5036" s="4">
        <v>55300</v>
      </c>
    </row>
    <row r="5037" spans="1:4" x14ac:dyDescent="0.3">
      <c r="A5037" s="5" t="s">
        <v>158</v>
      </c>
      <c r="B5037" s="5" t="s">
        <v>159</v>
      </c>
      <c r="C5037" s="6">
        <v>1990</v>
      </c>
      <c r="D5037" s="7">
        <v>55600</v>
      </c>
    </row>
    <row r="5038" spans="1:4" x14ac:dyDescent="0.3">
      <c r="A5038" s="2" t="s">
        <v>158</v>
      </c>
      <c r="B5038" s="2" t="s">
        <v>159</v>
      </c>
      <c r="C5038" s="3">
        <v>1991</v>
      </c>
      <c r="D5038" s="4">
        <v>55500</v>
      </c>
    </row>
    <row r="5039" spans="1:4" x14ac:dyDescent="0.3">
      <c r="A5039" s="5" t="s">
        <v>158</v>
      </c>
      <c r="B5039" s="5" t="s">
        <v>159</v>
      </c>
      <c r="C5039" s="6">
        <v>1992</v>
      </c>
      <c r="D5039" s="7">
        <v>55300</v>
      </c>
    </row>
    <row r="5040" spans="1:4" x14ac:dyDescent="0.3">
      <c r="A5040" s="2" t="s">
        <v>158</v>
      </c>
      <c r="B5040" s="2" t="s">
        <v>159</v>
      </c>
      <c r="C5040" s="3">
        <v>1993</v>
      </c>
      <c r="D5040" s="4">
        <v>55200</v>
      </c>
    </row>
    <row r="5041" spans="1:4" x14ac:dyDescent="0.3">
      <c r="A5041" s="5" t="s">
        <v>158</v>
      </c>
      <c r="B5041" s="5" t="s">
        <v>159</v>
      </c>
      <c r="C5041" s="6">
        <v>1994</v>
      </c>
      <c r="D5041" s="7">
        <v>55500</v>
      </c>
    </row>
    <row r="5042" spans="1:4" x14ac:dyDescent="0.3">
      <c r="A5042" s="2" t="s">
        <v>158</v>
      </c>
      <c r="B5042" s="2" t="s">
        <v>159</v>
      </c>
      <c r="C5042" s="3">
        <v>1995</v>
      </c>
      <c r="D5042" s="4">
        <v>55800</v>
      </c>
    </row>
    <row r="5043" spans="1:4" x14ac:dyDescent="0.3">
      <c r="A5043" s="5" t="s">
        <v>158</v>
      </c>
      <c r="B5043" s="5" t="s">
        <v>159</v>
      </c>
      <c r="C5043" s="6">
        <v>1996</v>
      </c>
      <c r="D5043" s="7">
        <v>55900</v>
      </c>
    </row>
    <row r="5044" spans="1:4" x14ac:dyDescent="0.3">
      <c r="A5044" s="2" t="s">
        <v>158</v>
      </c>
      <c r="B5044" s="2" t="s">
        <v>159</v>
      </c>
      <c r="C5044" s="3">
        <v>1997</v>
      </c>
      <c r="D5044" s="4">
        <v>56000</v>
      </c>
    </row>
    <row r="5045" spans="1:4" x14ac:dyDescent="0.3">
      <c r="A5045" s="5" t="s">
        <v>158</v>
      </c>
      <c r="B5045" s="5" t="s">
        <v>159</v>
      </c>
      <c r="C5045" s="6">
        <v>1998</v>
      </c>
      <c r="D5045" s="7">
        <v>56100</v>
      </c>
    </row>
    <row r="5046" spans="1:4" x14ac:dyDescent="0.3">
      <c r="A5046" s="2" t="s">
        <v>158</v>
      </c>
      <c r="B5046" s="2" t="s">
        <v>159</v>
      </c>
      <c r="C5046" s="3">
        <v>1999</v>
      </c>
      <c r="D5046" s="4">
        <v>56100</v>
      </c>
    </row>
    <row r="5047" spans="1:4" x14ac:dyDescent="0.3">
      <c r="A5047" s="5" t="s">
        <v>158</v>
      </c>
      <c r="B5047" s="5" t="s">
        <v>159</v>
      </c>
      <c r="C5047" s="6">
        <v>2000</v>
      </c>
      <c r="D5047" s="7">
        <v>56185</v>
      </c>
    </row>
    <row r="5048" spans="1:4" x14ac:dyDescent="0.3">
      <c r="A5048" s="2" t="s">
        <v>158</v>
      </c>
      <c r="B5048" s="2" t="s">
        <v>159</v>
      </c>
      <c r="C5048" s="3">
        <v>2001</v>
      </c>
      <c r="D5048" s="4">
        <v>56379</v>
      </c>
    </row>
    <row r="5049" spans="1:4" x14ac:dyDescent="0.3">
      <c r="A5049" s="5" t="s">
        <v>158</v>
      </c>
      <c r="B5049" s="5" t="s">
        <v>159</v>
      </c>
      <c r="C5049" s="6">
        <v>2002</v>
      </c>
      <c r="D5049" s="7">
        <v>56595</v>
      </c>
    </row>
    <row r="5050" spans="1:4" x14ac:dyDescent="0.3">
      <c r="A5050" s="2" t="s">
        <v>158</v>
      </c>
      <c r="B5050" s="2" t="s">
        <v>159</v>
      </c>
      <c r="C5050" s="3">
        <v>2003</v>
      </c>
      <c r="D5050" s="4">
        <v>56751</v>
      </c>
    </row>
    <row r="5051" spans="1:4" x14ac:dyDescent="0.3">
      <c r="A5051" s="5" t="s">
        <v>158</v>
      </c>
      <c r="B5051" s="5" t="s">
        <v>159</v>
      </c>
      <c r="C5051" s="6">
        <v>2004</v>
      </c>
      <c r="D5051" s="7">
        <v>56898</v>
      </c>
    </row>
    <row r="5052" spans="1:4" x14ac:dyDescent="0.3">
      <c r="A5052" s="2" t="s">
        <v>158</v>
      </c>
      <c r="B5052" s="2" t="s">
        <v>159</v>
      </c>
      <c r="C5052" s="3">
        <v>2005</v>
      </c>
      <c r="D5052" s="4">
        <v>56935</v>
      </c>
    </row>
    <row r="5053" spans="1:4" x14ac:dyDescent="0.3">
      <c r="A5053" s="5" t="s">
        <v>158</v>
      </c>
      <c r="B5053" s="5" t="s">
        <v>159</v>
      </c>
      <c r="C5053" s="6">
        <v>2006</v>
      </c>
      <c r="D5053" s="7">
        <v>56775</v>
      </c>
    </row>
    <row r="5054" spans="1:4" x14ac:dyDescent="0.3">
      <c r="A5054" s="2" t="s">
        <v>158</v>
      </c>
      <c r="B5054" s="2" t="s">
        <v>159</v>
      </c>
      <c r="C5054" s="3">
        <v>2007</v>
      </c>
      <c r="D5054" s="4">
        <v>56555</v>
      </c>
    </row>
    <row r="5055" spans="1:4" x14ac:dyDescent="0.3">
      <c r="A5055" s="5" t="s">
        <v>158</v>
      </c>
      <c r="B5055" s="5" t="s">
        <v>159</v>
      </c>
      <c r="C5055" s="6">
        <v>2008</v>
      </c>
      <c r="D5055" s="7">
        <v>56328</v>
      </c>
    </row>
    <row r="5056" spans="1:4" x14ac:dyDescent="0.3">
      <c r="A5056" s="2" t="s">
        <v>158</v>
      </c>
      <c r="B5056" s="2" t="s">
        <v>159</v>
      </c>
      <c r="C5056" s="3">
        <v>2009</v>
      </c>
      <c r="D5056" s="4">
        <v>56323</v>
      </c>
    </row>
    <row r="5057" spans="1:4" x14ac:dyDescent="0.3">
      <c r="A5057" s="5" t="s">
        <v>158</v>
      </c>
      <c r="B5057" s="5" t="s">
        <v>159</v>
      </c>
      <c r="C5057" s="6">
        <v>2010</v>
      </c>
      <c r="D5057" s="7">
        <v>56534</v>
      </c>
    </row>
    <row r="5058" spans="1:4" x14ac:dyDescent="0.3">
      <c r="A5058" s="2" t="s">
        <v>158</v>
      </c>
      <c r="B5058" s="2" t="s">
        <v>159</v>
      </c>
      <c r="C5058" s="3">
        <v>2011</v>
      </c>
      <c r="D5058" s="4">
        <v>56890</v>
      </c>
    </row>
    <row r="5059" spans="1:4" x14ac:dyDescent="0.3">
      <c r="A5059" s="5" t="s">
        <v>158</v>
      </c>
      <c r="B5059" s="5" t="s">
        <v>159</v>
      </c>
      <c r="C5059" s="6">
        <v>2012</v>
      </c>
      <c r="D5059" s="7">
        <v>56810</v>
      </c>
    </row>
    <row r="5060" spans="1:4" x14ac:dyDescent="0.3">
      <c r="A5060" s="2" t="s">
        <v>158</v>
      </c>
      <c r="B5060" s="2" t="s">
        <v>159</v>
      </c>
      <c r="C5060" s="3">
        <v>2013</v>
      </c>
      <c r="D5060" s="4">
        <v>56483</v>
      </c>
    </row>
    <row r="5061" spans="1:4" x14ac:dyDescent="0.3">
      <c r="A5061" s="5" t="s">
        <v>158</v>
      </c>
      <c r="B5061" s="5" t="s">
        <v>159</v>
      </c>
      <c r="C5061" s="6">
        <v>2014</v>
      </c>
      <c r="D5061" s="7">
        <v>56295</v>
      </c>
    </row>
    <row r="5062" spans="1:4" x14ac:dyDescent="0.3">
      <c r="A5062" s="2" t="s">
        <v>158</v>
      </c>
      <c r="B5062" s="2" t="s">
        <v>159</v>
      </c>
      <c r="C5062" s="3">
        <v>2015</v>
      </c>
      <c r="D5062" s="4">
        <v>56114</v>
      </c>
    </row>
    <row r="5063" spans="1:4" x14ac:dyDescent="0.3">
      <c r="A5063" s="5" t="s">
        <v>158</v>
      </c>
      <c r="B5063" s="5" t="s">
        <v>159</v>
      </c>
      <c r="C5063" s="6">
        <v>2016</v>
      </c>
      <c r="D5063" s="7">
        <v>56186</v>
      </c>
    </row>
    <row r="5064" spans="1:4" x14ac:dyDescent="0.3">
      <c r="A5064" s="2" t="s">
        <v>158</v>
      </c>
      <c r="B5064" s="2" t="s">
        <v>159</v>
      </c>
      <c r="C5064" s="3">
        <v>2017</v>
      </c>
      <c r="D5064" s="4">
        <v>56172</v>
      </c>
    </row>
    <row r="5065" spans="1:4" x14ac:dyDescent="0.3">
      <c r="A5065" s="5" t="s">
        <v>158</v>
      </c>
      <c r="B5065" s="5" t="s">
        <v>159</v>
      </c>
      <c r="C5065" s="6">
        <v>2018</v>
      </c>
      <c r="D5065" s="7">
        <v>56023</v>
      </c>
    </row>
    <row r="5066" spans="1:4" x14ac:dyDescent="0.3">
      <c r="A5066" s="2" t="s">
        <v>158</v>
      </c>
      <c r="B5066" s="2" t="s">
        <v>159</v>
      </c>
      <c r="C5066" s="3">
        <v>2019</v>
      </c>
      <c r="D5066" s="4">
        <v>56225</v>
      </c>
    </row>
    <row r="5067" spans="1:4" x14ac:dyDescent="0.3">
      <c r="A5067" s="5" t="s">
        <v>158</v>
      </c>
      <c r="B5067" s="5" t="s">
        <v>159</v>
      </c>
      <c r="C5067" s="6">
        <v>2020</v>
      </c>
      <c r="D5067" s="7">
        <v>56367</v>
      </c>
    </row>
    <row r="5068" spans="1:4" x14ac:dyDescent="0.3">
      <c r="A5068" s="2" t="s">
        <v>158</v>
      </c>
      <c r="B5068" s="2" t="s">
        <v>159</v>
      </c>
      <c r="C5068" s="3">
        <v>2021</v>
      </c>
      <c r="D5068" s="4">
        <v>56653</v>
      </c>
    </row>
    <row r="5069" spans="1:4" x14ac:dyDescent="0.3">
      <c r="A5069" s="5" t="s">
        <v>158</v>
      </c>
      <c r="B5069" s="5" t="s">
        <v>159</v>
      </c>
      <c r="C5069" s="6">
        <v>2022</v>
      </c>
      <c r="D5069" s="7">
        <v>56661</v>
      </c>
    </row>
    <row r="5070" spans="1:4" x14ac:dyDescent="0.3">
      <c r="A5070" s="2" t="s">
        <v>158</v>
      </c>
      <c r="B5070" s="2" t="s">
        <v>159</v>
      </c>
      <c r="C5070" s="3">
        <v>2023</v>
      </c>
      <c r="D5070" s="4">
        <v>56865</v>
      </c>
    </row>
    <row r="5071" spans="1:4" x14ac:dyDescent="0.3">
      <c r="A5071" s="5" t="s">
        <v>158</v>
      </c>
      <c r="B5071" s="5" t="s">
        <v>159</v>
      </c>
      <c r="C5071" s="6">
        <v>2024</v>
      </c>
      <c r="D5071" s="7">
        <v>56836</v>
      </c>
    </row>
    <row r="5072" spans="1:4" x14ac:dyDescent="0.3">
      <c r="A5072" s="2" t="s">
        <v>160</v>
      </c>
      <c r="B5072" s="2" t="s">
        <v>161</v>
      </c>
      <c r="C5072" s="3">
        <v>1960</v>
      </c>
      <c r="D5072" s="4">
        <v>94058</v>
      </c>
    </row>
    <row r="5073" spans="1:4" x14ac:dyDescent="0.3">
      <c r="A5073" s="5" t="s">
        <v>160</v>
      </c>
      <c r="B5073" s="5" t="s">
        <v>161</v>
      </c>
      <c r="C5073" s="6">
        <v>1961</v>
      </c>
      <c r="D5073" s="7">
        <v>95335</v>
      </c>
    </row>
    <row r="5074" spans="1:4" x14ac:dyDescent="0.3">
      <c r="A5074" s="2" t="s">
        <v>160</v>
      </c>
      <c r="B5074" s="2" t="s">
        <v>161</v>
      </c>
      <c r="C5074" s="3">
        <v>1962</v>
      </c>
      <c r="D5074" s="4">
        <v>96375</v>
      </c>
    </row>
    <row r="5075" spans="1:4" x14ac:dyDescent="0.3">
      <c r="A5075" s="5" t="s">
        <v>160</v>
      </c>
      <c r="B5075" s="5" t="s">
        <v>161</v>
      </c>
      <c r="C5075" s="6">
        <v>1963</v>
      </c>
      <c r="D5075" s="7">
        <v>97195</v>
      </c>
    </row>
    <row r="5076" spans="1:4" x14ac:dyDescent="0.3">
      <c r="A5076" s="2" t="s">
        <v>160</v>
      </c>
      <c r="B5076" s="2" t="s">
        <v>161</v>
      </c>
      <c r="C5076" s="3">
        <v>1964</v>
      </c>
      <c r="D5076" s="4">
        <v>97760</v>
      </c>
    </row>
    <row r="5077" spans="1:4" x14ac:dyDescent="0.3">
      <c r="A5077" s="5" t="s">
        <v>160</v>
      </c>
      <c r="B5077" s="5" t="s">
        <v>161</v>
      </c>
      <c r="C5077" s="6">
        <v>1965</v>
      </c>
      <c r="D5077" s="7">
        <v>98067</v>
      </c>
    </row>
    <row r="5078" spans="1:4" x14ac:dyDescent="0.3">
      <c r="A5078" s="2" t="s">
        <v>160</v>
      </c>
      <c r="B5078" s="2" t="s">
        <v>161</v>
      </c>
      <c r="C5078" s="3">
        <v>1966</v>
      </c>
      <c r="D5078" s="4">
        <v>98121</v>
      </c>
    </row>
    <row r="5079" spans="1:4" x14ac:dyDescent="0.3">
      <c r="A5079" s="5" t="s">
        <v>160</v>
      </c>
      <c r="B5079" s="5" t="s">
        <v>161</v>
      </c>
      <c r="C5079" s="6">
        <v>1967</v>
      </c>
      <c r="D5079" s="7">
        <v>98066</v>
      </c>
    </row>
    <row r="5080" spans="1:4" x14ac:dyDescent="0.3">
      <c r="A5080" s="2" t="s">
        <v>160</v>
      </c>
      <c r="B5080" s="2" t="s">
        <v>161</v>
      </c>
      <c r="C5080" s="3">
        <v>1968</v>
      </c>
      <c r="D5080" s="4">
        <v>98078</v>
      </c>
    </row>
    <row r="5081" spans="1:4" x14ac:dyDescent="0.3">
      <c r="A5081" s="5" t="s">
        <v>160</v>
      </c>
      <c r="B5081" s="5" t="s">
        <v>161</v>
      </c>
      <c r="C5081" s="6">
        <v>1969</v>
      </c>
      <c r="D5081" s="7">
        <v>98204</v>
      </c>
    </row>
    <row r="5082" spans="1:4" x14ac:dyDescent="0.3">
      <c r="A5082" s="2" t="s">
        <v>160</v>
      </c>
      <c r="B5082" s="2" t="s">
        <v>161</v>
      </c>
      <c r="C5082" s="3">
        <v>1970</v>
      </c>
      <c r="D5082" s="4">
        <v>98414</v>
      </c>
    </row>
    <row r="5083" spans="1:4" x14ac:dyDescent="0.3">
      <c r="A5083" s="5" t="s">
        <v>160</v>
      </c>
      <c r="B5083" s="5" t="s">
        <v>161</v>
      </c>
      <c r="C5083" s="6">
        <v>1971</v>
      </c>
      <c r="D5083" s="7">
        <v>98648</v>
      </c>
    </row>
    <row r="5084" spans="1:4" x14ac:dyDescent="0.3">
      <c r="A5084" s="2" t="s">
        <v>160</v>
      </c>
      <c r="B5084" s="2" t="s">
        <v>161</v>
      </c>
      <c r="C5084" s="3">
        <v>1972</v>
      </c>
      <c r="D5084" s="4">
        <v>98777</v>
      </c>
    </row>
    <row r="5085" spans="1:4" x14ac:dyDescent="0.3">
      <c r="A5085" s="5" t="s">
        <v>160</v>
      </c>
      <c r="B5085" s="5" t="s">
        <v>161</v>
      </c>
      <c r="C5085" s="6">
        <v>1973</v>
      </c>
      <c r="D5085" s="7">
        <v>98709</v>
      </c>
    </row>
    <row r="5086" spans="1:4" x14ac:dyDescent="0.3">
      <c r="A5086" s="2" t="s">
        <v>160</v>
      </c>
      <c r="B5086" s="2" t="s">
        <v>161</v>
      </c>
      <c r="C5086" s="3">
        <v>1974</v>
      </c>
      <c r="D5086" s="4">
        <v>98486</v>
      </c>
    </row>
    <row r="5087" spans="1:4" x14ac:dyDescent="0.3">
      <c r="A5087" s="5" t="s">
        <v>160</v>
      </c>
      <c r="B5087" s="5" t="s">
        <v>161</v>
      </c>
      <c r="C5087" s="6">
        <v>1975</v>
      </c>
      <c r="D5087" s="7">
        <v>98126</v>
      </c>
    </row>
    <row r="5088" spans="1:4" x14ac:dyDescent="0.3">
      <c r="A5088" s="2" t="s">
        <v>160</v>
      </c>
      <c r="B5088" s="2" t="s">
        <v>161</v>
      </c>
      <c r="C5088" s="3">
        <v>1976</v>
      </c>
      <c r="D5088" s="4">
        <v>97632</v>
      </c>
    </row>
    <row r="5089" spans="1:4" x14ac:dyDescent="0.3">
      <c r="A5089" s="5" t="s">
        <v>160</v>
      </c>
      <c r="B5089" s="5" t="s">
        <v>161</v>
      </c>
      <c r="C5089" s="6">
        <v>1977</v>
      </c>
      <c r="D5089" s="7">
        <v>97017</v>
      </c>
    </row>
    <row r="5090" spans="1:4" x14ac:dyDescent="0.3">
      <c r="A5090" s="2" t="s">
        <v>160</v>
      </c>
      <c r="B5090" s="2" t="s">
        <v>161</v>
      </c>
      <c r="C5090" s="3">
        <v>1978</v>
      </c>
      <c r="D5090" s="4">
        <v>96305</v>
      </c>
    </row>
    <row r="5091" spans="1:4" x14ac:dyDescent="0.3">
      <c r="A5091" s="5" t="s">
        <v>160</v>
      </c>
      <c r="B5091" s="5" t="s">
        <v>161</v>
      </c>
      <c r="C5091" s="6">
        <v>1979</v>
      </c>
      <c r="D5091" s="7">
        <v>95490</v>
      </c>
    </row>
    <row r="5092" spans="1:4" x14ac:dyDescent="0.3">
      <c r="A5092" s="2" t="s">
        <v>160</v>
      </c>
      <c r="B5092" s="2" t="s">
        <v>161</v>
      </c>
      <c r="C5092" s="3">
        <v>1980</v>
      </c>
      <c r="D5092" s="4">
        <v>94538</v>
      </c>
    </row>
    <row r="5093" spans="1:4" x14ac:dyDescent="0.3">
      <c r="A5093" s="5" t="s">
        <v>160</v>
      </c>
      <c r="B5093" s="5" t="s">
        <v>161</v>
      </c>
      <c r="C5093" s="6">
        <v>1981</v>
      </c>
      <c r="D5093" s="7">
        <v>94052</v>
      </c>
    </row>
    <row r="5094" spans="1:4" x14ac:dyDescent="0.3">
      <c r="A5094" s="2" t="s">
        <v>160</v>
      </c>
      <c r="B5094" s="2" t="s">
        <v>161</v>
      </c>
      <c r="C5094" s="3">
        <v>1982</v>
      </c>
      <c r="D5094" s="4">
        <v>94383</v>
      </c>
    </row>
    <row r="5095" spans="1:4" x14ac:dyDescent="0.3">
      <c r="A5095" s="5" t="s">
        <v>160</v>
      </c>
      <c r="B5095" s="5" t="s">
        <v>161</v>
      </c>
      <c r="C5095" s="6">
        <v>1983</v>
      </c>
      <c r="D5095" s="7">
        <v>94948</v>
      </c>
    </row>
    <row r="5096" spans="1:4" x14ac:dyDescent="0.3">
      <c r="A5096" s="2" t="s">
        <v>160</v>
      </c>
      <c r="B5096" s="2" t="s">
        <v>161</v>
      </c>
      <c r="C5096" s="3">
        <v>1984</v>
      </c>
      <c r="D5096" s="4">
        <v>95498</v>
      </c>
    </row>
    <row r="5097" spans="1:4" x14ac:dyDescent="0.3">
      <c r="A5097" s="5" t="s">
        <v>160</v>
      </c>
      <c r="B5097" s="5" t="s">
        <v>161</v>
      </c>
      <c r="C5097" s="6">
        <v>1985</v>
      </c>
      <c r="D5097" s="7">
        <v>96111</v>
      </c>
    </row>
    <row r="5098" spans="1:4" x14ac:dyDescent="0.3">
      <c r="A5098" s="2" t="s">
        <v>160</v>
      </c>
      <c r="B5098" s="2" t="s">
        <v>161</v>
      </c>
      <c r="C5098" s="3">
        <v>1986</v>
      </c>
      <c r="D5098" s="4">
        <v>96790</v>
      </c>
    </row>
    <row r="5099" spans="1:4" x14ac:dyDescent="0.3">
      <c r="A5099" s="5" t="s">
        <v>160</v>
      </c>
      <c r="B5099" s="5" t="s">
        <v>161</v>
      </c>
      <c r="C5099" s="6">
        <v>1987</v>
      </c>
      <c r="D5099" s="7">
        <v>97526</v>
      </c>
    </row>
    <row r="5100" spans="1:4" x14ac:dyDescent="0.3">
      <c r="A5100" s="2" t="s">
        <v>160</v>
      </c>
      <c r="B5100" s="2" t="s">
        <v>161</v>
      </c>
      <c r="C5100" s="3">
        <v>1988</v>
      </c>
      <c r="D5100" s="4">
        <v>98308</v>
      </c>
    </row>
    <row r="5101" spans="1:4" x14ac:dyDescent="0.3">
      <c r="A5101" s="5" t="s">
        <v>160</v>
      </c>
      <c r="B5101" s="5" t="s">
        <v>161</v>
      </c>
      <c r="C5101" s="6">
        <v>1989</v>
      </c>
      <c r="D5101" s="7">
        <v>99121</v>
      </c>
    </row>
    <row r="5102" spans="1:4" x14ac:dyDescent="0.3">
      <c r="A5102" s="2" t="s">
        <v>160</v>
      </c>
      <c r="B5102" s="2" t="s">
        <v>161</v>
      </c>
      <c r="C5102" s="3">
        <v>1990</v>
      </c>
      <c r="D5102" s="4">
        <v>99957</v>
      </c>
    </row>
    <row r="5103" spans="1:4" x14ac:dyDescent="0.3">
      <c r="A5103" s="5" t="s">
        <v>160</v>
      </c>
      <c r="B5103" s="5" t="s">
        <v>161</v>
      </c>
      <c r="C5103" s="6">
        <v>1991</v>
      </c>
      <c r="D5103" s="7">
        <v>100793</v>
      </c>
    </row>
    <row r="5104" spans="1:4" x14ac:dyDescent="0.3">
      <c r="A5104" s="2" t="s">
        <v>160</v>
      </c>
      <c r="B5104" s="2" t="s">
        <v>161</v>
      </c>
      <c r="C5104" s="3">
        <v>1992</v>
      </c>
      <c r="D5104" s="4">
        <v>101602</v>
      </c>
    </row>
    <row r="5105" spans="1:4" x14ac:dyDescent="0.3">
      <c r="A5105" s="5" t="s">
        <v>160</v>
      </c>
      <c r="B5105" s="5" t="s">
        <v>161</v>
      </c>
      <c r="C5105" s="6">
        <v>1993</v>
      </c>
      <c r="D5105" s="7">
        <v>102382</v>
      </c>
    </row>
    <row r="5106" spans="1:4" x14ac:dyDescent="0.3">
      <c r="A5106" s="2" t="s">
        <v>160</v>
      </c>
      <c r="B5106" s="2" t="s">
        <v>161</v>
      </c>
      <c r="C5106" s="3">
        <v>1994</v>
      </c>
      <c r="D5106" s="4">
        <v>103138</v>
      </c>
    </row>
    <row r="5107" spans="1:4" x14ac:dyDescent="0.3">
      <c r="A5107" s="5" t="s">
        <v>160</v>
      </c>
      <c r="B5107" s="5" t="s">
        <v>161</v>
      </c>
      <c r="C5107" s="6">
        <v>1995</v>
      </c>
      <c r="D5107" s="7">
        <v>103869</v>
      </c>
    </row>
    <row r="5108" spans="1:4" x14ac:dyDescent="0.3">
      <c r="A5108" s="2" t="s">
        <v>160</v>
      </c>
      <c r="B5108" s="2" t="s">
        <v>161</v>
      </c>
      <c r="C5108" s="3">
        <v>1996</v>
      </c>
      <c r="D5108" s="4">
        <v>104584</v>
      </c>
    </row>
    <row r="5109" spans="1:4" x14ac:dyDescent="0.3">
      <c r="A5109" s="5" t="s">
        <v>160</v>
      </c>
      <c r="B5109" s="5" t="s">
        <v>161</v>
      </c>
      <c r="C5109" s="6">
        <v>1997</v>
      </c>
      <c r="D5109" s="7">
        <v>105293</v>
      </c>
    </row>
    <row r="5110" spans="1:4" x14ac:dyDescent="0.3">
      <c r="A5110" s="2" t="s">
        <v>160</v>
      </c>
      <c r="B5110" s="2" t="s">
        <v>161</v>
      </c>
      <c r="C5110" s="3">
        <v>1998</v>
      </c>
      <c r="D5110" s="4">
        <v>106009</v>
      </c>
    </row>
    <row r="5111" spans="1:4" x14ac:dyDescent="0.3">
      <c r="A5111" s="5" t="s">
        <v>160</v>
      </c>
      <c r="B5111" s="5" t="s">
        <v>161</v>
      </c>
      <c r="C5111" s="6">
        <v>1999</v>
      </c>
      <c r="D5111" s="7">
        <v>106727</v>
      </c>
    </row>
    <row r="5112" spans="1:4" x14ac:dyDescent="0.3">
      <c r="A5112" s="2" t="s">
        <v>160</v>
      </c>
      <c r="B5112" s="2" t="s">
        <v>161</v>
      </c>
      <c r="C5112" s="3">
        <v>2000</v>
      </c>
      <c r="D5112" s="4">
        <v>107451</v>
      </c>
    </row>
    <row r="5113" spans="1:4" x14ac:dyDescent="0.3">
      <c r="A5113" s="5" t="s">
        <v>160</v>
      </c>
      <c r="B5113" s="5" t="s">
        <v>161</v>
      </c>
      <c r="C5113" s="6">
        <v>2001</v>
      </c>
      <c r="D5113" s="7">
        <v>107987</v>
      </c>
    </row>
    <row r="5114" spans="1:4" x14ac:dyDescent="0.3">
      <c r="A5114" s="2" t="s">
        <v>160</v>
      </c>
      <c r="B5114" s="2" t="s">
        <v>161</v>
      </c>
      <c r="C5114" s="3">
        <v>2002</v>
      </c>
      <c r="D5114" s="4">
        <v>108404</v>
      </c>
    </row>
    <row r="5115" spans="1:4" x14ac:dyDescent="0.3">
      <c r="A5115" s="5" t="s">
        <v>160</v>
      </c>
      <c r="B5115" s="5" t="s">
        <v>161</v>
      </c>
      <c r="C5115" s="6">
        <v>2003</v>
      </c>
      <c r="D5115" s="7">
        <v>108884</v>
      </c>
    </row>
    <row r="5116" spans="1:4" x14ac:dyDescent="0.3">
      <c r="A5116" s="2" t="s">
        <v>160</v>
      </c>
      <c r="B5116" s="2" t="s">
        <v>161</v>
      </c>
      <c r="C5116" s="3">
        <v>2004</v>
      </c>
      <c r="D5116" s="4">
        <v>109323</v>
      </c>
    </row>
    <row r="5117" spans="1:4" x14ac:dyDescent="0.3">
      <c r="A5117" s="5" t="s">
        <v>160</v>
      </c>
      <c r="B5117" s="5" t="s">
        <v>161</v>
      </c>
      <c r="C5117" s="6">
        <v>2005</v>
      </c>
      <c r="D5117" s="7">
        <v>109734</v>
      </c>
    </row>
    <row r="5118" spans="1:4" x14ac:dyDescent="0.3">
      <c r="A5118" s="2" t="s">
        <v>160</v>
      </c>
      <c r="B5118" s="2" t="s">
        <v>161</v>
      </c>
      <c r="C5118" s="3">
        <v>2006</v>
      </c>
      <c r="D5118" s="4">
        <v>110135</v>
      </c>
    </row>
    <row r="5119" spans="1:4" x14ac:dyDescent="0.3">
      <c r="A5119" s="5" t="s">
        <v>160</v>
      </c>
      <c r="B5119" s="5" t="s">
        <v>161</v>
      </c>
      <c r="C5119" s="6">
        <v>2007</v>
      </c>
      <c r="D5119" s="7">
        <v>110522</v>
      </c>
    </row>
    <row r="5120" spans="1:4" x14ac:dyDescent="0.3">
      <c r="A5120" s="2" t="s">
        <v>160</v>
      </c>
      <c r="B5120" s="2" t="s">
        <v>161</v>
      </c>
      <c r="C5120" s="3">
        <v>2008</v>
      </c>
      <c r="D5120" s="4">
        <v>110896</v>
      </c>
    </row>
    <row r="5121" spans="1:4" x14ac:dyDescent="0.3">
      <c r="A5121" s="5" t="s">
        <v>160</v>
      </c>
      <c r="B5121" s="5" t="s">
        <v>161</v>
      </c>
      <c r="C5121" s="6">
        <v>2009</v>
      </c>
      <c r="D5121" s="7">
        <v>111254</v>
      </c>
    </row>
    <row r="5122" spans="1:4" x14ac:dyDescent="0.3">
      <c r="A5122" s="2" t="s">
        <v>160</v>
      </c>
      <c r="B5122" s="2" t="s">
        <v>161</v>
      </c>
      <c r="C5122" s="3">
        <v>2010</v>
      </c>
      <c r="D5122" s="4">
        <v>111586</v>
      </c>
    </row>
    <row r="5123" spans="1:4" x14ac:dyDescent="0.3">
      <c r="A5123" s="5" t="s">
        <v>160</v>
      </c>
      <c r="B5123" s="5" t="s">
        <v>161</v>
      </c>
      <c r="C5123" s="6">
        <v>2011</v>
      </c>
      <c r="D5123" s="7">
        <v>112079</v>
      </c>
    </row>
    <row r="5124" spans="1:4" x14ac:dyDescent="0.3">
      <c r="A5124" s="2" t="s">
        <v>160</v>
      </c>
      <c r="B5124" s="2" t="s">
        <v>161</v>
      </c>
      <c r="C5124" s="3">
        <v>2012</v>
      </c>
      <c r="D5124" s="4">
        <v>112775</v>
      </c>
    </row>
    <row r="5125" spans="1:4" x14ac:dyDescent="0.3">
      <c r="A5125" s="5" t="s">
        <v>160</v>
      </c>
      <c r="B5125" s="5" t="s">
        <v>161</v>
      </c>
      <c r="C5125" s="6">
        <v>2013</v>
      </c>
      <c r="D5125" s="7">
        <v>113487</v>
      </c>
    </row>
    <row r="5126" spans="1:4" x14ac:dyDescent="0.3">
      <c r="A5126" s="2" t="s">
        <v>160</v>
      </c>
      <c r="B5126" s="2" t="s">
        <v>161</v>
      </c>
      <c r="C5126" s="3">
        <v>2014</v>
      </c>
      <c r="D5126" s="4">
        <v>114132</v>
      </c>
    </row>
    <row r="5127" spans="1:4" x14ac:dyDescent="0.3">
      <c r="A5127" s="5" t="s">
        <v>160</v>
      </c>
      <c r="B5127" s="5" t="s">
        <v>161</v>
      </c>
      <c r="C5127" s="6">
        <v>2015</v>
      </c>
      <c r="D5127" s="7">
        <v>114676</v>
      </c>
    </row>
    <row r="5128" spans="1:4" x14ac:dyDescent="0.3">
      <c r="A5128" s="2" t="s">
        <v>160</v>
      </c>
      <c r="B5128" s="2" t="s">
        <v>161</v>
      </c>
      <c r="C5128" s="3">
        <v>2016</v>
      </c>
      <c r="D5128" s="4">
        <v>115130</v>
      </c>
    </row>
    <row r="5129" spans="1:4" x14ac:dyDescent="0.3">
      <c r="A5129" s="5" t="s">
        <v>160</v>
      </c>
      <c r="B5129" s="5" t="s">
        <v>161</v>
      </c>
      <c r="C5129" s="6">
        <v>2017</v>
      </c>
      <c r="D5129" s="7">
        <v>115438</v>
      </c>
    </row>
    <row r="5130" spans="1:4" x14ac:dyDescent="0.3">
      <c r="A5130" s="2" t="s">
        <v>160</v>
      </c>
      <c r="B5130" s="2" t="s">
        <v>161</v>
      </c>
      <c r="C5130" s="3">
        <v>2018</v>
      </c>
      <c r="D5130" s="4">
        <v>115691</v>
      </c>
    </row>
    <row r="5131" spans="1:4" x14ac:dyDescent="0.3">
      <c r="A5131" s="5" t="s">
        <v>160</v>
      </c>
      <c r="B5131" s="5" t="s">
        <v>161</v>
      </c>
      <c r="C5131" s="6">
        <v>2019</v>
      </c>
      <c r="D5131" s="7">
        <v>115981</v>
      </c>
    </row>
    <row r="5132" spans="1:4" x14ac:dyDescent="0.3">
      <c r="A5132" s="2" t="s">
        <v>160</v>
      </c>
      <c r="B5132" s="2" t="s">
        <v>161</v>
      </c>
      <c r="C5132" s="3">
        <v>2020</v>
      </c>
      <c r="D5132" s="4">
        <v>116341</v>
      </c>
    </row>
    <row r="5133" spans="1:4" x14ac:dyDescent="0.3">
      <c r="A5133" s="5" t="s">
        <v>160</v>
      </c>
      <c r="B5133" s="5" t="s">
        <v>161</v>
      </c>
      <c r="C5133" s="6">
        <v>2021</v>
      </c>
      <c r="D5133" s="7">
        <v>116688</v>
      </c>
    </row>
    <row r="5134" spans="1:4" x14ac:dyDescent="0.3">
      <c r="A5134" s="2" t="s">
        <v>160</v>
      </c>
      <c r="B5134" s="2" t="s">
        <v>161</v>
      </c>
      <c r="C5134" s="3">
        <v>2022</v>
      </c>
      <c r="D5134" s="4">
        <v>116913</v>
      </c>
    </row>
    <row r="5135" spans="1:4" x14ac:dyDescent="0.3">
      <c r="A5135" s="5" t="s">
        <v>160</v>
      </c>
      <c r="B5135" s="5" t="s">
        <v>161</v>
      </c>
      <c r="C5135" s="6">
        <v>2023</v>
      </c>
      <c r="D5135" s="7">
        <v>117081</v>
      </c>
    </row>
    <row r="5136" spans="1:4" x14ac:dyDescent="0.3">
      <c r="A5136" s="2" t="s">
        <v>160</v>
      </c>
      <c r="B5136" s="2" t="s">
        <v>161</v>
      </c>
      <c r="C5136" s="3">
        <v>2024</v>
      </c>
      <c r="D5136" s="4">
        <v>117207</v>
      </c>
    </row>
    <row r="5137" spans="1:4" x14ac:dyDescent="0.3">
      <c r="A5137" s="5" t="s">
        <v>162</v>
      </c>
      <c r="B5137" s="5" t="s">
        <v>163</v>
      </c>
      <c r="C5137" s="6">
        <v>1960</v>
      </c>
      <c r="D5137" s="7">
        <v>69525</v>
      </c>
    </row>
    <row r="5138" spans="1:4" x14ac:dyDescent="0.3">
      <c r="A5138" s="2" t="s">
        <v>162</v>
      </c>
      <c r="B5138" s="2" t="s">
        <v>163</v>
      </c>
      <c r="C5138" s="3">
        <v>1961</v>
      </c>
      <c r="D5138" s="4">
        <v>71311</v>
      </c>
    </row>
    <row r="5139" spans="1:4" x14ac:dyDescent="0.3">
      <c r="A5139" s="5" t="s">
        <v>162</v>
      </c>
      <c r="B5139" s="5" t="s">
        <v>163</v>
      </c>
      <c r="C5139" s="6">
        <v>1962</v>
      </c>
      <c r="D5139" s="7">
        <v>73192</v>
      </c>
    </row>
    <row r="5140" spans="1:4" x14ac:dyDescent="0.3">
      <c r="A5140" s="2" t="s">
        <v>162</v>
      </c>
      <c r="B5140" s="2" t="s">
        <v>163</v>
      </c>
      <c r="C5140" s="3">
        <v>1963</v>
      </c>
      <c r="D5140" s="4">
        <v>75095</v>
      </c>
    </row>
    <row r="5141" spans="1:4" x14ac:dyDescent="0.3">
      <c r="A5141" s="5" t="s">
        <v>162</v>
      </c>
      <c r="B5141" s="5" t="s">
        <v>163</v>
      </c>
      <c r="C5141" s="6">
        <v>1964</v>
      </c>
      <c r="D5141" s="7">
        <v>77008</v>
      </c>
    </row>
    <row r="5142" spans="1:4" x14ac:dyDescent="0.3">
      <c r="A5142" s="2" t="s">
        <v>162</v>
      </c>
      <c r="B5142" s="2" t="s">
        <v>163</v>
      </c>
      <c r="C5142" s="3">
        <v>1965</v>
      </c>
      <c r="D5142" s="4">
        <v>78932</v>
      </c>
    </row>
    <row r="5143" spans="1:4" x14ac:dyDescent="0.3">
      <c r="A5143" s="5" t="s">
        <v>162</v>
      </c>
      <c r="B5143" s="5" t="s">
        <v>163</v>
      </c>
      <c r="C5143" s="6">
        <v>1966</v>
      </c>
      <c r="D5143" s="7">
        <v>80844</v>
      </c>
    </row>
    <row r="5144" spans="1:4" x14ac:dyDescent="0.3">
      <c r="A5144" s="2" t="s">
        <v>162</v>
      </c>
      <c r="B5144" s="2" t="s">
        <v>163</v>
      </c>
      <c r="C5144" s="3">
        <v>1967</v>
      </c>
      <c r="D5144" s="4">
        <v>82719</v>
      </c>
    </row>
    <row r="5145" spans="1:4" x14ac:dyDescent="0.3">
      <c r="A5145" s="5" t="s">
        <v>162</v>
      </c>
      <c r="B5145" s="5" t="s">
        <v>163</v>
      </c>
      <c r="C5145" s="6">
        <v>1968</v>
      </c>
      <c r="D5145" s="7">
        <v>84563</v>
      </c>
    </row>
    <row r="5146" spans="1:4" x14ac:dyDescent="0.3">
      <c r="A5146" s="2" t="s">
        <v>162</v>
      </c>
      <c r="B5146" s="2" t="s">
        <v>163</v>
      </c>
      <c r="C5146" s="3">
        <v>1969</v>
      </c>
      <c r="D5146" s="4">
        <v>86404</v>
      </c>
    </row>
    <row r="5147" spans="1:4" x14ac:dyDescent="0.3">
      <c r="A5147" s="5" t="s">
        <v>162</v>
      </c>
      <c r="B5147" s="5" t="s">
        <v>163</v>
      </c>
      <c r="C5147" s="6">
        <v>1970</v>
      </c>
      <c r="D5147" s="7">
        <v>88365</v>
      </c>
    </row>
    <row r="5148" spans="1:4" x14ac:dyDescent="0.3">
      <c r="A5148" s="2" t="s">
        <v>162</v>
      </c>
      <c r="B5148" s="2" t="s">
        <v>163</v>
      </c>
      <c r="C5148" s="3">
        <v>1971</v>
      </c>
      <c r="D5148" s="4">
        <v>90466</v>
      </c>
    </row>
    <row r="5149" spans="1:4" x14ac:dyDescent="0.3">
      <c r="A5149" s="5" t="s">
        <v>162</v>
      </c>
      <c r="B5149" s="5" t="s">
        <v>163</v>
      </c>
      <c r="C5149" s="6">
        <v>1972</v>
      </c>
      <c r="D5149" s="7">
        <v>92619</v>
      </c>
    </row>
    <row r="5150" spans="1:4" x14ac:dyDescent="0.3">
      <c r="A5150" s="2" t="s">
        <v>162</v>
      </c>
      <c r="B5150" s="2" t="s">
        <v>163</v>
      </c>
      <c r="C5150" s="3">
        <v>1973</v>
      </c>
      <c r="D5150" s="4">
        <v>94781</v>
      </c>
    </row>
    <row r="5151" spans="1:4" x14ac:dyDescent="0.3">
      <c r="A5151" s="5" t="s">
        <v>162</v>
      </c>
      <c r="B5151" s="5" t="s">
        <v>163</v>
      </c>
      <c r="C5151" s="6">
        <v>1974</v>
      </c>
      <c r="D5151" s="7">
        <v>96939</v>
      </c>
    </row>
    <row r="5152" spans="1:4" x14ac:dyDescent="0.3">
      <c r="A5152" s="2" t="s">
        <v>162</v>
      </c>
      <c r="B5152" s="2" t="s">
        <v>163</v>
      </c>
      <c r="C5152" s="3">
        <v>1975</v>
      </c>
      <c r="D5152" s="4">
        <v>99057</v>
      </c>
    </row>
    <row r="5153" spans="1:4" x14ac:dyDescent="0.3">
      <c r="A5153" s="5" t="s">
        <v>162</v>
      </c>
      <c r="B5153" s="5" t="s">
        <v>163</v>
      </c>
      <c r="C5153" s="6">
        <v>1976</v>
      </c>
      <c r="D5153" s="7">
        <v>101166</v>
      </c>
    </row>
    <row r="5154" spans="1:4" x14ac:dyDescent="0.3">
      <c r="A5154" s="2" t="s">
        <v>162</v>
      </c>
      <c r="B5154" s="2" t="s">
        <v>163</v>
      </c>
      <c r="C5154" s="3">
        <v>1977</v>
      </c>
      <c r="D5154" s="4">
        <v>103298</v>
      </c>
    </row>
    <row r="5155" spans="1:4" x14ac:dyDescent="0.3">
      <c r="A5155" s="5" t="s">
        <v>162</v>
      </c>
      <c r="B5155" s="5" t="s">
        <v>163</v>
      </c>
      <c r="C5155" s="6">
        <v>1978</v>
      </c>
      <c r="D5155" s="7">
        <v>105424</v>
      </c>
    </row>
    <row r="5156" spans="1:4" x14ac:dyDescent="0.3">
      <c r="A5156" s="2" t="s">
        <v>162</v>
      </c>
      <c r="B5156" s="2" t="s">
        <v>163</v>
      </c>
      <c r="C5156" s="3">
        <v>1979</v>
      </c>
      <c r="D5156" s="4">
        <v>107636</v>
      </c>
    </row>
    <row r="5157" spans="1:4" x14ac:dyDescent="0.3">
      <c r="A5157" s="5" t="s">
        <v>162</v>
      </c>
      <c r="B5157" s="5" t="s">
        <v>163</v>
      </c>
      <c r="C5157" s="6">
        <v>1980</v>
      </c>
      <c r="D5157" s="7">
        <v>110141</v>
      </c>
    </row>
    <row r="5158" spans="1:4" x14ac:dyDescent="0.3">
      <c r="A5158" s="2" t="s">
        <v>162</v>
      </c>
      <c r="B5158" s="2" t="s">
        <v>163</v>
      </c>
      <c r="C5158" s="3">
        <v>1981</v>
      </c>
      <c r="D5158" s="4">
        <v>112902</v>
      </c>
    </row>
    <row r="5159" spans="1:4" x14ac:dyDescent="0.3">
      <c r="A5159" s="5" t="s">
        <v>162</v>
      </c>
      <c r="B5159" s="5" t="s">
        <v>163</v>
      </c>
      <c r="C5159" s="6">
        <v>1982</v>
      </c>
      <c r="D5159" s="7">
        <v>115711</v>
      </c>
    </row>
    <row r="5160" spans="1:4" x14ac:dyDescent="0.3">
      <c r="A5160" s="2" t="s">
        <v>162</v>
      </c>
      <c r="B5160" s="2" t="s">
        <v>163</v>
      </c>
      <c r="C5160" s="3">
        <v>1983</v>
      </c>
      <c r="D5160" s="4">
        <v>118508</v>
      </c>
    </row>
    <row r="5161" spans="1:4" x14ac:dyDescent="0.3">
      <c r="A5161" s="5" t="s">
        <v>162</v>
      </c>
      <c r="B5161" s="5" t="s">
        <v>163</v>
      </c>
      <c r="C5161" s="6">
        <v>1984</v>
      </c>
      <c r="D5161" s="7">
        <v>121302</v>
      </c>
    </row>
    <row r="5162" spans="1:4" x14ac:dyDescent="0.3">
      <c r="A5162" s="2" t="s">
        <v>162</v>
      </c>
      <c r="B5162" s="2" t="s">
        <v>163</v>
      </c>
      <c r="C5162" s="3">
        <v>1985</v>
      </c>
      <c r="D5162" s="4">
        <v>124117</v>
      </c>
    </row>
    <row r="5163" spans="1:4" x14ac:dyDescent="0.3">
      <c r="A5163" s="5" t="s">
        <v>162</v>
      </c>
      <c r="B5163" s="5" t="s">
        <v>163</v>
      </c>
      <c r="C5163" s="6">
        <v>1986</v>
      </c>
      <c r="D5163" s="7">
        <v>126965</v>
      </c>
    </row>
    <row r="5164" spans="1:4" x14ac:dyDescent="0.3">
      <c r="A5164" s="2" t="s">
        <v>162</v>
      </c>
      <c r="B5164" s="2" t="s">
        <v>163</v>
      </c>
      <c r="C5164" s="3">
        <v>1987</v>
      </c>
      <c r="D5164" s="4">
        <v>129858</v>
      </c>
    </row>
    <row r="5165" spans="1:4" x14ac:dyDescent="0.3">
      <c r="A5165" s="5" t="s">
        <v>162</v>
      </c>
      <c r="B5165" s="5" t="s">
        <v>163</v>
      </c>
      <c r="C5165" s="6">
        <v>1988</v>
      </c>
      <c r="D5165" s="7">
        <v>132799</v>
      </c>
    </row>
    <row r="5166" spans="1:4" x14ac:dyDescent="0.3">
      <c r="A5166" s="2" t="s">
        <v>162</v>
      </c>
      <c r="B5166" s="2" t="s">
        <v>163</v>
      </c>
      <c r="C5166" s="3">
        <v>1989</v>
      </c>
      <c r="D5166" s="4">
        <v>135799</v>
      </c>
    </row>
    <row r="5167" spans="1:4" x14ac:dyDescent="0.3">
      <c r="A5167" s="5" t="s">
        <v>162</v>
      </c>
      <c r="B5167" s="5" t="s">
        <v>163</v>
      </c>
      <c r="C5167" s="6">
        <v>1990</v>
      </c>
      <c r="D5167" s="7">
        <v>138610</v>
      </c>
    </row>
    <row r="5168" spans="1:4" x14ac:dyDescent="0.3">
      <c r="A5168" s="2" t="s">
        <v>162</v>
      </c>
      <c r="B5168" s="2" t="s">
        <v>163</v>
      </c>
      <c r="C5168" s="3">
        <v>1991</v>
      </c>
      <c r="D5168" s="4">
        <v>141073</v>
      </c>
    </row>
    <row r="5169" spans="1:4" x14ac:dyDescent="0.3">
      <c r="A5169" s="5" t="s">
        <v>162</v>
      </c>
      <c r="B5169" s="5" t="s">
        <v>163</v>
      </c>
      <c r="C5169" s="6">
        <v>1992</v>
      </c>
      <c r="D5169" s="7">
        <v>143393</v>
      </c>
    </row>
    <row r="5170" spans="1:4" x14ac:dyDescent="0.3">
      <c r="A5170" s="2" t="s">
        <v>162</v>
      </c>
      <c r="B5170" s="2" t="s">
        <v>163</v>
      </c>
      <c r="C5170" s="3">
        <v>1993</v>
      </c>
      <c r="D5170" s="4">
        <v>145654</v>
      </c>
    </row>
    <row r="5171" spans="1:4" x14ac:dyDescent="0.3">
      <c r="A5171" s="5" t="s">
        <v>162</v>
      </c>
      <c r="B5171" s="5" t="s">
        <v>163</v>
      </c>
      <c r="C5171" s="6">
        <v>1994</v>
      </c>
      <c r="D5171" s="7">
        <v>147868</v>
      </c>
    </row>
    <row r="5172" spans="1:4" x14ac:dyDescent="0.3">
      <c r="A5172" s="2" t="s">
        <v>162</v>
      </c>
      <c r="B5172" s="2" t="s">
        <v>163</v>
      </c>
      <c r="C5172" s="3">
        <v>1995</v>
      </c>
      <c r="D5172" s="4">
        <v>150054</v>
      </c>
    </row>
    <row r="5173" spans="1:4" x14ac:dyDescent="0.3">
      <c r="A5173" s="5" t="s">
        <v>162</v>
      </c>
      <c r="B5173" s="5" t="s">
        <v>163</v>
      </c>
      <c r="C5173" s="6">
        <v>1996</v>
      </c>
      <c r="D5173" s="7">
        <v>152169</v>
      </c>
    </row>
    <row r="5174" spans="1:4" x14ac:dyDescent="0.3">
      <c r="A5174" s="2" t="s">
        <v>162</v>
      </c>
      <c r="B5174" s="2" t="s">
        <v>163</v>
      </c>
      <c r="C5174" s="3">
        <v>1997</v>
      </c>
      <c r="D5174" s="4">
        <v>154215</v>
      </c>
    </row>
    <row r="5175" spans="1:4" x14ac:dyDescent="0.3">
      <c r="A5175" s="5" t="s">
        <v>162</v>
      </c>
      <c r="B5175" s="5" t="s">
        <v>163</v>
      </c>
      <c r="C5175" s="6">
        <v>1998</v>
      </c>
      <c r="D5175" s="7">
        <v>156237</v>
      </c>
    </row>
    <row r="5176" spans="1:4" x14ac:dyDescent="0.3">
      <c r="A5176" s="2" t="s">
        <v>162</v>
      </c>
      <c r="B5176" s="2" t="s">
        <v>163</v>
      </c>
      <c r="C5176" s="3">
        <v>1999</v>
      </c>
      <c r="D5176" s="4">
        <v>158289</v>
      </c>
    </row>
    <row r="5177" spans="1:4" x14ac:dyDescent="0.3">
      <c r="A5177" s="5" t="s">
        <v>162</v>
      </c>
      <c r="B5177" s="5" t="s">
        <v>163</v>
      </c>
      <c r="C5177" s="6">
        <v>2000</v>
      </c>
      <c r="D5177" s="7">
        <v>160065</v>
      </c>
    </row>
    <row r="5178" spans="1:4" x14ac:dyDescent="0.3">
      <c r="A5178" s="2" t="s">
        <v>162</v>
      </c>
      <c r="B5178" s="2" t="s">
        <v>163</v>
      </c>
      <c r="C5178" s="3">
        <v>2001</v>
      </c>
      <c r="D5178" s="4">
        <v>161329</v>
      </c>
    </row>
    <row r="5179" spans="1:4" x14ac:dyDescent="0.3">
      <c r="A5179" s="5" t="s">
        <v>162</v>
      </c>
      <c r="B5179" s="5" t="s">
        <v>163</v>
      </c>
      <c r="C5179" s="6">
        <v>2002</v>
      </c>
      <c r="D5179" s="7">
        <v>162315</v>
      </c>
    </row>
    <row r="5180" spans="1:4" x14ac:dyDescent="0.3">
      <c r="A5180" s="2" t="s">
        <v>162</v>
      </c>
      <c r="B5180" s="2" t="s">
        <v>163</v>
      </c>
      <c r="C5180" s="3">
        <v>2003</v>
      </c>
      <c r="D5180" s="4">
        <v>163137</v>
      </c>
    </row>
    <row r="5181" spans="1:4" x14ac:dyDescent="0.3">
      <c r="A5181" s="5" t="s">
        <v>162</v>
      </c>
      <c r="B5181" s="5" t="s">
        <v>163</v>
      </c>
      <c r="C5181" s="6">
        <v>2004</v>
      </c>
      <c r="D5181" s="7">
        <v>163810</v>
      </c>
    </row>
    <row r="5182" spans="1:4" x14ac:dyDescent="0.3">
      <c r="A5182" s="2" t="s">
        <v>162</v>
      </c>
      <c r="B5182" s="2" t="s">
        <v>163</v>
      </c>
      <c r="C5182" s="3">
        <v>2005</v>
      </c>
      <c r="D5182" s="4">
        <v>164365</v>
      </c>
    </row>
    <row r="5183" spans="1:4" x14ac:dyDescent="0.3">
      <c r="A5183" s="5" t="s">
        <v>162</v>
      </c>
      <c r="B5183" s="5" t="s">
        <v>163</v>
      </c>
      <c r="C5183" s="6">
        <v>2006</v>
      </c>
      <c r="D5183" s="7">
        <v>164839</v>
      </c>
    </row>
    <row r="5184" spans="1:4" x14ac:dyDescent="0.3">
      <c r="A5184" s="2" t="s">
        <v>162</v>
      </c>
      <c r="B5184" s="2" t="s">
        <v>163</v>
      </c>
      <c r="C5184" s="3">
        <v>2007</v>
      </c>
      <c r="D5184" s="4">
        <v>165267</v>
      </c>
    </row>
    <row r="5185" spans="1:4" x14ac:dyDescent="0.3">
      <c r="A5185" s="5" t="s">
        <v>162</v>
      </c>
      <c r="B5185" s="5" t="s">
        <v>163</v>
      </c>
      <c r="C5185" s="6">
        <v>2008</v>
      </c>
      <c r="D5185" s="7">
        <v>165693</v>
      </c>
    </row>
    <row r="5186" spans="1:4" x14ac:dyDescent="0.3">
      <c r="A5186" s="2" t="s">
        <v>162</v>
      </c>
      <c r="B5186" s="2" t="s">
        <v>163</v>
      </c>
      <c r="C5186" s="3">
        <v>2009</v>
      </c>
      <c r="D5186" s="4">
        <v>166173</v>
      </c>
    </row>
    <row r="5187" spans="1:4" x14ac:dyDescent="0.3">
      <c r="A5187" s="5" t="s">
        <v>162</v>
      </c>
      <c r="B5187" s="5" t="s">
        <v>163</v>
      </c>
      <c r="C5187" s="6">
        <v>2010</v>
      </c>
      <c r="D5187" s="7">
        <v>166522</v>
      </c>
    </row>
    <row r="5188" spans="1:4" x14ac:dyDescent="0.3">
      <c r="A5188" s="2" t="s">
        <v>162</v>
      </c>
      <c r="B5188" s="2" t="s">
        <v>163</v>
      </c>
      <c r="C5188" s="3">
        <v>2011</v>
      </c>
      <c r="D5188" s="4">
        <v>166543</v>
      </c>
    </row>
    <row r="5189" spans="1:4" x14ac:dyDescent="0.3">
      <c r="A5189" s="5" t="s">
        <v>162</v>
      </c>
      <c r="B5189" s="5" t="s">
        <v>163</v>
      </c>
      <c r="C5189" s="6">
        <v>2012</v>
      </c>
      <c r="D5189" s="7">
        <v>166331</v>
      </c>
    </row>
    <row r="5190" spans="1:4" x14ac:dyDescent="0.3">
      <c r="A5190" s="2" t="s">
        <v>162</v>
      </c>
      <c r="B5190" s="2" t="s">
        <v>163</v>
      </c>
      <c r="C5190" s="3">
        <v>2013</v>
      </c>
      <c r="D5190" s="4">
        <v>165966</v>
      </c>
    </row>
    <row r="5191" spans="1:4" x14ac:dyDescent="0.3">
      <c r="A5191" s="5" t="s">
        <v>162</v>
      </c>
      <c r="B5191" s="5" t="s">
        <v>163</v>
      </c>
      <c r="C5191" s="6">
        <v>2014</v>
      </c>
      <c r="D5191" s="7">
        <v>165486</v>
      </c>
    </row>
    <row r="5192" spans="1:4" x14ac:dyDescent="0.3">
      <c r="A5192" s="2" t="s">
        <v>162</v>
      </c>
      <c r="B5192" s="2" t="s">
        <v>163</v>
      </c>
      <c r="C5192" s="3">
        <v>2015</v>
      </c>
      <c r="D5192" s="4">
        <v>164905</v>
      </c>
    </row>
    <row r="5193" spans="1:4" x14ac:dyDescent="0.3">
      <c r="A5193" s="5" t="s">
        <v>162</v>
      </c>
      <c r="B5193" s="5" t="s">
        <v>163</v>
      </c>
      <c r="C5193" s="6">
        <v>2016</v>
      </c>
      <c r="D5193" s="7">
        <v>164233</v>
      </c>
    </row>
    <row r="5194" spans="1:4" x14ac:dyDescent="0.3">
      <c r="A5194" s="2" t="s">
        <v>162</v>
      </c>
      <c r="B5194" s="2" t="s">
        <v>163</v>
      </c>
      <c r="C5194" s="3">
        <v>2017</v>
      </c>
      <c r="D5194" s="4">
        <v>163490</v>
      </c>
    </row>
    <row r="5195" spans="1:4" x14ac:dyDescent="0.3">
      <c r="A5195" s="5" t="s">
        <v>162</v>
      </c>
      <c r="B5195" s="5" t="s">
        <v>163</v>
      </c>
      <c r="C5195" s="6">
        <v>2018</v>
      </c>
      <c r="D5195" s="7">
        <v>162679</v>
      </c>
    </row>
    <row r="5196" spans="1:4" x14ac:dyDescent="0.3">
      <c r="A5196" s="2" t="s">
        <v>162</v>
      </c>
      <c r="B5196" s="2" t="s">
        <v>163</v>
      </c>
      <c r="C5196" s="3">
        <v>2019</v>
      </c>
      <c r="D5196" s="4">
        <v>161808</v>
      </c>
    </row>
    <row r="5197" spans="1:4" x14ac:dyDescent="0.3">
      <c r="A5197" s="5" t="s">
        <v>162</v>
      </c>
      <c r="B5197" s="5" t="s">
        <v>163</v>
      </c>
      <c r="C5197" s="6">
        <v>2020</v>
      </c>
      <c r="D5197" s="7">
        <v>162158</v>
      </c>
    </row>
    <row r="5198" spans="1:4" x14ac:dyDescent="0.3">
      <c r="A5198" s="2" t="s">
        <v>162</v>
      </c>
      <c r="B5198" s="2" t="s">
        <v>163</v>
      </c>
      <c r="C5198" s="3">
        <v>2021</v>
      </c>
      <c r="D5198" s="4">
        <v>163730</v>
      </c>
    </row>
    <row r="5199" spans="1:4" x14ac:dyDescent="0.3">
      <c r="A5199" s="5" t="s">
        <v>162</v>
      </c>
      <c r="B5199" s="5" t="s">
        <v>163</v>
      </c>
      <c r="C5199" s="6">
        <v>2022</v>
      </c>
      <c r="D5199" s="7">
        <v>165180</v>
      </c>
    </row>
    <row r="5200" spans="1:4" x14ac:dyDescent="0.3">
      <c r="A5200" s="2" t="s">
        <v>162</v>
      </c>
      <c r="B5200" s="2" t="s">
        <v>163</v>
      </c>
      <c r="C5200" s="3">
        <v>2023</v>
      </c>
      <c r="D5200" s="4">
        <v>166506</v>
      </c>
    </row>
    <row r="5201" spans="1:4" x14ac:dyDescent="0.3">
      <c r="A5201" s="5" t="s">
        <v>162</v>
      </c>
      <c r="B5201" s="5" t="s">
        <v>163</v>
      </c>
      <c r="C5201" s="6">
        <v>2024</v>
      </c>
      <c r="D5201" s="7">
        <v>167777</v>
      </c>
    </row>
    <row r="5202" spans="1:4" x14ac:dyDescent="0.3">
      <c r="A5202" s="2" t="s">
        <v>164</v>
      </c>
      <c r="B5202" s="2" t="s">
        <v>165</v>
      </c>
      <c r="C5202" s="3">
        <v>1960</v>
      </c>
      <c r="D5202" s="4">
        <v>4063655</v>
      </c>
    </row>
    <row r="5203" spans="1:4" x14ac:dyDescent="0.3">
      <c r="A5203" s="5" t="s">
        <v>164</v>
      </c>
      <c r="B5203" s="5" t="s">
        <v>165</v>
      </c>
      <c r="C5203" s="6">
        <v>1961</v>
      </c>
      <c r="D5203" s="7">
        <v>4186201</v>
      </c>
    </row>
    <row r="5204" spans="1:4" x14ac:dyDescent="0.3">
      <c r="A5204" s="2" t="s">
        <v>164</v>
      </c>
      <c r="B5204" s="2" t="s">
        <v>165</v>
      </c>
      <c r="C5204" s="3">
        <v>1962</v>
      </c>
      <c r="D5204" s="4">
        <v>4312044</v>
      </c>
    </row>
    <row r="5205" spans="1:4" x14ac:dyDescent="0.3">
      <c r="A5205" s="5" t="s">
        <v>164</v>
      </c>
      <c r="B5205" s="5" t="s">
        <v>165</v>
      </c>
      <c r="C5205" s="6">
        <v>1963</v>
      </c>
      <c r="D5205" s="7">
        <v>4440264</v>
      </c>
    </row>
    <row r="5206" spans="1:4" x14ac:dyDescent="0.3">
      <c r="A5206" s="2" t="s">
        <v>164</v>
      </c>
      <c r="B5206" s="2" t="s">
        <v>165</v>
      </c>
      <c r="C5206" s="3">
        <v>1964</v>
      </c>
      <c r="D5206" s="4">
        <v>4571109</v>
      </c>
    </row>
    <row r="5207" spans="1:4" x14ac:dyDescent="0.3">
      <c r="A5207" s="5" t="s">
        <v>164</v>
      </c>
      <c r="B5207" s="5" t="s">
        <v>165</v>
      </c>
      <c r="C5207" s="6">
        <v>1965</v>
      </c>
      <c r="D5207" s="7">
        <v>4704965</v>
      </c>
    </row>
    <row r="5208" spans="1:4" x14ac:dyDescent="0.3">
      <c r="A5208" s="2" t="s">
        <v>164</v>
      </c>
      <c r="B5208" s="2" t="s">
        <v>165</v>
      </c>
      <c r="C5208" s="3">
        <v>1966</v>
      </c>
      <c r="D5208" s="4">
        <v>4840958</v>
      </c>
    </row>
    <row r="5209" spans="1:4" x14ac:dyDescent="0.3">
      <c r="A5209" s="5" t="s">
        <v>164</v>
      </c>
      <c r="B5209" s="5" t="s">
        <v>165</v>
      </c>
      <c r="C5209" s="6">
        <v>1967</v>
      </c>
      <c r="D5209" s="7">
        <v>4978862</v>
      </c>
    </row>
    <row r="5210" spans="1:4" x14ac:dyDescent="0.3">
      <c r="A5210" s="2" t="s">
        <v>164</v>
      </c>
      <c r="B5210" s="2" t="s">
        <v>165</v>
      </c>
      <c r="C5210" s="3">
        <v>1968</v>
      </c>
      <c r="D5210" s="4">
        <v>5118111</v>
      </c>
    </row>
    <row r="5211" spans="1:4" x14ac:dyDescent="0.3">
      <c r="A5211" s="5" t="s">
        <v>164</v>
      </c>
      <c r="B5211" s="5" t="s">
        <v>165</v>
      </c>
      <c r="C5211" s="6">
        <v>1969</v>
      </c>
      <c r="D5211" s="7">
        <v>5257081</v>
      </c>
    </row>
    <row r="5212" spans="1:4" x14ac:dyDescent="0.3">
      <c r="A5212" s="2" t="s">
        <v>164</v>
      </c>
      <c r="B5212" s="2" t="s">
        <v>165</v>
      </c>
      <c r="C5212" s="3">
        <v>1970</v>
      </c>
      <c r="D5212" s="4">
        <v>5396966</v>
      </c>
    </row>
    <row r="5213" spans="1:4" x14ac:dyDescent="0.3">
      <c r="A5213" s="5" t="s">
        <v>164</v>
      </c>
      <c r="B5213" s="5" t="s">
        <v>165</v>
      </c>
      <c r="C5213" s="6">
        <v>1971</v>
      </c>
      <c r="D5213" s="7">
        <v>5538355</v>
      </c>
    </row>
    <row r="5214" spans="1:4" x14ac:dyDescent="0.3">
      <c r="A5214" s="2" t="s">
        <v>164</v>
      </c>
      <c r="B5214" s="2" t="s">
        <v>165</v>
      </c>
      <c r="C5214" s="3">
        <v>1972</v>
      </c>
      <c r="D5214" s="4">
        <v>5682833</v>
      </c>
    </row>
    <row r="5215" spans="1:4" x14ac:dyDescent="0.3">
      <c r="A5215" s="5" t="s">
        <v>164</v>
      </c>
      <c r="B5215" s="5" t="s">
        <v>165</v>
      </c>
      <c r="C5215" s="6">
        <v>1973</v>
      </c>
      <c r="D5215" s="7">
        <v>5831631</v>
      </c>
    </row>
    <row r="5216" spans="1:4" x14ac:dyDescent="0.3">
      <c r="A5216" s="2" t="s">
        <v>164</v>
      </c>
      <c r="B5216" s="2" t="s">
        <v>165</v>
      </c>
      <c r="C5216" s="3">
        <v>1974</v>
      </c>
      <c r="D5216" s="4">
        <v>5981197</v>
      </c>
    </row>
    <row r="5217" spans="1:4" x14ac:dyDescent="0.3">
      <c r="A5217" s="5" t="s">
        <v>164</v>
      </c>
      <c r="B5217" s="5" t="s">
        <v>165</v>
      </c>
      <c r="C5217" s="6">
        <v>1975</v>
      </c>
      <c r="D5217" s="7">
        <v>6128731</v>
      </c>
    </row>
    <row r="5218" spans="1:4" x14ac:dyDescent="0.3">
      <c r="A5218" s="2" t="s">
        <v>164</v>
      </c>
      <c r="B5218" s="2" t="s">
        <v>165</v>
      </c>
      <c r="C5218" s="3">
        <v>1976</v>
      </c>
      <c r="D5218" s="4">
        <v>6262404</v>
      </c>
    </row>
    <row r="5219" spans="1:4" x14ac:dyDescent="0.3">
      <c r="A5219" s="5" t="s">
        <v>164</v>
      </c>
      <c r="B5219" s="5" t="s">
        <v>165</v>
      </c>
      <c r="C5219" s="6">
        <v>1977</v>
      </c>
      <c r="D5219" s="7">
        <v>6401515</v>
      </c>
    </row>
    <row r="5220" spans="1:4" x14ac:dyDescent="0.3">
      <c r="A5220" s="2" t="s">
        <v>164</v>
      </c>
      <c r="B5220" s="2" t="s">
        <v>165</v>
      </c>
      <c r="C5220" s="3">
        <v>1978</v>
      </c>
      <c r="D5220" s="4">
        <v>6561534</v>
      </c>
    </row>
    <row r="5221" spans="1:4" x14ac:dyDescent="0.3">
      <c r="A5221" s="5" t="s">
        <v>164</v>
      </c>
      <c r="B5221" s="5" t="s">
        <v>165</v>
      </c>
      <c r="C5221" s="6">
        <v>1979</v>
      </c>
      <c r="D5221" s="7">
        <v>6727797</v>
      </c>
    </row>
    <row r="5222" spans="1:4" x14ac:dyDescent="0.3">
      <c r="A5222" s="2" t="s">
        <v>164</v>
      </c>
      <c r="B5222" s="2" t="s">
        <v>165</v>
      </c>
      <c r="C5222" s="3">
        <v>1980</v>
      </c>
      <c r="D5222" s="4">
        <v>6900212</v>
      </c>
    </row>
    <row r="5223" spans="1:4" x14ac:dyDescent="0.3">
      <c r="A5223" s="5" t="s">
        <v>164</v>
      </c>
      <c r="B5223" s="5" t="s">
        <v>165</v>
      </c>
      <c r="C5223" s="6">
        <v>1981</v>
      </c>
      <c r="D5223" s="7">
        <v>7075648</v>
      </c>
    </row>
    <row r="5224" spans="1:4" x14ac:dyDescent="0.3">
      <c r="A5224" s="2" t="s">
        <v>164</v>
      </c>
      <c r="B5224" s="2" t="s">
        <v>165</v>
      </c>
      <c r="C5224" s="3">
        <v>1982</v>
      </c>
      <c r="D5224" s="4">
        <v>7240241</v>
      </c>
    </row>
    <row r="5225" spans="1:4" x14ac:dyDescent="0.3">
      <c r="A5225" s="5" t="s">
        <v>164</v>
      </c>
      <c r="B5225" s="5" t="s">
        <v>165</v>
      </c>
      <c r="C5225" s="6">
        <v>1983</v>
      </c>
      <c r="D5225" s="7">
        <v>7419642</v>
      </c>
    </row>
    <row r="5226" spans="1:4" x14ac:dyDescent="0.3">
      <c r="A5226" s="2" t="s">
        <v>164</v>
      </c>
      <c r="B5226" s="2" t="s">
        <v>165</v>
      </c>
      <c r="C5226" s="3">
        <v>1984</v>
      </c>
      <c r="D5226" s="4">
        <v>7630682</v>
      </c>
    </row>
    <row r="5227" spans="1:4" x14ac:dyDescent="0.3">
      <c r="A5227" s="5" t="s">
        <v>164</v>
      </c>
      <c r="B5227" s="5" t="s">
        <v>165</v>
      </c>
      <c r="C5227" s="6">
        <v>1985</v>
      </c>
      <c r="D5227" s="7">
        <v>7849693</v>
      </c>
    </row>
    <row r="5228" spans="1:4" x14ac:dyDescent="0.3">
      <c r="A5228" s="2" t="s">
        <v>164</v>
      </c>
      <c r="B5228" s="2" t="s">
        <v>165</v>
      </c>
      <c r="C5228" s="3">
        <v>1986</v>
      </c>
      <c r="D5228" s="4">
        <v>8070818</v>
      </c>
    </row>
    <row r="5229" spans="1:4" x14ac:dyDescent="0.3">
      <c r="A5229" s="5" t="s">
        <v>164</v>
      </c>
      <c r="B5229" s="5" t="s">
        <v>165</v>
      </c>
      <c r="C5229" s="6">
        <v>1987</v>
      </c>
      <c r="D5229" s="7">
        <v>8296485</v>
      </c>
    </row>
    <row r="5230" spans="1:4" x14ac:dyDescent="0.3">
      <c r="A5230" s="2" t="s">
        <v>164</v>
      </c>
      <c r="B5230" s="2" t="s">
        <v>165</v>
      </c>
      <c r="C5230" s="3">
        <v>1988</v>
      </c>
      <c r="D5230" s="4">
        <v>8532099</v>
      </c>
    </row>
    <row r="5231" spans="1:4" x14ac:dyDescent="0.3">
      <c r="A5231" s="5" t="s">
        <v>164</v>
      </c>
      <c r="B5231" s="5" t="s">
        <v>165</v>
      </c>
      <c r="C5231" s="6">
        <v>1989</v>
      </c>
      <c r="D5231" s="7">
        <v>8775546</v>
      </c>
    </row>
    <row r="5232" spans="1:4" x14ac:dyDescent="0.3">
      <c r="A5232" s="2" t="s">
        <v>164</v>
      </c>
      <c r="B5232" s="2" t="s">
        <v>165</v>
      </c>
      <c r="C5232" s="3">
        <v>1990</v>
      </c>
      <c r="D5232" s="4">
        <v>9024773</v>
      </c>
    </row>
    <row r="5233" spans="1:4" x14ac:dyDescent="0.3">
      <c r="A5233" s="5" t="s">
        <v>164</v>
      </c>
      <c r="B5233" s="5" t="s">
        <v>165</v>
      </c>
      <c r="C5233" s="6">
        <v>1991</v>
      </c>
      <c r="D5233" s="7">
        <v>9272584</v>
      </c>
    </row>
    <row r="5234" spans="1:4" x14ac:dyDescent="0.3">
      <c r="A5234" s="2" t="s">
        <v>164</v>
      </c>
      <c r="B5234" s="2" t="s">
        <v>165</v>
      </c>
      <c r="C5234" s="3">
        <v>1992</v>
      </c>
      <c r="D5234" s="4">
        <v>9522266</v>
      </c>
    </row>
    <row r="5235" spans="1:4" x14ac:dyDescent="0.3">
      <c r="A5235" s="5" t="s">
        <v>164</v>
      </c>
      <c r="B5235" s="5" t="s">
        <v>165</v>
      </c>
      <c r="C5235" s="6">
        <v>1993</v>
      </c>
      <c r="D5235" s="7">
        <v>9779761</v>
      </c>
    </row>
    <row r="5236" spans="1:4" x14ac:dyDescent="0.3">
      <c r="A5236" s="2" t="s">
        <v>164</v>
      </c>
      <c r="B5236" s="2" t="s">
        <v>165</v>
      </c>
      <c r="C5236" s="3">
        <v>1994</v>
      </c>
      <c r="D5236" s="4">
        <v>10043718</v>
      </c>
    </row>
    <row r="5237" spans="1:4" x14ac:dyDescent="0.3">
      <c r="A5237" s="5" t="s">
        <v>164</v>
      </c>
      <c r="B5237" s="5" t="s">
        <v>165</v>
      </c>
      <c r="C5237" s="6">
        <v>1995</v>
      </c>
      <c r="D5237" s="7">
        <v>10312996</v>
      </c>
    </row>
    <row r="5238" spans="1:4" x14ac:dyDescent="0.3">
      <c r="A5238" s="2" t="s">
        <v>164</v>
      </c>
      <c r="B5238" s="2" t="s">
        <v>165</v>
      </c>
      <c r="C5238" s="3">
        <v>1996</v>
      </c>
      <c r="D5238" s="4">
        <v>10583526</v>
      </c>
    </row>
    <row r="5239" spans="1:4" x14ac:dyDescent="0.3">
      <c r="A5239" s="5" t="s">
        <v>164</v>
      </c>
      <c r="B5239" s="5" t="s">
        <v>165</v>
      </c>
      <c r="C5239" s="6">
        <v>1997</v>
      </c>
      <c r="D5239" s="7">
        <v>10857754</v>
      </c>
    </row>
    <row r="5240" spans="1:4" x14ac:dyDescent="0.3">
      <c r="A5240" s="2" t="s">
        <v>164</v>
      </c>
      <c r="B5240" s="2" t="s">
        <v>165</v>
      </c>
      <c r="C5240" s="3">
        <v>1998</v>
      </c>
      <c r="D5240" s="4">
        <v>11139145</v>
      </c>
    </row>
    <row r="5241" spans="1:4" x14ac:dyDescent="0.3">
      <c r="A5241" s="5" t="s">
        <v>164</v>
      </c>
      <c r="B5241" s="5" t="s">
        <v>165</v>
      </c>
      <c r="C5241" s="6">
        <v>1999</v>
      </c>
      <c r="D5241" s="7">
        <v>11422965</v>
      </c>
    </row>
    <row r="5242" spans="1:4" x14ac:dyDescent="0.3">
      <c r="A5242" s="2" t="s">
        <v>164</v>
      </c>
      <c r="B5242" s="2" t="s">
        <v>165</v>
      </c>
      <c r="C5242" s="3">
        <v>2000</v>
      </c>
      <c r="D5242" s="4">
        <v>11697592</v>
      </c>
    </row>
    <row r="5243" spans="1:4" x14ac:dyDescent="0.3">
      <c r="A5243" s="5" t="s">
        <v>164</v>
      </c>
      <c r="B5243" s="5" t="s">
        <v>165</v>
      </c>
      <c r="C5243" s="6">
        <v>2001</v>
      </c>
      <c r="D5243" s="7">
        <v>11969422</v>
      </c>
    </row>
    <row r="5244" spans="1:4" x14ac:dyDescent="0.3">
      <c r="A5244" s="2" t="s">
        <v>164</v>
      </c>
      <c r="B5244" s="2" t="s">
        <v>165</v>
      </c>
      <c r="C5244" s="3">
        <v>2002</v>
      </c>
      <c r="D5244" s="4">
        <v>12246915</v>
      </c>
    </row>
    <row r="5245" spans="1:4" x14ac:dyDescent="0.3">
      <c r="A5245" s="5" t="s">
        <v>164</v>
      </c>
      <c r="B5245" s="5" t="s">
        <v>165</v>
      </c>
      <c r="C5245" s="6">
        <v>2003</v>
      </c>
      <c r="D5245" s="7">
        <v>12525842</v>
      </c>
    </row>
    <row r="5246" spans="1:4" x14ac:dyDescent="0.3">
      <c r="A5246" s="2" t="s">
        <v>164</v>
      </c>
      <c r="B5246" s="2" t="s">
        <v>165</v>
      </c>
      <c r="C5246" s="3">
        <v>2004</v>
      </c>
      <c r="D5246" s="4">
        <v>12807402</v>
      </c>
    </row>
    <row r="5247" spans="1:4" x14ac:dyDescent="0.3">
      <c r="A5247" s="5" t="s">
        <v>164</v>
      </c>
      <c r="B5247" s="5" t="s">
        <v>165</v>
      </c>
      <c r="C5247" s="6">
        <v>2005</v>
      </c>
      <c r="D5247" s="7">
        <v>13087629</v>
      </c>
    </row>
    <row r="5248" spans="1:4" x14ac:dyDescent="0.3">
      <c r="A5248" s="2" t="s">
        <v>164</v>
      </c>
      <c r="B5248" s="2" t="s">
        <v>165</v>
      </c>
      <c r="C5248" s="3">
        <v>2006</v>
      </c>
      <c r="D5248" s="4">
        <v>13367459</v>
      </c>
    </row>
    <row r="5249" spans="1:4" x14ac:dyDescent="0.3">
      <c r="A5249" s="5" t="s">
        <v>164</v>
      </c>
      <c r="B5249" s="5" t="s">
        <v>165</v>
      </c>
      <c r="C5249" s="6">
        <v>2007</v>
      </c>
      <c r="D5249" s="7">
        <v>13652040</v>
      </c>
    </row>
    <row r="5250" spans="1:4" x14ac:dyDescent="0.3">
      <c r="A5250" s="2" t="s">
        <v>164</v>
      </c>
      <c r="B5250" s="2" t="s">
        <v>165</v>
      </c>
      <c r="C5250" s="3">
        <v>2008</v>
      </c>
      <c r="D5250" s="4">
        <v>13935174</v>
      </c>
    </row>
    <row r="5251" spans="1:4" x14ac:dyDescent="0.3">
      <c r="A5251" s="5" t="s">
        <v>164</v>
      </c>
      <c r="B5251" s="5" t="s">
        <v>165</v>
      </c>
      <c r="C5251" s="6">
        <v>2009</v>
      </c>
      <c r="D5251" s="7">
        <v>14215611</v>
      </c>
    </row>
    <row r="5252" spans="1:4" x14ac:dyDescent="0.3">
      <c r="A5252" s="2" t="s">
        <v>164</v>
      </c>
      <c r="B5252" s="2" t="s">
        <v>165</v>
      </c>
      <c r="C5252" s="3">
        <v>2010</v>
      </c>
      <c r="D5252" s="4">
        <v>14500112</v>
      </c>
    </row>
    <row r="5253" spans="1:4" x14ac:dyDescent="0.3">
      <c r="A5253" s="5" t="s">
        <v>164</v>
      </c>
      <c r="B5253" s="5" t="s">
        <v>165</v>
      </c>
      <c r="C5253" s="6">
        <v>2011</v>
      </c>
      <c r="D5253" s="7">
        <v>14792126</v>
      </c>
    </row>
    <row r="5254" spans="1:4" x14ac:dyDescent="0.3">
      <c r="A5254" s="2" t="s">
        <v>164</v>
      </c>
      <c r="B5254" s="2" t="s">
        <v>165</v>
      </c>
      <c r="C5254" s="3">
        <v>2012</v>
      </c>
      <c r="D5254" s="4">
        <v>15089647</v>
      </c>
    </row>
    <row r="5255" spans="1:4" x14ac:dyDescent="0.3">
      <c r="A5255" s="5" t="s">
        <v>164</v>
      </c>
      <c r="B5255" s="5" t="s">
        <v>165</v>
      </c>
      <c r="C5255" s="6">
        <v>2013</v>
      </c>
      <c r="D5255" s="7">
        <v>15387337</v>
      </c>
    </row>
    <row r="5256" spans="1:4" x14ac:dyDescent="0.3">
      <c r="A5256" s="2" t="s">
        <v>164</v>
      </c>
      <c r="B5256" s="2" t="s">
        <v>165</v>
      </c>
      <c r="C5256" s="3">
        <v>2014</v>
      </c>
      <c r="D5256" s="4">
        <v>15681725</v>
      </c>
    </row>
    <row r="5257" spans="1:4" x14ac:dyDescent="0.3">
      <c r="A5257" s="5" t="s">
        <v>164</v>
      </c>
      <c r="B5257" s="5" t="s">
        <v>165</v>
      </c>
      <c r="C5257" s="6">
        <v>2015</v>
      </c>
      <c r="D5257" s="7">
        <v>15971743</v>
      </c>
    </row>
    <row r="5258" spans="1:4" x14ac:dyDescent="0.3">
      <c r="A5258" s="2" t="s">
        <v>164</v>
      </c>
      <c r="B5258" s="2" t="s">
        <v>165</v>
      </c>
      <c r="C5258" s="3">
        <v>2016</v>
      </c>
      <c r="D5258" s="4">
        <v>16268760</v>
      </c>
    </row>
    <row r="5259" spans="1:4" x14ac:dyDescent="0.3">
      <c r="A5259" s="5" t="s">
        <v>164</v>
      </c>
      <c r="B5259" s="5" t="s">
        <v>165</v>
      </c>
      <c r="C5259" s="6">
        <v>2017</v>
      </c>
      <c r="D5259" s="7">
        <v>16567357</v>
      </c>
    </row>
    <row r="5260" spans="1:4" x14ac:dyDescent="0.3">
      <c r="A5260" s="2" t="s">
        <v>164</v>
      </c>
      <c r="B5260" s="2" t="s">
        <v>165</v>
      </c>
      <c r="C5260" s="3">
        <v>2018</v>
      </c>
      <c r="D5260" s="4">
        <v>16845685</v>
      </c>
    </row>
    <row r="5261" spans="1:4" x14ac:dyDescent="0.3">
      <c r="A5261" s="5" t="s">
        <v>164</v>
      </c>
      <c r="B5261" s="5" t="s">
        <v>165</v>
      </c>
      <c r="C5261" s="6">
        <v>2019</v>
      </c>
      <c r="D5261" s="7">
        <v>17103803</v>
      </c>
    </row>
    <row r="5262" spans="1:4" x14ac:dyDescent="0.3">
      <c r="A5262" s="2" t="s">
        <v>164</v>
      </c>
      <c r="B5262" s="2" t="s">
        <v>165</v>
      </c>
      <c r="C5262" s="3">
        <v>2020</v>
      </c>
      <c r="D5262" s="4">
        <v>17357325</v>
      </c>
    </row>
    <row r="5263" spans="1:4" x14ac:dyDescent="0.3">
      <c r="A5263" s="5" t="s">
        <v>164</v>
      </c>
      <c r="B5263" s="5" t="s">
        <v>165</v>
      </c>
      <c r="C5263" s="6">
        <v>2021</v>
      </c>
      <c r="D5263" s="7">
        <v>17598650</v>
      </c>
    </row>
    <row r="5264" spans="1:4" x14ac:dyDescent="0.3">
      <c r="A5264" s="2" t="s">
        <v>164</v>
      </c>
      <c r="B5264" s="2" t="s">
        <v>165</v>
      </c>
      <c r="C5264" s="3">
        <v>2022</v>
      </c>
      <c r="D5264" s="4">
        <v>17847877</v>
      </c>
    </row>
    <row r="5265" spans="1:4" x14ac:dyDescent="0.3">
      <c r="A5265" s="5" t="s">
        <v>164</v>
      </c>
      <c r="B5265" s="5" t="s">
        <v>165</v>
      </c>
      <c r="C5265" s="6">
        <v>2023</v>
      </c>
      <c r="D5265" s="7">
        <v>18124838</v>
      </c>
    </row>
    <row r="5266" spans="1:4" x14ac:dyDescent="0.3">
      <c r="A5266" s="2" t="s">
        <v>164</v>
      </c>
      <c r="B5266" s="2" t="s">
        <v>165</v>
      </c>
      <c r="C5266" s="3">
        <v>2024</v>
      </c>
      <c r="D5266" s="4">
        <v>18406359</v>
      </c>
    </row>
    <row r="5267" spans="1:4" x14ac:dyDescent="0.3">
      <c r="A5267" s="5" t="s">
        <v>166</v>
      </c>
      <c r="B5267" s="5" t="s">
        <v>167</v>
      </c>
      <c r="C5267" s="6">
        <v>1960</v>
      </c>
      <c r="D5267" s="7">
        <v>3556749</v>
      </c>
    </row>
    <row r="5268" spans="1:4" x14ac:dyDescent="0.3">
      <c r="A5268" s="2" t="s">
        <v>166</v>
      </c>
      <c r="B5268" s="2" t="s">
        <v>167</v>
      </c>
      <c r="C5268" s="3">
        <v>1961</v>
      </c>
      <c r="D5268" s="4">
        <v>3619551</v>
      </c>
    </row>
    <row r="5269" spans="1:4" x14ac:dyDescent="0.3">
      <c r="A5269" s="5" t="s">
        <v>166</v>
      </c>
      <c r="B5269" s="5" t="s">
        <v>167</v>
      </c>
      <c r="C5269" s="6">
        <v>1962</v>
      </c>
      <c r="D5269" s="7">
        <v>3684273</v>
      </c>
    </row>
    <row r="5270" spans="1:4" x14ac:dyDescent="0.3">
      <c r="A5270" s="2" t="s">
        <v>166</v>
      </c>
      <c r="B5270" s="2" t="s">
        <v>167</v>
      </c>
      <c r="C5270" s="3">
        <v>1963</v>
      </c>
      <c r="D5270" s="4">
        <v>3750954</v>
      </c>
    </row>
    <row r="5271" spans="1:4" x14ac:dyDescent="0.3">
      <c r="A5271" s="5" t="s">
        <v>166</v>
      </c>
      <c r="B5271" s="5" t="s">
        <v>167</v>
      </c>
      <c r="C5271" s="6">
        <v>1964</v>
      </c>
      <c r="D5271" s="7">
        <v>3819722</v>
      </c>
    </row>
    <row r="5272" spans="1:4" x14ac:dyDescent="0.3">
      <c r="A5272" s="2" t="s">
        <v>166</v>
      </c>
      <c r="B5272" s="2" t="s">
        <v>167</v>
      </c>
      <c r="C5272" s="3">
        <v>1965</v>
      </c>
      <c r="D5272" s="4">
        <v>3890716</v>
      </c>
    </row>
    <row r="5273" spans="1:4" x14ac:dyDescent="0.3">
      <c r="A5273" s="5" t="s">
        <v>166</v>
      </c>
      <c r="B5273" s="5" t="s">
        <v>167</v>
      </c>
      <c r="C5273" s="6">
        <v>1966</v>
      </c>
      <c r="D5273" s="7">
        <v>3964155</v>
      </c>
    </row>
    <row r="5274" spans="1:4" x14ac:dyDescent="0.3">
      <c r="A5274" s="2" t="s">
        <v>166</v>
      </c>
      <c r="B5274" s="2" t="s">
        <v>167</v>
      </c>
      <c r="C5274" s="3">
        <v>1967</v>
      </c>
      <c r="D5274" s="4">
        <v>4040153</v>
      </c>
    </row>
    <row r="5275" spans="1:4" x14ac:dyDescent="0.3">
      <c r="A5275" s="5" t="s">
        <v>166</v>
      </c>
      <c r="B5275" s="5" t="s">
        <v>167</v>
      </c>
      <c r="C5275" s="6">
        <v>1968</v>
      </c>
      <c r="D5275" s="7">
        <v>4118550</v>
      </c>
    </row>
    <row r="5276" spans="1:4" x14ac:dyDescent="0.3">
      <c r="A5276" s="2" t="s">
        <v>166</v>
      </c>
      <c r="B5276" s="2" t="s">
        <v>167</v>
      </c>
      <c r="C5276" s="3">
        <v>1969</v>
      </c>
      <c r="D5276" s="4">
        <v>4198300</v>
      </c>
    </row>
    <row r="5277" spans="1:4" x14ac:dyDescent="0.3">
      <c r="A5277" s="5" t="s">
        <v>166</v>
      </c>
      <c r="B5277" s="5" t="s">
        <v>167</v>
      </c>
      <c r="C5277" s="6">
        <v>1970</v>
      </c>
      <c r="D5277" s="7">
        <v>4277535</v>
      </c>
    </row>
    <row r="5278" spans="1:4" x14ac:dyDescent="0.3">
      <c r="A5278" s="2" t="s">
        <v>166</v>
      </c>
      <c r="B5278" s="2" t="s">
        <v>167</v>
      </c>
      <c r="C5278" s="3">
        <v>1971</v>
      </c>
      <c r="D5278" s="4">
        <v>4355200</v>
      </c>
    </row>
    <row r="5279" spans="1:4" x14ac:dyDescent="0.3">
      <c r="A5279" s="5" t="s">
        <v>166</v>
      </c>
      <c r="B5279" s="5" t="s">
        <v>167</v>
      </c>
      <c r="C5279" s="6">
        <v>1972</v>
      </c>
      <c r="D5279" s="7">
        <v>4431292</v>
      </c>
    </row>
    <row r="5280" spans="1:4" x14ac:dyDescent="0.3">
      <c r="A5280" s="2" t="s">
        <v>166</v>
      </c>
      <c r="B5280" s="2" t="s">
        <v>167</v>
      </c>
      <c r="C5280" s="3">
        <v>1973</v>
      </c>
      <c r="D5280" s="4">
        <v>4506324</v>
      </c>
    </row>
    <row r="5281" spans="1:4" x14ac:dyDescent="0.3">
      <c r="A5281" s="5" t="s">
        <v>166</v>
      </c>
      <c r="B5281" s="5" t="s">
        <v>167</v>
      </c>
      <c r="C5281" s="6">
        <v>1974</v>
      </c>
      <c r="D5281" s="7">
        <v>4580510</v>
      </c>
    </row>
    <row r="5282" spans="1:4" x14ac:dyDescent="0.3">
      <c r="A5282" s="2" t="s">
        <v>166</v>
      </c>
      <c r="B5282" s="2" t="s">
        <v>167</v>
      </c>
      <c r="C5282" s="3">
        <v>1975</v>
      </c>
      <c r="D5282" s="4">
        <v>4653876</v>
      </c>
    </row>
    <row r="5283" spans="1:4" x14ac:dyDescent="0.3">
      <c r="A5283" s="5" t="s">
        <v>166</v>
      </c>
      <c r="B5283" s="5" t="s">
        <v>167</v>
      </c>
      <c r="C5283" s="6">
        <v>1976</v>
      </c>
      <c r="D5283" s="7">
        <v>4727022</v>
      </c>
    </row>
    <row r="5284" spans="1:4" x14ac:dyDescent="0.3">
      <c r="A5284" s="2" t="s">
        <v>166</v>
      </c>
      <c r="B5284" s="2" t="s">
        <v>167</v>
      </c>
      <c r="C5284" s="3">
        <v>1977</v>
      </c>
      <c r="D5284" s="4">
        <v>4801128</v>
      </c>
    </row>
    <row r="5285" spans="1:4" x14ac:dyDescent="0.3">
      <c r="A5285" s="5" t="s">
        <v>166</v>
      </c>
      <c r="B5285" s="5" t="s">
        <v>167</v>
      </c>
      <c r="C5285" s="6">
        <v>1978</v>
      </c>
      <c r="D5285" s="7">
        <v>4877854</v>
      </c>
    </row>
    <row r="5286" spans="1:4" x14ac:dyDescent="0.3">
      <c r="A5286" s="2" t="s">
        <v>166</v>
      </c>
      <c r="B5286" s="2" t="s">
        <v>167</v>
      </c>
      <c r="C5286" s="3">
        <v>1979</v>
      </c>
      <c r="D5286" s="4">
        <v>4959283</v>
      </c>
    </row>
    <row r="5287" spans="1:4" x14ac:dyDescent="0.3">
      <c r="A5287" s="5" t="s">
        <v>166</v>
      </c>
      <c r="B5287" s="5" t="s">
        <v>167</v>
      </c>
      <c r="C5287" s="6">
        <v>1980</v>
      </c>
      <c r="D5287" s="7">
        <v>5047419</v>
      </c>
    </row>
    <row r="5288" spans="1:4" x14ac:dyDescent="0.3">
      <c r="A5288" s="2" t="s">
        <v>166</v>
      </c>
      <c r="B5288" s="2" t="s">
        <v>167</v>
      </c>
      <c r="C5288" s="3">
        <v>1981</v>
      </c>
      <c r="D5288" s="4">
        <v>5143288</v>
      </c>
    </row>
    <row r="5289" spans="1:4" x14ac:dyDescent="0.3">
      <c r="A5289" s="5" t="s">
        <v>166</v>
      </c>
      <c r="B5289" s="5" t="s">
        <v>167</v>
      </c>
      <c r="C5289" s="6">
        <v>1982</v>
      </c>
      <c r="D5289" s="7">
        <v>5247672</v>
      </c>
    </row>
    <row r="5290" spans="1:4" x14ac:dyDescent="0.3">
      <c r="A5290" s="2" t="s">
        <v>166</v>
      </c>
      <c r="B5290" s="2" t="s">
        <v>167</v>
      </c>
      <c r="C5290" s="3">
        <v>1983</v>
      </c>
      <c r="D5290" s="4">
        <v>5359814</v>
      </c>
    </row>
    <row r="5291" spans="1:4" x14ac:dyDescent="0.3">
      <c r="A5291" s="5" t="s">
        <v>166</v>
      </c>
      <c r="B5291" s="5" t="s">
        <v>167</v>
      </c>
      <c r="C5291" s="6">
        <v>1984</v>
      </c>
      <c r="D5291" s="7">
        <v>5480096</v>
      </c>
    </row>
    <row r="5292" spans="1:4" x14ac:dyDescent="0.3">
      <c r="A5292" s="2" t="s">
        <v>166</v>
      </c>
      <c r="B5292" s="2" t="s">
        <v>167</v>
      </c>
      <c r="C5292" s="3">
        <v>1985</v>
      </c>
      <c r="D5292" s="4">
        <v>5610373</v>
      </c>
    </row>
    <row r="5293" spans="1:4" x14ac:dyDescent="0.3">
      <c r="A5293" s="5" t="s">
        <v>166</v>
      </c>
      <c r="B5293" s="5" t="s">
        <v>167</v>
      </c>
      <c r="C5293" s="6">
        <v>1986</v>
      </c>
      <c r="D5293" s="7">
        <v>5750668</v>
      </c>
    </row>
    <row r="5294" spans="1:4" x14ac:dyDescent="0.3">
      <c r="A5294" s="2" t="s">
        <v>166</v>
      </c>
      <c r="B5294" s="2" t="s">
        <v>167</v>
      </c>
      <c r="C5294" s="3">
        <v>1987</v>
      </c>
      <c r="D5294" s="4">
        <v>5900198</v>
      </c>
    </row>
    <row r="5295" spans="1:4" x14ac:dyDescent="0.3">
      <c r="A5295" s="5" t="s">
        <v>166</v>
      </c>
      <c r="B5295" s="5" t="s">
        <v>167</v>
      </c>
      <c r="C5295" s="6">
        <v>1988</v>
      </c>
      <c r="D5295" s="7">
        <v>6056574</v>
      </c>
    </row>
    <row r="5296" spans="1:4" x14ac:dyDescent="0.3">
      <c r="A5296" s="2" t="s">
        <v>166</v>
      </c>
      <c r="B5296" s="2" t="s">
        <v>167</v>
      </c>
      <c r="C5296" s="3">
        <v>1989</v>
      </c>
      <c r="D5296" s="4">
        <v>6215811</v>
      </c>
    </row>
    <row r="5297" spans="1:4" x14ac:dyDescent="0.3">
      <c r="A5297" s="5" t="s">
        <v>166</v>
      </c>
      <c r="B5297" s="5" t="s">
        <v>167</v>
      </c>
      <c r="C5297" s="6">
        <v>1990</v>
      </c>
      <c r="D5297" s="7">
        <v>6434374</v>
      </c>
    </row>
    <row r="5298" spans="1:4" x14ac:dyDescent="0.3">
      <c r="A5298" s="2" t="s">
        <v>166</v>
      </c>
      <c r="B5298" s="2" t="s">
        <v>167</v>
      </c>
      <c r="C5298" s="3">
        <v>1991</v>
      </c>
      <c r="D5298" s="4">
        <v>6697166</v>
      </c>
    </row>
    <row r="5299" spans="1:4" x14ac:dyDescent="0.3">
      <c r="A5299" s="5" t="s">
        <v>166</v>
      </c>
      <c r="B5299" s="5" t="s">
        <v>167</v>
      </c>
      <c r="C5299" s="6">
        <v>1992</v>
      </c>
      <c r="D5299" s="7">
        <v>6914366</v>
      </c>
    </row>
    <row r="5300" spans="1:4" x14ac:dyDescent="0.3">
      <c r="A5300" s="2" t="s">
        <v>166</v>
      </c>
      <c r="B5300" s="2" t="s">
        <v>167</v>
      </c>
      <c r="C5300" s="3">
        <v>1993</v>
      </c>
      <c r="D5300" s="4">
        <v>7128177</v>
      </c>
    </row>
    <row r="5301" spans="1:4" x14ac:dyDescent="0.3">
      <c r="A5301" s="5" t="s">
        <v>166</v>
      </c>
      <c r="B5301" s="5" t="s">
        <v>167</v>
      </c>
      <c r="C5301" s="6">
        <v>1994</v>
      </c>
      <c r="D5301" s="7">
        <v>7345107</v>
      </c>
    </row>
    <row r="5302" spans="1:4" x14ac:dyDescent="0.3">
      <c r="A5302" s="2" t="s">
        <v>166</v>
      </c>
      <c r="B5302" s="2" t="s">
        <v>167</v>
      </c>
      <c r="C5302" s="3">
        <v>1995</v>
      </c>
      <c r="D5302" s="4">
        <v>7553249</v>
      </c>
    </row>
    <row r="5303" spans="1:4" x14ac:dyDescent="0.3">
      <c r="A5303" s="5" t="s">
        <v>166</v>
      </c>
      <c r="B5303" s="5" t="s">
        <v>167</v>
      </c>
      <c r="C5303" s="6">
        <v>1996</v>
      </c>
      <c r="D5303" s="7">
        <v>7770035</v>
      </c>
    </row>
    <row r="5304" spans="1:4" x14ac:dyDescent="0.3">
      <c r="A5304" s="2" t="s">
        <v>166</v>
      </c>
      <c r="B5304" s="2" t="s">
        <v>167</v>
      </c>
      <c r="C5304" s="3">
        <v>1997</v>
      </c>
      <c r="D5304" s="4">
        <v>7931370</v>
      </c>
    </row>
    <row r="5305" spans="1:4" x14ac:dyDescent="0.3">
      <c r="A5305" s="5" t="s">
        <v>166</v>
      </c>
      <c r="B5305" s="5" t="s">
        <v>167</v>
      </c>
      <c r="C5305" s="6">
        <v>1998</v>
      </c>
      <c r="D5305" s="7">
        <v>8081990</v>
      </c>
    </row>
    <row r="5306" spans="1:4" x14ac:dyDescent="0.3">
      <c r="A5306" s="2" t="s">
        <v>166</v>
      </c>
      <c r="B5306" s="2" t="s">
        <v>167</v>
      </c>
      <c r="C5306" s="3">
        <v>1999</v>
      </c>
      <c r="D5306" s="4">
        <v>8265123</v>
      </c>
    </row>
    <row r="5307" spans="1:4" x14ac:dyDescent="0.3">
      <c r="A5307" s="5" t="s">
        <v>166</v>
      </c>
      <c r="B5307" s="5" t="s">
        <v>167</v>
      </c>
      <c r="C5307" s="6">
        <v>2000</v>
      </c>
      <c r="D5307" s="7">
        <v>8428832</v>
      </c>
    </row>
    <row r="5308" spans="1:4" x14ac:dyDescent="0.3">
      <c r="A5308" s="2" t="s">
        <v>166</v>
      </c>
      <c r="B5308" s="2" t="s">
        <v>167</v>
      </c>
      <c r="C5308" s="3">
        <v>2001</v>
      </c>
      <c r="D5308" s="4">
        <v>8539960</v>
      </c>
    </row>
    <row r="5309" spans="1:4" x14ac:dyDescent="0.3">
      <c r="A5309" s="5" t="s">
        <v>166</v>
      </c>
      <c r="B5309" s="5" t="s">
        <v>167</v>
      </c>
      <c r="C5309" s="6">
        <v>2002</v>
      </c>
      <c r="D5309" s="7">
        <v>8674066</v>
      </c>
    </row>
    <row r="5310" spans="1:4" x14ac:dyDescent="0.3">
      <c r="A5310" s="2" t="s">
        <v>166</v>
      </c>
      <c r="B5310" s="2" t="s">
        <v>167</v>
      </c>
      <c r="C5310" s="3">
        <v>2003</v>
      </c>
      <c r="D5310" s="4">
        <v>8870781</v>
      </c>
    </row>
    <row r="5311" spans="1:4" x14ac:dyDescent="0.3">
      <c r="A5311" s="5" t="s">
        <v>166</v>
      </c>
      <c r="B5311" s="5" t="s">
        <v>167</v>
      </c>
      <c r="C5311" s="6">
        <v>2004</v>
      </c>
      <c r="D5311" s="7">
        <v>9062726</v>
      </c>
    </row>
    <row r="5312" spans="1:4" x14ac:dyDescent="0.3">
      <c r="A5312" s="2" t="s">
        <v>166</v>
      </c>
      <c r="B5312" s="2" t="s">
        <v>167</v>
      </c>
      <c r="C5312" s="3">
        <v>2005</v>
      </c>
      <c r="D5312" s="4">
        <v>9245844</v>
      </c>
    </row>
    <row r="5313" spans="1:4" x14ac:dyDescent="0.3">
      <c r="A5313" s="5" t="s">
        <v>166</v>
      </c>
      <c r="B5313" s="5" t="s">
        <v>167</v>
      </c>
      <c r="C5313" s="6">
        <v>2006</v>
      </c>
      <c r="D5313" s="7">
        <v>9441171</v>
      </c>
    </row>
    <row r="5314" spans="1:4" x14ac:dyDescent="0.3">
      <c r="A5314" s="2" t="s">
        <v>166</v>
      </c>
      <c r="B5314" s="2" t="s">
        <v>167</v>
      </c>
      <c r="C5314" s="3">
        <v>2007</v>
      </c>
      <c r="D5314" s="4">
        <v>9662281</v>
      </c>
    </row>
    <row r="5315" spans="1:4" x14ac:dyDescent="0.3">
      <c r="A5315" s="5" t="s">
        <v>166</v>
      </c>
      <c r="B5315" s="5" t="s">
        <v>167</v>
      </c>
      <c r="C5315" s="6">
        <v>2008</v>
      </c>
      <c r="D5315" s="7">
        <v>9898870</v>
      </c>
    </row>
    <row r="5316" spans="1:4" x14ac:dyDescent="0.3">
      <c r="A5316" s="2" t="s">
        <v>166</v>
      </c>
      <c r="B5316" s="2" t="s">
        <v>167</v>
      </c>
      <c r="C5316" s="3">
        <v>2009</v>
      </c>
      <c r="D5316" s="4">
        <v>10143534</v>
      </c>
    </row>
    <row r="5317" spans="1:4" x14ac:dyDescent="0.3">
      <c r="A5317" s="5" t="s">
        <v>166</v>
      </c>
      <c r="B5317" s="5" t="s">
        <v>167</v>
      </c>
      <c r="C5317" s="6">
        <v>2010</v>
      </c>
      <c r="D5317" s="7">
        <v>10396086</v>
      </c>
    </row>
    <row r="5318" spans="1:4" x14ac:dyDescent="0.3">
      <c r="A5318" s="2" t="s">
        <v>166</v>
      </c>
      <c r="B5318" s="2" t="s">
        <v>167</v>
      </c>
      <c r="C5318" s="3">
        <v>2011</v>
      </c>
      <c r="D5318" s="4">
        <v>10656810</v>
      </c>
    </row>
    <row r="5319" spans="1:4" x14ac:dyDescent="0.3">
      <c r="A5319" s="5" t="s">
        <v>166</v>
      </c>
      <c r="B5319" s="5" t="s">
        <v>167</v>
      </c>
      <c r="C5319" s="6">
        <v>2012</v>
      </c>
      <c r="D5319" s="7">
        <v>10921581</v>
      </c>
    </row>
    <row r="5320" spans="1:4" x14ac:dyDescent="0.3">
      <c r="A5320" s="2" t="s">
        <v>166</v>
      </c>
      <c r="B5320" s="2" t="s">
        <v>167</v>
      </c>
      <c r="C5320" s="3">
        <v>2013</v>
      </c>
      <c r="D5320" s="4">
        <v>11191873</v>
      </c>
    </row>
    <row r="5321" spans="1:4" x14ac:dyDescent="0.3">
      <c r="A5321" s="5" t="s">
        <v>166</v>
      </c>
      <c r="B5321" s="5" t="s">
        <v>167</v>
      </c>
      <c r="C5321" s="6">
        <v>2014</v>
      </c>
      <c r="D5321" s="7">
        <v>11472924</v>
      </c>
    </row>
    <row r="5322" spans="1:4" x14ac:dyDescent="0.3">
      <c r="A5322" s="2" t="s">
        <v>166</v>
      </c>
      <c r="B5322" s="2" t="s">
        <v>167</v>
      </c>
      <c r="C5322" s="3">
        <v>2015</v>
      </c>
      <c r="D5322" s="4">
        <v>11767070</v>
      </c>
    </row>
    <row r="5323" spans="1:4" x14ac:dyDescent="0.3">
      <c r="A5323" s="5" t="s">
        <v>166</v>
      </c>
      <c r="B5323" s="5" t="s">
        <v>167</v>
      </c>
      <c r="C5323" s="6">
        <v>2016</v>
      </c>
      <c r="D5323" s="7">
        <v>12073030</v>
      </c>
    </row>
    <row r="5324" spans="1:4" x14ac:dyDescent="0.3">
      <c r="A5324" s="2" t="s">
        <v>166</v>
      </c>
      <c r="B5324" s="2" t="s">
        <v>167</v>
      </c>
      <c r="C5324" s="3">
        <v>2017</v>
      </c>
      <c r="D5324" s="4">
        <v>12385659</v>
      </c>
    </row>
    <row r="5325" spans="1:4" x14ac:dyDescent="0.3">
      <c r="A5325" s="5" t="s">
        <v>166</v>
      </c>
      <c r="B5325" s="5" t="s">
        <v>167</v>
      </c>
      <c r="C5325" s="6">
        <v>2018</v>
      </c>
      <c r="D5325" s="7">
        <v>12704774</v>
      </c>
    </row>
    <row r="5326" spans="1:4" x14ac:dyDescent="0.3">
      <c r="A5326" s="2" t="s">
        <v>166</v>
      </c>
      <c r="B5326" s="2" t="s">
        <v>167</v>
      </c>
      <c r="C5326" s="3">
        <v>2019</v>
      </c>
      <c r="D5326" s="4">
        <v>13034346</v>
      </c>
    </row>
    <row r="5327" spans="1:4" x14ac:dyDescent="0.3">
      <c r="A5327" s="5" t="s">
        <v>166</v>
      </c>
      <c r="B5327" s="5" t="s">
        <v>167</v>
      </c>
      <c r="C5327" s="6">
        <v>2020</v>
      </c>
      <c r="D5327" s="7">
        <v>13371183</v>
      </c>
    </row>
    <row r="5328" spans="1:4" x14ac:dyDescent="0.3">
      <c r="A5328" s="2" t="s">
        <v>166</v>
      </c>
      <c r="B5328" s="2" t="s">
        <v>167</v>
      </c>
      <c r="C5328" s="3">
        <v>2021</v>
      </c>
      <c r="D5328" s="4">
        <v>13710513</v>
      </c>
    </row>
    <row r="5329" spans="1:4" x14ac:dyDescent="0.3">
      <c r="A5329" s="5" t="s">
        <v>166</v>
      </c>
      <c r="B5329" s="5" t="s">
        <v>167</v>
      </c>
      <c r="C5329" s="6">
        <v>2022</v>
      </c>
      <c r="D5329" s="7">
        <v>14055137</v>
      </c>
    </row>
    <row r="5330" spans="1:4" x14ac:dyDescent="0.3">
      <c r="A5330" s="2" t="s">
        <v>166</v>
      </c>
      <c r="B5330" s="2" t="s">
        <v>167</v>
      </c>
      <c r="C5330" s="3">
        <v>2023</v>
      </c>
      <c r="D5330" s="4">
        <v>14405468</v>
      </c>
    </row>
    <row r="5331" spans="1:4" x14ac:dyDescent="0.3">
      <c r="A5331" s="5" t="s">
        <v>166</v>
      </c>
      <c r="B5331" s="5" t="s">
        <v>167</v>
      </c>
      <c r="C5331" s="6">
        <v>2024</v>
      </c>
      <c r="D5331" s="7">
        <v>14754785</v>
      </c>
    </row>
    <row r="5332" spans="1:4" x14ac:dyDescent="0.3">
      <c r="A5332" s="2" t="s">
        <v>168</v>
      </c>
      <c r="B5332" s="2" t="s">
        <v>169</v>
      </c>
      <c r="C5332" s="3">
        <v>1960</v>
      </c>
      <c r="D5332" s="4">
        <v>577633</v>
      </c>
    </row>
    <row r="5333" spans="1:4" x14ac:dyDescent="0.3">
      <c r="A5333" s="5" t="s">
        <v>168</v>
      </c>
      <c r="B5333" s="5" t="s">
        <v>169</v>
      </c>
      <c r="C5333" s="6">
        <v>1961</v>
      </c>
      <c r="D5333" s="7">
        <v>582532</v>
      </c>
    </row>
    <row r="5334" spans="1:4" x14ac:dyDescent="0.3">
      <c r="A5334" s="2" t="s">
        <v>168</v>
      </c>
      <c r="B5334" s="2" t="s">
        <v>169</v>
      </c>
      <c r="C5334" s="3">
        <v>1962</v>
      </c>
      <c r="D5334" s="4">
        <v>589474</v>
      </c>
    </row>
    <row r="5335" spans="1:4" x14ac:dyDescent="0.3">
      <c r="A5335" s="5" t="s">
        <v>168</v>
      </c>
      <c r="B5335" s="5" t="s">
        <v>169</v>
      </c>
      <c r="C5335" s="6">
        <v>1963</v>
      </c>
      <c r="D5335" s="7">
        <v>594418</v>
      </c>
    </row>
    <row r="5336" spans="1:4" x14ac:dyDescent="0.3">
      <c r="A5336" s="2" t="s">
        <v>168</v>
      </c>
      <c r="B5336" s="2" t="s">
        <v>169</v>
      </c>
      <c r="C5336" s="3">
        <v>1964</v>
      </c>
      <c r="D5336" s="4">
        <v>588543</v>
      </c>
    </row>
    <row r="5337" spans="1:4" x14ac:dyDescent="0.3">
      <c r="A5337" s="5" t="s">
        <v>168</v>
      </c>
      <c r="B5337" s="5" t="s">
        <v>169</v>
      </c>
      <c r="C5337" s="6">
        <v>1965</v>
      </c>
      <c r="D5337" s="7">
        <v>575005</v>
      </c>
    </row>
    <row r="5338" spans="1:4" x14ac:dyDescent="0.3">
      <c r="A5338" s="2" t="s">
        <v>168</v>
      </c>
      <c r="B5338" s="2" t="s">
        <v>169</v>
      </c>
      <c r="C5338" s="3">
        <v>1966</v>
      </c>
      <c r="D5338" s="4">
        <v>566908</v>
      </c>
    </row>
    <row r="5339" spans="1:4" x14ac:dyDescent="0.3">
      <c r="A5339" s="5" t="s">
        <v>168</v>
      </c>
      <c r="B5339" s="5" t="s">
        <v>169</v>
      </c>
      <c r="C5339" s="6">
        <v>1967</v>
      </c>
      <c r="D5339" s="7">
        <v>569011</v>
      </c>
    </row>
    <row r="5340" spans="1:4" x14ac:dyDescent="0.3">
      <c r="A5340" s="2" t="s">
        <v>168</v>
      </c>
      <c r="B5340" s="2" t="s">
        <v>169</v>
      </c>
      <c r="C5340" s="3">
        <v>1968</v>
      </c>
      <c r="D5340" s="4">
        <v>578170</v>
      </c>
    </row>
    <row r="5341" spans="1:4" x14ac:dyDescent="0.3">
      <c r="A5341" s="5" t="s">
        <v>168</v>
      </c>
      <c r="B5341" s="5" t="s">
        <v>169</v>
      </c>
      <c r="C5341" s="6">
        <v>1969</v>
      </c>
      <c r="D5341" s="7">
        <v>581610</v>
      </c>
    </row>
    <row r="5342" spans="1:4" x14ac:dyDescent="0.3">
      <c r="A5342" s="2" t="s">
        <v>168</v>
      </c>
      <c r="B5342" s="2" t="s">
        <v>169</v>
      </c>
      <c r="C5342" s="3">
        <v>1970</v>
      </c>
      <c r="D5342" s="4">
        <v>584403</v>
      </c>
    </row>
    <row r="5343" spans="1:4" x14ac:dyDescent="0.3">
      <c r="A5343" s="5" t="s">
        <v>168</v>
      </c>
      <c r="B5343" s="5" t="s">
        <v>169</v>
      </c>
      <c r="C5343" s="6">
        <v>1971</v>
      </c>
      <c r="D5343" s="7">
        <v>586221</v>
      </c>
    </row>
    <row r="5344" spans="1:4" x14ac:dyDescent="0.3">
      <c r="A5344" s="2" t="s">
        <v>168</v>
      </c>
      <c r="B5344" s="2" t="s">
        <v>169</v>
      </c>
      <c r="C5344" s="3">
        <v>1972</v>
      </c>
      <c r="D5344" s="4">
        <v>586620</v>
      </c>
    </row>
    <row r="5345" spans="1:4" x14ac:dyDescent="0.3">
      <c r="A5345" s="5" t="s">
        <v>168</v>
      </c>
      <c r="B5345" s="5" t="s">
        <v>169</v>
      </c>
      <c r="C5345" s="6">
        <v>1973</v>
      </c>
      <c r="D5345" s="7">
        <v>592808</v>
      </c>
    </row>
    <row r="5346" spans="1:4" x14ac:dyDescent="0.3">
      <c r="A5346" s="2" t="s">
        <v>168</v>
      </c>
      <c r="B5346" s="2" t="s">
        <v>169</v>
      </c>
      <c r="C5346" s="3">
        <v>1974</v>
      </c>
      <c r="D5346" s="4">
        <v>613338</v>
      </c>
    </row>
    <row r="5347" spans="1:4" x14ac:dyDescent="0.3">
      <c r="A5347" s="5" t="s">
        <v>168</v>
      </c>
      <c r="B5347" s="5" t="s">
        <v>169</v>
      </c>
      <c r="C5347" s="6">
        <v>1975</v>
      </c>
      <c r="D5347" s="7">
        <v>650966</v>
      </c>
    </row>
    <row r="5348" spans="1:4" x14ac:dyDescent="0.3">
      <c r="A5348" s="2" t="s">
        <v>168</v>
      </c>
      <c r="B5348" s="2" t="s">
        <v>169</v>
      </c>
      <c r="C5348" s="3">
        <v>1976</v>
      </c>
      <c r="D5348" s="4">
        <v>694191</v>
      </c>
    </row>
    <row r="5349" spans="1:4" x14ac:dyDescent="0.3">
      <c r="A5349" s="5" t="s">
        <v>168</v>
      </c>
      <c r="B5349" s="5" t="s">
        <v>169</v>
      </c>
      <c r="C5349" s="6">
        <v>1977</v>
      </c>
      <c r="D5349" s="7">
        <v>741789</v>
      </c>
    </row>
    <row r="5350" spans="1:4" x14ac:dyDescent="0.3">
      <c r="A5350" s="2" t="s">
        <v>168</v>
      </c>
      <c r="B5350" s="2" t="s">
        <v>169</v>
      </c>
      <c r="C5350" s="3">
        <v>1978</v>
      </c>
      <c r="D5350" s="4">
        <v>791694</v>
      </c>
    </row>
    <row r="5351" spans="1:4" x14ac:dyDescent="0.3">
      <c r="A5351" s="5" t="s">
        <v>168</v>
      </c>
      <c r="B5351" s="5" t="s">
        <v>169</v>
      </c>
      <c r="C5351" s="6">
        <v>1979</v>
      </c>
      <c r="D5351" s="7">
        <v>819867</v>
      </c>
    </row>
    <row r="5352" spans="1:4" x14ac:dyDescent="0.3">
      <c r="A5352" s="2" t="s">
        <v>168</v>
      </c>
      <c r="B5352" s="2" t="s">
        <v>169</v>
      </c>
      <c r="C5352" s="3">
        <v>1980</v>
      </c>
      <c r="D5352" s="4">
        <v>829303</v>
      </c>
    </row>
    <row r="5353" spans="1:4" x14ac:dyDescent="0.3">
      <c r="A5353" s="5" t="s">
        <v>168</v>
      </c>
      <c r="B5353" s="5" t="s">
        <v>169</v>
      </c>
      <c r="C5353" s="6">
        <v>1981</v>
      </c>
      <c r="D5353" s="7">
        <v>842432</v>
      </c>
    </row>
    <row r="5354" spans="1:4" x14ac:dyDescent="0.3">
      <c r="A5354" s="2" t="s">
        <v>168</v>
      </c>
      <c r="B5354" s="2" t="s">
        <v>169</v>
      </c>
      <c r="C5354" s="3">
        <v>1982</v>
      </c>
      <c r="D5354" s="4">
        <v>855891</v>
      </c>
    </row>
    <row r="5355" spans="1:4" x14ac:dyDescent="0.3">
      <c r="A5355" s="5" t="s">
        <v>168</v>
      </c>
      <c r="B5355" s="5" t="s">
        <v>169</v>
      </c>
      <c r="C5355" s="6">
        <v>1983</v>
      </c>
      <c r="D5355" s="7">
        <v>869592</v>
      </c>
    </row>
    <row r="5356" spans="1:4" x14ac:dyDescent="0.3">
      <c r="A5356" s="2" t="s">
        <v>168</v>
      </c>
      <c r="B5356" s="2" t="s">
        <v>169</v>
      </c>
      <c r="C5356" s="3">
        <v>1984</v>
      </c>
      <c r="D5356" s="4">
        <v>883519</v>
      </c>
    </row>
    <row r="5357" spans="1:4" x14ac:dyDescent="0.3">
      <c r="A5357" s="5" t="s">
        <v>168</v>
      </c>
      <c r="B5357" s="5" t="s">
        <v>169</v>
      </c>
      <c r="C5357" s="6">
        <v>1985</v>
      </c>
      <c r="D5357" s="7">
        <v>897697</v>
      </c>
    </row>
    <row r="5358" spans="1:4" x14ac:dyDescent="0.3">
      <c r="A5358" s="2" t="s">
        <v>168</v>
      </c>
      <c r="B5358" s="2" t="s">
        <v>169</v>
      </c>
      <c r="C5358" s="3">
        <v>1986</v>
      </c>
      <c r="D5358" s="4">
        <v>912126</v>
      </c>
    </row>
    <row r="5359" spans="1:4" x14ac:dyDescent="0.3">
      <c r="A5359" s="5" t="s">
        <v>168</v>
      </c>
      <c r="B5359" s="5" t="s">
        <v>169</v>
      </c>
      <c r="C5359" s="6">
        <v>1987</v>
      </c>
      <c r="D5359" s="7">
        <v>926862</v>
      </c>
    </row>
    <row r="5360" spans="1:4" x14ac:dyDescent="0.3">
      <c r="A5360" s="2" t="s">
        <v>168</v>
      </c>
      <c r="B5360" s="2" t="s">
        <v>169</v>
      </c>
      <c r="C5360" s="3">
        <v>1988</v>
      </c>
      <c r="D5360" s="4">
        <v>942061</v>
      </c>
    </row>
    <row r="5361" spans="1:4" x14ac:dyDescent="0.3">
      <c r="A5361" s="5" t="s">
        <v>168</v>
      </c>
      <c r="B5361" s="5" t="s">
        <v>169</v>
      </c>
      <c r="C5361" s="6">
        <v>1989</v>
      </c>
      <c r="D5361" s="7">
        <v>957789</v>
      </c>
    </row>
    <row r="5362" spans="1:4" x14ac:dyDescent="0.3">
      <c r="A5362" s="2" t="s">
        <v>168</v>
      </c>
      <c r="B5362" s="2" t="s">
        <v>169</v>
      </c>
      <c r="C5362" s="3">
        <v>1990</v>
      </c>
      <c r="D5362" s="4">
        <v>973669</v>
      </c>
    </row>
    <row r="5363" spans="1:4" x14ac:dyDescent="0.3">
      <c r="A5363" s="5" t="s">
        <v>168</v>
      </c>
      <c r="B5363" s="5" t="s">
        <v>169</v>
      </c>
      <c r="C5363" s="6">
        <v>1991</v>
      </c>
      <c r="D5363" s="7">
        <v>994639</v>
      </c>
    </row>
    <row r="5364" spans="1:4" x14ac:dyDescent="0.3">
      <c r="A5364" s="2" t="s">
        <v>168</v>
      </c>
      <c r="B5364" s="2" t="s">
        <v>169</v>
      </c>
      <c r="C5364" s="3">
        <v>1992</v>
      </c>
      <c r="D5364" s="4">
        <v>1024356</v>
      </c>
    </row>
    <row r="5365" spans="1:4" x14ac:dyDescent="0.3">
      <c r="A5365" s="5" t="s">
        <v>168</v>
      </c>
      <c r="B5365" s="5" t="s">
        <v>169</v>
      </c>
      <c r="C5365" s="6">
        <v>1993</v>
      </c>
      <c r="D5365" s="7">
        <v>1058745</v>
      </c>
    </row>
    <row r="5366" spans="1:4" x14ac:dyDescent="0.3">
      <c r="A5366" s="2" t="s">
        <v>168</v>
      </c>
      <c r="B5366" s="2" t="s">
        <v>169</v>
      </c>
      <c r="C5366" s="3">
        <v>1994</v>
      </c>
      <c r="D5366" s="4">
        <v>1092031</v>
      </c>
    </row>
    <row r="5367" spans="1:4" x14ac:dyDescent="0.3">
      <c r="A5367" s="5" t="s">
        <v>168</v>
      </c>
      <c r="B5367" s="5" t="s">
        <v>169</v>
      </c>
      <c r="C5367" s="6">
        <v>1995</v>
      </c>
      <c r="D5367" s="7">
        <v>1119949</v>
      </c>
    </row>
    <row r="5368" spans="1:4" x14ac:dyDescent="0.3">
      <c r="A5368" s="2" t="s">
        <v>168</v>
      </c>
      <c r="B5368" s="2" t="s">
        <v>169</v>
      </c>
      <c r="C5368" s="3">
        <v>1996</v>
      </c>
      <c r="D5368" s="4">
        <v>1143535</v>
      </c>
    </row>
    <row r="5369" spans="1:4" x14ac:dyDescent="0.3">
      <c r="A5369" s="5" t="s">
        <v>168</v>
      </c>
      <c r="B5369" s="5" t="s">
        <v>169</v>
      </c>
      <c r="C5369" s="6">
        <v>1997</v>
      </c>
      <c r="D5369" s="7">
        <v>1165545</v>
      </c>
    </row>
    <row r="5370" spans="1:4" x14ac:dyDescent="0.3">
      <c r="A5370" s="2" t="s">
        <v>168</v>
      </c>
      <c r="B5370" s="2" t="s">
        <v>169</v>
      </c>
      <c r="C5370" s="3">
        <v>1998</v>
      </c>
      <c r="D5370" s="4">
        <v>1187473</v>
      </c>
    </row>
    <row r="5371" spans="1:4" x14ac:dyDescent="0.3">
      <c r="A5371" s="5" t="s">
        <v>168</v>
      </c>
      <c r="B5371" s="5" t="s">
        <v>169</v>
      </c>
      <c r="C5371" s="6">
        <v>1999</v>
      </c>
      <c r="D5371" s="7">
        <v>1210206</v>
      </c>
    </row>
    <row r="5372" spans="1:4" x14ac:dyDescent="0.3">
      <c r="A5372" s="2" t="s">
        <v>168</v>
      </c>
      <c r="B5372" s="2" t="s">
        <v>169</v>
      </c>
      <c r="C5372" s="3">
        <v>2000</v>
      </c>
      <c r="D5372" s="4">
        <v>1234741</v>
      </c>
    </row>
    <row r="5373" spans="1:4" x14ac:dyDescent="0.3">
      <c r="A5373" s="5" t="s">
        <v>168</v>
      </c>
      <c r="B5373" s="5" t="s">
        <v>169</v>
      </c>
      <c r="C5373" s="6">
        <v>2001</v>
      </c>
      <c r="D5373" s="7">
        <v>1261273</v>
      </c>
    </row>
    <row r="5374" spans="1:4" x14ac:dyDescent="0.3">
      <c r="A5374" s="2" t="s">
        <v>168</v>
      </c>
      <c r="B5374" s="2" t="s">
        <v>169</v>
      </c>
      <c r="C5374" s="3">
        <v>2002</v>
      </c>
      <c r="D5374" s="4">
        <v>1289307</v>
      </c>
    </row>
    <row r="5375" spans="1:4" x14ac:dyDescent="0.3">
      <c r="A5375" s="5" t="s">
        <v>168</v>
      </c>
      <c r="B5375" s="5" t="s">
        <v>169</v>
      </c>
      <c r="C5375" s="6">
        <v>2003</v>
      </c>
      <c r="D5375" s="7">
        <v>1318806</v>
      </c>
    </row>
    <row r="5376" spans="1:4" x14ac:dyDescent="0.3">
      <c r="A5376" s="2" t="s">
        <v>168</v>
      </c>
      <c r="B5376" s="2" t="s">
        <v>169</v>
      </c>
      <c r="C5376" s="3">
        <v>2004</v>
      </c>
      <c r="D5376" s="4">
        <v>1349563</v>
      </c>
    </row>
    <row r="5377" spans="1:4" x14ac:dyDescent="0.3">
      <c r="A5377" s="5" t="s">
        <v>168</v>
      </c>
      <c r="B5377" s="5" t="s">
        <v>169</v>
      </c>
      <c r="C5377" s="6">
        <v>2005</v>
      </c>
      <c r="D5377" s="7">
        <v>1381585</v>
      </c>
    </row>
    <row r="5378" spans="1:4" x14ac:dyDescent="0.3">
      <c r="A5378" s="2" t="s">
        <v>168</v>
      </c>
      <c r="B5378" s="2" t="s">
        <v>169</v>
      </c>
      <c r="C5378" s="3">
        <v>2006</v>
      </c>
      <c r="D5378" s="4">
        <v>1415303</v>
      </c>
    </row>
    <row r="5379" spans="1:4" x14ac:dyDescent="0.3">
      <c r="A5379" s="5" t="s">
        <v>168</v>
      </c>
      <c r="B5379" s="5" t="s">
        <v>169</v>
      </c>
      <c r="C5379" s="6">
        <v>2007</v>
      </c>
      <c r="D5379" s="7">
        <v>1450986</v>
      </c>
    </row>
    <row r="5380" spans="1:4" x14ac:dyDescent="0.3">
      <c r="A5380" s="2" t="s">
        <v>168</v>
      </c>
      <c r="B5380" s="2" t="s">
        <v>169</v>
      </c>
      <c r="C5380" s="3">
        <v>2008</v>
      </c>
      <c r="D5380" s="4">
        <v>1488054</v>
      </c>
    </row>
    <row r="5381" spans="1:4" x14ac:dyDescent="0.3">
      <c r="A5381" s="5" t="s">
        <v>168</v>
      </c>
      <c r="B5381" s="5" t="s">
        <v>169</v>
      </c>
      <c r="C5381" s="6">
        <v>2009</v>
      </c>
      <c r="D5381" s="7">
        <v>1526377</v>
      </c>
    </row>
    <row r="5382" spans="1:4" x14ac:dyDescent="0.3">
      <c r="A5382" s="2" t="s">
        <v>168</v>
      </c>
      <c r="B5382" s="2" t="s">
        <v>169</v>
      </c>
      <c r="C5382" s="3">
        <v>2010</v>
      </c>
      <c r="D5382" s="4">
        <v>1566347</v>
      </c>
    </row>
    <row r="5383" spans="1:4" x14ac:dyDescent="0.3">
      <c r="A5383" s="5" t="s">
        <v>168</v>
      </c>
      <c r="B5383" s="5" t="s">
        <v>169</v>
      </c>
      <c r="C5383" s="6">
        <v>2011</v>
      </c>
      <c r="D5383" s="7">
        <v>1608076</v>
      </c>
    </row>
    <row r="5384" spans="1:4" x14ac:dyDescent="0.3">
      <c r="A5384" s="2" t="s">
        <v>168</v>
      </c>
      <c r="B5384" s="2" t="s">
        <v>169</v>
      </c>
      <c r="C5384" s="3">
        <v>2012</v>
      </c>
      <c r="D5384" s="4">
        <v>1651417</v>
      </c>
    </row>
    <row r="5385" spans="1:4" x14ac:dyDescent="0.3">
      <c r="A5385" s="5" t="s">
        <v>168</v>
      </c>
      <c r="B5385" s="5" t="s">
        <v>169</v>
      </c>
      <c r="C5385" s="6">
        <v>2013</v>
      </c>
      <c r="D5385" s="7">
        <v>1695973</v>
      </c>
    </row>
    <row r="5386" spans="1:4" x14ac:dyDescent="0.3">
      <c r="A5386" s="2" t="s">
        <v>168</v>
      </c>
      <c r="B5386" s="2" t="s">
        <v>169</v>
      </c>
      <c r="C5386" s="3">
        <v>2014</v>
      </c>
      <c r="D5386" s="4">
        <v>1741122</v>
      </c>
    </row>
    <row r="5387" spans="1:4" x14ac:dyDescent="0.3">
      <c r="A5387" s="5" t="s">
        <v>168</v>
      </c>
      <c r="B5387" s="5" t="s">
        <v>169</v>
      </c>
      <c r="C5387" s="6">
        <v>2015</v>
      </c>
      <c r="D5387" s="7">
        <v>1786457</v>
      </c>
    </row>
    <row r="5388" spans="1:4" x14ac:dyDescent="0.3">
      <c r="A5388" s="2" t="s">
        <v>168</v>
      </c>
      <c r="B5388" s="2" t="s">
        <v>169</v>
      </c>
      <c r="C5388" s="3">
        <v>2016</v>
      </c>
      <c r="D5388" s="4">
        <v>1831893</v>
      </c>
    </row>
    <row r="5389" spans="1:4" x14ac:dyDescent="0.3">
      <c r="A5389" s="5" t="s">
        <v>168</v>
      </c>
      <c r="B5389" s="5" t="s">
        <v>169</v>
      </c>
      <c r="C5389" s="6">
        <v>2017</v>
      </c>
      <c r="D5389" s="7">
        <v>1877072</v>
      </c>
    </row>
    <row r="5390" spans="1:4" x14ac:dyDescent="0.3">
      <c r="A5390" s="2" t="s">
        <v>168</v>
      </c>
      <c r="B5390" s="2" t="s">
        <v>169</v>
      </c>
      <c r="C5390" s="3">
        <v>2018</v>
      </c>
      <c r="D5390" s="4">
        <v>1922168</v>
      </c>
    </row>
    <row r="5391" spans="1:4" x14ac:dyDescent="0.3">
      <c r="A5391" s="5" t="s">
        <v>168</v>
      </c>
      <c r="B5391" s="5" t="s">
        <v>169</v>
      </c>
      <c r="C5391" s="6">
        <v>2019</v>
      </c>
      <c r="D5391" s="7">
        <v>1967696</v>
      </c>
    </row>
    <row r="5392" spans="1:4" x14ac:dyDescent="0.3">
      <c r="A5392" s="2" t="s">
        <v>168</v>
      </c>
      <c r="B5392" s="2" t="s">
        <v>169</v>
      </c>
      <c r="C5392" s="3">
        <v>2020</v>
      </c>
      <c r="D5392" s="4">
        <v>2013255</v>
      </c>
    </row>
    <row r="5393" spans="1:4" x14ac:dyDescent="0.3">
      <c r="A5393" s="5" t="s">
        <v>168</v>
      </c>
      <c r="B5393" s="5" t="s">
        <v>169</v>
      </c>
      <c r="C5393" s="6">
        <v>2021</v>
      </c>
      <c r="D5393" s="7">
        <v>2058841</v>
      </c>
    </row>
    <row r="5394" spans="1:4" x14ac:dyDescent="0.3">
      <c r="A5394" s="2" t="s">
        <v>168</v>
      </c>
      <c r="B5394" s="2" t="s">
        <v>169</v>
      </c>
      <c r="C5394" s="3">
        <v>2022</v>
      </c>
      <c r="D5394" s="4">
        <v>2105529</v>
      </c>
    </row>
    <row r="5395" spans="1:4" x14ac:dyDescent="0.3">
      <c r="A5395" s="5" t="s">
        <v>168</v>
      </c>
      <c r="B5395" s="5" t="s">
        <v>169</v>
      </c>
      <c r="C5395" s="6">
        <v>2023</v>
      </c>
      <c r="D5395" s="7">
        <v>2153339</v>
      </c>
    </row>
    <row r="5396" spans="1:4" x14ac:dyDescent="0.3">
      <c r="A5396" s="2" t="s">
        <v>168</v>
      </c>
      <c r="B5396" s="2" t="s">
        <v>169</v>
      </c>
      <c r="C5396" s="3">
        <v>2024</v>
      </c>
      <c r="D5396" s="4">
        <v>2201352</v>
      </c>
    </row>
    <row r="5397" spans="1:4" x14ac:dyDescent="0.3">
      <c r="A5397" s="5" t="s">
        <v>170</v>
      </c>
      <c r="B5397" s="5" t="s">
        <v>171</v>
      </c>
      <c r="C5397" s="6">
        <v>1960</v>
      </c>
      <c r="D5397" s="7">
        <v>569143</v>
      </c>
    </row>
    <row r="5398" spans="1:4" x14ac:dyDescent="0.3">
      <c r="A5398" s="2" t="s">
        <v>170</v>
      </c>
      <c r="B5398" s="2" t="s">
        <v>171</v>
      </c>
      <c r="C5398" s="3">
        <v>1961</v>
      </c>
      <c r="D5398" s="4">
        <v>582568</v>
      </c>
    </row>
    <row r="5399" spans="1:4" x14ac:dyDescent="0.3">
      <c r="A5399" s="5" t="s">
        <v>170</v>
      </c>
      <c r="B5399" s="5" t="s">
        <v>171</v>
      </c>
      <c r="C5399" s="6">
        <v>1962</v>
      </c>
      <c r="D5399" s="7">
        <v>595461</v>
      </c>
    </row>
    <row r="5400" spans="1:4" x14ac:dyDescent="0.3">
      <c r="A5400" s="2" t="s">
        <v>170</v>
      </c>
      <c r="B5400" s="2" t="s">
        <v>171</v>
      </c>
      <c r="C5400" s="3">
        <v>1963</v>
      </c>
      <c r="D5400" s="4">
        <v>608537</v>
      </c>
    </row>
    <row r="5401" spans="1:4" x14ac:dyDescent="0.3">
      <c r="A5401" s="5" t="s">
        <v>170</v>
      </c>
      <c r="B5401" s="5" t="s">
        <v>171</v>
      </c>
      <c r="C5401" s="6">
        <v>1964</v>
      </c>
      <c r="D5401" s="7">
        <v>621764</v>
      </c>
    </row>
    <row r="5402" spans="1:4" x14ac:dyDescent="0.3">
      <c r="A5402" s="2" t="s">
        <v>170</v>
      </c>
      <c r="B5402" s="2" t="s">
        <v>171</v>
      </c>
      <c r="C5402" s="3">
        <v>1965</v>
      </c>
      <c r="D5402" s="4">
        <v>635128</v>
      </c>
    </row>
    <row r="5403" spans="1:4" x14ac:dyDescent="0.3">
      <c r="A5403" s="5" t="s">
        <v>170</v>
      </c>
      <c r="B5403" s="5" t="s">
        <v>171</v>
      </c>
      <c r="C5403" s="6">
        <v>1966</v>
      </c>
      <c r="D5403" s="7">
        <v>648646</v>
      </c>
    </row>
    <row r="5404" spans="1:4" x14ac:dyDescent="0.3">
      <c r="A5404" s="2" t="s">
        <v>170</v>
      </c>
      <c r="B5404" s="2" t="s">
        <v>171</v>
      </c>
      <c r="C5404" s="3">
        <v>1967</v>
      </c>
      <c r="D5404" s="4">
        <v>662311</v>
      </c>
    </row>
    <row r="5405" spans="1:4" x14ac:dyDescent="0.3">
      <c r="A5405" s="5" t="s">
        <v>170</v>
      </c>
      <c r="B5405" s="5" t="s">
        <v>171</v>
      </c>
      <c r="C5405" s="6">
        <v>1968</v>
      </c>
      <c r="D5405" s="7">
        <v>676160</v>
      </c>
    </row>
    <row r="5406" spans="1:4" x14ac:dyDescent="0.3">
      <c r="A5406" s="2" t="s">
        <v>170</v>
      </c>
      <c r="B5406" s="2" t="s">
        <v>171</v>
      </c>
      <c r="C5406" s="3">
        <v>1969</v>
      </c>
      <c r="D5406" s="4">
        <v>690223</v>
      </c>
    </row>
    <row r="5407" spans="1:4" x14ac:dyDescent="0.3">
      <c r="A5407" s="5" t="s">
        <v>170</v>
      </c>
      <c r="B5407" s="5" t="s">
        <v>171</v>
      </c>
      <c r="C5407" s="6">
        <v>1970</v>
      </c>
      <c r="D5407" s="7">
        <v>702705</v>
      </c>
    </row>
    <row r="5408" spans="1:4" x14ac:dyDescent="0.3">
      <c r="A5408" s="2" t="s">
        <v>170</v>
      </c>
      <c r="B5408" s="2" t="s">
        <v>171</v>
      </c>
      <c r="C5408" s="3">
        <v>1971</v>
      </c>
      <c r="D5408" s="4">
        <v>712662</v>
      </c>
    </row>
    <row r="5409" spans="1:4" x14ac:dyDescent="0.3">
      <c r="A5409" s="5" t="s">
        <v>170</v>
      </c>
      <c r="B5409" s="5" t="s">
        <v>171</v>
      </c>
      <c r="C5409" s="6">
        <v>1972</v>
      </c>
      <c r="D5409" s="7">
        <v>721617</v>
      </c>
    </row>
    <row r="5410" spans="1:4" x14ac:dyDescent="0.3">
      <c r="A5410" s="2" t="s">
        <v>170</v>
      </c>
      <c r="B5410" s="2" t="s">
        <v>171</v>
      </c>
      <c r="C5410" s="3">
        <v>1973</v>
      </c>
      <c r="D5410" s="4">
        <v>730138</v>
      </c>
    </row>
    <row r="5411" spans="1:4" x14ac:dyDescent="0.3">
      <c r="A5411" s="5" t="s">
        <v>170</v>
      </c>
      <c r="B5411" s="5" t="s">
        <v>171</v>
      </c>
      <c r="C5411" s="6">
        <v>1974</v>
      </c>
      <c r="D5411" s="7">
        <v>738057</v>
      </c>
    </row>
    <row r="5412" spans="1:4" x14ac:dyDescent="0.3">
      <c r="A5412" s="2" t="s">
        <v>170</v>
      </c>
      <c r="B5412" s="2" t="s">
        <v>171</v>
      </c>
      <c r="C5412" s="3">
        <v>1975</v>
      </c>
      <c r="D5412" s="4">
        <v>745393</v>
      </c>
    </row>
    <row r="5413" spans="1:4" x14ac:dyDescent="0.3">
      <c r="A5413" s="5" t="s">
        <v>170</v>
      </c>
      <c r="B5413" s="5" t="s">
        <v>171</v>
      </c>
      <c r="C5413" s="6">
        <v>1976</v>
      </c>
      <c r="D5413" s="7">
        <v>752253</v>
      </c>
    </row>
    <row r="5414" spans="1:4" x14ac:dyDescent="0.3">
      <c r="A5414" s="2" t="s">
        <v>170</v>
      </c>
      <c r="B5414" s="2" t="s">
        <v>171</v>
      </c>
      <c r="C5414" s="3">
        <v>1977</v>
      </c>
      <c r="D5414" s="4">
        <v>758654</v>
      </c>
    </row>
    <row r="5415" spans="1:4" x14ac:dyDescent="0.3">
      <c r="A5415" s="5" t="s">
        <v>170</v>
      </c>
      <c r="B5415" s="5" t="s">
        <v>171</v>
      </c>
      <c r="C5415" s="6">
        <v>1978</v>
      </c>
      <c r="D5415" s="7">
        <v>764586</v>
      </c>
    </row>
    <row r="5416" spans="1:4" x14ac:dyDescent="0.3">
      <c r="A5416" s="2" t="s">
        <v>170</v>
      </c>
      <c r="B5416" s="2" t="s">
        <v>171</v>
      </c>
      <c r="C5416" s="3">
        <v>1979</v>
      </c>
      <c r="D5416" s="4">
        <v>770062</v>
      </c>
    </row>
    <row r="5417" spans="1:4" x14ac:dyDescent="0.3">
      <c r="A5417" s="5" t="s">
        <v>170</v>
      </c>
      <c r="B5417" s="5" t="s">
        <v>171</v>
      </c>
      <c r="C5417" s="6">
        <v>1980</v>
      </c>
      <c r="D5417" s="7">
        <v>774367</v>
      </c>
    </row>
    <row r="5418" spans="1:4" x14ac:dyDescent="0.3">
      <c r="A5418" s="2" t="s">
        <v>170</v>
      </c>
      <c r="B5418" s="2" t="s">
        <v>171</v>
      </c>
      <c r="C5418" s="3">
        <v>1981</v>
      </c>
      <c r="D5418" s="4">
        <v>776453</v>
      </c>
    </row>
    <row r="5419" spans="1:4" x14ac:dyDescent="0.3">
      <c r="A5419" s="5" t="s">
        <v>170</v>
      </c>
      <c r="B5419" s="5" t="s">
        <v>171</v>
      </c>
      <c r="C5419" s="6">
        <v>1982</v>
      </c>
      <c r="D5419" s="7">
        <v>776712</v>
      </c>
    </row>
    <row r="5420" spans="1:4" x14ac:dyDescent="0.3">
      <c r="A5420" s="2" t="s">
        <v>170</v>
      </c>
      <c r="B5420" s="2" t="s">
        <v>171</v>
      </c>
      <c r="C5420" s="3">
        <v>1983</v>
      </c>
      <c r="D5420" s="4">
        <v>775891</v>
      </c>
    </row>
    <row r="5421" spans="1:4" x14ac:dyDescent="0.3">
      <c r="A5421" s="5" t="s">
        <v>170</v>
      </c>
      <c r="B5421" s="5" t="s">
        <v>171</v>
      </c>
      <c r="C5421" s="6">
        <v>1984</v>
      </c>
      <c r="D5421" s="7">
        <v>774111</v>
      </c>
    </row>
    <row r="5422" spans="1:4" x14ac:dyDescent="0.3">
      <c r="A5422" s="2" t="s">
        <v>170</v>
      </c>
      <c r="B5422" s="2" t="s">
        <v>171</v>
      </c>
      <c r="C5422" s="3">
        <v>1985</v>
      </c>
      <c r="D5422" s="4">
        <v>771477</v>
      </c>
    </row>
    <row r="5423" spans="1:4" x14ac:dyDescent="0.3">
      <c r="A5423" s="5" t="s">
        <v>170</v>
      </c>
      <c r="B5423" s="5" t="s">
        <v>171</v>
      </c>
      <c r="C5423" s="6">
        <v>1986</v>
      </c>
      <c r="D5423" s="7">
        <v>768098</v>
      </c>
    </row>
    <row r="5424" spans="1:4" x14ac:dyDescent="0.3">
      <c r="A5424" s="2" t="s">
        <v>170</v>
      </c>
      <c r="B5424" s="2" t="s">
        <v>171</v>
      </c>
      <c r="C5424" s="3">
        <v>1987</v>
      </c>
      <c r="D5424" s="4">
        <v>764120</v>
      </c>
    </row>
    <row r="5425" spans="1:4" x14ac:dyDescent="0.3">
      <c r="A5425" s="5" t="s">
        <v>170</v>
      </c>
      <c r="B5425" s="5" t="s">
        <v>171</v>
      </c>
      <c r="C5425" s="6">
        <v>1988</v>
      </c>
      <c r="D5425" s="7">
        <v>759663</v>
      </c>
    </row>
    <row r="5426" spans="1:4" x14ac:dyDescent="0.3">
      <c r="A5426" s="2" t="s">
        <v>170</v>
      </c>
      <c r="B5426" s="2" t="s">
        <v>171</v>
      </c>
      <c r="C5426" s="3">
        <v>1989</v>
      </c>
      <c r="D5426" s="4">
        <v>754865</v>
      </c>
    </row>
    <row r="5427" spans="1:4" x14ac:dyDescent="0.3">
      <c r="A5427" s="5" t="s">
        <v>170</v>
      </c>
      <c r="B5427" s="5" t="s">
        <v>171</v>
      </c>
      <c r="C5427" s="6">
        <v>1990</v>
      </c>
      <c r="D5427" s="7">
        <v>749894</v>
      </c>
    </row>
    <row r="5428" spans="1:4" x14ac:dyDescent="0.3">
      <c r="A5428" s="2" t="s">
        <v>170</v>
      </c>
      <c r="B5428" s="2" t="s">
        <v>171</v>
      </c>
      <c r="C5428" s="3">
        <v>1991</v>
      </c>
      <c r="D5428" s="4">
        <v>747861</v>
      </c>
    </row>
    <row r="5429" spans="1:4" x14ac:dyDescent="0.3">
      <c r="A5429" s="5" t="s">
        <v>170</v>
      </c>
      <c r="B5429" s="5" t="s">
        <v>171</v>
      </c>
      <c r="C5429" s="6">
        <v>1992</v>
      </c>
      <c r="D5429" s="7">
        <v>749911</v>
      </c>
    </row>
    <row r="5430" spans="1:4" x14ac:dyDescent="0.3">
      <c r="A5430" s="2" t="s">
        <v>170</v>
      </c>
      <c r="B5430" s="2" t="s">
        <v>171</v>
      </c>
      <c r="C5430" s="3">
        <v>1993</v>
      </c>
      <c r="D5430" s="4">
        <v>752965</v>
      </c>
    </row>
    <row r="5431" spans="1:4" x14ac:dyDescent="0.3">
      <c r="A5431" s="5" t="s">
        <v>170</v>
      </c>
      <c r="B5431" s="5" t="s">
        <v>171</v>
      </c>
      <c r="C5431" s="6">
        <v>1994</v>
      </c>
      <c r="D5431" s="7">
        <v>755822</v>
      </c>
    </row>
    <row r="5432" spans="1:4" x14ac:dyDescent="0.3">
      <c r="A5432" s="2" t="s">
        <v>170</v>
      </c>
      <c r="B5432" s="2" t="s">
        <v>171</v>
      </c>
      <c r="C5432" s="3">
        <v>1995</v>
      </c>
      <c r="D5432" s="4">
        <v>758388</v>
      </c>
    </row>
    <row r="5433" spans="1:4" x14ac:dyDescent="0.3">
      <c r="A5433" s="5" t="s">
        <v>170</v>
      </c>
      <c r="B5433" s="5" t="s">
        <v>171</v>
      </c>
      <c r="C5433" s="6">
        <v>1996</v>
      </c>
      <c r="D5433" s="7">
        <v>760526</v>
      </c>
    </row>
    <row r="5434" spans="1:4" x14ac:dyDescent="0.3">
      <c r="A5434" s="2" t="s">
        <v>170</v>
      </c>
      <c r="B5434" s="2" t="s">
        <v>171</v>
      </c>
      <c r="C5434" s="3">
        <v>1997</v>
      </c>
      <c r="D5434" s="4">
        <v>762245</v>
      </c>
    </row>
    <row r="5435" spans="1:4" x14ac:dyDescent="0.3">
      <c r="A5435" s="5" t="s">
        <v>170</v>
      </c>
      <c r="B5435" s="5" t="s">
        <v>171</v>
      </c>
      <c r="C5435" s="6">
        <v>1998</v>
      </c>
      <c r="D5435" s="7">
        <v>763586</v>
      </c>
    </row>
    <row r="5436" spans="1:4" x14ac:dyDescent="0.3">
      <c r="A5436" s="2" t="s">
        <v>170</v>
      </c>
      <c r="B5436" s="2" t="s">
        <v>171</v>
      </c>
      <c r="C5436" s="3">
        <v>1999</v>
      </c>
      <c r="D5436" s="4">
        <v>764483</v>
      </c>
    </row>
    <row r="5437" spans="1:4" x14ac:dyDescent="0.3">
      <c r="A5437" s="5" t="s">
        <v>170</v>
      </c>
      <c r="B5437" s="5" t="s">
        <v>171</v>
      </c>
      <c r="C5437" s="6">
        <v>2000</v>
      </c>
      <c r="D5437" s="7">
        <v>764832</v>
      </c>
    </row>
    <row r="5438" spans="1:4" x14ac:dyDescent="0.3">
      <c r="A5438" s="2" t="s">
        <v>170</v>
      </c>
      <c r="B5438" s="2" t="s">
        <v>171</v>
      </c>
      <c r="C5438" s="3">
        <v>2001</v>
      </c>
      <c r="D5438" s="4">
        <v>764477</v>
      </c>
    </row>
    <row r="5439" spans="1:4" x14ac:dyDescent="0.3">
      <c r="A5439" s="5" t="s">
        <v>170</v>
      </c>
      <c r="B5439" s="5" t="s">
        <v>171</v>
      </c>
      <c r="C5439" s="6">
        <v>2002</v>
      </c>
      <c r="D5439" s="7">
        <v>763652</v>
      </c>
    </row>
    <row r="5440" spans="1:4" x14ac:dyDescent="0.3">
      <c r="A5440" s="2" t="s">
        <v>170</v>
      </c>
      <c r="B5440" s="2" t="s">
        <v>171</v>
      </c>
      <c r="C5440" s="3">
        <v>2003</v>
      </c>
      <c r="D5440" s="4">
        <v>763101</v>
      </c>
    </row>
    <row r="5441" spans="1:4" x14ac:dyDescent="0.3">
      <c r="A5441" s="5" t="s">
        <v>170</v>
      </c>
      <c r="B5441" s="5" t="s">
        <v>171</v>
      </c>
      <c r="C5441" s="6">
        <v>2004</v>
      </c>
      <c r="D5441" s="7">
        <v>762418</v>
      </c>
    </row>
    <row r="5442" spans="1:4" x14ac:dyDescent="0.3">
      <c r="A5442" s="2" t="s">
        <v>170</v>
      </c>
      <c r="B5442" s="2" t="s">
        <v>171</v>
      </c>
      <c r="C5442" s="3">
        <v>2005</v>
      </c>
      <c r="D5442" s="4">
        <v>760914</v>
      </c>
    </row>
    <row r="5443" spans="1:4" x14ac:dyDescent="0.3">
      <c r="A5443" s="5" t="s">
        <v>170</v>
      </c>
      <c r="B5443" s="5" t="s">
        <v>171</v>
      </c>
      <c r="C5443" s="6">
        <v>2006</v>
      </c>
      <c r="D5443" s="7">
        <v>758966</v>
      </c>
    </row>
    <row r="5444" spans="1:4" x14ac:dyDescent="0.3">
      <c r="A5444" s="2" t="s">
        <v>170</v>
      </c>
      <c r="B5444" s="2" t="s">
        <v>171</v>
      </c>
      <c r="C5444" s="3">
        <v>2007</v>
      </c>
      <c r="D5444" s="4">
        <v>756861</v>
      </c>
    </row>
    <row r="5445" spans="1:4" x14ac:dyDescent="0.3">
      <c r="A5445" s="5" t="s">
        <v>170</v>
      </c>
      <c r="B5445" s="5" t="s">
        <v>171</v>
      </c>
      <c r="C5445" s="6">
        <v>2008</v>
      </c>
      <c r="D5445" s="7">
        <v>754606</v>
      </c>
    </row>
    <row r="5446" spans="1:4" x14ac:dyDescent="0.3">
      <c r="A5446" s="2" t="s">
        <v>170</v>
      </c>
      <c r="B5446" s="2" t="s">
        <v>171</v>
      </c>
      <c r="C5446" s="3">
        <v>2009</v>
      </c>
      <c r="D5446" s="4">
        <v>752094</v>
      </c>
    </row>
    <row r="5447" spans="1:4" x14ac:dyDescent="0.3">
      <c r="A5447" s="5" t="s">
        <v>170</v>
      </c>
      <c r="B5447" s="5" t="s">
        <v>171</v>
      </c>
      <c r="C5447" s="6">
        <v>2010</v>
      </c>
      <c r="D5447" s="7">
        <v>749256</v>
      </c>
    </row>
    <row r="5448" spans="1:4" x14ac:dyDescent="0.3">
      <c r="A5448" s="2" t="s">
        <v>170</v>
      </c>
      <c r="B5448" s="2" t="s">
        <v>171</v>
      </c>
      <c r="C5448" s="3">
        <v>2011</v>
      </c>
      <c r="D5448" s="4">
        <v>746153</v>
      </c>
    </row>
    <row r="5449" spans="1:4" x14ac:dyDescent="0.3">
      <c r="A5449" s="5" t="s">
        <v>170</v>
      </c>
      <c r="B5449" s="5" t="s">
        <v>171</v>
      </c>
      <c r="C5449" s="6">
        <v>2012</v>
      </c>
      <c r="D5449" s="7">
        <v>746288</v>
      </c>
    </row>
    <row r="5450" spans="1:4" x14ac:dyDescent="0.3">
      <c r="A5450" s="2" t="s">
        <v>170</v>
      </c>
      <c r="B5450" s="2" t="s">
        <v>171</v>
      </c>
      <c r="C5450" s="3">
        <v>2013</v>
      </c>
      <c r="D5450" s="4">
        <v>750021</v>
      </c>
    </row>
    <row r="5451" spans="1:4" x14ac:dyDescent="0.3">
      <c r="A5451" s="5" t="s">
        <v>170</v>
      </c>
      <c r="B5451" s="5" t="s">
        <v>171</v>
      </c>
      <c r="C5451" s="6">
        <v>2014</v>
      </c>
      <c r="D5451" s="7">
        <v>754229</v>
      </c>
    </row>
    <row r="5452" spans="1:4" x14ac:dyDescent="0.3">
      <c r="A5452" s="2" t="s">
        <v>170</v>
      </c>
      <c r="B5452" s="2" t="s">
        <v>171</v>
      </c>
      <c r="C5452" s="3">
        <v>2015</v>
      </c>
      <c r="D5452" s="4">
        <v>758781</v>
      </c>
    </row>
    <row r="5453" spans="1:4" x14ac:dyDescent="0.3">
      <c r="A5453" s="5" t="s">
        <v>170</v>
      </c>
      <c r="B5453" s="5" t="s">
        <v>171</v>
      </c>
      <c r="C5453" s="6">
        <v>2016</v>
      </c>
      <c r="D5453" s="7">
        <v>763548</v>
      </c>
    </row>
    <row r="5454" spans="1:4" x14ac:dyDescent="0.3">
      <c r="A5454" s="2" t="s">
        <v>170</v>
      </c>
      <c r="B5454" s="2" t="s">
        <v>171</v>
      </c>
      <c r="C5454" s="3">
        <v>2017</v>
      </c>
      <c r="D5454" s="4">
        <v>768479</v>
      </c>
    </row>
    <row r="5455" spans="1:4" x14ac:dyDescent="0.3">
      <c r="A5455" s="5" t="s">
        <v>170</v>
      </c>
      <c r="B5455" s="5" t="s">
        <v>171</v>
      </c>
      <c r="C5455" s="6">
        <v>2018</v>
      </c>
      <c r="D5455" s="7">
        <v>791556</v>
      </c>
    </row>
    <row r="5456" spans="1:4" x14ac:dyDescent="0.3">
      <c r="A5456" s="2" t="s">
        <v>170</v>
      </c>
      <c r="B5456" s="2" t="s">
        <v>171</v>
      </c>
      <c r="C5456" s="3">
        <v>2019</v>
      </c>
      <c r="D5456" s="4">
        <v>807665</v>
      </c>
    </row>
    <row r="5457" spans="1:4" x14ac:dyDescent="0.3">
      <c r="A5457" s="5" t="s">
        <v>170</v>
      </c>
      <c r="B5457" s="5" t="s">
        <v>171</v>
      </c>
      <c r="C5457" s="6">
        <v>2020</v>
      </c>
      <c r="D5457" s="7">
        <v>807481</v>
      </c>
    </row>
    <row r="5458" spans="1:4" x14ac:dyDescent="0.3">
      <c r="A5458" s="2" t="s">
        <v>170</v>
      </c>
      <c r="B5458" s="2" t="s">
        <v>171</v>
      </c>
      <c r="C5458" s="3">
        <v>2021</v>
      </c>
      <c r="D5458" s="4">
        <v>815482</v>
      </c>
    </row>
    <row r="5459" spans="1:4" x14ac:dyDescent="0.3">
      <c r="A5459" s="5" t="s">
        <v>170</v>
      </c>
      <c r="B5459" s="5" t="s">
        <v>171</v>
      </c>
      <c r="C5459" s="6">
        <v>2022</v>
      </c>
      <c r="D5459" s="7">
        <v>821637</v>
      </c>
    </row>
    <row r="5460" spans="1:4" x14ac:dyDescent="0.3">
      <c r="A5460" s="2" t="s">
        <v>170</v>
      </c>
      <c r="B5460" s="2" t="s">
        <v>171</v>
      </c>
      <c r="C5460" s="3">
        <v>2023</v>
      </c>
      <c r="D5460" s="4">
        <v>826353</v>
      </c>
    </row>
    <row r="5461" spans="1:4" x14ac:dyDescent="0.3">
      <c r="A5461" s="5" t="s">
        <v>170</v>
      </c>
      <c r="B5461" s="5" t="s">
        <v>171</v>
      </c>
      <c r="C5461" s="6">
        <v>2024</v>
      </c>
      <c r="D5461" s="7">
        <v>831087</v>
      </c>
    </row>
    <row r="5462" spans="1:4" x14ac:dyDescent="0.3">
      <c r="A5462" s="2" t="s">
        <v>172</v>
      </c>
      <c r="B5462" s="2" t="s">
        <v>173</v>
      </c>
      <c r="C5462" s="3">
        <v>1960</v>
      </c>
      <c r="D5462" s="4">
        <v>3858443</v>
      </c>
    </row>
    <row r="5463" spans="1:4" x14ac:dyDescent="0.3">
      <c r="A5463" s="5" t="s">
        <v>172</v>
      </c>
      <c r="B5463" s="5" t="s">
        <v>173</v>
      </c>
      <c r="C5463" s="6">
        <v>1961</v>
      </c>
      <c r="D5463" s="7">
        <v>3929030</v>
      </c>
    </row>
    <row r="5464" spans="1:4" x14ac:dyDescent="0.3">
      <c r="A5464" s="2" t="s">
        <v>172</v>
      </c>
      <c r="B5464" s="2" t="s">
        <v>173</v>
      </c>
      <c r="C5464" s="3">
        <v>1962</v>
      </c>
      <c r="D5464" s="4">
        <v>4001575</v>
      </c>
    </row>
    <row r="5465" spans="1:4" x14ac:dyDescent="0.3">
      <c r="A5465" s="5" t="s">
        <v>172</v>
      </c>
      <c r="B5465" s="5" t="s">
        <v>173</v>
      </c>
      <c r="C5465" s="6">
        <v>1963</v>
      </c>
      <c r="D5465" s="7">
        <v>4073068</v>
      </c>
    </row>
    <row r="5466" spans="1:4" x14ac:dyDescent="0.3">
      <c r="A5466" s="2" t="s">
        <v>172</v>
      </c>
      <c r="B5466" s="2" t="s">
        <v>173</v>
      </c>
      <c r="C5466" s="3">
        <v>1964</v>
      </c>
      <c r="D5466" s="4">
        <v>4146244</v>
      </c>
    </row>
    <row r="5467" spans="1:4" x14ac:dyDescent="0.3">
      <c r="A5467" s="5" t="s">
        <v>172</v>
      </c>
      <c r="B5467" s="5" t="s">
        <v>173</v>
      </c>
      <c r="C5467" s="6">
        <v>1965</v>
      </c>
      <c r="D5467" s="7">
        <v>4223820</v>
      </c>
    </row>
    <row r="5468" spans="1:4" x14ac:dyDescent="0.3">
      <c r="A5468" s="2" t="s">
        <v>172</v>
      </c>
      <c r="B5468" s="2" t="s">
        <v>173</v>
      </c>
      <c r="C5468" s="3">
        <v>1966</v>
      </c>
      <c r="D5468" s="4">
        <v>4302639</v>
      </c>
    </row>
    <row r="5469" spans="1:4" x14ac:dyDescent="0.3">
      <c r="A5469" s="5" t="s">
        <v>172</v>
      </c>
      <c r="B5469" s="5" t="s">
        <v>173</v>
      </c>
      <c r="C5469" s="6">
        <v>1967</v>
      </c>
      <c r="D5469" s="7">
        <v>4382999</v>
      </c>
    </row>
    <row r="5470" spans="1:4" x14ac:dyDescent="0.3">
      <c r="A5470" s="2" t="s">
        <v>172</v>
      </c>
      <c r="B5470" s="2" t="s">
        <v>173</v>
      </c>
      <c r="C5470" s="3">
        <v>1968</v>
      </c>
      <c r="D5470" s="4">
        <v>4465328</v>
      </c>
    </row>
    <row r="5471" spans="1:4" x14ac:dyDescent="0.3">
      <c r="A5471" s="5" t="s">
        <v>172</v>
      </c>
      <c r="B5471" s="5" t="s">
        <v>173</v>
      </c>
      <c r="C5471" s="6">
        <v>1969</v>
      </c>
      <c r="D5471" s="7">
        <v>4549334</v>
      </c>
    </row>
    <row r="5472" spans="1:4" x14ac:dyDescent="0.3">
      <c r="A5472" s="2" t="s">
        <v>172</v>
      </c>
      <c r="B5472" s="2" t="s">
        <v>173</v>
      </c>
      <c r="C5472" s="3">
        <v>1970</v>
      </c>
      <c r="D5472" s="4">
        <v>4635124</v>
      </c>
    </row>
    <row r="5473" spans="1:4" x14ac:dyDescent="0.3">
      <c r="A5473" s="5" t="s">
        <v>172</v>
      </c>
      <c r="B5473" s="5" t="s">
        <v>173</v>
      </c>
      <c r="C5473" s="6">
        <v>1971</v>
      </c>
      <c r="D5473" s="7">
        <v>4723244</v>
      </c>
    </row>
    <row r="5474" spans="1:4" x14ac:dyDescent="0.3">
      <c r="A5474" s="2" t="s">
        <v>172</v>
      </c>
      <c r="B5474" s="2" t="s">
        <v>173</v>
      </c>
      <c r="C5474" s="3">
        <v>1972</v>
      </c>
      <c r="D5474" s="4">
        <v>4813868</v>
      </c>
    </row>
    <row r="5475" spans="1:4" x14ac:dyDescent="0.3">
      <c r="A5475" s="5" t="s">
        <v>172</v>
      </c>
      <c r="B5475" s="5" t="s">
        <v>173</v>
      </c>
      <c r="C5475" s="6">
        <v>1973</v>
      </c>
      <c r="D5475" s="7">
        <v>4906743</v>
      </c>
    </row>
    <row r="5476" spans="1:4" x14ac:dyDescent="0.3">
      <c r="A5476" s="2" t="s">
        <v>172</v>
      </c>
      <c r="B5476" s="2" t="s">
        <v>173</v>
      </c>
      <c r="C5476" s="3">
        <v>1974</v>
      </c>
      <c r="D5476" s="4">
        <v>5001796</v>
      </c>
    </row>
    <row r="5477" spans="1:4" x14ac:dyDescent="0.3">
      <c r="A5477" s="5" t="s">
        <v>172</v>
      </c>
      <c r="B5477" s="5" t="s">
        <v>173</v>
      </c>
      <c r="C5477" s="6">
        <v>1975</v>
      </c>
      <c r="D5477" s="7">
        <v>5099086</v>
      </c>
    </row>
    <row r="5478" spans="1:4" x14ac:dyDescent="0.3">
      <c r="A5478" s="2" t="s">
        <v>172</v>
      </c>
      <c r="B5478" s="2" t="s">
        <v>173</v>
      </c>
      <c r="C5478" s="3">
        <v>1976</v>
      </c>
      <c r="D5478" s="4">
        <v>5198357</v>
      </c>
    </row>
    <row r="5479" spans="1:4" x14ac:dyDescent="0.3">
      <c r="A5479" s="5" t="s">
        <v>172</v>
      </c>
      <c r="B5479" s="5" t="s">
        <v>173</v>
      </c>
      <c r="C5479" s="6">
        <v>1977</v>
      </c>
      <c r="D5479" s="7">
        <v>5299476</v>
      </c>
    </row>
    <row r="5480" spans="1:4" x14ac:dyDescent="0.3">
      <c r="A5480" s="2" t="s">
        <v>172</v>
      </c>
      <c r="B5480" s="2" t="s">
        <v>173</v>
      </c>
      <c r="C5480" s="3">
        <v>1978</v>
      </c>
      <c r="D5480" s="4">
        <v>5402580</v>
      </c>
    </row>
    <row r="5481" spans="1:4" x14ac:dyDescent="0.3">
      <c r="A5481" s="5" t="s">
        <v>172</v>
      </c>
      <c r="B5481" s="5" t="s">
        <v>173</v>
      </c>
      <c r="C5481" s="6">
        <v>1979</v>
      </c>
      <c r="D5481" s="7">
        <v>5507590</v>
      </c>
    </row>
    <row r="5482" spans="1:4" x14ac:dyDescent="0.3">
      <c r="A5482" s="2" t="s">
        <v>172</v>
      </c>
      <c r="B5482" s="2" t="s">
        <v>173</v>
      </c>
      <c r="C5482" s="3">
        <v>1980</v>
      </c>
      <c r="D5482" s="4">
        <v>5614493</v>
      </c>
    </row>
    <row r="5483" spans="1:4" x14ac:dyDescent="0.3">
      <c r="A5483" s="5" t="s">
        <v>172</v>
      </c>
      <c r="B5483" s="5" t="s">
        <v>173</v>
      </c>
      <c r="C5483" s="6">
        <v>1981</v>
      </c>
      <c r="D5483" s="7">
        <v>5723725</v>
      </c>
    </row>
    <row r="5484" spans="1:4" x14ac:dyDescent="0.3">
      <c r="A5484" s="2" t="s">
        <v>172</v>
      </c>
      <c r="B5484" s="2" t="s">
        <v>173</v>
      </c>
      <c r="C5484" s="3">
        <v>1982</v>
      </c>
      <c r="D5484" s="4">
        <v>5835937</v>
      </c>
    </row>
    <row r="5485" spans="1:4" x14ac:dyDescent="0.3">
      <c r="A5485" s="5" t="s">
        <v>172</v>
      </c>
      <c r="B5485" s="5" t="s">
        <v>173</v>
      </c>
      <c r="C5485" s="6">
        <v>1983</v>
      </c>
      <c r="D5485" s="7">
        <v>5951096</v>
      </c>
    </row>
    <row r="5486" spans="1:4" x14ac:dyDescent="0.3">
      <c r="A5486" s="2" t="s">
        <v>172</v>
      </c>
      <c r="B5486" s="2" t="s">
        <v>173</v>
      </c>
      <c r="C5486" s="3">
        <v>1984</v>
      </c>
      <c r="D5486" s="4">
        <v>6069230</v>
      </c>
    </row>
    <row r="5487" spans="1:4" x14ac:dyDescent="0.3">
      <c r="A5487" s="5" t="s">
        <v>172</v>
      </c>
      <c r="B5487" s="5" t="s">
        <v>173</v>
      </c>
      <c r="C5487" s="6">
        <v>1985</v>
      </c>
      <c r="D5487" s="7">
        <v>6190862</v>
      </c>
    </row>
    <row r="5488" spans="1:4" x14ac:dyDescent="0.3">
      <c r="A5488" s="2" t="s">
        <v>172</v>
      </c>
      <c r="B5488" s="2" t="s">
        <v>173</v>
      </c>
      <c r="C5488" s="3">
        <v>1986</v>
      </c>
      <c r="D5488" s="4">
        <v>6316122</v>
      </c>
    </row>
    <row r="5489" spans="1:4" x14ac:dyDescent="0.3">
      <c r="A5489" s="5" t="s">
        <v>172</v>
      </c>
      <c r="B5489" s="5" t="s">
        <v>173</v>
      </c>
      <c r="C5489" s="6">
        <v>1987</v>
      </c>
      <c r="D5489" s="7">
        <v>6445123</v>
      </c>
    </row>
    <row r="5490" spans="1:4" x14ac:dyDescent="0.3">
      <c r="A5490" s="2" t="s">
        <v>172</v>
      </c>
      <c r="B5490" s="2" t="s">
        <v>173</v>
      </c>
      <c r="C5490" s="3">
        <v>1988</v>
      </c>
      <c r="D5490" s="4">
        <v>6578145</v>
      </c>
    </row>
    <row r="5491" spans="1:4" x14ac:dyDescent="0.3">
      <c r="A5491" s="5" t="s">
        <v>172</v>
      </c>
      <c r="B5491" s="5" t="s">
        <v>173</v>
      </c>
      <c r="C5491" s="6">
        <v>1989</v>
      </c>
      <c r="D5491" s="7">
        <v>6714730</v>
      </c>
    </row>
    <row r="5492" spans="1:4" x14ac:dyDescent="0.3">
      <c r="A5492" s="2" t="s">
        <v>172</v>
      </c>
      <c r="B5492" s="2" t="s">
        <v>173</v>
      </c>
      <c r="C5492" s="3">
        <v>1990</v>
      </c>
      <c r="D5492" s="4">
        <v>6854441</v>
      </c>
    </row>
    <row r="5493" spans="1:4" x14ac:dyDescent="0.3">
      <c r="A5493" s="5" t="s">
        <v>172</v>
      </c>
      <c r="B5493" s="5" t="s">
        <v>173</v>
      </c>
      <c r="C5493" s="6">
        <v>1991</v>
      </c>
      <c r="D5493" s="7">
        <v>6995450</v>
      </c>
    </row>
    <row r="5494" spans="1:4" x14ac:dyDescent="0.3">
      <c r="A5494" s="2" t="s">
        <v>172</v>
      </c>
      <c r="B5494" s="2" t="s">
        <v>173</v>
      </c>
      <c r="C5494" s="3">
        <v>1992</v>
      </c>
      <c r="D5494" s="4">
        <v>7136571</v>
      </c>
    </row>
    <row r="5495" spans="1:4" x14ac:dyDescent="0.3">
      <c r="A5495" s="5" t="s">
        <v>172</v>
      </c>
      <c r="B5495" s="5" t="s">
        <v>173</v>
      </c>
      <c r="C5495" s="6">
        <v>1993</v>
      </c>
      <c r="D5495" s="7">
        <v>7278181</v>
      </c>
    </row>
    <row r="5496" spans="1:4" x14ac:dyDescent="0.3">
      <c r="A5496" s="2" t="s">
        <v>172</v>
      </c>
      <c r="B5496" s="2" t="s">
        <v>173</v>
      </c>
      <c r="C5496" s="3">
        <v>1994</v>
      </c>
      <c r="D5496" s="4">
        <v>7419771</v>
      </c>
    </row>
    <row r="5497" spans="1:4" x14ac:dyDescent="0.3">
      <c r="A5497" s="5" t="s">
        <v>172</v>
      </c>
      <c r="B5497" s="5" t="s">
        <v>173</v>
      </c>
      <c r="C5497" s="6">
        <v>1995</v>
      </c>
      <c r="D5497" s="7">
        <v>7562546</v>
      </c>
    </row>
    <row r="5498" spans="1:4" x14ac:dyDescent="0.3">
      <c r="A5498" s="2" t="s">
        <v>172</v>
      </c>
      <c r="B5498" s="2" t="s">
        <v>173</v>
      </c>
      <c r="C5498" s="3">
        <v>1996</v>
      </c>
      <c r="D5498" s="4">
        <v>7707557</v>
      </c>
    </row>
    <row r="5499" spans="1:4" x14ac:dyDescent="0.3">
      <c r="A5499" s="5" t="s">
        <v>172</v>
      </c>
      <c r="B5499" s="5" t="s">
        <v>173</v>
      </c>
      <c r="C5499" s="6">
        <v>1997</v>
      </c>
      <c r="D5499" s="7">
        <v>7854298</v>
      </c>
    </row>
    <row r="5500" spans="1:4" x14ac:dyDescent="0.3">
      <c r="A5500" s="2" t="s">
        <v>172</v>
      </c>
      <c r="B5500" s="2" t="s">
        <v>173</v>
      </c>
      <c r="C5500" s="3">
        <v>1998</v>
      </c>
      <c r="D5500" s="4">
        <v>8002143</v>
      </c>
    </row>
    <row r="5501" spans="1:4" x14ac:dyDescent="0.3">
      <c r="A5501" s="5" t="s">
        <v>172</v>
      </c>
      <c r="B5501" s="5" t="s">
        <v>173</v>
      </c>
      <c r="C5501" s="6">
        <v>1999</v>
      </c>
      <c r="D5501" s="7">
        <v>8151296</v>
      </c>
    </row>
    <row r="5502" spans="1:4" x14ac:dyDescent="0.3">
      <c r="A5502" s="2" t="s">
        <v>172</v>
      </c>
      <c r="B5502" s="2" t="s">
        <v>173</v>
      </c>
      <c r="C5502" s="3">
        <v>2000</v>
      </c>
      <c r="D5502" s="4">
        <v>8303151</v>
      </c>
    </row>
    <row r="5503" spans="1:4" x14ac:dyDescent="0.3">
      <c r="A5503" s="5" t="s">
        <v>172</v>
      </c>
      <c r="B5503" s="5" t="s">
        <v>173</v>
      </c>
      <c r="C5503" s="6">
        <v>2001</v>
      </c>
      <c r="D5503" s="7">
        <v>8455918</v>
      </c>
    </row>
    <row r="5504" spans="1:4" x14ac:dyDescent="0.3">
      <c r="A5504" s="2" t="s">
        <v>172</v>
      </c>
      <c r="B5504" s="2" t="s">
        <v>173</v>
      </c>
      <c r="C5504" s="3">
        <v>2002</v>
      </c>
      <c r="D5504" s="4">
        <v>8607641</v>
      </c>
    </row>
    <row r="5505" spans="1:4" x14ac:dyDescent="0.3">
      <c r="A5505" s="5" t="s">
        <v>172</v>
      </c>
      <c r="B5505" s="5" t="s">
        <v>173</v>
      </c>
      <c r="C5505" s="6">
        <v>2003</v>
      </c>
      <c r="D5505" s="7">
        <v>8759912</v>
      </c>
    </row>
    <row r="5506" spans="1:4" x14ac:dyDescent="0.3">
      <c r="A5506" s="2" t="s">
        <v>172</v>
      </c>
      <c r="B5506" s="2" t="s">
        <v>173</v>
      </c>
      <c r="C5506" s="3">
        <v>2004</v>
      </c>
      <c r="D5506" s="4">
        <v>8910263</v>
      </c>
    </row>
    <row r="5507" spans="1:4" x14ac:dyDescent="0.3">
      <c r="A5507" s="5" t="s">
        <v>172</v>
      </c>
      <c r="B5507" s="5" t="s">
        <v>173</v>
      </c>
      <c r="C5507" s="6">
        <v>2005</v>
      </c>
      <c r="D5507" s="7">
        <v>9061273</v>
      </c>
    </row>
    <row r="5508" spans="1:4" x14ac:dyDescent="0.3">
      <c r="A5508" s="2" t="s">
        <v>172</v>
      </c>
      <c r="B5508" s="2" t="s">
        <v>173</v>
      </c>
      <c r="C5508" s="3">
        <v>2006</v>
      </c>
      <c r="D5508" s="4">
        <v>9216562</v>
      </c>
    </row>
    <row r="5509" spans="1:4" x14ac:dyDescent="0.3">
      <c r="A5509" s="5" t="s">
        <v>172</v>
      </c>
      <c r="B5509" s="5" t="s">
        <v>173</v>
      </c>
      <c r="C5509" s="6">
        <v>2007</v>
      </c>
      <c r="D5509" s="7">
        <v>9373296</v>
      </c>
    </row>
    <row r="5510" spans="1:4" x14ac:dyDescent="0.3">
      <c r="A5510" s="2" t="s">
        <v>172</v>
      </c>
      <c r="B5510" s="2" t="s">
        <v>173</v>
      </c>
      <c r="C5510" s="3">
        <v>2008</v>
      </c>
      <c r="D5510" s="4">
        <v>9530774</v>
      </c>
    </row>
    <row r="5511" spans="1:4" x14ac:dyDescent="0.3">
      <c r="A5511" s="5" t="s">
        <v>172</v>
      </c>
      <c r="B5511" s="5" t="s">
        <v>173</v>
      </c>
      <c r="C5511" s="6">
        <v>2009</v>
      </c>
      <c r="D5511" s="7">
        <v>9689581</v>
      </c>
    </row>
    <row r="5512" spans="1:4" x14ac:dyDescent="0.3">
      <c r="A5512" s="2" t="s">
        <v>172</v>
      </c>
      <c r="B5512" s="2" t="s">
        <v>173</v>
      </c>
      <c r="C5512" s="3">
        <v>2010</v>
      </c>
      <c r="D5512" s="4">
        <v>9803294</v>
      </c>
    </row>
    <row r="5513" spans="1:4" x14ac:dyDescent="0.3">
      <c r="A5513" s="5" t="s">
        <v>172</v>
      </c>
      <c r="B5513" s="5" t="s">
        <v>173</v>
      </c>
      <c r="C5513" s="6">
        <v>2011</v>
      </c>
      <c r="D5513" s="7">
        <v>9914904</v>
      </c>
    </row>
    <row r="5514" spans="1:4" x14ac:dyDescent="0.3">
      <c r="A5514" s="2" t="s">
        <v>172</v>
      </c>
      <c r="B5514" s="2" t="s">
        <v>173</v>
      </c>
      <c r="C5514" s="3">
        <v>2012</v>
      </c>
      <c r="D5514" s="4">
        <v>10069771</v>
      </c>
    </row>
    <row r="5515" spans="1:4" x14ac:dyDescent="0.3">
      <c r="A5515" s="5" t="s">
        <v>172</v>
      </c>
      <c r="B5515" s="5" t="s">
        <v>173</v>
      </c>
      <c r="C5515" s="6">
        <v>2013</v>
      </c>
      <c r="D5515" s="7">
        <v>10222362</v>
      </c>
    </row>
    <row r="5516" spans="1:4" x14ac:dyDescent="0.3">
      <c r="A5516" s="2" t="s">
        <v>172</v>
      </c>
      <c r="B5516" s="2" t="s">
        <v>173</v>
      </c>
      <c r="C5516" s="3">
        <v>2014</v>
      </c>
      <c r="D5516" s="4">
        <v>10373235</v>
      </c>
    </row>
    <row r="5517" spans="1:4" x14ac:dyDescent="0.3">
      <c r="A5517" s="5" t="s">
        <v>172</v>
      </c>
      <c r="B5517" s="5" t="s">
        <v>173</v>
      </c>
      <c r="C5517" s="6">
        <v>2015</v>
      </c>
      <c r="D5517" s="7">
        <v>10523242</v>
      </c>
    </row>
    <row r="5518" spans="1:4" x14ac:dyDescent="0.3">
      <c r="A5518" s="2" t="s">
        <v>172</v>
      </c>
      <c r="B5518" s="2" t="s">
        <v>173</v>
      </c>
      <c r="C5518" s="3">
        <v>2016</v>
      </c>
      <c r="D5518" s="4">
        <v>10671457</v>
      </c>
    </row>
    <row r="5519" spans="1:4" x14ac:dyDescent="0.3">
      <c r="A5519" s="5" t="s">
        <v>172</v>
      </c>
      <c r="B5519" s="5" t="s">
        <v>173</v>
      </c>
      <c r="C5519" s="6">
        <v>2017</v>
      </c>
      <c r="D5519" s="7">
        <v>10817754</v>
      </c>
    </row>
    <row r="5520" spans="1:4" x14ac:dyDescent="0.3">
      <c r="A5520" s="2" t="s">
        <v>172</v>
      </c>
      <c r="B5520" s="2" t="s">
        <v>173</v>
      </c>
      <c r="C5520" s="3">
        <v>2018</v>
      </c>
      <c r="D5520" s="4">
        <v>10962362</v>
      </c>
    </row>
    <row r="5521" spans="1:4" x14ac:dyDescent="0.3">
      <c r="A5521" s="5" t="s">
        <v>172</v>
      </c>
      <c r="B5521" s="5" t="s">
        <v>173</v>
      </c>
      <c r="C5521" s="6">
        <v>2019</v>
      </c>
      <c r="D5521" s="7">
        <v>11105163</v>
      </c>
    </row>
    <row r="5522" spans="1:4" x14ac:dyDescent="0.3">
      <c r="A5522" s="2" t="s">
        <v>172</v>
      </c>
      <c r="B5522" s="2" t="s">
        <v>173</v>
      </c>
      <c r="C5522" s="3">
        <v>2020</v>
      </c>
      <c r="D5522" s="4">
        <v>11243848</v>
      </c>
    </row>
    <row r="5523" spans="1:4" x14ac:dyDescent="0.3">
      <c r="A5523" s="5" t="s">
        <v>172</v>
      </c>
      <c r="B5523" s="5" t="s">
        <v>173</v>
      </c>
      <c r="C5523" s="6">
        <v>2021</v>
      </c>
      <c r="D5523" s="7">
        <v>11374586</v>
      </c>
    </row>
    <row r="5524" spans="1:4" x14ac:dyDescent="0.3">
      <c r="A5524" s="2" t="s">
        <v>172</v>
      </c>
      <c r="B5524" s="2" t="s">
        <v>173</v>
      </c>
      <c r="C5524" s="3">
        <v>2022</v>
      </c>
      <c r="D5524" s="4">
        <v>11503606</v>
      </c>
    </row>
    <row r="5525" spans="1:4" x14ac:dyDescent="0.3">
      <c r="A5525" s="5" t="s">
        <v>172</v>
      </c>
      <c r="B5525" s="5" t="s">
        <v>173</v>
      </c>
      <c r="C5525" s="6">
        <v>2023</v>
      </c>
      <c r="D5525" s="7">
        <v>11637398</v>
      </c>
    </row>
    <row r="5526" spans="1:4" x14ac:dyDescent="0.3">
      <c r="A5526" s="2" t="s">
        <v>172</v>
      </c>
      <c r="B5526" s="2" t="s">
        <v>173</v>
      </c>
      <c r="C5526" s="3">
        <v>2024</v>
      </c>
      <c r="D5526" s="4">
        <v>11772557</v>
      </c>
    </row>
    <row r="5527" spans="1:4" x14ac:dyDescent="0.3">
      <c r="A5527" s="5" t="s">
        <v>174</v>
      </c>
      <c r="B5527" s="5" t="s">
        <v>175</v>
      </c>
      <c r="C5527" s="6">
        <v>1960</v>
      </c>
      <c r="D5527" s="7">
        <v>2062060</v>
      </c>
    </row>
    <row r="5528" spans="1:4" x14ac:dyDescent="0.3">
      <c r="A5528" s="2" t="s">
        <v>174</v>
      </c>
      <c r="B5528" s="2" t="s">
        <v>175</v>
      </c>
      <c r="C5528" s="3">
        <v>1961</v>
      </c>
      <c r="D5528" s="4">
        <v>2121242</v>
      </c>
    </row>
    <row r="5529" spans="1:4" x14ac:dyDescent="0.3">
      <c r="A5529" s="5" t="s">
        <v>174</v>
      </c>
      <c r="B5529" s="5" t="s">
        <v>175</v>
      </c>
      <c r="C5529" s="6">
        <v>1962</v>
      </c>
      <c r="D5529" s="7">
        <v>2182064</v>
      </c>
    </row>
    <row r="5530" spans="1:4" x14ac:dyDescent="0.3">
      <c r="A5530" s="2" t="s">
        <v>174</v>
      </c>
      <c r="B5530" s="2" t="s">
        <v>175</v>
      </c>
      <c r="C5530" s="3">
        <v>1963</v>
      </c>
      <c r="D5530" s="4">
        <v>2244878</v>
      </c>
    </row>
    <row r="5531" spans="1:4" x14ac:dyDescent="0.3">
      <c r="A5531" s="5" t="s">
        <v>174</v>
      </c>
      <c r="B5531" s="5" t="s">
        <v>175</v>
      </c>
      <c r="C5531" s="6">
        <v>1964</v>
      </c>
      <c r="D5531" s="7">
        <v>2309855</v>
      </c>
    </row>
    <row r="5532" spans="1:4" x14ac:dyDescent="0.3">
      <c r="A5532" s="2" t="s">
        <v>174</v>
      </c>
      <c r="B5532" s="2" t="s">
        <v>175</v>
      </c>
      <c r="C5532" s="3">
        <v>1965</v>
      </c>
      <c r="D5532" s="4">
        <v>2377157</v>
      </c>
    </row>
    <row r="5533" spans="1:4" x14ac:dyDescent="0.3">
      <c r="A5533" s="5" t="s">
        <v>174</v>
      </c>
      <c r="B5533" s="5" t="s">
        <v>175</v>
      </c>
      <c r="C5533" s="6">
        <v>1966</v>
      </c>
      <c r="D5533" s="7">
        <v>2446751</v>
      </c>
    </row>
    <row r="5534" spans="1:4" x14ac:dyDescent="0.3">
      <c r="A5534" s="2" t="s">
        <v>174</v>
      </c>
      <c r="B5534" s="2" t="s">
        <v>175</v>
      </c>
      <c r="C5534" s="3">
        <v>1967</v>
      </c>
      <c r="D5534" s="4">
        <v>2518648</v>
      </c>
    </row>
    <row r="5535" spans="1:4" x14ac:dyDescent="0.3">
      <c r="A5535" s="5" t="s">
        <v>174</v>
      </c>
      <c r="B5535" s="5" t="s">
        <v>175</v>
      </c>
      <c r="C5535" s="6">
        <v>1968</v>
      </c>
      <c r="D5535" s="7">
        <v>2593057</v>
      </c>
    </row>
    <row r="5536" spans="1:4" x14ac:dyDescent="0.3">
      <c r="A5536" s="2" t="s">
        <v>174</v>
      </c>
      <c r="B5536" s="2" t="s">
        <v>175</v>
      </c>
      <c r="C5536" s="3">
        <v>1969</v>
      </c>
      <c r="D5536" s="4">
        <v>2670289</v>
      </c>
    </row>
    <row r="5537" spans="1:4" x14ac:dyDescent="0.3">
      <c r="A5537" s="5" t="s">
        <v>174</v>
      </c>
      <c r="B5537" s="5" t="s">
        <v>175</v>
      </c>
      <c r="C5537" s="6">
        <v>1970</v>
      </c>
      <c r="D5537" s="7">
        <v>2750715</v>
      </c>
    </row>
    <row r="5538" spans="1:4" x14ac:dyDescent="0.3">
      <c r="A5538" s="2" t="s">
        <v>174</v>
      </c>
      <c r="B5538" s="2" t="s">
        <v>175</v>
      </c>
      <c r="C5538" s="3">
        <v>1971</v>
      </c>
      <c r="D5538" s="4">
        <v>2834616</v>
      </c>
    </row>
    <row r="5539" spans="1:4" x14ac:dyDescent="0.3">
      <c r="A5539" s="5" t="s">
        <v>174</v>
      </c>
      <c r="B5539" s="5" t="s">
        <v>175</v>
      </c>
      <c r="C5539" s="6">
        <v>1972</v>
      </c>
      <c r="D5539" s="7">
        <v>2922064</v>
      </c>
    </row>
    <row r="5540" spans="1:4" x14ac:dyDescent="0.3">
      <c r="A5540" s="2" t="s">
        <v>174</v>
      </c>
      <c r="B5540" s="2" t="s">
        <v>175</v>
      </c>
      <c r="C5540" s="3">
        <v>1973</v>
      </c>
      <c r="D5540" s="4">
        <v>3011459</v>
      </c>
    </row>
    <row r="5541" spans="1:4" x14ac:dyDescent="0.3">
      <c r="A5541" s="5" t="s">
        <v>174</v>
      </c>
      <c r="B5541" s="5" t="s">
        <v>175</v>
      </c>
      <c r="C5541" s="6">
        <v>1974</v>
      </c>
      <c r="D5541" s="7">
        <v>3099836</v>
      </c>
    </row>
    <row r="5542" spans="1:4" x14ac:dyDescent="0.3">
      <c r="A5542" s="2" t="s">
        <v>174</v>
      </c>
      <c r="B5542" s="2" t="s">
        <v>175</v>
      </c>
      <c r="C5542" s="3">
        <v>1975</v>
      </c>
      <c r="D5542" s="4">
        <v>3193234</v>
      </c>
    </row>
    <row r="5543" spans="1:4" x14ac:dyDescent="0.3">
      <c r="A5543" s="5" t="s">
        <v>174</v>
      </c>
      <c r="B5543" s="5" t="s">
        <v>175</v>
      </c>
      <c r="C5543" s="6">
        <v>1976</v>
      </c>
      <c r="D5543" s="7">
        <v>3294457</v>
      </c>
    </row>
    <row r="5544" spans="1:4" x14ac:dyDescent="0.3">
      <c r="A5544" s="2" t="s">
        <v>174</v>
      </c>
      <c r="B5544" s="2" t="s">
        <v>175</v>
      </c>
      <c r="C5544" s="3">
        <v>1977</v>
      </c>
      <c r="D5544" s="4">
        <v>3398655</v>
      </c>
    </row>
    <row r="5545" spans="1:4" x14ac:dyDescent="0.3">
      <c r="A5545" s="5" t="s">
        <v>174</v>
      </c>
      <c r="B5545" s="5" t="s">
        <v>175</v>
      </c>
      <c r="C5545" s="6">
        <v>1978</v>
      </c>
      <c r="D5545" s="7">
        <v>3505463</v>
      </c>
    </row>
    <row r="5546" spans="1:4" x14ac:dyDescent="0.3">
      <c r="A5546" s="2" t="s">
        <v>174</v>
      </c>
      <c r="B5546" s="2" t="s">
        <v>175</v>
      </c>
      <c r="C5546" s="3">
        <v>1979</v>
      </c>
      <c r="D5546" s="4">
        <v>3614981</v>
      </c>
    </row>
    <row r="5547" spans="1:4" x14ac:dyDescent="0.3">
      <c r="A5547" s="5" t="s">
        <v>174</v>
      </c>
      <c r="B5547" s="5" t="s">
        <v>175</v>
      </c>
      <c r="C5547" s="6">
        <v>1980</v>
      </c>
      <c r="D5547" s="7">
        <v>3727173</v>
      </c>
    </row>
    <row r="5548" spans="1:4" x14ac:dyDescent="0.3">
      <c r="A5548" s="2" t="s">
        <v>174</v>
      </c>
      <c r="B5548" s="2" t="s">
        <v>175</v>
      </c>
      <c r="C5548" s="3">
        <v>1981</v>
      </c>
      <c r="D5548" s="4">
        <v>3841778</v>
      </c>
    </row>
    <row r="5549" spans="1:4" x14ac:dyDescent="0.3">
      <c r="A5549" s="5" t="s">
        <v>174</v>
      </c>
      <c r="B5549" s="5" t="s">
        <v>175</v>
      </c>
      <c r="C5549" s="6">
        <v>1982</v>
      </c>
      <c r="D5549" s="7">
        <v>3958728</v>
      </c>
    </row>
    <row r="5550" spans="1:4" x14ac:dyDescent="0.3">
      <c r="A5550" s="2" t="s">
        <v>174</v>
      </c>
      <c r="B5550" s="2" t="s">
        <v>175</v>
      </c>
      <c r="C5550" s="3">
        <v>1983</v>
      </c>
      <c r="D5550" s="4">
        <v>4078174</v>
      </c>
    </row>
    <row r="5551" spans="1:4" x14ac:dyDescent="0.3">
      <c r="A5551" s="5" t="s">
        <v>174</v>
      </c>
      <c r="B5551" s="5" t="s">
        <v>175</v>
      </c>
      <c r="C5551" s="6">
        <v>1984</v>
      </c>
      <c r="D5551" s="7">
        <v>4199850</v>
      </c>
    </row>
    <row r="5552" spans="1:4" x14ac:dyDescent="0.3">
      <c r="A5552" s="2" t="s">
        <v>174</v>
      </c>
      <c r="B5552" s="2" t="s">
        <v>175</v>
      </c>
      <c r="C5552" s="3">
        <v>1985</v>
      </c>
      <c r="D5552" s="4">
        <v>4323342</v>
      </c>
    </row>
    <row r="5553" spans="1:4" x14ac:dyDescent="0.3">
      <c r="A5553" s="5" t="s">
        <v>174</v>
      </c>
      <c r="B5553" s="5" t="s">
        <v>175</v>
      </c>
      <c r="C5553" s="6">
        <v>1986</v>
      </c>
      <c r="D5553" s="7">
        <v>4448899</v>
      </c>
    </row>
    <row r="5554" spans="1:4" x14ac:dyDescent="0.3">
      <c r="A5554" s="2" t="s">
        <v>174</v>
      </c>
      <c r="B5554" s="2" t="s">
        <v>175</v>
      </c>
      <c r="C5554" s="3">
        <v>1987</v>
      </c>
      <c r="D5554" s="4">
        <v>4576910</v>
      </c>
    </row>
    <row r="5555" spans="1:4" x14ac:dyDescent="0.3">
      <c r="A5555" s="5" t="s">
        <v>174</v>
      </c>
      <c r="B5555" s="5" t="s">
        <v>175</v>
      </c>
      <c r="C5555" s="6">
        <v>1988</v>
      </c>
      <c r="D5555" s="7">
        <v>4707677</v>
      </c>
    </row>
    <row r="5556" spans="1:4" x14ac:dyDescent="0.3">
      <c r="A5556" s="2" t="s">
        <v>174</v>
      </c>
      <c r="B5556" s="2" t="s">
        <v>175</v>
      </c>
      <c r="C5556" s="3">
        <v>1989</v>
      </c>
      <c r="D5556" s="4">
        <v>4841838</v>
      </c>
    </row>
    <row r="5557" spans="1:4" x14ac:dyDescent="0.3">
      <c r="A5557" s="5" t="s">
        <v>174</v>
      </c>
      <c r="B5557" s="5" t="s">
        <v>175</v>
      </c>
      <c r="C5557" s="6">
        <v>1990</v>
      </c>
      <c r="D5557" s="7">
        <v>4980488</v>
      </c>
    </row>
    <row r="5558" spans="1:4" x14ac:dyDescent="0.3">
      <c r="A5558" s="2" t="s">
        <v>174</v>
      </c>
      <c r="B5558" s="2" t="s">
        <v>175</v>
      </c>
      <c r="C5558" s="3">
        <v>1991</v>
      </c>
      <c r="D5558" s="4">
        <v>5123792</v>
      </c>
    </row>
    <row r="5559" spans="1:4" x14ac:dyDescent="0.3">
      <c r="A5559" s="5" t="s">
        <v>174</v>
      </c>
      <c r="B5559" s="5" t="s">
        <v>175</v>
      </c>
      <c r="C5559" s="6">
        <v>1992</v>
      </c>
      <c r="D5559" s="7">
        <v>5271431</v>
      </c>
    </row>
    <row r="5560" spans="1:4" x14ac:dyDescent="0.3">
      <c r="A5560" s="2" t="s">
        <v>174</v>
      </c>
      <c r="B5560" s="2" t="s">
        <v>175</v>
      </c>
      <c r="C5560" s="3">
        <v>1993</v>
      </c>
      <c r="D5560" s="4">
        <v>5423249</v>
      </c>
    </row>
    <row r="5561" spans="1:4" x14ac:dyDescent="0.3">
      <c r="A5561" s="5" t="s">
        <v>174</v>
      </c>
      <c r="B5561" s="5" t="s">
        <v>175</v>
      </c>
      <c r="C5561" s="6">
        <v>1994</v>
      </c>
      <c r="D5561" s="7">
        <v>5579242</v>
      </c>
    </row>
    <row r="5562" spans="1:4" x14ac:dyDescent="0.3">
      <c r="A5562" s="2" t="s">
        <v>174</v>
      </c>
      <c r="B5562" s="2" t="s">
        <v>175</v>
      </c>
      <c r="C5562" s="3">
        <v>1995</v>
      </c>
      <c r="D5562" s="4">
        <v>5739637</v>
      </c>
    </row>
    <row r="5563" spans="1:4" x14ac:dyDescent="0.3">
      <c r="A5563" s="5" t="s">
        <v>174</v>
      </c>
      <c r="B5563" s="5" t="s">
        <v>175</v>
      </c>
      <c r="C5563" s="6">
        <v>1996</v>
      </c>
      <c r="D5563" s="7">
        <v>5903954</v>
      </c>
    </row>
    <row r="5564" spans="1:4" x14ac:dyDescent="0.3">
      <c r="A5564" s="2" t="s">
        <v>174</v>
      </c>
      <c r="B5564" s="2" t="s">
        <v>175</v>
      </c>
      <c r="C5564" s="3">
        <v>1997</v>
      </c>
      <c r="D5564" s="4">
        <v>6071454</v>
      </c>
    </row>
    <row r="5565" spans="1:4" x14ac:dyDescent="0.3">
      <c r="A5565" s="5" t="s">
        <v>174</v>
      </c>
      <c r="B5565" s="5" t="s">
        <v>175</v>
      </c>
      <c r="C5565" s="6">
        <v>1998</v>
      </c>
      <c r="D5565" s="7">
        <v>6234431</v>
      </c>
    </row>
    <row r="5566" spans="1:4" x14ac:dyDescent="0.3">
      <c r="A5566" s="2" t="s">
        <v>174</v>
      </c>
      <c r="B5566" s="2" t="s">
        <v>175</v>
      </c>
      <c r="C5566" s="3">
        <v>1999</v>
      </c>
      <c r="D5566" s="4">
        <v>6400463</v>
      </c>
    </row>
    <row r="5567" spans="1:4" x14ac:dyDescent="0.3">
      <c r="A5567" s="5" t="s">
        <v>174</v>
      </c>
      <c r="B5567" s="5" t="s">
        <v>175</v>
      </c>
      <c r="C5567" s="6">
        <v>2000</v>
      </c>
      <c r="D5567" s="7">
        <v>6577773</v>
      </c>
    </row>
    <row r="5568" spans="1:4" x14ac:dyDescent="0.3">
      <c r="A5568" s="2" t="s">
        <v>174</v>
      </c>
      <c r="B5568" s="2" t="s">
        <v>175</v>
      </c>
      <c r="C5568" s="3">
        <v>2001</v>
      </c>
      <c r="D5568" s="4">
        <v>6757993</v>
      </c>
    </row>
    <row r="5569" spans="1:4" x14ac:dyDescent="0.3">
      <c r="A5569" s="5" t="s">
        <v>174</v>
      </c>
      <c r="B5569" s="5" t="s">
        <v>175</v>
      </c>
      <c r="C5569" s="6">
        <v>2002</v>
      </c>
      <c r="D5569" s="7">
        <v>6938859</v>
      </c>
    </row>
    <row r="5570" spans="1:4" x14ac:dyDescent="0.3">
      <c r="A5570" s="2" t="s">
        <v>174</v>
      </c>
      <c r="B5570" s="2" t="s">
        <v>175</v>
      </c>
      <c r="C5570" s="3">
        <v>2003</v>
      </c>
      <c r="D5570" s="4">
        <v>7119213</v>
      </c>
    </row>
    <row r="5571" spans="1:4" x14ac:dyDescent="0.3">
      <c r="A5571" s="5" t="s">
        <v>174</v>
      </c>
      <c r="B5571" s="5" t="s">
        <v>175</v>
      </c>
      <c r="C5571" s="6">
        <v>2004</v>
      </c>
      <c r="D5571" s="7">
        <v>7298994</v>
      </c>
    </row>
    <row r="5572" spans="1:4" x14ac:dyDescent="0.3">
      <c r="A5572" s="2" t="s">
        <v>174</v>
      </c>
      <c r="B5572" s="2" t="s">
        <v>175</v>
      </c>
      <c r="C5572" s="3">
        <v>2005</v>
      </c>
      <c r="D5572" s="4">
        <v>7478355</v>
      </c>
    </row>
    <row r="5573" spans="1:4" x14ac:dyDescent="0.3">
      <c r="A5573" s="5" t="s">
        <v>174</v>
      </c>
      <c r="B5573" s="5" t="s">
        <v>175</v>
      </c>
      <c r="C5573" s="6">
        <v>2006</v>
      </c>
      <c r="D5573" s="7">
        <v>7656832</v>
      </c>
    </row>
    <row r="5574" spans="1:4" x14ac:dyDescent="0.3">
      <c r="A5574" s="2" t="s">
        <v>174</v>
      </c>
      <c r="B5574" s="2" t="s">
        <v>175</v>
      </c>
      <c r="C5574" s="3">
        <v>2007</v>
      </c>
      <c r="D5574" s="4">
        <v>7834798</v>
      </c>
    </row>
    <row r="5575" spans="1:4" x14ac:dyDescent="0.3">
      <c r="A5575" s="5" t="s">
        <v>174</v>
      </c>
      <c r="B5575" s="5" t="s">
        <v>175</v>
      </c>
      <c r="C5575" s="6">
        <v>2008</v>
      </c>
      <c r="D5575" s="7">
        <v>8012587</v>
      </c>
    </row>
    <row r="5576" spans="1:4" x14ac:dyDescent="0.3">
      <c r="A5576" s="2" t="s">
        <v>174</v>
      </c>
      <c r="B5576" s="2" t="s">
        <v>175</v>
      </c>
      <c r="C5576" s="3">
        <v>2009</v>
      </c>
      <c r="D5576" s="4">
        <v>8189899</v>
      </c>
    </row>
    <row r="5577" spans="1:4" x14ac:dyDescent="0.3">
      <c r="A5577" s="5" t="s">
        <v>174</v>
      </c>
      <c r="B5577" s="5" t="s">
        <v>175</v>
      </c>
      <c r="C5577" s="6">
        <v>2010</v>
      </c>
      <c r="D5577" s="7">
        <v>8365878</v>
      </c>
    </row>
    <row r="5578" spans="1:4" x14ac:dyDescent="0.3">
      <c r="A5578" s="2" t="s">
        <v>174</v>
      </c>
      <c r="B5578" s="2" t="s">
        <v>175</v>
      </c>
      <c r="C5578" s="3">
        <v>2011</v>
      </c>
      <c r="D5578" s="4">
        <v>8540583</v>
      </c>
    </row>
    <row r="5579" spans="1:4" x14ac:dyDescent="0.3">
      <c r="A5579" s="5" t="s">
        <v>174</v>
      </c>
      <c r="B5579" s="5" t="s">
        <v>175</v>
      </c>
      <c r="C5579" s="6">
        <v>2012</v>
      </c>
      <c r="D5579" s="7">
        <v>8715076</v>
      </c>
    </row>
    <row r="5580" spans="1:4" x14ac:dyDescent="0.3">
      <c r="A5580" s="2" t="s">
        <v>174</v>
      </c>
      <c r="B5580" s="2" t="s">
        <v>175</v>
      </c>
      <c r="C5580" s="3">
        <v>2013</v>
      </c>
      <c r="D5580" s="4">
        <v>8889278</v>
      </c>
    </row>
    <row r="5581" spans="1:4" x14ac:dyDescent="0.3">
      <c r="A5581" s="5" t="s">
        <v>174</v>
      </c>
      <c r="B5581" s="5" t="s">
        <v>175</v>
      </c>
      <c r="C5581" s="6">
        <v>2014</v>
      </c>
      <c r="D5581" s="7">
        <v>9063122</v>
      </c>
    </row>
    <row r="5582" spans="1:4" x14ac:dyDescent="0.3">
      <c r="A5582" s="2" t="s">
        <v>174</v>
      </c>
      <c r="B5582" s="2" t="s">
        <v>175</v>
      </c>
      <c r="C5582" s="3">
        <v>2015</v>
      </c>
      <c r="D5582" s="4">
        <v>9237305</v>
      </c>
    </row>
    <row r="5583" spans="1:4" x14ac:dyDescent="0.3">
      <c r="A5583" s="5" t="s">
        <v>174</v>
      </c>
      <c r="B5583" s="5" t="s">
        <v>175</v>
      </c>
      <c r="C5583" s="6">
        <v>2016</v>
      </c>
      <c r="D5583" s="7">
        <v>9412380</v>
      </c>
    </row>
    <row r="5584" spans="1:4" x14ac:dyDescent="0.3">
      <c r="A5584" s="2" t="s">
        <v>174</v>
      </c>
      <c r="B5584" s="2" t="s">
        <v>175</v>
      </c>
      <c r="C5584" s="3">
        <v>2017</v>
      </c>
      <c r="D5584" s="4">
        <v>9588137</v>
      </c>
    </row>
    <row r="5585" spans="1:4" x14ac:dyDescent="0.3">
      <c r="A5585" s="5" t="s">
        <v>174</v>
      </c>
      <c r="B5585" s="5" t="s">
        <v>175</v>
      </c>
      <c r="C5585" s="6">
        <v>2018</v>
      </c>
      <c r="D5585" s="7">
        <v>9765210</v>
      </c>
    </row>
    <row r="5586" spans="1:4" x14ac:dyDescent="0.3">
      <c r="A5586" s="2" t="s">
        <v>174</v>
      </c>
      <c r="B5586" s="2" t="s">
        <v>175</v>
      </c>
      <c r="C5586" s="3">
        <v>2019</v>
      </c>
      <c r="D5586" s="4">
        <v>9943633</v>
      </c>
    </row>
    <row r="5587" spans="1:4" x14ac:dyDescent="0.3">
      <c r="A5587" s="5" t="s">
        <v>174</v>
      </c>
      <c r="B5587" s="5" t="s">
        <v>175</v>
      </c>
      <c r="C5587" s="6">
        <v>2020</v>
      </c>
      <c r="D5587" s="7">
        <v>10119640</v>
      </c>
    </row>
    <row r="5588" spans="1:4" x14ac:dyDescent="0.3">
      <c r="A5588" s="2" t="s">
        <v>174</v>
      </c>
      <c r="B5588" s="2" t="s">
        <v>175</v>
      </c>
      <c r="C5588" s="3">
        <v>2021</v>
      </c>
      <c r="D5588" s="4">
        <v>10289877</v>
      </c>
    </row>
    <row r="5589" spans="1:4" x14ac:dyDescent="0.3">
      <c r="A5589" s="5" t="s">
        <v>174</v>
      </c>
      <c r="B5589" s="5" t="s">
        <v>175</v>
      </c>
      <c r="C5589" s="6">
        <v>2022</v>
      </c>
      <c r="D5589" s="7">
        <v>10463872</v>
      </c>
    </row>
    <row r="5590" spans="1:4" x14ac:dyDescent="0.3">
      <c r="A5590" s="2" t="s">
        <v>174</v>
      </c>
      <c r="B5590" s="2" t="s">
        <v>175</v>
      </c>
      <c r="C5590" s="3">
        <v>2023</v>
      </c>
      <c r="D5590" s="4">
        <v>10644851</v>
      </c>
    </row>
    <row r="5591" spans="1:4" x14ac:dyDescent="0.3">
      <c r="A5591" s="5" t="s">
        <v>174</v>
      </c>
      <c r="B5591" s="5" t="s">
        <v>175</v>
      </c>
      <c r="C5591" s="6">
        <v>2024</v>
      </c>
      <c r="D5591" s="7">
        <v>10825703</v>
      </c>
    </row>
    <row r="5592" spans="1:4" x14ac:dyDescent="0.3">
      <c r="A5592" s="2" t="s">
        <v>176</v>
      </c>
      <c r="B5592" s="2" t="s">
        <v>177</v>
      </c>
      <c r="C5592" s="3">
        <v>1960</v>
      </c>
      <c r="D5592" s="4">
        <v>3094840</v>
      </c>
    </row>
    <row r="5593" spans="1:4" x14ac:dyDescent="0.3">
      <c r="A5593" s="5" t="s">
        <v>176</v>
      </c>
      <c r="B5593" s="5" t="s">
        <v>177</v>
      </c>
      <c r="C5593" s="6">
        <v>1961</v>
      </c>
      <c r="D5593" s="7">
        <v>3168100</v>
      </c>
    </row>
    <row r="5594" spans="1:4" x14ac:dyDescent="0.3">
      <c r="A5594" s="2" t="s">
        <v>176</v>
      </c>
      <c r="B5594" s="2" t="s">
        <v>177</v>
      </c>
      <c r="C5594" s="3">
        <v>1962</v>
      </c>
      <c r="D5594" s="4">
        <v>3305200</v>
      </c>
    </row>
    <row r="5595" spans="1:4" x14ac:dyDescent="0.3">
      <c r="A5595" s="5" t="s">
        <v>176</v>
      </c>
      <c r="B5595" s="5" t="s">
        <v>177</v>
      </c>
      <c r="C5595" s="6">
        <v>1963</v>
      </c>
      <c r="D5595" s="7">
        <v>3420900</v>
      </c>
    </row>
    <row r="5596" spans="1:4" x14ac:dyDescent="0.3">
      <c r="A5596" s="2" t="s">
        <v>176</v>
      </c>
      <c r="B5596" s="2" t="s">
        <v>177</v>
      </c>
      <c r="C5596" s="3">
        <v>1964</v>
      </c>
      <c r="D5596" s="4">
        <v>3504600</v>
      </c>
    </row>
    <row r="5597" spans="1:4" x14ac:dyDescent="0.3">
      <c r="A5597" s="5" t="s">
        <v>176</v>
      </c>
      <c r="B5597" s="5" t="s">
        <v>177</v>
      </c>
      <c r="C5597" s="6">
        <v>1965</v>
      </c>
      <c r="D5597" s="7">
        <v>3597900</v>
      </c>
    </row>
    <row r="5598" spans="1:4" x14ac:dyDescent="0.3">
      <c r="A5598" s="2" t="s">
        <v>176</v>
      </c>
      <c r="B5598" s="2" t="s">
        <v>177</v>
      </c>
      <c r="C5598" s="3">
        <v>1966</v>
      </c>
      <c r="D5598" s="4">
        <v>3629900</v>
      </c>
    </row>
    <row r="5599" spans="1:4" x14ac:dyDescent="0.3">
      <c r="A5599" s="5" t="s">
        <v>176</v>
      </c>
      <c r="B5599" s="5" t="s">
        <v>177</v>
      </c>
      <c r="C5599" s="6">
        <v>1967</v>
      </c>
      <c r="D5599" s="7">
        <v>3722800</v>
      </c>
    </row>
    <row r="5600" spans="1:4" x14ac:dyDescent="0.3">
      <c r="A5600" s="2" t="s">
        <v>176</v>
      </c>
      <c r="B5600" s="2" t="s">
        <v>177</v>
      </c>
      <c r="C5600" s="3">
        <v>1968</v>
      </c>
      <c r="D5600" s="4">
        <v>3802700</v>
      </c>
    </row>
    <row r="5601" spans="1:4" x14ac:dyDescent="0.3">
      <c r="A5601" s="5" t="s">
        <v>176</v>
      </c>
      <c r="B5601" s="5" t="s">
        <v>177</v>
      </c>
      <c r="C5601" s="6">
        <v>1969</v>
      </c>
      <c r="D5601" s="7">
        <v>3863900</v>
      </c>
    </row>
    <row r="5602" spans="1:4" x14ac:dyDescent="0.3">
      <c r="A5602" s="2" t="s">
        <v>176</v>
      </c>
      <c r="B5602" s="2" t="s">
        <v>177</v>
      </c>
      <c r="C5602" s="3">
        <v>1970</v>
      </c>
      <c r="D5602" s="4">
        <v>3959000</v>
      </c>
    </row>
    <row r="5603" spans="1:4" x14ac:dyDescent="0.3">
      <c r="A5603" s="5" t="s">
        <v>176</v>
      </c>
      <c r="B5603" s="5" t="s">
        <v>177</v>
      </c>
      <c r="C5603" s="6">
        <v>1971</v>
      </c>
      <c r="D5603" s="7">
        <v>4045300</v>
      </c>
    </row>
    <row r="5604" spans="1:4" x14ac:dyDescent="0.3">
      <c r="A5604" s="2" t="s">
        <v>176</v>
      </c>
      <c r="B5604" s="2" t="s">
        <v>177</v>
      </c>
      <c r="C5604" s="3">
        <v>1972</v>
      </c>
      <c r="D5604" s="4">
        <v>4123600</v>
      </c>
    </row>
    <row r="5605" spans="1:4" x14ac:dyDescent="0.3">
      <c r="A5605" s="5" t="s">
        <v>176</v>
      </c>
      <c r="B5605" s="5" t="s">
        <v>177</v>
      </c>
      <c r="C5605" s="6">
        <v>1973</v>
      </c>
      <c r="D5605" s="7">
        <v>4241600</v>
      </c>
    </row>
    <row r="5606" spans="1:4" x14ac:dyDescent="0.3">
      <c r="A5606" s="2" t="s">
        <v>176</v>
      </c>
      <c r="B5606" s="2" t="s">
        <v>177</v>
      </c>
      <c r="C5606" s="3">
        <v>1974</v>
      </c>
      <c r="D5606" s="4">
        <v>4377800</v>
      </c>
    </row>
    <row r="5607" spans="1:4" x14ac:dyDescent="0.3">
      <c r="A5607" s="5" t="s">
        <v>176</v>
      </c>
      <c r="B5607" s="5" t="s">
        <v>177</v>
      </c>
      <c r="C5607" s="6">
        <v>1975</v>
      </c>
      <c r="D5607" s="7">
        <v>4461600</v>
      </c>
    </row>
    <row r="5608" spans="1:4" x14ac:dyDescent="0.3">
      <c r="A5608" s="2" t="s">
        <v>176</v>
      </c>
      <c r="B5608" s="2" t="s">
        <v>177</v>
      </c>
      <c r="C5608" s="3">
        <v>1976</v>
      </c>
      <c r="D5608" s="4">
        <v>4518000</v>
      </c>
    </row>
    <row r="5609" spans="1:4" x14ac:dyDescent="0.3">
      <c r="A5609" s="5" t="s">
        <v>176</v>
      </c>
      <c r="B5609" s="5" t="s">
        <v>177</v>
      </c>
      <c r="C5609" s="6">
        <v>1977</v>
      </c>
      <c r="D5609" s="7">
        <v>4583700</v>
      </c>
    </row>
    <row r="5610" spans="1:4" x14ac:dyDescent="0.3">
      <c r="A5610" s="2" t="s">
        <v>176</v>
      </c>
      <c r="B5610" s="2" t="s">
        <v>177</v>
      </c>
      <c r="C5610" s="3">
        <v>1978</v>
      </c>
      <c r="D5610" s="4">
        <v>4667500</v>
      </c>
    </row>
    <row r="5611" spans="1:4" x14ac:dyDescent="0.3">
      <c r="A5611" s="5" t="s">
        <v>176</v>
      </c>
      <c r="B5611" s="5" t="s">
        <v>177</v>
      </c>
      <c r="C5611" s="6">
        <v>1979</v>
      </c>
      <c r="D5611" s="7">
        <v>4929700</v>
      </c>
    </row>
    <row r="5612" spans="1:4" x14ac:dyDescent="0.3">
      <c r="A5612" s="2" t="s">
        <v>176</v>
      </c>
      <c r="B5612" s="2" t="s">
        <v>177</v>
      </c>
      <c r="C5612" s="3">
        <v>1980</v>
      </c>
      <c r="D5612" s="4">
        <v>5063100</v>
      </c>
    </row>
    <row r="5613" spans="1:4" x14ac:dyDescent="0.3">
      <c r="A5613" s="5" t="s">
        <v>176</v>
      </c>
      <c r="B5613" s="5" t="s">
        <v>177</v>
      </c>
      <c r="C5613" s="6">
        <v>1981</v>
      </c>
      <c r="D5613" s="7">
        <v>5183400</v>
      </c>
    </row>
    <row r="5614" spans="1:4" x14ac:dyDescent="0.3">
      <c r="A5614" s="2" t="s">
        <v>176</v>
      </c>
      <c r="B5614" s="2" t="s">
        <v>177</v>
      </c>
      <c r="C5614" s="3">
        <v>1982</v>
      </c>
      <c r="D5614" s="4">
        <v>5264500</v>
      </c>
    </row>
    <row r="5615" spans="1:4" x14ac:dyDescent="0.3">
      <c r="A5615" s="5" t="s">
        <v>176</v>
      </c>
      <c r="B5615" s="5" t="s">
        <v>177</v>
      </c>
      <c r="C5615" s="6">
        <v>1983</v>
      </c>
      <c r="D5615" s="7">
        <v>5345100</v>
      </c>
    </row>
    <row r="5616" spans="1:4" x14ac:dyDescent="0.3">
      <c r="A5616" s="2" t="s">
        <v>176</v>
      </c>
      <c r="B5616" s="2" t="s">
        <v>177</v>
      </c>
      <c r="C5616" s="3">
        <v>1984</v>
      </c>
      <c r="D5616" s="4">
        <v>5397900</v>
      </c>
    </row>
    <row r="5617" spans="1:4" x14ac:dyDescent="0.3">
      <c r="A5617" s="5" t="s">
        <v>176</v>
      </c>
      <c r="B5617" s="5" t="s">
        <v>177</v>
      </c>
      <c r="C5617" s="6">
        <v>1985</v>
      </c>
      <c r="D5617" s="7">
        <v>5456200</v>
      </c>
    </row>
    <row r="5618" spans="1:4" x14ac:dyDescent="0.3">
      <c r="A5618" s="2" t="s">
        <v>176</v>
      </c>
      <c r="B5618" s="2" t="s">
        <v>177</v>
      </c>
      <c r="C5618" s="3">
        <v>1986</v>
      </c>
      <c r="D5618" s="4">
        <v>5524600</v>
      </c>
    </row>
    <row r="5619" spans="1:4" x14ac:dyDescent="0.3">
      <c r="A5619" s="5" t="s">
        <v>176</v>
      </c>
      <c r="B5619" s="5" t="s">
        <v>177</v>
      </c>
      <c r="C5619" s="6">
        <v>1987</v>
      </c>
      <c r="D5619" s="7">
        <v>5580500</v>
      </c>
    </row>
    <row r="5620" spans="1:4" x14ac:dyDescent="0.3">
      <c r="A5620" s="2" t="s">
        <v>176</v>
      </c>
      <c r="B5620" s="2" t="s">
        <v>177</v>
      </c>
      <c r="C5620" s="3">
        <v>1988</v>
      </c>
      <c r="D5620" s="4">
        <v>5627600</v>
      </c>
    </row>
    <row r="5621" spans="1:4" x14ac:dyDescent="0.3">
      <c r="A5621" s="5" t="s">
        <v>176</v>
      </c>
      <c r="B5621" s="5" t="s">
        <v>177</v>
      </c>
      <c r="C5621" s="6">
        <v>1989</v>
      </c>
      <c r="D5621" s="7">
        <v>5686200</v>
      </c>
    </row>
    <row r="5622" spans="1:4" x14ac:dyDescent="0.3">
      <c r="A5622" s="2" t="s">
        <v>176</v>
      </c>
      <c r="B5622" s="2" t="s">
        <v>177</v>
      </c>
      <c r="C5622" s="3">
        <v>1990</v>
      </c>
      <c r="D5622" s="4">
        <v>5704500</v>
      </c>
    </row>
    <row r="5623" spans="1:4" x14ac:dyDescent="0.3">
      <c r="A5623" s="5" t="s">
        <v>176</v>
      </c>
      <c r="B5623" s="5" t="s">
        <v>177</v>
      </c>
      <c r="C5623" s="6">
        <v>1991</v>
      </c>
      <c r="D5623" s="7">
        <v>5752000</v>
      </c>
    </row>
    <row r="5624" spans="1:4" x14ac:dyDescent="0.3">
      <c r="A5624" s="2" t="s">
        <v>176</v>
      </c>
      <c r="B5624" s="2" t="s">
        <v>177</v>
      </c>
      <c r="C5624" s="3">
        <v>1992</v>
      </c>
      <c r="D5624" s="4">
        <v>5800500</v>
      </c>
    </row>
    <row r="5625" spans="1:4" x14ac:dyDescent="0.3">
      <c r="A5625" s="5" t="s">
        <v>176</v>
      </c>
      <c r="B5625" s="5" t="s">
        <v>177</v>
      </c>
      <c r="C5625" s="6">
        <v>1993</v>
      </c>
      <c r="D5625" s="7">
        <v>5901000</v>
      </c>
    </row>
    <row r="5626" spans="1:4" x14ac:dyDescent="0.3">
      <c r="A5626" s="2" t="s">
        <v>176</v>
      </c>
      <c r="B5626" s="2" t="s">
        <v>177</v>
      </c>
      <c r="C5626" s="3">
        <v>1994</v>
      </c>
      <c r="D5626" s="4">
        <v>6035400</v>
      </c>
    </row>
    <row r="5627" spans="1:4" x14ac:dyDescent="0.3">
      <c r="A5627" s="5" t="s">
        <v>176</v>
      </c>
      <c r="B5627" s="5" t="s">
        <v>177</v>
      </c>
      <c r="C5627" s="6">
        <v>1995</v>
      </c>
      <c r="D5627" s="7">
        <v>6156100</v>
      </c>
    </row>
    <row r="5628" spans="1:4" x14ac:dyDescent="0.3">
      <c r="A5628" s="2" t="s">
        <v>176</v>
      </c>
      <c r="B5628" s="2" t="s">
        <v>177</v>
      </c>
      <c r="C5628" s="3">
        <v>1996</v>
      </c>
      <c r="D5628" s="4">
        <v>6435500</v>
      </c>
    </row>
    <row r="5629" spans="1:4" x14ac:dyDescent="0.3">
      <c r="A5629" s="5" t="s">
        <v>176</v>
      </c>
      <c r="B5629" s="5" t="s">
        <v>177</v>
      </c>
      <c r="C5629" s="6">
        <v>1997</v>
      </c>
      <c r="D5629" s="7">
        <v>6489300</v>
      </c>
    </row>
    <row r="5630" spans="1:4" x14ac:dyDescent="0.3">
      <c r="A5630" s="2" t="s">
        <v>176</v>
      </c>
      <c r="B5630" s="2" t="s">
        <v>177</v>
      </c>
      <c r="C5630" s="3">
        <v>1998</v>
      </c>
      <c r="D5630" s="4">
        <v>6543700</v>
      </c>
    </row>
    <row r="5631" spans="1:4" x14ac:dyDescent="0.3">
      <c r="A5631" s="5" t="s">
        <v>176</v>
      </c>
      <c r="B5631" s="5" t="s">
        <v>177</v>
      </c>
      <c r="C5631" s="6">
        <v>1999</v>
      </c>
      <c r="D5631" s="7">
        <v>6606500</v>
      </c>
    </row>
    <row r="5632" spans="1:4" x14ac:dyDescent="0.3">
      <c r="A5632" s="2" t="s">
        <v>176</v>
      </c>
      <c r="B5632" s="2" t="s">
        <v>177</v>
      </c>
      <c r="C5632" s="3">
        <v>2000</v>
      </c>
      <c r="D5632" s="4">
        <v>6665000</v>
      </c>
    </row>
    <row r="5633" spans="1:4" x14ac:dyDescent="0.3">
      <c r="A5633" s="5" t="s">
        <v>176</v>
      </c>
      <c r="B5633" s="5" t="s">
        <v>177</v>
      </c>
      <c r="C5633" s="6">
        <v>2001</v>
      </c>
      <c r="D5633" s="7">
        <v>6714300</v>
      </c>
    </row>
    <row r="5634" spans="1:4" x14ac:dyDescent="0.3">
      <c r="A5634" s="2" t="s">
        <v>176</v>
      </c>
      <c r="B5634" s="2" t="s">
        <v>177</v>
      </c>
      <c r="C5634" s="3">
        <v>2002</v>
      </c>
      <c r="D5634" s="4">
        <v>6744100</v>
      </c>
    </row>
    <row r="5635" spans="1:4" x14ac:dyDescent="0.3">
      <c r="A5635" s="5" t="s">
        <v>176</v>
      </c>
      <c r="B5635" s="5" t="s">
        <v>177</v>
      </c>
      <c r="C5635" s="6">
        <v>2003</v>
      </c>
      <c r="D5635" s="7">
        <v>6730800</v>
      </c>
    </row>
    <row r="5636" spans="1:4" x14ac:dyDescent="0.3">
      <c r="A5636" s="2" t="s">
        <v>176</v>
      </c>
      <c r="B5636" s="2" t="s">
        <v>177</v>
      </c>
      <c r="C5636" s="3">
        <v>2004</v>
      </c>
      <c r="D5636" s="4">
        <v>6783500</v>
      </c>
    </row>
    <row r="5637" spans="1:4" x14ac:dyDescent="0.3">
      <c r="A5637" s="5" t="s">
        <v>176</v>
      </c>
      <c r="B5637" s="5" t="s">
        <v>177</v>
      </c>
      <c r="C5637" s="6">
        <v>2005</v>
      </c>
      <c r="D5637" s="7">
        <v>6813200</v>
      </c>
    </row>
    <row r="5638" spans="1:4" x14ac:dyDescent="0.3">
      <c r="A5638" s="2" t="s">
        <v>176</v>
      </c>
      <c r="B5638" s="2" t="s">
        <v>177</v>
      </c>
      <c r="C5638" s="3">
        <v>2006</v>
      </c>
      <c r="D5638" s="4">
        <v>6857100</v>
      </c>
    </row>
    <row r="5639" spans="1:4" x14ac:dyDescent="0.3">
      <c r="A5639" s="5" t="s">
        <v>176</v>
      </c>
      <c r="B5639" s="5" t="s">
        <v>177</v>
      </c>
      <c r="C5639" s="6">
        <v>2007</v>
      </c>
      <c r="D5639" s="7">
        <v>6916300</v>
      </c>
    </row>
    <row r="5640" spans="1:4" x14ac:dyDescent="0.3">
      <c r="A5640" s="2" t="s">
        <v>176</v>
      </c>
      <c r="B5640" s="2" t="s">
        <v>177</v>
      </c>
      <c r="C5640" s="3">
        <v>2008</v>
      </c>
      <c r="D5640" s="4">
        <v>6957800</v>
      </c>
    </row>
    <row r="5641" spans="1:4" x14ac:dyDescent="0.3">
      <c r="A5641" s="5" t="s">
        <v>176</v>
      </c>
      <c r="B5641" s="5" t="s">
        <v>177</v>
      </c>
      <c r="C5641" s="6">
        <v>2009</v>
      </c>
      <c r="D5641" s="7">
        <v>6972800</v>
      </c>
    </row>
    <row r="5642" spans="1:4" x14ac:dyDescent="0.3">
      <c r="A5642" s="2" t="s">
        <v>176</v>
      </c>
      <c r="B5642" s="2" t="s">
        <v>177</v>
      </c>
      <c r="C5642" s="3">
        <v>2010</v>
      </c>
      <c r="D5642" s="4">
        <v>7024200</v>
      </c>
    </row>
    <row r="5643" spans="1:4" x14ac:dyDescent="0.3">
      <c r="A5643" s="5" t="s">
        <v>176</v>
      </c>
      <c r="B5643" s="5" t="s">
        <v>177</v>
      </c>
      <c r="C5643" s="6">
        <v>2011</v>
      </c>
      <c r="D5643" s="7">
        <v>7071600</v>
      </c>
    </row>
    <row r="5644" spans="1:4" x14ac:dyDescent="0.3">
      <c r="A5644" s="2" t="s">
        <v>176</v>
      </c>
      <c r="B5644" s="2" t="s">
        <v>177</v>
      </c>
      <c r="C5644" s="3">
        <v>2012</v>
      </c>
      <c r="D5644" s="4">
        <v>7150100</v>
      </c>
    </row>
    <row r="5645" spans="1:4" x14ac:dyDescent="0.3">
      <c r="A5645" s="5" t="s">
        <v>176</v>
      </c>
      <c r="B5645" s="5" t="s">
        <v>177</v>
      </c>
      <c r="C5645" s="6">
        <v>2013</v>
      </c>
      <c r="D5645" s="7">
        <v>7178900</v>
      </c>
    </row>
    <row r="5646" spans="1:4" x14ac:dyDescent="0.3">
      <c r="A5646" s="2" t="s">
        <v>176</v>
      </c>
      <c r="B5646" s="2" t="s">
        <v>177</v>
      </c>
      <c r="C5646" s="3">
        <v>2014</v>
      </c>
      <c r="D5646" s="4">
        <v>7229500</v>
      </c>
    </row>
    <row r="5647" spans="1:4" x14ac:dyDescent="0.3">
      <c r="A5647" s="5" t="s">
        <v>176</v>
      </c>
      <c r="B5647" s="5" t="s">
        <v>177</v>
      </c>
      <c r="C5647" s="6">
        <v>2015</v>
      </c>
      <c r="D5647" s="7">
        <v>7291300</v>
      </c>
    </row>
    <row r="5648" spans="1:4" x14ac:dyDescent="0.3">
      <c r="A5648" s="2" t="s">
        <v>176</v>
      </c>
      <c r="B5648" s="2" t="s">
        <v>177</v>
      </c>
      <c r="C5648" s="3">
        <v>2016</v>
      </c>
      <c r="D5648" s="4">
        <v>7336600</v>
      </c>
    </row>
    <row r="5649" spans="1:4" x14ac:dyDescent="0.3">
      <c r="A5649" s="5" t="s">
        <v>176</v>
      </c>
      <c r="B5649" s="5" t="s">
        <v>177</v>
      </c>
      <c r="C5649" s="6">
        <v>2017</v>
      </c>
      <c r="D5649" s="7">
        <v>7393200</v>
      </c>
    </row>
    <row r="5650" spans="1:4" x14ac:dyDescent="0.3">
      <c r="A5650" s="2" t="s">
        <v>176</v>
      </c>
      <c r="B5650" s="2" t="s">
        <v>177</v>
      </c>
      <c r="C5650" s="3">
        <v>2018</v>
      </c>
      <c r="D5650" s="4">
        <v>7452600</v>
      </c>
    </row>
    <row r="5651" spans="1:4" x14ac:dyDescent="0.3">
      <c r="A5651" s="5" t="s">
        <v>176</v>
      </c>
      <c r="B5651" s="5" t="s">
        <v>177</v>
      </c>
      <c r="C5651" s="6">
        <v>2019</v>
      </c>
      <c r="D5651" s="7">
        <v>7507900</v>
      </c>
    </row>
    <row r="5652" spans="1:4" x14ac:dyDescent="0.3">
      <c r="A5652" s="2" t="s">
        <v>176</v>
      </c>
      <c r="B5652" s="2" t="s">
        <v>177</v>
      </c>
      <c r="C5652" s="3">
        <v>2020</v>
      </c>
      <c r="D5652" s="4">
        <v>7481000</v>
      </c>
    </row>
    <row r="5653" spans="1:4" x14ac:dyDescent="0.3">
      <c r="A5653" s="5" t="s">
        <v>176</v>
      </c>
      <c r="B5653" s="5" t="s">
        <v>177</v>
      </c>
      <c r="C5653" s="6">
        <v>2021</v>
      </c>
      <c r="D5653" s="7">
        <v>7413100</v>
      </c>
    </row>
    <row r="5654" spans="1:4" x14ac:dyDescent="0.3">
      <c r="A5654" s="2" t="s">
        <v>176</v>
      </c>
      <c r="B5654" s="2" t="s">
        <v>177</v>
      </c>
      <c r="C5654" s="3">
        <v>2022</v>
      </c>
      <c r="D5654" s="4">
        <v>7346100</v>
      </c>
    </row>
    <row r="5655" spans="1:4" x14ac:dyDescent="0.3">
      <c r="A5655" s="5" t="s">
        <v>176</v>
      </c>
      <c r="B5655" s="5" t="s">
        <v>177</v>
      </c>
      <c r="C5655" s="6">
        <v>2023</v>
      </c>
      <c r="D5655" s="7">
        <v>7536100</v>
      </c>
    </row>
    <row r="5656" spans="1:4" x14ac:dyDescent="0.3">
      <c r="A5656" s="2" t="s">
        <v>176</v>
      </c>
      <c r="B5656" s="2" t="s">
        <v>177</v>
      </c>
      <c r="C5656" s="3">
        <v>2024</v>
      </c>
      <c r="D5656" s="4">
        <v>7524100</v>
      </c>
    </row>
    <row r="5657" spans="1:4" x14ac:dyDescent="0.3">
      <c r="A5657" s="5" t="s">
        <v>178</v>
      </c>
      <c r="B5657" s="5" t="s">
        <v>179</v>
      </c>
      <c r="C5657" s="6">
        <v>1960</v>
      </c>
      <c r="D5657" s="7">
        <v>9983512</v>
      </c>
    </row>
    <row r="5658" spans="1:4" x14ac:dyDescent="0.3">
      <c r="A5658" s="2" t="s">
        <v>178</v>
      </c>
      <c r="B5658" s="2" t="s">
        <v>179</v>
      </c>
      <c r="C5658" s="3">
        <v>1961</v>
      </c>
      <c r="D5658" s="4">
        <v>10027958</v>
      </c>
    </row>
    <row r="5659" spans="1:4" x14ac:dyDescent="0.3">
      <c r="A5659" s="5" t="s">
        <v>178</v>
      </c>
      <c r="B5659" s="5" t="s">
        <v>179</v>
      </c>
      <c r="C5659" s="6">
        <v>1962</v>
      </c>
      <c r="D5659" s="7">
        <v>10060825</v>
      </c>
    </row>
    <row r="5660" spans="1:4" x14ac:dyDescent="0.3">
      <c r="A5660" s="2" t="s">
        <v>178</v>
      </c>
      <c r="B5660" s="2" t="s">
        <v>179</v>
      </c>
      <c r="C5660" s="3">
        <v>1963</v>
      </c>
      <c r="D5660" s="4">
        <v>10087947</v>
      </c>
    </row>
    <row r="5661" spans="1:4" x14ac:dyDescent="0.3">
      <c r="A5661" s="5" t="s">
        <v>178</v>
      </c>
      <c r="B5661" s="5" t="s">
        <v>179</v>
      </c>
      <c r="C5661" s="6">
        <v>1964</v>
      </c>
      <c r="D5661" s="7">
        <v>10119835</v>
      </c>
    </row>
    <row r="5662" spans="1:4" x14ac:dyDescent="0.3">
      <c r="A5662" s="2" t="s">
        <v>178</v>
      </c>
      <c r="B5662" s="2" t="s">
        <v>179</v>
      </c>
      <c r="C5662" s="3">
        <v>1965</v>
      </c>
      <c r="D5662" s="4">
        <v>10147935</v>
      </c>
    </row>
    <row r="5663" spans="1:4" x14ac:dyDescent="0.3">
      <c r="A5663" s="5" t="s">
        <v>178</v>
      </c>
      <c r="B5663" s="5" t="s">
        <v>179</v>
      </c>
      <c r="C5663" s="6">
        <v>1966</v>
      </c>
      <c r="D5663" s="7">
        <v>10178653</v>
      </c>
    </row>
    <row r="5664" spans="1:4" x14ac:dyDescent="0.3">
      <c r="A5664" s="2" t="s">
        <v>178</v>
      </c>
      <c r="B5664" s="2" t="s">
        <v>179</v>
      </c>
      <c r="C5664" s="3">
        <v>1967</v>
      </c>
      <c r="D5664" s="4">
        <v>10216604</v>
      </c>
    </row>
    <row r="5665" spans="1:4" x14ac:dyDescent="0.3">
      <c r="A5665" s="5" t="s">
        <v>178</v>
      </c>
      <c r="B5665" s="5" t="s">
        <v>179</v>
      </c>
      <c r="C5665" s="6">
        <v>1968</v>
      </c>
      <c r="D5665" s="7">
        <v>10255815</v>
      </c>
    </row>
    <row r="5666" spans="1:4" x14ac:dyDescent="0.3">
      <c r="A5666" s="2" t="s">
        <v>178</v>
      </c>
      <c r="B5666" s="2" t="s">
        <v>179</v>
      </c>
      <c r="C5666" s="3">
        <v>1969</v>
      </c>
      <c r="D5666" s="4">
        <v>10298723</v>
      </c>
    </row>
    <row r="5667" spans="1:4" x14ac:dyDescent="0.3">
      <c r="A5667" s="5" t="s">
        <v>178</v>
      </c>
      <c r="B5667" s="5" t="s">
        <v>179</v>
      </c>
      <c r="C5667" s="6">
        <v>1970</v>
      </c>
      <c r="D5667" s="7">
        <v>10337910</v>
      </c>
    </row>
    <row r="5668" spans="1:4" x14ac:dyDescent="0.3">
      <c r="A5668" s="2" t="s">
        <v>178</v>
      </c>
      <c r="B5668" s="2" t="s">
        <v>179</v>
      </c>
      <c r="C5668" s="3">
        <v>1971</v>
      </c>
      <c r="D5668" s="4">
        <v>10367537</v>
      </c>
    </row>
    <row r="5669" spans="1:4" x14ac:dyDescent="0.3">
      <c r="A5669" s="5" t="s">
        <v>178</v>
      </c>
      <c r="B5669" s="5" t="s">
        <v>179</v>
      </c>
      <c r="C5669" s="6">
        <v>1972</v>
      </c>
      <c r="D5669" s="7">
        <v>10398489</v>
      </c>
    </row>
    <row r="5670" spans="1:4" x14ac:dyDescent="0.3">
      <c r="A5670" s="2" t="s">
        <v>178</v>
      </c>
      <c r="B5670" s="2" t="s">
        <v>179</v>
      </c>
      <c r="C5670" s="3">
        <v>1973</v>
      </c>
      <c r="D5670" s="4">
        <v>10432055</v>
      </c>
    </row>
    <row r="5671" spans="1:4" x14ac:dyDescent="0.3">
      <c r="A5671" s="5" t="s">
        <v>178</v>
      </c>
      <c r="B5671" s="5" t="s">
        <v>179</v>
      </c>
      <c r="C5671" s="6">
        <v>1974</v>
      </c>
      <c r="D5671" s="7">
        <v>10478720</v>
      </c>
    </row>
    <row r="5672" spans="1:4" x14ac:dyDescent="0.3">
      <c r="A5672" s="2" t="s">
        <v>178</v>
      </c>
      <c r="B5672" s="2" t="s">
        <v>179</v>
      </c>
      <c r="C5672" s="3">
        <v>1975</v>
      </c>
      <c r="D5672" s="4">
        <v>10540525</v>
      </c>
    </row>
    <row r="5673" spans="1:4" x14ac:dyDescent="0.3">
      <c r="A5673" s="5" t="s">
        <v>178</v>
      </c>
      <c r="B5673" s="5" t="s">
        <v>179</v>
      </c>
      <c r="C5673" s="6">
        <v>1976</v>
      </c>
      <c r="D5673" s="7">
        <v>10598677</v>
      </c>
    </row>
    <row r="5674" spans="1:4" x14ac:dyDescent="0.3">
      <c r="A5674" s="2" t="s">
        <v>178</v>
      </c>
      <c r="B5674" s="2" t="s">
        <v>179</v>
      </c>
      <c r="C5674" s="3">
        <v>1977</v>
      </c>
      <c r="D5674" s="4">
        <v>10648031</v>
      </c>
    </row>
    <row r="5675" spans="1:4" x14ac:dyDescent="0.3">
      <c r="A5675" s="5" t="s">
        <v>178</v>
      </c>
      <c r="B5675" s="5" t="s">
        <v>179</v>
      </c>
      <c r="C5675" s="6">
        <v>1978</v>
      </c>
      <c r="D5675" s="7">
        <v>10684822</v>
      </c>
    </row>
    <row r="5676" spans="1:4" x14ac:dyDescent="0.3">
      <c r="A5676" s="2" t="s">
        <v>178</v>
      </c>
      <c r="B5676" s="2" t="s">
        <v>179</v>
      </c>
      <c r="C5676" s="3">
        <v>1979</v>
      </c>
      <c r="D5676" s="4">
        <v>10704152</v>
      </c>
    </row>
    <row r="5677" spans="1:4" x14ac:dyDescent="0.3">
      <c r="A5677" s="5" t="s">
        <v>178</v>
      </c>
      <c r="B5677" s="5" t="s">
        <v>179</v>
      </c>
      <c r="C5677" s="6">
        <v>1980</v>
      </c>
      <c r="D5677" s="7">
        <v>10711122</v>
      </c>
    </row>
    <row r="5678" spans="1:4" x14ac:dyDescent="0.3">
      <c r="A5678" s="2" t="s">
        <v>178</v>
      </c>
      <c r="B5678" s="2" t="s">
        <v>179</v>
      </c>
      <c r="C5678" s="3">
        <v>1981</v>
      </c>
      <c r="D5678" s="4">
        <v>10711848</v>
      </c>
    </row>
    <row r="5679" spans="1:4" x14ac:dyDescent="0.3">
      <c r="A5679" s="5" t="s">
        <v>178</v>
      </c>
      <c r="B5679" s="5" t="s">
        <v>179</v>
      </c>
      <c r="C5679" s="6">
        <v>1982</v>
      </c>
      <c r="D5679" s="7">
        <v>10705535</v>
      </c>
    </row>
    <row r="5680" spans="1:4" x14ac:dyDescent="0.3">
      <c r="A5680" s="2" t="s">
        <v>178</v>
      </c>
      <c r="B5680" s="2" t="s">
        <v>179</v>
      </c>
      <c r="C5680" s="3">
        <v>1983</v>
      </c>
      <c r="D5680" s="4">
        <v>10689463</v>
      </c>
    </row>
    <row r="5681" spans="1:4" x14ac:dyDescent="0.3">
      <c r="A5681" s="5" t="s">
        <v>178</v>
      </c>
      <c r="B5681" s="5" t="s">
        <v>179</v>
      </c>
      <c r="C5681" s="6">
        <v>1984</v>
      </c>
      <c r="D5681" s="7">
        <v>10668095</v>
      </c>
    </row>
    <row r="5682" spans="1:4" x14ac:dyDescent="0.3">
      <c r="A5682" s="2" t="s">
        <v>178</v>
      </c>
      <c r="B5682" s="2" t="s">
        <v>179</v>
      </c>
      <c r="C5682" s="3">
        <v>1985</v>
      </c>
      <c r="D5682" s="4">
        <v>10648713</v>
      </c>
    </row>
    <row r="5683" spans="1:4" x14ac:dyDescent="0.3">
      <c r="A5683" s="5" t="s">
        <v>178</v>
      </c>
      <c r="B5683" s="5" t="s">
        <v>179</v>
      </c>
      <c r="C5683" s="6">
        <v>1986</v>
      </c>
      <c r="D5683" s="7">
        <v>10630564</v>
      </c>
    </row>
    <row r="5684" spans="1:4" x14ac:dyDescent="0.3">
      <c r="A5684" s="2" t="s">
        <v>178</v>
      </c>
      <c r="B5684" s="2" t="s">
        <v>179</v>
      </c>
      <c r="C5684" s="3">
        <v>1987</v>
      </c>
      <c r="D5684" s="4">
        <v>10612741</v>
      </c>
    </row>
    <row r="5685" spans="1:4" x14ac:dyDescent="0.3">
      <c r="A5685" s="5" t="s">
        <v>178</v>
      </c>
      <c r="B5685" s="5" t="s">
        <v>179</v>
      </c>
      <c r="C5685" s="6">
        <v>1988</v>
      </c>
      <c r="D5685" s="7">
        <v>10596487</v>
      </c>
    </row>
    <row r="5686" spans="1:4" x14ac:dyDescent="0.3">
      <c r="A5686" s="2" t="s">
        <v>178</v>
      </c>
      <c r="B5686" s="2" t="s">
        <v>179</v>
      </c>
      <c r="C5686" s="3">
        <v>1989</v>
      </c>
      <c r="D5686" s="4">
        <v>10481719</v>
      </c>
    </row>
    <row r="5687" spans="1:4" x14ac:dyDescent="0.3">
      <c r="A5687" s="5" t="s">
        <v>178</v>
      </c>
      <c r="B5687" s="5" t="s">
        <v>179</v>
      </c>
      <c r="C5687" s="6">
        <v>1990</v>
      </c>
      <c r="D5687" s="7">
        <v>10373988</v>
      </c>
    </row>
    <row r="5688" spans="1:4" x14ac:dyDescent="0.3">
      <c r="A5688" s="2" t="s">
        <v>178</v>
      </c>
      <c r="B5688" s="2" t="s">
        <v>179</v>
      </c>
      <c r="C5688" s="3">
        <v>1991</v>
      </c>
      <c r="D5688" s="4">
        <v>10373400</v>
      </c>
    </row>
    <row r="5689" spans="1:4" x14ac:dyDescent="0.3">
      <c r="A5689" s="5" t="s">
        <v>178</v>
      </c>
      <c r="B5689" s="5" t="s">
        <v>179</v>
      </c>
      <c r="C5689" s="6">
        <v>1992</v>
      </c>
      <c r="D5689" s="7">
        <v>10369341</v>
      </c>
    </row>
    <row r="5690" spans="1:4" x14ac:dyDescent="0.3">
      <c r="A5690" s="2" t="s">
        <v>178</v>
      </c>
      <c r="B5690" s="2" t="s">
        <v>179</v>
      </c>
      <c r="C5690" s="3">
        <v>1993</v>
      </c>
      <c r="D5690" s="4">
        <v>10357523</v>
      </c>
    </row>
    <row r="5691" spans="1:4" x14ac:dyDescent="0.3">
      <c r="A5691" s="5" t="s">
        <v>178</v>
      </c>
      <c r="B5691" s="5" t="s">
        <v>179</v>
      </c>
      <c r="C5691" s="6">
        <v>1994</v>
      </c>
      <c r="D5691" s="7">
        <v>10343355</v>
      </c>
    </row>
    <row r="5692" spans="1:4" x14ac:dyDescent="0.3">
      <c r="A5692" s="2" t="s">
        <v>178</v>
      </c>
      <c r="B5692" s="2" t="s">
        <v>179</v>
      </c>
      <c r="C5692" s="3">
        <v>1995</v>
      </c>
      <c r="D5692" s="4">
        <v>10328965</v>
      </c>
    </row>
    <row r="5693" spans="1:4" x14ac:dyDescent="0.3">
      <c r="A5693" s="5" t="s">
        <v>178</v>
      </c>
      <c r="B5693" s="5" t="s">
        <v>179</v>
      </c>
      <c r="C5693" s="6">
        <v>1996</v>
      </c>
      <c r="D5693" s="7">
        <v>10311238</v>
      </c>
    </row>
    <row r="5694" spans="1:4" x14ac:dyDescent="0.3">
      <c r="A5694" s="2" t="s">
        <v>178</v>
      </c>
      <c r="B5694" s="2" t="s">
        <v>179</v>
      </c>
      <c r="C5694" s="3">
        <v>1997</v>
      </c>
      <c r="D5694" s="4">
        <v>10290486</v>
      </c>
    </row>
    <row r="5695" spans="1:4" x14ac:dyDescent="0.3">
      <c r="A5695" s="5" t="s">
        <v>178</v>
      </c>
      <c r="B5695" s="5" t="s">
        <v>179</v>
      </c>
      <c r="C5695" s="6">
        <v>1998</v>
      </c>
      <c r="D5695" s="7">
        <v>10266570</v>
      </c>
    </row>
    <row r="5696" spans="1:4" x14ac:dyDescent="0.3">
      <c r="A5696" s="2" t="s">
        <v>178</v>
      </c>
      <c r="B5696" s="2" t="s">
        <v>179</v>
      </c>
      <c r="C5696" s="3">
        <v>1999</v>
      </c>
      <c r="D5696" s="4">
        <v>10237530</v>
      </c>
    </row>
    <row r="5697" spans="1:4" x14ac:dyDescent="0.3">
      <c r="A5697" s="5" t="s">
        <v>178</v>
      </c>
      <c r="B5697" s="5" t="s">
        <v>179</v>
      </c>
      <c r="C5697" s="6">
        <v>2000</v>
      </c>
      <c r="D5697" s="7">
        <v>10210971</v>
      </c>
    </row>
    <row r="5698" spans="1:4" x14ac:dyDescent="0.3">
      <c r="A5698" s="2" t="s">
        <v>178</v>
      </c>
      <c r="B5698" s="2" t="s">
        <v>179</v>
      </c>
      <c r="C5698" s="3">
        <v>2001</v>
      </c>
      <c r="D5698" s="4">
        <v>10187576</v>
      </c>
    </row>
    <row r="5699" spans="1:4" x14ac:dyDescent="0.3">
      <c r="A5699" s="5" t="s">
        <v>178</v>
      </c>
      <c r="B5699" s="5" t="s">
        <v>179</v>
      </c>
      <c r="C5699" s="6">
        <v>2002</v>
      </c>
      <c r="D5699" s="7">
        <v>10158608</v>
      </c>
    </row>
    <row r="5700" spans="1:4" x14ac:dyDescent="0.3">
      <c r="A5700" s="2" t="s">
        <v>178</v>
      </c>
      <c r="B5700" s="2" t="s">
        <v>179</v>
      </c>
      <c r="C5700" s="3">
        <v>2003</v>
      </c>
      <c r="D5700" s="4">
        <v>10129552</v>
      </c>
    </row>
    <row r="5701" spans="1:4" x14ac:dyDescent="0.3">
      <c r="A5701" s="5" t="s">
        <v>178</v>
      </c>
      <c r="B5701" s="5" t="s">
        <v>179</v>
      </c>
      <c r="C5701" s="6">
        <v>2004</v>
      </c>
      <c r="D5701" s="7">
        <v>10107146</v>
      </c>
    </row>
    <row r="5702" spans="1:4" x14ac:dyDescent="0.3">
      <c r="A5702" s="2" t="s">
        <v>178</v>
      </c>
      <c r="B5702" s="2" t="s">
        <v>179</v>
      </c>
      <c r="C5702" s="3">
        <v>2005</v>
      </c>
      <c r="D5702" s="4">
        <v>10087065</v>
      </c>
    </row>
    <row r="5703" spans="1:4" x14ac:dyDescent="0.3">
      <c r="A5703" s="5" t="s">
        <v>178</v>
      </c>
      <c r="B5703" s="5" t="s">
        <v>179</v>
      </c>
      <c r="C5703" s="6">
        <v>2006</v>
      </c>
      <c r="D5703" s="7">
        <v>10071370</v>
      </c>
    </row>
    <row r="5704" spans="1:4" x14ac:dyDescent="0.3">
      <c r="A5704" s="2" t="s">
        <v>178</v>
      </c>
      <c r="B5704" s="2" t="s">
        <v>179</v>
      </c>
      <c r="C5704" s="3">
        <v>2007</v>
      </c>
      <c r="D5704" s="4">
        <v>10055780</v>
      </c>
    </row>
    <row r="5705" spans="1:4" x14ac:dyDescent="0.3">
      <c r="A5705" s="5" t="s">
        <v>178</v>
      </c>
      <c r="B5705" s="5" t="s">
        <v>179</v>
      </c>
      <c r="C5705" s="6">
        <v>2008</v>
      </c>
      <c r="D5705" s="7">
        <v>10038188</v>
      </c>
    </row>
    <row r="5706" spans="1:4" x14ac:dyDescent="0.3">
      <c r="A5706" s="2" t="s">
        <v>178</v>
      </c>
      <c r="B5706" s="2" t="s">
        <v>179</v>
      </c>
      <c r="C5706" s="3">
        <v>2009</v>
      </c>
      <c r="D5706" s="4">
        <v>10022650</v>
      </c>
    </row>
    <row r="5707" spans="1:4" x14ac:dyDescent="0.3">
      <c r="A5707" s="5" t="s">
        <v>178</v>
      </c>
      <c r="B5707" s="5" t="s">
        <v>179</v>
      </c>
      <c r="C5707" s="6">
        <v>2010</v>
      </c>
      <c r="D5707" s="7">
        <v>10000023</v>
      </c>
    </row>
    <row r="5708" spans="1:4" x14ac:dyDescent="0.3">
      <c r="A5708" s="2" t="s">
        <v>178</v>
      </c>
      <c r="B5708" s="2" t="s">
        <v>179</v>
      </c>
      <c r="C5708" s="3">
        <v>2011</v>
      </c>
      <c r="D5708" s="4">
        <v>9971727</v>
      </c>
    </row>
    <row r="5709" spans="1:4" x14ac:dyDescent="0.3">
      <c r="A5709" s="5" t="s">
        <v>178</v>
      </c>
      <c r="B5709" s="5" t="s">
        <v>179</v>
      </c>
      <c r="C5709" s="6">
        <v>2012</v>
      </c>
      <c r="D5709" s="7">
        <v>9920362</v>
      </c>
    </row>
    <row r="5710" spans="1:4" x14ac:dyDescent="0.3">
      <c r="A5710" s="2" t="s">
        <v>178</v>
      </c>
      <c r="B5710" s="2" t="s">
        <v>179</v>
      </c>
      <c r="C5710" s="3">
        <v>2013</v>
      </c>
      <c r="D5710" s="4">
        <v>9872734</v>
      </c>
    </row>
    <row r="5711" spans="1:4" x14ac:dyDescent="0.3">
      <c r="A5711" s="5" t="s">
        <v>178</v>
      </c>
      <c r="B5711" s="5" t="s">
        <v>179</v>
      </c>
      <c r="C5711" s="6">
        <v>2014</v>
      </c>
      <c r="D5711" s="7">
        <v>9833038</v>
      </c>
    </row>
    <row r="5712" spans="1:4" x14ac:dyDescent="0.3">
      <c r="A5712" s="2" t="s">
        <v>178</v>
      </c>
      <c r="B5712" s="2" t="s">
        <v>179</v>
      </c>
      <c r="C5712" s="3">
        <v>2015</v>
      </c>
      <c r="D5712" s="4">
        <v>9797755</v>
      </c>
    </row>
    <row r="5713" spans="1:4" x14ac:dyDescent="0.3">
      <c r="A5713" s="5" t="s">
        <v>178</v>
      </c>
      <c r="B5713" s="5" t="s">
        <v>179</v>
      </c>
      <c r="C5713" s="6">
        <v>2016</v>
      </c>
      <c r="D5713" s="7">
        <v>9759755</v>
      </c>
    </row>
    <row r="5714" spans="1:4" x14ac:dyDescent="0.3">
      <c r="A5714" s="2" t="s">
        <v>178</v>
      </c>
      <c r="B5714" s="2" t="s">
        <v>179</v>
      </c>
      <c r="C5714" s="3">
        <v>2017</v>
      </c>
      <c r="D5714" s="4">
        <v>9726756</v>
      </c>
    </row>
    <row r="5715" spans="1:4" x14ac:dyDescent="0.3">
      <c r="A5715" s="5" t="s">
        <v>178</v>
      </c>
      <c r="B5715" s="5" t="s">
        <v>179</v>
      </c>
      <c r="C5715" s="6">
        <v>2018</v>
      </c>
      <c r="D5715" s="7">
        <v>9706964</v>
      </c>
    </row>
    <row r="5716" spans="1:4" x14ac:dyDescent="0.3">
      <c r="A5716" s="2" t="s">
        <v>178</v>
      </c>
      <c r="B5716" s="2" t="s">
        <v>179</v>
      </c>
      <c r="C5716" s="3">
        <v>2019</v>
      </c>
      <c r="D5716" s="4">
        <v>9694824</v>
      </c>
    </row>
    <row r="5717" spans="1:4" x14ac:dyDescent="0.3">
      <c r="A5717" s="5" t="s">
        <v>178</v>
      </c>
      <c r="B5717" s="5" t="s">
        <v>179</v>
      </c>
      <c r="C5717" s="6">
        <v>2020</v>
      </c>
      <c r="D5717" s="7">
        <v>9670419</v>
      </c>
    </row>
    <row r="5718" spans="1:4" x14ac:dyDescent="0.3">
      <c r="A5718" s="2" t="s">
        <v>178</v>
      </c>
      <c r="B5718" s="2" t="s">
        <v>179</v>
      </c>
      <c r="C5718" s="3">
        <v>2021</v>
      </c>
      <c r="D5718" s="4">
        <v>9630932</v>
      </c>
    </row>
    <row r="5719" spans="1:4" x14ac:dyDescent="0.3">
      <c r="A5719" s="5" t="s">
        <v>178</v>
      </c>
      <c r="B5719" s="5" t="s">
        <v>179</v>
      </c>
      <c r="C5719" s="6">
        <v>2022</v>
      </c>
      <c r="D5719" s="7">
        <v>9605074</v>
      </c>
    </row>
    <row r="5720" spans="1:4" x14ac:dyDescent="0.3">
      <c r="A5720" s="2" t="s">
        <v>178</v>
      </c>
      <c r="B5720" s="2" t="s">
        <v>179</v>
      </c>
      <c r="C5720" s="3">
        <v>2023</v>
      </c>
      <c r="D5720" s="4">
        <v>9592186</v>
      </c>
    </row>
    <row r="5721" spans="1:4" x14ac:dyDescent="0.3">
      <c r="A5721" s="5" t="s">
        <v>178</v>
      </c>
      <c r="B5721" s="5" t="s">
        <v>179</v>
      </c>
      <c r="C5721" s="6">
        <v>2024</v>
      </c>
      <c r="D5721" s="7">
        <v>9562314</v>
      </c>
    </row>
    <row r="5722" spans="1:4" x14ac:dyDescent="0.3">
      <c r="A5722" s="2" t="s">
        <v>180</v>
      </c>
      <c r="B5722" s="2" t="s">
        <v>181</v>
      </c>
      <c r="C5722" s="3">
        <v>1960</v>
      </c>
      <c r="D5722" s="4">
        <v>175574</v>
      </c>
    </row>
    <row r="5723" spans="1:4" x14ac:dyDescent="0.3">
      <c r="A5723" s="5" t="s">
        <v>180</v>
      </c>
      <c r="B5723" s="5" t="s">
        <v>181</v>
      </c>
      <c r="C5723" s="6">
        <v>1961</v>
      </c>
      <c r="D5723" s="7">
        <v>179029</v>
      </c>
    </row>
    <row r="5724" spans="1:4" x14ac:dyDescent="0.3">
      <c r="A5724" s="2" t="s">
        <v>180</v>
      </c>
      <c r="B5724" s="2" t="s">
        <v>181</v>
      </c>
      <c r="C5724" s="3">
        <v>1962</v>
      </c>
      <c r="D5724" s="4">
        <v>182378</v>
      </c>
    </row>
    <row r="5725" spans="1:4" x14ac:dyDescent="0.3">
      <c r="A5725" s="5" t="s">
        <v>180</v>
      </c>
      <c r="B5725" s="5" t="s">
        <v>181</v>
      </c>
      <c r="C5725" s="6">
        <v>1963</v>
      </c>
      <c r="D5725" s="7">
        <v>185653</v>
      </c>
    </row>
    <row r="5726" spans="1:4" x14ac:dyDescent="0.3">
      <c r="A5726" s="2" t="s">
        <v>180</v>
      </c>
      <c r="B5726" s="2" t="s">
        <v>181</v>
      </c>
      <c r="C5726" s="3">
        <v>1964</v>
      </c>
      <c r="D5726" s="4">
        <v>188983</v>
      </c>
    </row>
    <row r="5727" spans="1:4" x14ac:dyDescent="0.3">
      <c r="A5727" s="5" t="s">
        <v>180</v>
      </c>
      <c r="B5727" s="5" t="s">
        <v>181</v>
      </c>
      <c r="C5727" s="6">
        <v>1965</v>
      </c>
      <c r="D5727" s="7">
        <v>192286</v>
      </c>
    </row>
    <row r="5728" spans="1:4" x14ac:dyDescent="0.3">
      <c r="A5728" s="2" t="s">
        <v>180</v>
      </c>
      <c r="B5728" s="2" t="s">
        <v>181</v>
      </c>
      <c r="C5728" s="3">
        <v>1966</v>
      </c>
      <c r="D5728" s="4">
        <v>195570</v>
      </c>
    </row>
    <row r="5729" spans="1:4" x14ac:dyDescent="0.3">
      <c r="A5729" s="5" t="s">
        <v>180</v>
      </c>
      <c r="B5729" s="5" t="s">
        <v>181</v>
      </c>
      <c r="C5729" s="6">
        <v>1967</v>
      </c>
      <c r="D5729" s="7">
        <v>198751</v>
      </c>
    </row>
    <row r="5730" spans="1:4" x14ac:dyDescent="0.3">
      <c r="A5730" s="2" t="s">
        <v>180</v>
      </c>
      <c r="B5730" s="2" t="s">
        <v>181</v>
      </c>
      <c r="C5730" s="3">
        <v>1968</v>
      </c>
      <c r="D5730" s="4">
        <v>201488</v>
      </c>
    </row>
    <row r="5731" spans="1:4" x14ac:dyDescent="0.3">
      <c r="A5731" s="5" t="s">
        <v>180</v>
      </c>
      <c r="B5731" s="5" t="s">
        <v>181</v>
      </c>
      <c r="C5731" s="6">
        <v>1969</v>
      </c>
      <c r="D5731" s="7">
        <v>203369</v>
      </c>
    </row>
    <row r="5732" spans="1:4" x14ac:dyDescent="0.3">
      <c r="A5732" s="2" t="s">
        <v>180</v>
      </c>
      <c r="B5732" s="2" t="s">
        <v>181</v>
      </c>
      <c r="C5732" s="3">
        <v>1970</v>
      </c>
      <c r="D5732" s="4">
        <v>204438</v>
      </c>
    </row>
    <row r="5733" spans="1:4" x14ac:dyDescent="0.3">
      <c r="A5733" s="5" t="s">
        <v>180</v>
      </c>
      <c r="B5733" s="5" t="s">
        <v>181</v>
      </c>
      <c r="C5733" s="6">
        <v>1971</v>
      </c>
      <c r="D5733" s="7">
        <v>206098</v>
      </c>
    </row>
    <row r="5734" spans="1:4" x14ac:dyDescent="0.3">
      <c r="A5734" s="2" t="s">
        <v>180</v>
      </c>
      <c r="B5734" s="2" t="s">
        <v>181</v>
      </c>
      <c r="C5734" s="3">
        <v>1972</v>
      </c>
      <c r="D5734" s="4">
        <v>209137</v>
      </c>
    </row>
    <row r="5735" spans="1:4" x14ac:dyDescent="0.3">
      <c r="A5735" s="5" t="s">
        <v>180</v>
      </c>
      <c r="B5735" s="5" t="s">
        <v>181</v>
      </c>
      <c r="C5735" s="6">
        <v>1973</v>
      </c>
      <c r="D5735" s="7">
        <v>212317</v>
      </c>
    </row>
    <row r="5736" spans="1:4" x14ac:dyDescent="0.3">
      <c r="A5736" s="2" t="s">
        <v>180</v>
      </c>
      <c r="B5736" s="2" t="s">
        <v>181</v>
      </c>
      <c r="C5736" s="3">
        <v>1974</v>
      </c>
      <c r="D5736" s="4">
        <v>215209</v>
      </c>
    </row>
    <row r="5737" spans="1:4" x14ac:dyDescent="0.3">
      <c r="A5737" s="5" t="s">
        <v>180</v>
      </c>
      <c r="B5737" s="5" t="s">
        <v>181</v>
      </c>
      <c r="C5737" s="6">
        <v>1975</v>
      </c>
      <c r="D5737" s="7">
        <v>217979</v>
      </c>
    </row>
    <row r="5738" spans="1:4" x14ac:dyDescent="0.3">
      <c r="A5738" s="2" t="s">
        <v>180</v>
      </c>
      <c r="B5738" s="2" t="s">
        <v>181</v>
      </c>
      <c r="C5738" s="3">
        <v>1976</v>
      </c>
      <c r="D5738" s="4">
        <v>220154</v>
      </c>
    </row>
    <row r="5739" spans="1:4" x14ac:dyDescent="0.3">
      <c r="A5739" s="5" t="s">
        <v>180</v>
      </c>
      <c r="B5739" s="5" t="s">
        <v>181</v>
      </c>
      <c r="C5739" s="6">
        <v>1977</v>
      </c>
      <c r="D5739" s="7">
        <v>221799</v>
      </c>
    </row>
    <row r="5740" spans="1:4" x14ac:dyDescent="0.3">
      <c r="A5740" s="2" t="s">
        <v>180</v>
      </c>
      <c r="B5740" s="2" t="s">
        <v>181</v>
      </c>
      <c r="C5740" s="3">
        <v>1978</v>
      </c>
      <c r="D5740" s="4">
        <v>223537</v>
      </c>
    </row>
    <row r="5741" spans="1:4" x14ac:dyDescent="0.3">
      <c r="A5741" s="5" t="s">
        <v>180</v>
      </c>
      <c r="B5741" s="5" t="s">
        <v>181</v>
      </c>
      <c r="C5741" s="6">
        <v>1979</v>
      </c>
      <c r="D5741" s="7">
        <v>225735</v>
      </c>
    </row>
    <row r="5742" spans="1:4" x14ac:dyDescent="0.3">
      <c r="A5742" s="2" t="s">
        <v>180</v>
      </c>
      <c r="B5742" s="2" t="s">
        <v>181</v>
      </c>
      <c r="C5742" s="3">
        <v>1980</v>
      </c>
      <c r="D5742" s="4">
        <v>228138</v>
      </c>
    </row>
    <row r="5743" spans="1:4" x14ac:dyDescent="0.3">
      <c r="A5743" s="5" t="s">
        <v>180</v>
      </c>
      <c r="B5743" s="5" t="s">
        <v>181</v>
      </c>
      <c r="C5743" s="6">
        <v>1981</v>
      </c>
      <c r="D5743" s="7">
        <v>230755</v>
      </c>
    </row>
    <row r="5744" spans="1:4" x14ac:dyDescent="0.3">
      <c r="A5744" s="2" t="s">
        <v>180</v>
      </c>
      <c r="B5744" s="2" t="s">
        <v>181</v>
      </c>
      <c r="C5744" s="3">
        <v>1982</v>
      </c>
      <c r="D5744" s="4">
        <v>233860</v>
      </c>
    </row>
    <row r="5745" spans="1:4" x14ac:dyDescent="0.3">
      <c r="A5745" s="5" t="s">
        <v>180</v>
      </c>
      <c r="B5745" s="5" t="s">
        <v>181</v>
      </c>
      <c r="C5745" s="6">
        <v>1983</v>
      </c>
      <c r="D5745" s="7">
        <v>236977</v>
      </c>
    </row>
    <row r="5746" spans="1:4" x14ac:dyDescent="0.3">
      <c r="A5746" s="2" t="s">
        <v>180</v>
      </c>
      <c r="B5746" s="2" t="s">
        <v>181</v>
      </c>
      <c r="C5746" s="3">
        <v>1984</v>
      </c>
      <c r="D5746" s="4">
        <v>239511</v>
      </c>
    </row>
    <row r="5747" spans="1:4" x14ac:dyDescent="0.3">
      <c r="A5747" s="5" t="s">
        <v>180</v>
      </c>
      <c r="B5747" s="5" t="s">
        <v>181</v>
      </c>
      <c r="C5747" s="6">
        <v>1985</v>
      </c>
      <c r="D5747" s="7">
        <v>241405</v>
      </c>
    </row>
    <row r="5748" spans="1:4" x14ac:dyDescent="0.3">
      <c r="A5748" s="2" t="s">
        <v>180</v>
      </c>
      <c r="B5748" s="2" t="s">
        <v>181</v>
      </c>
      <c r="C5748" s="3">
        <v>1986</v>
      </c>
      <c r="D5748" s="4">
        <v>243180</v>
      </c>
    </row>
    <row r="5749" spans="1:4" x14ac:dyDescent="0.3">
      <c r="A5749" s="5" t="s">
        <v>180</v>
      </c>
      <c r="B5749" s="5" t="s">
        <v>181</v>
      </c>
      <c r="C5749" s="6">
        <v>1987</v>
      </c>
      <c r="D5749" s="7">
        <v>245859</v>
      </c>
    </row>
    <row r="5750" spans="1:4" x14ac:dyDescent="0.3">
      <c r="A5750" s="2" t="s">
        <v>180</v>
      </c>
      <c r="B5750" s="2" t="s">
        <v>181</v>
      </c>
      <c r="C5750" s="3">
        <v>1988</v>
      </c>
      <c r="D5750" s="4">
        <v>249740</v>
      </c>
    </row>
    <row r="5751" spans="1:4" x14ac:dyDescent="0.3">
      <c r="A5751" s="5" t="s">
        <v>180</v>
      </c>
      <c r="B5751" s="5" t="s">
        <v>181</v>
      </c>
      <c r="C5751" s="6">
        <v>1989</v>
      </c>
      <c r="D5751" s="7">
        <v>252852</v>
      </c>
    </row>
    <row r="5752" spans="1:4" x14ac:dyDescent="0.3">
      <c r="A5752" s="2" t="s">
        <v>180</v>
      </c>
      <c r="B5752" s="2" t="s">
        <v>181</v>
      </c>
      <c r="C5752" s="3">
        <v>1990</v>
      </c>
      <c r="D5752" s="4">
        <v>254826</v>
      </c>
    </row>
    <row r="5753" spans="1:4" x14ac:dyDescent="0.3">
      <c r="A5753" s="5" t="s">
        <v>180</v>
      </c>
      <c r="B5753" s="5" t="s">
        <v>181</v>
      </c>
      <c r="C5753" s="6">
        <v>1991</v>
      </c>
      <c r="D5753" s="7">
        <v>257797</v>
      </c>
    </row>
    <row r="5754" spans="1:4" x14ac:dyDescent="0.3">
      <c r="A5754" s="2" t="s">
        <v>180</v>
      </c>
      <c r="B5754" s="2" t="s">
        <v>181</v>
      </c>
      <c r="C5754" s="3">
        <v>1992</v>
      </c>
      <c r="D5754" s="4">
        <v>261057</v>
      </c>
    </row>
    <row r="5755" spans="1:4" x14ac:dyDescent="0.3">
      <c r="A5755" s="5" t="s">
        <v>180</v>
      </c>
      <c r="B5755" s="5" t="s">
        <v>181</v>
      </c>
      <c r="C5755" s="6">
        <v>1993</v>
      </c>
      <c r="D5755" s="7">
        <v>263725</v>
      </c>
    </row>
    <row r="5756" spans="1:4" x14ac:dyDescent="0.3">
      <c r="A5756" s="2" t="s">
        <v>180</v>
      </c>
      <c r="B5756" s="2" t="s">
        <v>181</v>
      </c>
      <c r="C5756" s="3">
        <v>1994</v>
      </c>
      <c r="D5756" s="4">
        <v>266021</v>
      </c>
    </row>
    <row r="5757" spans="1:4" x14ac:dyDescent="0.3">
      <c r="A5757" s="5" t="s">
        <v>180</v>
      </c>
      <c r="B5757" s="5" t="s">
        <v>181</v>
      </c>
      <c r="C5757" s="6">
        <v>1995</v>
      </c>
      <c r="D5757" s="7">
        <v>267468</v>
      </c>
    </row>
    <row r="5758" spans="1:4" x14ac:dyDescent="0.3">
      <c r="A5758" s="2" t="s">
        <v>180</v>
      </c>
      <c r="B5758" s="2" t="s">
        <v>181</v>
      </c>
      <c r="C5758" s="3">
        <v>1996</v>
      </c>
      <c r="D5758" s="4">
        <v>268916</v>
      </c>
    </row>
    <row r="5759" spans="1:4" x14ac:dyDescent="0.3">
      <c r="A5759" s="5" t="s">
        <v>180</v>
      </c>
      <c r="B5759" s="5" t="s">
        <v>181</v>
      </c>
      <c r="C5759" s="6">
        <v>1997</v>
      </c>
      <c r="D5759" s="7">
        <v>271128</v>
      </c>
    </row>
    <row r="5760" spans="1:4" x14ac:dyDescent="0.3">
      <c r="A5760" s="2" t="s">
        <v>180</v>
      </c>
      <c r="B5760" s="2" t="s">
        <v>181</v>
      </c>
      <c r="C5760" s="3">
        <v>1998</v>
      </c>
      <c r="D5760" s="4">
        <v>274047</v>
      </c>
    </row>
    <row r="5761" spans="1:4" x14ac:dyDescent="0.3">
      <c r="A5761" s="5" t="s">
        <v>180</v>
      </c>
      <c r="B5761" s="5" t="s">
        <v>181</v>
      </c>
      <c r="C5761" s="6">
        <v>1999</v>
      </c>
      <c r="D5761" s="7">
        <v>277381</v>
      </c>
    </row>
    <row r="5762" spans="1:4" x14ac:dyDescent="0.3">
      <c r="A5762" s="2" t="s">
        <v>180</v>
      </c>
      <c r="B5762" s="2" t="s">
        <v>181</v>
      </c>
      <c r="C5762" s="3">
        <v>2000</v>
      </c>
      <c r="D5762" s="4">
        <v>281205</v>
      </c>
    </row>
    <row r="5763" spans="1:4" x14ac:dyDescent="0.3">
      <c r="A5763" s="5" t="s">
        <v>180</v>
      </c>
      <c r="B5763" s="5" t="s">
        <v>181</v>
      </c>
      <c r="C5763" s="6">
        <v>2001</v>
      </c>
      <c r="D5763" s="7">
        <v>284968</v>
      </c>
    </row>
    <row r="5764" spans="1:4" x14ac:dyDescent="0.3">
      <c r="A5764" s="2" t="s">
        <v>180</v>
      </c>
      <c r="B5764" s="2" t="s">
        <v>181</v>
      </c>
      <c r="C5764" s="3">
        <v>2002</v>
      </c>
      <c r="D5764" s="4">
        <v>287523</v>
      </c>
    </row>
    <row r="5765" spans="1:4" x14ac:dyDescent="0.3">
      <c r="A5765" s="5" t="s">
        <v>180</v>
      </c>
      <c r="B5765" s="5" t="s">
        <v>181</v>
      </c>
      <c r="C5765" s="6">
        <v>2003</v>
      </c>
      <c r="D5765" s="7">
        <v>289521</v>
      </c>
    </row>
    <row r="5766" spans="1:4" x14ac:dyDescent="0.3">
      <c r="A5766" s="2" t="s">
        <v>180</v>
      </c>
      <c r="B5766" s="2" t="s">
        <v>181</v>
      </c>
      <c r="C5766" s="3">
        <v>2004</v>
      </c>
      <c r="D5766" s="4">
        <v>292074</v>
      </c>
    </row>
    <row r="5767" spans="1:4" x14ac:dyDescent="0.3">
      <c r="A5767" s="5" t="s">
        <v>180</v>
      </c>
      <c r="B5767" s="5" t="s">
        <v>181</v>
      </c>
      <c r="C5767" s="6">
        <v>2005</v>
      </c>
      <c r="D5767" s="7">
        <v>296734</v>
      </c>
    </row>
    <row r="5768" spans="1:4" x14ac:dyDescent="0.3">
      <c r="A5768" s="2" t="s">
        <v>180</v>
      </c>
      <c r="B5768" s="2" t="s">
        <v>181</v>
      </c>
      <c r="C5768" s="3">
        <v>2006</v>
      </c>
      <c r="D5768" s="4">
        <v>303782</v>
      </c>
    </row>
    <row r="5769" spans="1:4" x14ac:dyDescent="0.3">
      <c r="A5769" s="5" t="s">
        <v>180</v>
      </c>
      <c r="B5769" s="5" t="s">
        <v>181</v>
      </c>
      <c r="C5769" s="6">
        <v>2007</v>
      </c>
      <c r="D5769" s="7">
        <v>311566</v>
      </c>
    </row>
    <row r="5770" spans="1:4" x14ac:dyDescent="0.3">
      <c r="A5770" s="2" t="s">
        <v>180</v>
      </c>
      <c r="B5770" s="2" t="s">
        <v>181</v>
      </c>
      <c r="C5770" s="3">
        <v>2008</v>
      </c>
      <c r="D5770" s="4">
        <v>317414</v>
      </c>
    </row>
    <row r="5771" spans="1:4" x14ac:dyDescent="0.3">
      <c r="A5771" s="5" t="s">
        <v>180</v>
      </c>
      <c r="B5771" s="5" t="s">
        <v>181</v>
      </c>
      <c r="C5771" s="6">
        <v>2009</v>
      </c>
      <c r="D5771" s="7">
        <v>318499</v>
      </c>
    </row>
    <row r="5772" spans="1:4" x14ac:dyDescent="0.3">
      <c r="A5772" s="2" t="s">
        <v>180</v>
      </c>
      <c r="B5772" s="2" t="s">
        <v>181</v>
      </c>
      <c r="C5772" s="3">
        <v>2010</v>
      </c>
      <c r="D5772" s="4">
        <v>318041</v>
      </c>
    </row>
    <row r="5773" spans="1:4" x14ac:dyDescent="0.3">
      <c r="A5773" s="5" t="s">
        <v>180</v>
      </c>
      <c r="B5773" s="5" t="s">
        <v>181</v>
      </c>
      <c r="C5773" s="6">
        <v>2011</v>
      </c>
      <c r="D5773" s="7">
        <v>319014</v>
      </c>
    </row>
    <row r="5774" spans="1:4" x14ac:dyDescent="0.3">
      <c r="A5774" s="2" t="s">
        <v>180</v>
      </c>
      <c r="B5774" s="2" t="s">
        <v>181</v>
      </c>
      <c r="C5774" s="3">
        <v>2012</v>
      </c>
      <c r="D5774" s="4">
        <v>320716</v>
      </c>
    </row>
    <row r="5775" spans="1:4" x14ac:dyDescent="0.3">
      <c r="A5775" s="5" t="s">
        <v>180</v>
      </c>
      <c r="B5775" s="5" t="s">
        <v>181</v>
      </c>
      <c r="C5775" s="6">
        <v>2013</v>
      </c>
      <c r="D5775" s="7">
        <v>323764</v>
      </c>
    </row>
    <row r="5776" spans="1:4" x14ac:dyDescent="0.3">
      <c r="A5776" s="2" t="s">
        <v>180</v>
      </c>
      <c r="B5776" s="2" t="s">
        <v>181</v>
      </c>
      <c r="C5776" s="3">
        <v>2014</v>
      </c>
      <c r="D5776" s="4">
        <v>327386</v>
      </c>
    </row>
    <row r="5777" spans="1:4" x14ac:dyDescent="0.3">
      <c r="A5777" s="5" t="s">
        <v>180</v>
      </c>
      <c r="B5777" s="5" t="s">
        <v>181</v>
      </c>
      <c r="C5777" s="6">
        <v>2015</v>
      </c>
      <c r="D5777" s="7">
        <v>330815</v>
      </c>
    </row>
    <row r="5778" spans="1:4" x14ac:dyDescent="0.3">
      <c r="A5778" s="2" t="s">
        <v>180</v>
      </c>
      <c r="B5778" s="2" t="s">
        <v>181</v>
      </c>
      <c r="C5778" s="3">
        <v>2016</v>
      </c>
      <c r="D5778" s="4">
        <v>335439</v>
      </c>
    </row>
    <row r="5779" spans="1:4" x14ac:dyDescent="0.3">
      <c r="A5779" s="5" t="s">
        <v>180</v>
      </c>
      <c r="B5779" s="5" t="s">
        <v>181</v>
      </c>
      <c r="C5779" s="6">
        <v>2017</v>
      </c>
      <c r="D5779" s="7">
        <v>343400</v>
      </c>
    </row>
    <row r="5780" spans="1:4" x14ac:dyDescent="0.3">
      <c r="A5780" s="2" t="s">
        <v>180</v>
      </c>
      <c r="B5780" s="2" t="s">
        <v>181</v>
      </c>
      <c r="C5780" s="3">
        <v>2018</v>
      </c>
      <c r="D5780" s="4">
        <v>352721</v>
      </c>
    </row>
    <row r="5781" spans="1:4" x14ac:dyDescent="0.3">
      <c r="A5781" s="5" t="s">
        <v>180</v>
      </c>
      <c r="B5781" s="5" t="s">
        <v>181</v>
      </c>
      <c r="C5781" s="6">
        <v>2019</v>
      </c>
      <c r="D5781" s="7">
        <v>360563</v>
      </c>
    </row>
    <row r="5782" spans="1:4" x14ac:dyDescent="0.3">
      <c r="A5782" s="2" t="s">
        <v>180</v>
      </c>
      <c r="B5782" s="2" t="s">
        <v>181</v>
      </c>
      <c r="C5782" s="3">
        <v>2020</v>
      </c>
      <c r="D5782" s="4">
        <v>366463</v>
      </c>
    </row>
    <row r="5783" spans="1:4" x14ac:dyDescent="0.3">
      <c r="A5783" s="5" t="s">
        <v>180</v>
      </c>
      <c r="B5783" s="5" t="s">
        <v>181</v>
      </c>
      <c r="C5783" s="6">
        <v>2021</v>
      </c>
      <c r="D5783" s="7">
        <v>372520</v>
      </c>
    </row>
    <row r="5784" spans="1:4" x14ac:dyDescent="0.3">
      <c r="A5784" s="2" t="s">
        <v>180</v>
      </c>
      <c r="B5784" s="2" t="s">
        <v>181</v>
      </c>
      <c r="C5784" s="3">
        <v>2022</v>
      </c>
      <c r="D5784" s="4">
        <v>382003</v>
      </c>
    </row>
    <row r="5785" spans="1:4" x14ac:dyDescent="0.3">
      <c r="A5785" s="5" t="s">
        <v>180</v>
      </c>
      <c r="B5785" s="5" t="s">
        <v>181</v>
      </c>
      <c r="C5785" s="6">
        <v>2023</v>
      </c>
      <c r="D5785" s="7">
        <v>393349</v>
      </c>
    </row>
    <row r="5786" spans="1:4" x14ac:dyDescent="0.3">
      <c r="A5786" s="2" t="s">
        <v>180</v>
      </c>
      <c r="B5786" s="2" t="s">
        <v>181</v>
      </c>
      <c r="C5786" s="3">
        <v>2024</v>
      </c>
      <c r="D5786" s="4">
        <v>404610</v>
      </c>
    </row>
    <row r="5787" spans="1:4" x14ac:dyDescent="0.3">
      <c r="A5787" s="5" t="s">
        <v>182</v>
      </c>
      <c r="B5787" s="5" t="s">
        <v>183</v>
      </c>
      <c r="C5787" s="6">
        <v>1960</v>
      </c>
      <c r="D5787" s="7">
        <v>435990338</v>
      </c>
    </row>
    <row r="5788" spans="1:4" x14ac:dyDescent="0.3">
      <c r="A5788" s="2" t="s">
        <v>182</v>
      </c>
      <c r="B5788" s="2" t="s">
        <v>183</v>
      </c>
      <c r="C5788" s="3">
        <v>1961</v>
      </c>
      <c r="D5788" s="4">
        <v>446564729</v>
      </c>
    </row>
    <row r="5789" spans="1:4" x14ac:dyDescent="0.3">
      <c r="A5789" s="5" t="s">
        <v>182</v>
      </c>
      <c r="B5789" s="5" t="s">
        <v>183</v>
      </c>
      <c r="C5789" s="6">
        <v>1962</v>
      </c>
      <c r="D5789" s="7">
        <v>457283090</v>
      </c>
    </row>
    <row r="5790" spans="1:4" x14ac:dyDescent="0.3">
      <c r="A5790" s="2" t="s">
        <v>182</v>
      </c>
      <c r="B5790" s="2" t="s">
        <v>183</v>
      </c>
      <c r="C5790" s="3">
        <v>1963</v>
      </c>
      <c r="D5790" s="4">
        <v>468138575</v>
      </c>
    </row>
    <row r="5791" spans="1:4" x14ac:dyDescent="0.3">
      <c r="A5791" s="5" t="s">
        <v>182</v>
      </c>
      <c r="B5791" s="5" t="s">
        <v>183</v>
      </c>
      <c r="C5791" s="6">
        <v>1964</v>
      </c>
      <c r="D5791" s="7">
        <v>479229598</v>
      </c>
    </row>
    <row r="5792" spans="1:4" x14ac:dyDescent="0.3">
      <c r="A5792" s="2" t="s">
        <v>182</v>
      </c>
      <c r="B5792" s="2" t="s">
        <v>183</v>
      </c>
      <c r="C5792" s="3">
        <v>1965</v>
      </c>
      <c r="D5792" s="4">
        <v>490140146</v>
      </c>
    </row>
    <row r="5793" spans="1:4" x14ac:dyDescent="0.3">
      <c r="A5793" s="5" t="s">
        <v>182</v>
      </c>
      <c r="B5793" s="5" t="s">
        <v>183</v>
      </c>
      <c r="C5793" s="6">
        <v>1966</v>
      </c>
      <c r="D5793" s="7">
        <v>500740247</v>
      </c>
    </row>
    <row r="5794" spans="1:4" x14ac:dyDescent="0.3">
      <c r="A5794" s="2" t="s">
        <v>182</v>
      </c>
      <c r="B5794" s="2" t="s">
        <v>183</v>
      </c>
      <c r="C5794" s="3">
        <v>1967</v>
      </c>
      <c r="D5794" s="4">
        <v>511606372</v>
      </c>
    </row>
    <row r="5795" spans="1:4" x14ac:dyDescent="0.3">
      <c r="A5795" s="5" t="s">
        <v>182</v>
      </c>
      <c r="B5795" s="5" t="s">
        <v>183</v>
      </c>
      <c r="C5795" s="6">
        <v>1968</v>
      </c>
      <c r="D5795" s="7">
        <v>522716889</v>
      </c>
    </row>
    <row r="5796" spans="1:4" x14ac:dyDescent="0.3">
      <c r="A5796" s="2" t="s">
        <v>182</v>
      </c>
      <c r="B5796" s="2" t="s">
        <v>183</v>
      </c>
      <c r="C5796" s="3">
        <v>1969</v>
      </c>
      <c r="D5796" s="4">
        <v>533880544</v>
      </c>
    </row>
    <row r="5797" spans="1:4" x14ac:dyDescent="0.3">
      <c r="A5797" s="5" t="s">
        <v>182</v>
      </c>
      <c r="B5797" s="5" t="s">
        <v>183</v>
      </c>
      <c r="C5797" s="6">
        <v>1970</v>
      </c>
      <c r="D5797" s="7">
        <v>545864268</v>
      </c>
    </row>
    <row r="5798" spans="1:4" x14ac:dyDescent="0.3">
      <c r="A5798" s="2" t="s">
        <v>182</v>
      </c>
      <c r="B5798" s="2" t="s">
        <v>183</v>
      </c>
      <c r="C5798" s="3">
        <v>1971</v>
      </c>
      <c r="D5798" s="4">
        <v>558096387</v>
      </c>
    </row>
    <row r="5799" spans="1:4" x14ac:dyDescent="0.3">
      <c r="A5799" s="5" t="s">
        <v>182</v>
      </c>
      <c r="B5799" s="5" t="s">
        <v>183</v>
      </c>
      <c r="C5799" s="6">
        <v>1972</v>
      </c>
      <c r="D5799" s="7">
        <v>570482142</v>
      </c>
    </row>
    <row r="5800" spans="1:4" x14ac:dyDescent="0.3">
      <c r="A5800" s="2" t="s">
        <v>182</v>
      </c>
      <c r="B5800" s="2" t="s">
        <v>183</v>
      </c>
      <c r="C5800" s="3">
        <v>1973</v>
      </c>
      <c r="D5800" s="4">
        <v>583465598</v>
      </c>
    </row>
    <row r="5801" spans="1:4" x14ac:dyDescent="0.3">
      <c r="A5801" s="5" t="s">
        <v>182</v>
      </c>
      <c r="B5801" s="5" t="s">
        <v>183</v>
      </c>
      <c r="C5801" s="6">
        <v>1974</v>
      </c>
      <c r="D5801" s="7">
        <v>597041391</v>
      </c>
    </row>
    <row r="5802" spans="1:4" x14ac:dyDescent="0.3">
      <c r="A5802" s="2" t="s">
        <v>182</v>
      </c>
      <c r="B5802" s="2" t="s">
        <v>183</v>
      </c>
      <c r="C5802" s="3">
        <v>1975</v>
      </c>
      <c r="D5802" s="4">
        <v>611309535</v>
      </c>
    </row>
    <row r="5803" spans="1:4" x14ac:dyDescent="0.3">
      <c r="A5803" s="5" t="s">
        <v>182</v>
      </c>
      <c r="B5803" s="5" t="s">
        <v>183</v>
      </c>
      <c r="C5803" s="6">
        <v>1976</v>
      </c>
      <c r="D5803" s="7">
        <v>625861883</v>
      </c>
    </row>
    <row r="5804" spans="1:4" x14ac:dyDescent="0.3">
      <c r="A5804" s="2" t="s">
        <v>182</v>
      </c>
      <c r="B5804" s="2" t="s">
        <v>183</v>
      </c>
      <c r="C5804" s="3">
        <v>1977</v>
      </c>
      <c r="D5804" s="4">
        <v>640801103</v>
      </c>
    </row>
    <row r="5805" spans="1:4" x14ac:dyDescent="0.3">
      <c r="A5805" s="5" t="s">
        <v>182</v>
      </c>
      <c r="B5805" s="5" t="s">
        <v>183</v>
      </c>
      <c r="C5805" s="6">
        <v>1978</v>
      </c>
      <c r="D5805" s="7">
        <v>655728229</v>
      </c>
    </row>
    <row r="5806" spans="1:4" x14ac:dyDescent="0.3">
      <c r="A5806" s="2" t="s">
        <v>182</v>
      </c>
      <c r="B5806" s="2" t="s">
        <v>183</v>
      </c>
      <c r="C5806" s="3">
        <v>1979</v>
      </c>
      <c r="D5806" s="4">
        <v>671155747</v>
      </c>
    </row>
    <row r="5807" spans="1:4" x14ac:dyDescent="0.3">
      <c r="A5807" s="5" t="s">
        <v>182</v>
      </c>
      <c r="B5807" s="5" t="s">
        <v>183</v>
      </c>
      <c r="C5807" s="6">
        <v>1980</v>
      </c>
      <c r="D5807" s="7">
        <v>687354025</v>
      </c>
    </row>
    <row r="5808" spans="1:4" x14ac:dyDescent="0.3">
      <c r="A5808" s="2" t="s">
        <v>182</v>
      </c>
      <c r="B5808" s="2" t="s">
        <v>183</v>
      </c>
      <c r="C5808" s="3">
        <v>1981</v>
      </c>
      <c r="D5808" s="4">
        <v>703696250</v>
      </c>
    </row>
    <row r="5809" spans="1:4" x14ac:dyDescent="0.3">
      <c r="A5809" s="5" t="s">
        <v>182</v>
      </c>
      <c r="B5809" s="5" t="s">
        <v>183</v>
      </c>
      <c r="C5809" s="6">
        <v>1982</v>
      </c>
      <c r="D5809" s="7">
        <v>720313473</v>
      </c>
    </row>
    <row r="5810" spans="1:4" x14ac:dyDescent="0.3">
      <c r="A5810" s="2" t="s">
        <v>182</v>
      </c>
      <c r="B5810" s="2" t="s">
        <v>183</v>
      </c>
      <c r="C5810" s="3">
        <v>1983</v>
      </c>
      <c r="D5810" s="4">
        <v>737372681</v>
      </c>
    </row>
    <row r="5811" spans="1:4" x14ac:dyDescent="0.3">
      <c r="A5811" s="5" t="s">
        <v>182</v>
      </c>
      <c r="B5811" s="5" t="s">
        <v>183</v>
      </c>
      <c r="C5811" s="6">
        <v>1984</v>
      </c>
      <c r="D5811" s="7">
        <v>754875449</v>
      </c>
    </row>
    <row r="5812" spans="1:4" x14ac:dyDescent="0.3">
      <c r="A5812" s="2" t="s">
        <v>182</v>
      </c>
      <c r="B5812" s="2" t="s">
        <v>183</v>
      </c>
      <c r="C5812" s="3">
        <v>1985</v>
      </c>
      <c r="D5812" s="4">
        <v>772647793</v>
      </c>
    </row>
    <row r="5813" spans="1:4" x14ac:dyDescent="0.3">
      <c r="A5813" s="5" t="s">
        <v>182</v>
      </c>
      <c r="B5813" s="5" t="s">
        <v>183</v>
      </c>
      <c r="C5813" s="6">
        <v>1986</v>
      </c>
      <c r="D5813" s="7">
        <v>790689978</v>
      </c>
    </row>
    <row r="5814" spans="1:4" x14ac:dyDescent="0.3">
      <c r="A5814" s="2" t="s">
        <v>182</v>
      </c>
      <c r="B5814" s="2" t="s">
        <v>183</v>
      </c>
      <c r="C5814" s="3">
        <v>1987</v>
      </c>
      <c r="D5814" s="4">
        <v>808931270</v>
      </c>
    </row>
    <row r="5815" spans="1:4" x14ac:dyDescent="0.3">
      <c r="A5815" s="5" t="s">
        <v>182</v>
      </c>
      <c r="B5815" s="5" t="s">
        <v>183</v>
      </c>
      <c r="C5815" s="6">
        <v>1988</v>
      </c>
      <c r="D5815" s="7">
        <v>827342990</v>
      </c>
    </row>
    <row r="5816" spans="1:4" x14ac:dyDescent="0.3">
      <c r="A5816" s="2" t="s">
        <v>182</v>
      </c>
      <c r="B5816" s="2" t="s">
        <v>183</v>
      </c>
      <c r="C5816" s="3">
        <v>1989</v>
      </c>
      <c r="D5816" s="4">
        <v>846039529</v>
      </c>
    </row>
    <row r="5817" spans="1:4" x14ac:dyDescent="0.3">
      <c r="A5817" s="5" t="s">
        <v>182</v>
      </c>
      <c r="B5817" s="5" t="s">
        <v>183</v>
      </c>
      <c r="C5817" s="6">
        <v>1990</v>
      </c>
      <c r="D5817" s="7">
        <v>864972221</v>
      </c>
    </row>
    <row r="5818" spans="1:4" x14ac:dyDescent="0.3">
      <c r="A5818" s="2" t="s">
        <v>182</v>
      </c>
      <c r="B5818" s="2" t="s">
        <v>183</v>
      </c>
      <c r="C5818" s="3">
        <v>1991</v>
      </c>
      <c r="D5818" s="4">
        <v>883927600</v>
      </c>
    </row>
    <row r="5819" spans="1:4" x14ac:dyDescent="0.3">
      <c r="A5819" s="5" t="s">
        <v>182</v>
      </c>
      <c r="B5819" s="5" t="s">
        <v>183</v>
      </c>
      <c r="C5819" s="6">
        <v>1992</v>
      </c>
      <c r="D5819" s="7">
        <v>902957070</v>
      </c>
    </row>
    <row r="5820" spans="1:4" x14ac:dyDescent="0.3">
      <c r="A5820" s="2" t="s">
        <v>182</v>
      </c>
      <c r="B5820" s="2" t="s">
        <v>183</v>
      </c>
      <c r="C5820" s="3">
        <v>1993</v>
      </c>
      <c r="D5820" s="4">
        <v>922118387</v>
      </c>
    </row>
    <row r="5821" spans="1:4" x14ac:dyDescent="0.3">
      <c r="A5821" s="5" t="s">
        <v>182</v>
      </c>
      <c r="B5821" s="5" t="s">
        <v>183</v>
      </c>
      <c r="C5821" s="6">
        <v>1994</v>
      </c>
      <c r="D5821" s="7">
        <v>941163767</v>
      </c>
    </row>
    <row r="5822" spans="1:4" x14ac:dyDescent="0.3">
      <c r="A5822" s="2" t="s">
        <v>182</v>
      </c>
      <c r="B5822" s="2" t="s">
        <v>183</v>
      </c>
      <c r="C5822" s="3">
        <v>1995</v>
      </c>
      <c r="D5822" s="4">
        <v>960301044</v>
      </c>
    </row>
    <row r="5823" spans="1:4" x14ac:dyDescent="0.3">
      <c r="A5823" s="5" t="s">
        <v>182</v>
      </c>
      <c r="B5823" s="5" t="s">
        <v>183</v>
      </c>
      <c r="C5823" s="6">
        <v>1996</v>
      </c>
      <c r="D5823" s="7">
        <v>979678458</v>
      </c>
    </row>
    <row r="5824" spans="1:4" x14ac:dyDescent="0.3">
      <c r="A5824" s="2" t="s">
        <v>182</v>
      </c>
      <c r="B5824" s="2" t="s">
        <v>183</v>
      </c>
      <c r="C5824" s="3">
        <v>1997</v>
      </c>
      <c r="D5824" s="4">
        <v>999133762</v>
      </c>
    </row>
    <row r="5825" spans="1:4" x14ac:dyDescent="0.3">
      <c r="A5825" s="5" t="s">
        <v>182</v>
      </c>
      <c r="B5825" s="5" t="s">
        <v>183</v>
      </c>
      <c r="C5825" s="6">
        <v>1998</v>
      </c>
      <c r="D5825" s="7">
        <v>1018665080</v>
      </c>
    </row>
    <row r="5826" spans="1:4" x14ac:dyDescent="0.3">
      <c r="A5826" s="2" t="s">
        <v>182</v>
      </c>
      <c r="B5826" s="2" t="s">
        <v>183</v>
      </c>
      <c r="C5826" s="3">
        <v>1999</v>
      </c>
      <c r="D5826" s="4">
        <v>1038225823</v>
      </c>
    </row>
    <row r="5827" spans="1:4" x14ac:dyDescent="0.3">
      <c r="A5827" s="5" t="s">
        <v>182</v>
      </c>
      <c r="B5827" s="5" t="s">
        <v>183</v>
      </c>
      <c r="C5827" s="6">
        <v>2000</v>
      </c>
      <c r="D5827" s="7">
        <v>1057922733</v>
      </c>
    </row>
    <row r="5828" spans="1:4" x14ac:dyDescent="0.3">
      <c r="A5828" s="2" t="s">
        <v>182</v>
      </c>
      <c r="B5828" s="2" t="s">
        <v>183</v>
      </c>
      <c r="C5828" s="3">
        <v>2001</v>
      </c>
      <c r="D5828" s="4">
        <v>1077898575</v>
      </c>
    </row>
    <row r="5829" spans="1:4" x14ac:dyDescent="0.3">
      <c r="A5829" s="5" t="s">
        <v>182</v>
      </c>
      <c r="B5829" s="5" t="s">
        <v>183</v>
      </c>
      <c r="C5829" s="6">
        <v>2002</v>
      </c>
      <c r="D5829" s="7">
        <v>1097600380</v>
      </c>
    </row>
    <row r="5830" spans="1:4" x14ac:dyDescent="0.3">
      <c r="A5830" s="2" t="s">
        <v>182</v>
      </c>
      <c r="B5830" s="2" t="s">
        <v>183</v>
      </c>
      <c r="C5830" s="3">
        <v>2003</v>
      </c>
      <c r="D5830" s="4">
        <v>1116803006</v>
      </c>
    </row>
    <row r="5831" spans="1:4" x14ac:dyDescent="0.3">
      <c r="A5831" s="5" t="s">
        <v>182</v>
      </c>
      <c r="B5831" s="5" t="s">
        <v>183</v>
      </c>
      <c r="C5831" s="6">
        <v>2004</v>
      </c>
      <c r="D5831" s="7">
        <v>1135991513</v>
      </c>
    </row>
    <row r="5832" spans="1:4" x14ac:dyDescent="0.3">
      <c r="A5832" s="2" t="s">
        <v>182</v>
      </c>
      <c r="B5832" s="2" t="s">
        <v>183</v>
      </c>
      <c r="C5832" s="3">
        <v>2005</v>
      </c>
      <c r="D5832" s="4">
        <v>1154676322</v>
      </c>
    </row>
    <row r="5833" spans="1:4" x14ac:dyDescent="0.3">
      <c r="A5833" s="5" t="s">
        <v>182</v>
      </c>
      <c r="B5833" s="5" t="s">
        <v>183</v>
      </c>
      <c r="C5833" s="6">
        <v>2006</v>
      </c>
      <c r="D5833" s="7">
        <v>1172878890</v>
      </c>
    </row>
    <row r="5834" spans="1:4" x14ac:dyDescent="0.3">
      <c r="A5834" s="2" t="s">
        <v>182</v>
      </c>
      <c r="B5834" s="2" t="s">
        <v>183</v>
      </c>
      <c r="C5834" s="3">
        <v>2007</v>
      </c>
      <c r="D5834" s="4">
        <v>1190676021</v>
      </c>
    </row>
    <row r="5835" spans="1:4" x14ac:dyDescent="0.3">
      <c r="A5835" s="5" t="s">
        <v>182</v>
      </c>
      <c r="B5835" s="5" t="s">
        <v>183</v>
      </c>
      <c r="C5835" s="6">
        <v>2008</v>
      </c>
      <c r="D5835" s="7">
        <v>1207930964</v>
      </c>
    </row>
    <row r="5836" spans="1:4" x14ac:dyDescent="0.3">
      <c r="A5836" s="2" t="s">
        <v>182</v>
      </c>
      <c r="B5836" s="2" t="s">
        <v>183</v>
      </c>
      <c r="C5836" s="3">
        <v>2009</v>
      </c>
      <c r="D5836" s="4">
        <v>1225524753</v>
      </c>
    </row>
    <row r="5837" spans="1:4" x14ac:dyDescent="0.3">
      <c r="A5837" s="5" t="s">
        <v>182</v>
      </c>
      <c r="B5837" s="5" t="s">
        <v>183</v>
      </c>
      <c r="C5837" s="6">
        <v>2010</v>
      </c>
      <c r="D5837" s="7">
        <v>1243481564</v>
      </c>
    </row>
    <row r="5838" spans="1:4" x14ac:dyDescent="0.3">
      <c r="A5838" s="2" t="s">
        <v>182</v>
      </c>
      <c r="B5838" s="2" t="s">
        <v>183</v>
      </c>
      <c r="C5838" s="3">
        <v>2011</v>
      </c>
      <c r="D5838" s="4">
        <v>1261224954</v>
      </c>
    </row>
    <row r="5839" spans="1:4" x14ac:dyDescent="0.3">
      <c r="A5839" s="5" t="s">
        <v>182</v>
      </c>
      <c r="B5839" s="5" t="s">
        <v>183</v>
      </c>
      <c r="C5839" s="6">
        <v>2012</v>
      </c>
      <c r="D5839" s="7">
        <v>1278674502</v>
      </c>
    </row>
    <row r="5840" spans="1:4" x14ac:dyDescent="0.3">
      <c r="A5840" s="2" t="s">
        <v>182</v>
      </c>
      <c r="B5840" s="2" t="s">
        <v>183</v>
      </c>
      <c r="C5840" s="3">
        <v>2013</v>
      </c>
      <c r="D5840" s="4">
        <v>1295829511</v>
      </c>
    </row>
    <row r="5841" spans="1:4" x14ac:dyDescent="0.3">
      <c r="A5841" s="5" t="s">
        <v>182</v>
      </c>
      <c r="B5841" s="5" t="s">
        <v>183</v>
      </c>
      <c r="C5841" s="6">
        <v>2014</v>
      </c>
      <c r="D5841" s="7">
        <v>1312277191</v>
      </c>
    </row>
    <row r="5842" spans="1:4" x14ac:dyDescent="0.3">
      <c r="A5842" s="2" t="s">
        <v>182</v>
      </c>
      <c r="B5842" s="2" t="s">
        <v>183</v>
      </c>
      <c r="C5842" s="3">
        <v>2015</v>
      </c>
      <c r="D5842" s="4">
        <v>1328024498</v>
      </c>
    </row>
    <row r="5843" spans="1:4" x14ac:dyDescent="0.3">
      <c r="A5843" s="5" t="s">
        <v>182</v>
      </c>
      <c r="B5843" s="5" t="s">
        <v>183</v>
      </c>
      <c r="C5843" s="6">
        <v>2016</v>
      </c>
      <c r="D5843" s="7">
        <v>1343944296</v>
      </c>
    </row>
    <row r="5844" spans="1:4" x14ac:dyDescent="0.3">
      <c r="A5844" s="2" t="s">
        <v>182</v>
      </c>
      <c r="B5844" s="2" t="s">
        <v>183</v>
      </c>
      <c r="C5844" s="3">
        <v>2017</v>
      </c>
      <c r="D5844" s="4">
        <v>1359657400</v>
      </c>
    </row>
    <row r="5845" spans="1:4" x14ac:dyDescent="0.3">
      <c r="A5845" s="5" t="s">
        <v>182</v>
      </c>
      <c r="B5845" s="5" t="s">
        <v>183</v>
      </c>
      <c r="C5845" s="6">
        <v>2018</v>
      </c>
      <c r="D5845" s="7">
        <v>1374659064</v>
      </c>
    </row>
    <row r="5846" spans="1:4" x14ac:dyDescent="0.3">
      <c r="A5846" s="2" t="s">
        <v>182</v>
      </c>
      <c r="B5846" s="2" t="s">
        <v>183</v>
      </c>
      <c r="C5846" s="3">
        <v>2019</v>
      </c>
      <c r="D5846" s="4">
        <v>1389030312</v>
      </c>
    </row>
    <row r="5847" spans="1:4" x14ac:dyDescent="0.3">
      <c r="A5847" s="5" t="s">
        <v>182</v>
      </c>
      <c r="B5847" s="5" t="s">
        <v>183</v>
      </c>
      <c r="C5847" s="6">
        <v>2020</v>
      </c>
      <c r="D5847" s="7">
        <v>1402617695</v>
      </c>
    </row>
    <row r="5848" spans="1:4" x14ac:dyDescent="0.3">
      <c r="A5848" s="2" t="s">
        <v>182</v>
      </c>
      <c r="B5848" s="2" t="s">
        <v>183</v>
      </c>
      <c r="C5848" s="3">
        <v>2021</v>
      </c>
      <c r="D5848" s="4">
        <v>1414203896</v>
      </c>
    </row>
    <row r="5849" spans="1:4" x14ac:dyDescent="0.3">
      <c r="A5849" s="5" t="s">
        <v>182</v>
      </c>
      <c r="B5849" s="5" t="s">
        <v>183</v>
      </c>
      <c r="C5849" s="6">
        <v>2022</v>
      </c>
      <c r="D5849" s="7">
        <v>1425423212</v>
      </c>
    </row>
    <row r="5850" spans="1:4" x14ac:dyDescent="0.3">
      <c r="A5850" s="2" t="s">
        <v>182</v>
      </c>
      <c r="B5850" s="2" t="s">
        <v>183</v>
      </c>
      <c r="C5850" s="3">
        <v>2023</v>
      </c>
      <c r="D5850" s="4">
        <v>1438069596</v>
      </c>
    </row>
    <row r="5851" spans="1:4" x14ac:dyDescent="0.3">
      <c r="A5851" s="5" t="s">
        <v>182</v>
      </c>
      <c r="B5851" s="5" t="s">
        <v>183</v>
      </c>
      <c r="C5851" s="6">
        <v>2024</v>
      </c>
      <c r="D5851" s="7">
        <v>1450935791</v>
      </c>
    </row>
    <row r="5852" spans="1:4" x14ac:dyDescent="0.3">
      <c r="A5852" s="2" t="s">
        <v>184</v>
      </c>
      <c r="B5852" s="2" t="s">
        <v>185</v>
      </c>
      <c r="C5852" s="3">
        <v>1960</v>
      </c>
      <c r="D5852" s="4">
        <v>88296070</v>
      </c>
    </row>
    <row r="5853" spans="1:4" x14ac:dyDescent="0.3">
      <c r="A5853" s="5" t="s">
        <v>184</v>
      </c>
      <c r="B5853" s="5" t="s">
        <v>185</v>
      </c>
      <c r="C5853" s="6">
        <v>1961</v>
      </c>
      <c r="D5853" s="7">
        <v>90791249</v>
      </c>
    </row>
    <row r="5854" spans="1:4" x14ac:dyDescent="0.3">
      <c r="A5854" s="2" t="s">
        <v>184</v>
      </c>
      <c r="B5854" s="2" t="s">
        <v>185</v>
      </c>
      <c r="C5854" s="3">
        <v>1962</v>
      </c>
      <c r="D5854" s="4">
        <v>93375850</v>
      </c>
    </row>
    <row r="5855" spans="1:4" x14ac:dyDescent="0.3">
      <c r="A5855" s="5" t="s">
        <v>184</v>
      </c>
      <c r="B5855" s="5" t="s">
        <v>185</v>
      </c>
      <c r="C5855" s="6">
        <v>1963</v>
      </c>
      <c r="D5855" s="7">
        <v>96051424</v>
      </c>
    </row>
    <row r="5856" spans="1:4" x14ac:dyDescent="0.3">
      <c r="A5856" s="2" t="s">
        <v>184</v>
      </c>
      <c r="B5856" s="2" t="s">
        <v>185</v>
      </c>
      <c r="C5856" s="3">
        <v>1964</v>
      </c>
      <c r="D5856" s="4">
        <v>98833749</v>
      </c>
    </row>
    <row r="5857" spans="1:4" x14ac:dyDescent="0.3">
      <c r="A5857" s="5" t="s">
        <v>184</v>
      </c>
      <c r="B5857" s="5" t="s">
        <v>185</v>
      </c>
      <c r="C5857" s="6">
        <v>1965</v>
      </c>
      <c r="D5857" s="7">
        <v>101365130</v>
      </c>
    </row>
    <row r="5858" spans="1:4" x14ac:dyDescent="0.3">
      <c r="A5858" s="2" t="s">
        <v>184</v>
      </c>
      <c r="B5858" s="2" t="s">
        <v>185</v>
      </c>
      <c r="C5858" s="3">
        <v>1966</v>
      </c>
      <c r="D5858" s="4">
        <v>103792754</v>
      </c>
    </row>
    <row r="5859" spans="1:4" x14ac:dyDescent="0.3">
      <c r="A5859" s="5" t="s">
        <v>184</v>
      </c>
      <c r="B5859" s="5" t="s">
        <v>185</v>
      </c>
      <c r="C5859" s="6">
        <v>1967</v>
      </c>
      <c r="D5859" s="7">
        <v>106526393</v>
      </c>
    </row>
    <row r="5860" spans="1:4" x14ac:dyDescent="0.3">
      <c r="A5860" s="2" t="s">
        <v>184</v>
      </c>
      <c r="B5860" s="2" t="s">
        <v>185</v>
      </c>
      <c r="C5860" s="3">
        <v>1968</v>
      </c>
      <c r="D5860" s="4">
        <v>109450006</v>
      </c>
    </row>
    <row r="5861" spans="1:4" x14ac:dyDescent="0.3">
      <c r="A5861" s="5" t="s">
        <v>184</v>
      </c>
      <c r="B5861" s="5" t="s">
        <v>185</v>
      </c>
      <c r="C5861" s="6">
        <v>1969</v>
      </c>
      <c r="D5861" s="7">
        <v>112517639</v>
      </c>
    </row>
    <row r="5862" spans="1:4" x14ac:dyDescent="0.3">
      <c r="A5862" s="2" t="s">
        <v>184</v>
      </c>
      <c r="B5862" s="2" t="s">
        <v>185</v>
      </c>
      <c r="C5862" s="3">
        <v>1970</v>
      </c>
      <c r="D5862" s="4">
        <v>115657495</v>
      </c>
    </row>
    <row r="5863" spans="1:4" x14ac:dyDescent="0.3">
      <c r="A5863" s="5" t="s">
        <v>184</v>
      </c>
      <c r="B5863" s="5" t="s">
        <v>185</v>
      </c>
      <c r="C5863" s="6">
        <v>1971</v>
      </c>
      <c r="D5863" s="7">
        <v>118833702</v>
      </c>
    </row>
    <row r="5864" spans="1:4" x14ac:dyDescent="0.3">
      <c r="A5864" s="2" t="s">
        <v>184</v>
      </c>
      <c r="B5864" s="2" t="s">
        <v>185</v>
      </c>
      <c r="C5864" s="3">
        <v>1972</v>
      </c>
      <c r="D5864" s="4">
        <v>122039841</v>
      </c>
    </row>
    <row r="5865" spans="1:4" x14ac:dyDescent="0.3">
      <c r="A5865" s="5" t="s">
        <v>184</v>
      </c>
      <c r="B5865" s="5" t="s">
        <v>185</v>
      </c>
      <c r="C5865" s="6">
        <v>1973</v>
      </c>
      <c r="D5865" s="7">
        <v>125288515</v>
      </c>
    </row>
    <row r="5866" spans="1:4" x14ac:dyDescent="0.3">
      <c r="A5866" s="2" t="s">
        <v>184</v>
      </c>
      <c r="B5866" s="2" t="s">
        <v>185</v>
      </c>
      <c r="C5866" s="3">
        <v>1974</v>
      </c>
      <c r="D5866" s="4">
        <v>128555045</v>
      </c>
    </row>
    <row r="5867" spans="1:4" x14ac:dyDescent="0.3">
      <c r="A5867" s="5" t="s">
        <v>184</v>
      </c>
      <c r="B5867" s="5" t="s">
        <v>185</v>
      </c>
      <c r="C5867" s="6">
        <v>1975</v>
      </c>
      <c r="D5867" s="7">
        <v>131843848</v>
      </c>
    </row>
    <row r="5868" spans="1:4" x14ac:dyDescent="0.3">
      <c r="A5868" s="2" t="s">
        <v>184</v>
      </c>
      <c r="B5868" s="2" t="s">
        <v>185</v>
      </c>
      <c r="C5868" s="3">
        <v>1976</v>
      </c>
      <c r="D5868" s="4">
        <v>135173655</v>
      </c>
    </row>
    <row r="5869" spans="1:4" x14ac:dyDescent="0.3">
      <c r="A5869" s="5" t="s">
        <v>184</v>
      </c>
      <c r="B5869" s="5" t="s">
        <v>185</v>
      </c>
      <c r="C5869" s="6">
        <v>1977</v>
      </c>
      <c r="D5869" s="7">
        <v>138533541</v>
      </c>
    </row>
    <row r="5870" spans="1:4" x14ac:dyDescent="0.3">
      <c r="A5870" s="2" t="s">
        <v>184</v>
      </c>
      <c r="B5870" s="2" t="s">
        <v>185</v>
      </c>
      <c r="C5870" s="3">
        <v>1978</v>
      </c>
      <c r="D5870" s="4">
        <v>141953163</v>
      </c>
    </row>
    <row r="5871" spans="1:4" x14ac:dyDescent="0.3">
      <c r="A5871" s="5" t="s">
        <v>184</v>
      </c>
      <c r="B5871" s="5" t="s">
        <v>185</v>
      </c>
      <c r="C5871" s="6">
        <v>1979</v>
      </c>
      <c r="D5871" s="7">
        <v>145434834</v>
      </c>
    </row>
    <row r="5872" spans="1:4" x14ac:dyDescent="0.3">
      <c r="A5872" s="2" t="s">
        <v>184</v>
      </c>
      <c r="B5872" s="2" t="s">
        <v>185</v>
      </c>
      <c r="C5872" s="3">
        <v>1980</v>
      </c>
      <c r="D5872" s="4">
        <v>148950540</v>
      </c>
    </row>
    <row r="5873" spans="1:4" x14ac:dyDescent="0.3">
      <c r="A5873" s="5" t="s">
        <v>184</v>
      </c>
      <c r="B5873" s="5" t="s">
        <v>185</v>
      </c>
      <c r="C5873" s="6">
        <v>1981</v>
      </c>
      <c r="D5873" s="7">
        <v>152485035</v>
      </c>
    </row>
    <row r="5874" spans="1:4" x14ac:dyDescent="0.3">
      <c r="A5874" s="2" t="s">
        <v>184</v>
      </c>
      <c r="B5874" s="2" t="s">
        <v>185</v>
      </c>
      <c r="C5874" s="3">
        <v>1982</v>
      </c>
      <c r="D5874" s="4">
        <v>156052152</v>
      </c>
    </row>
    <row r="5875" spans="1:4" x14ac:dyDescent="0.3">
      <c r="A5875" s="5" t="s">
        <v>184</v>
      </c>
      <c r="B5875" s="5" t="s">
        <v>185</v>
      </c>
      <c r="C5875" s="6">
        <v>1983</v>
      </c>
      <c r="D5875" s="7">
        <v>159651381</v>
      </c>
    </row>
    <row r="5876" spans="1:4" x14ac:dyDescent="0.3">
      <c r="A5876" s="2" t="s">
        <v>184</v>
      </c>
      <c r="B5876" s="2" t="s">
        <v>185</v>
      </c>
      <c r="C5876" s="3">
        <v>1984</v>
      </c>
      <c r="D5876" s="4">
        <v>163251124</v>
      </c>
    </row>
    <row r="5877" spans="1:4" x14ac:dyDescent="0.3">
      <c r="A5877" s="5" t="s">
        <v>184</v>
      </c>
      <c r="B5877" s="5" t="s">
        <v>185</v>
      </c>
      <c r="C5877" s="6">
        <v>1985</v>
      </c>
      <c r="D5877" s="7">
        <v>166776185</v>
      </c>
    </row>
    <row r="5878" spans="1:4" x14ac:dyDescent="0.3">
      <c r="A5878" s="2" t="s">
        <v>184</v>
      </c>
      <c r="B5878" s="2" t="s">
        <v>185</v>
      </c>
      <c r="C5878" s="3">
        <v>1986</v>
      </c>
      <c r="D5878" s="4">
        <v>170175065</v>
      </c>
    </row>
    <row r="5879" spans="1:4" x14ac:dyDescent="0.3">
      <c r="A5879" s="5" t="s">
        <v>184</v>
      </c>
      <c r="B5879" s="5" t="s">
        <v>185</v>
      </c>
      <c r="C5879" s="6">
        <v>1987</v>
      </c>
      <c r="D5879" s="7">
        <v>173511154</v>
      </c>
    </row>
    <row r="5880" spans="1:4" x14ac:dyDescent="0.3">
      <c r="A5880" s="2" t="s">
        <v>184</v>
      </c>
      <c r="B5880" s="2" t="s">
        <v>185</v>
      </c>
      <c r="C5880" s="3">
        <v>1988</v>
      </c>
      <c r="D5880" s="4">
        <v>176855065</v>
      </c>
    </row>
    <row r="5881" spans="1:4" x14ac:dyDescent="0.3">
      <c r="A5881" s="5" t="s">
        <v>184</v>
      </c>
      <c r="B5881" s="5" t="s">
        <v>185</v>
      </c>
      <c r="C5881" s="6">
        <v>1989</v>
      </c>
      <c r="D5881" s="7">
        <v>180201630</v>
      </c>
    </row>
    <row r="5882" spans="1:4" x14ac:dyDescent="0.3">
      <c r="A5882" s="2" t="s">
        <v>184</v>
      </c>
      <c r="B5882" s="2" t="s">
        <v>185</v>
      </c>
      <c r="C5882" s="3">
        <v>1990</v>
      </c>
      <c r="D5882" s="4">
        <v>183501098</v>
      </c>
    </row>
    <row r="5883" spans="1:4" x14ac:dyDescent="0.3">
      <c r="A5883" s="5" t="s">
        <v>184</v>
      </c>
      <c r="B5883" s="5" t="s">
        <v>185</v>
      </c>
      <c r="C5883" s="6">
        <v>1991</v>
      </c>
      <c r="D5883" s="7">
        <v>186778238</v>
      </c>
    </row>
    <row r="5884" spans="1:4" x14ac:dyDescent="0.3">
      <c r="A5884" s="2" t="s">
        <v>184</v>
      </c>
      <c r="B5884" s="2" t="s">
        <v>185</v>
      </c>
      <c r="C5884" s="3">
        <v>1992</v>
      </c>
      <c r="D5884" s="4">
        <v>190043744</v>
      </c>
    </row>
    <row r="5885" spans="1:4" x14ac:dyDescent="0.3">
      <c r="A5885" s="5" t="s">
        <v>184</v>
      </c>
      <c r="B5885" s="5" t="s">
        <v>185</v>
      </c>
      <c r="C5885" s="6">
        <v>1993</v>
      </c>
      <c r="D5885" s="7">
        <v>193305168</v>
      </c>
    </row>
    <row r="5886" spans="1:4" x14ac:dyDescent="0.3">
      <c r="A5886" s="2" t="s">
        <v>184</v>
      </c>
      <c r="B5886" s="2" t="s">
        <v>185</v>
      </c>
      <c r="C5886" s="3">
        <v>1994</v>
      </c>
      <c r="D5886" s="4">
        <v>196591828</v>
      </c>
    </row>
    <row r="5887" spans="1:4" x14ac:dyDescent="0.3">
      <c r="A5887" s="5" t="s">
        <v>184</v>
      </c>
      <c r="B5887" s="5" t="s">
        <v>185</v>
      </c>
      <c r="C5887" s="6">
        <v>1995</v>
      </c>
      <c r="D5887" s="7">
        <v>199888057</v>
      </c>
    </row>
    <row r="5888" spans="1:4" x14ac:dyDescent="0.3">
      <c r="A5888" s="2" t="s">
        <v>184</v>
      </c>
      <c r="B5888" s="2" t="s">
        <v>185</v>
      </c>
      <c r="C5888" s="3">
        <v>1996</v>
      </c>
      <c r="D5888" s="4">
        <v>203204348</v>
      </c>
    </row>
    <row r="5889" spans="1:4" x14ac:dyDescent="0.3">
      <c r="A5889" s="5" t="s">
        <v>184</v>
      </c>
      <c r="B5889" s="5" t="s">
        <v>185</v>
      </c>
      <c r="C5889" s="6">
        <v>1997</v>
      </c>
      <c r="D5889" s="7">
        <v>206536095</v>
      </c>
    </row>
    <row r="5890" spans="1:4" x14ac:dyDescent="0.3">
      <c r="A5890" s="2" t="s">
        <v>184</v>
      </c>
      <c r="B5890" s="2" t="s">
        <v>185</v>
      </c>
      <c r="C5890" s="3">
        <v>1998</v>
      </c>
      <c r="D5890" s="4">
        <v>209826788</v>
      </c>
    </row>
    <row r="5891" spans="1:4" x14ac:dyDescent="0.3">
      <c r="A5891" s="5" t="s">
        <v>184</v>
      </c>
      <c r="B5891" s="5" t="s">
        <v>185</v>
      </c>
      <c r="C5891" s="6">
        <v>1999</v>
      </c>
      <c r="D5891" s="7">
        <v>213004668</v>
      </c>
    </row>
    <row r="5892" spans="1:4" x14ac:dyDescent="0.3">
      <c r="A5892" s="2" t="s">
        <v>184</v>
      </c>
      <c r="B5892" s="2" t="s">
        <v>185</v>
      </c>
      <c r="C5892" s="3">
        <v>2000</v>
      </c>
      <c r="D5892" s="4">
        <v>216077790</v>
      </c>
    </row>
    <row r="5893" spans="1:4" x14ac:dyDescent="0.3">
      <c r="A5893" s="5" t="s">
        <v>184</v>
      </c>
      <c r="B5893" s="5" t="s">
        <v>185</v>
      </c>
      <c r="C5893" s="6">
        <v>2001</v>
      </c>
      <c r="D5893" s="7">
        <v>219097902</v>
      </c>
    </row>
    <row r="5894" spans="1:4" x14ac:dyDescent="0.3">
      <c r="A5894" s="2" t="s">
        <v>184</v>
      </c>
      <c r="B5894" s="2" t="s">
        <v>185</v>
      </c>
      <c r="C5894" s="3">
        <v>2002</v>
      </c>
      <c r="D5894" s="4">
        <v>222088495</v>
      </c>
    </row>
    <row r="5895" spans="1:4" x14ac:dyDescent="0.3">
      <c r="A5895" s="5" t="s">
        <v>184</v>
      </c>
      <c r="B5895" s="5" t="s">
        <v>185</v>
      </c>
      <c r="C5895" s="6">
        <v>2003</v>
      </c>
      <c r="D5895" s="7">
        <v>225048008</v>
      </c>
    </row>
    <row r="5896" spans="1:4" x14ac:dyDescent="0.3">
      <c r="A5896" s="2" t="s">
        <v>184</v>
      </c>
      <c r="B5896" s="2" t="s">
        <v>185</v>
      </c>
      <c r="C5896" s="3">
        <v>2004</v>
      </c>
      <c r="D5896" s="4">
        <v>227926649</v>
      </c>
    </row>
    <row r="5897" spans="1:4" x14ac:dyDescent="0.3">
      <c r="A5897" s="5" t="s">
        <v>184</v>
      </c>
      <c r="B5897" s="5" t="s">
        <v>185</v>
      </c>
      <c r="C5897" s="6">
        <v>2005</v>
      </c>
      <c r="D5897" s="7">
        <v>230871650</v>
      </c>
    </row>
    <row r="5898" spans="1:4" x14ac:dyDescent="0.3">
      <c r="A5898" s="2" t="s">
        <v>184</v>
      </c>
      <c r="B5898" s="2" t="s">
        <v>185</v>
      </c>
      <c r="C5898" s="3">
        <v>2006</v>
      </c>
      <c r="D5898" s="4">
        <v>233951652</v>
      </c>
    </row>
    <row r="5899" spans="1:4" x14ac:dyDescent="0.3">
      <c r="A5899" s="5" t="s">
        <v>184</v>
      </c>
      <c r="B5899" s="5" t="s">
        <v>185</v>
      </c>
      <c r="C5899" s="6">
        <v>2007</v>
      </c>
      <c r="D5899" s="7">
        <v>237062337</v>
      </c>
    </row>
    <row r="5900" spans="1:4" x14ac:dyDescent="0.3">
      <c r="A5900" s="2" t="s">
        <v>184</v>
      </c>
      <c r="B5900" s="2" t="s">
        <v>185</v>
      </c>
      <c r="C5900" s="3">
        <v>2008</v>
      </c>
      <c r="D5900" s="4">
        <v>240157903</v>
      </c>
    </row>
    <row r="5901" spans="1:4" x14ac:dyDescent="0.3">
      <c r="A5901" s="5" t="s">
        <v>184</v>
      </c>
      <c r="B5901" s="5" t="s">
        <v>185</v>
      </c>
      <c r="C5901" s="6">
        <v>2009</v>
      </c>
      <c r="D5901" s="7">
        <v>243220028</v>
      </c>
    </row>
    <row r="5902" spans="1:4" x14ac:dyDescent="0.3">
      <c r="A5902" s="2" t="s">
        <v>184</v>
      </c>
      <c r="B5902" s="2" t="s">
        <v>185</v>
      </c>
      <c r="C5902" s="3">
        <v>2010</v>
      </c>
      <c r="D5902" s="4">
        <v>246305322</v>
      </c>
    </row>
    <row r="5903" spans="1:4" x14ac:dyDescent="0.3">
      <c r="A5903" s="5" t="s">
        <v>184</v>
      </c>
      <c r="B5903" s="5" t="s">
        <v>185</v>
      </c>
      <c r="C5903" s="6">
        <v>2011</v>
      </c>
      <c r="D5903" s="7">
        <v>249470032</v>
      </c>
    </row>
    <row r="5904" spans="1:4" x14ac:dyDescent="0.3">
      <c r="A5904" s="2" t="s">
        <v>184</v>
      </c>
      <c r="B5904" s="2" t="s">
        <v>185</v>
      </c>
      <c r="C5904" s="3">
        <v>2012</v>
      </c>
      <c r="D5904" s="4">
        <v>252698525</v>
      </c>
    </row>
    <row r="5905" spans="1:4" x14ac:dyDescent="0.3">
      <c r="A5905" s="5" t="s">
        <v>184</v>
      </c>
      <c r="B5905" s="5" t="s">
        <v>185</v>
      </c>
      <c r="C5905" s="6">
        <v>2013</v>
      </c>
      <c r="D5905" s="7">
        <v>255852467</v>
      </c>
    </row>
    <row r="5906" spans="1:4" x14ac:dyDescent="0.3">
      <c r="A5906" s="2" t="s">
        <v>184</v>
      </c>
      <c r="B5906" s="2" t="s">
        <v>185</v>
      </c>
      <c r="C5906" s="3">
        <v>2014</v>
      </c>
      <c r="D5906" s="4">
        <v>258877399</v>
      </c>
    </row>
    <row r="5907" spans="1:4" x14ac:dyDescent="0.3">
      <c r="A5907" s="5" t="s">
        <v>184</v>
      </c>
      <c r="B5907" s="5" t="s">
        <v>185</v>
      </c>
      <c r="C5907" s="6">
        <v>2015</v>
      </c>
      <c r="D5907" s="7">
        <v>261799249</v>
      </c>
    </row>
    <row r="5908" spans="1:4" x14ac:dyDescent="0.3">
      <c r="A5908" s="2" t="s">
        <v>184</v>
      </c>
      <c r="B5908" s="2" t="s">
        <v>185</v>
      </c>
      <c r="C5908" s="3">
        <v>2016</v>
      </c>
      <c r="D5908" s="4">
        <v>264627418</v>
      </c>
    </row>
    <row r="5909" spans="1:4" x14ac:dyDescent="0.3">
      <c r="A5909" s="5" t="s">
        <v>184</v>
      </c>
      <c r="B5909" s="5" t="s">
        <v>185</v>
      </c>
      <c r="C5909" s="6">
        <v>2017</v>
      </c>
      <c r="D5909" s="7">
        <v>267346658</v>
      </c>
    </row>
    <row r="5910" spans="1:4" x14ac:dyDescent="0.3">
      <c r="A5910" s="2" t="s">
        <v>184</v>
      </c>
      <c r="B5910" s="2" t="s">
        <v>185</v>
      </c>
      <c r="C5910" s="3">
        <v>2018</v>
      </c>
      <c r="D5910" s="4">
        <v>269951846</v>
      </c>
    </row>
    <row r="5911" spans="1:4" x14ac:dyDescent="0.3">
      <c r="A5911" s="5" t="s">
        <v>184</v>
      </c>
      <c r="B5911" s="5" t="s">
        <v>185</v>
      </c>
      <c r="C5911" s="6">
        <v>2019</v>
      </c>
      <c r="D5911" s="7">
        <v>272489381</v>
      </c>
    </row>
    <row r="5912" spans="1:4" x14ac:dyDescent="0.3">
      <c r="A5912" s="2" t="s">
        <v>184</v>
      </c>
      <c r="B5912" s="2" t="s">
        <v>185</v>
      </c>
      <c r="C5912" s="3">
        <v>2020</v>
      </c>
      <c r="D5912" s="4">
        <v>274814866</v>
      </c>
    </row>
    <row r="5913" spans="1:4" x14ac:dyDescent="0.3">
      <c r="A5913" s="5" t="s">
        <v>184</v>
      </c>
      <c r="B5913" s="5" t="s">
        <v>185</v>
      </c>
      <c r="C5913" s="6">
        <v>2021</v>
      </c>
      <c r="D5913" s="7">
        <v>276758053</v>
      </c>
    </row>
    <row r="5914" spans="1:4" x14ac:dyDescent="0.3">
      <c r="A5914" s="2" t="s">
        <v>184</v>
      </c>
      <c r="B5914" s="2" t="s">
        <v>185</v>
      </c>
      <c r="C5914" s="3">
        <v>2022</v>
      </c>
      <c r="D5914" s="4">
        <v>278830529</v>
      </c>
    </row>
    <row r="5915" spans="1:4" x14ac:dyDescent="0.3">
      <c r="A5915" s="5" t="s">
        <v>184</v>
      </c>
      <c r="B5915" s="5" t="s">
        <v>185</v>
      </c>
      <c r="C5915" s="6">
        <v>2023</v>
      </c>
      <c r="D5915" s="7">
        <v>281190067</v>
      </c>
    </row>
    <row r="5916" spans="1:4" x14ac:dyDescent="0.3">
      <c r="A5916" s="2" t="s">
        <v>184</v>
      </c>
      <c r="B5916" s="2" t="s">
        <v>185</v>
      </c>
      <c r="C5916" s="3">
        <v>2024</v>
      </c>
      <c r="D5916" s="4">
        <v>283487931</v>
      </c>
    </row>
    <row r="5917" spans="1:4" x14ac:dyDescent="0.3">
      <c r="A5917" s="5" t="s">
        <v>186</v>
      </c>
      <c r="B5917" s="5" t="s">
        <v>187</v>
      </c>
      <c r="C5917" s="6">
        <v>1960</v>
      </c>
      <c r="D5917" s="7">
        <v>21470434</v>
      </c>
    </row>
    <row r="5918" spans="1:4" x14ac:dyDescent="0.3">
      <c r="A5918" s="2" t="s">
        <v>186</v>
      </c>
      <c r="B5918" s="2" t="s">
        <v>187</v>
      </c>
      <c r="C5918" s="3">
        <v>1961</v>
      </c>
      <c r="D5918" s="4">
        <v>22125726</v>
      </c>
    </row>
    <row r="5919" spans="1:4" x14ac:dyDescent="0.3">
      <c r="A5919" s="5" t="s">
        <v>186</v>
      </c>
      <c r="B5919" s="5" t="s">
        <v>187</v>
      </c>
      <c r="C5919" s="6">
        <v>1962</v>
      </c>
      <c r="D5919" s="7">
        <v>22807907</v>
      </c>
    </row>
    <row r="5920" spans="1:4" x14ac:dyDescent="0.3">
      <c r="A5920" s="2" t="s">
        <v>186</v>
      </c>
      <c r="B5920" s="2" t="s">
        <v>187</v>
      </c>
      <c r="C5920" s="3">
        <v>1963</v>
      </c>
      <c r="D5920" s="4">
        <v>23519005</v>
      </c>
    </row>
    <row r="5921" spans="1:4" x14ac:dyDescent="0.3">
      <c r="A5921" s="5" t="s">
        <v>186</v>
      </c>
      <c r="B5921" s="5" t="s">
        <v>187</v>
      </c>
      <c r="C5921" s="6">
        <v>1964</v>
      </c>
      <c r="D5921" s="7">
        <v>24262859</v>
      </c>
    </row>
    <row r="5922" spans="1:4" x14ac:dyDescent="0.3">
      <c r="A5922" s="2" t="s">
        <v>186</v>
      </c>
      <c r="B5922" s="2" t="s">
        <v>187</v>
      </c>
      <c r="C5922" s="3">
        <v>1965</v>
      </c>
      <c r="D5922" s="4">
        <v>25036978</v>
      </c>
    </row>
    <row r="5923" spans="1:4" x14ac:dyDescent="0.3">
      <c r="A5923" s="5" t="s">
        <v>186</v>
      </c>
      <c r="B5923" s="5" t="s">
        <v>187</v>
      </c>
      <c r="C5923" s="6">
        <v>1966</v>
      </c>
      <c r="D5923" s="7">
        <v>25829270</v>
      </c>
    </row>
    <row r="5924" spans="1:4" x14ac:dyDescent="0.3">
      <c r="A5924" s="2" t="s">
        <v>186</v>
      </c>
      <c r="B5924" s="2" t="s">
        <v>187</v>
      </c>
      <c r="C5924" s="3">
        <v>1967</v>
      </c>
      <c r="D5924" s="4">
        <v>26628432</v>
      </c>
    </row>
    <row r="5925" spans="1:4" x14ac:dyDescent="0.3">
      <c r="A5925" s="5" t="s">
        <v>186</v>
      </c>
      <c r="B5925" s="5" t="s">
        <v>187</v>
      </c>
      <c r="C5925" s="6">
        <v>1968</v>
      </c>
      <c r="D5925" s="7">
        <v>27437391</v>
      </c>
    </row>
    <row r="5926" spans="1:4" x14ac:dyDescent="0.3">
      <c r="A5926" s="2" t="s">
        <v>186</v>
      </c>
      <c r="B5926" s="2" t="s">
        <v>187</v>
      </c>
      <c r="C5926" s="3">
        <v>1969</v>
      </c>
      <c r="D5926" s="4">
        <v>28273482</v>
      </c>
    </row>
    <row r="5927" spans="1:4" x14ac:dyDescent="0.3">
      <c r="A5927" s="5" t="s">
        <v>186</v>
      </c>
      <c r="B5927" s="5" t="s">
        <v>187</v>
      </c>
      <c r="C5927" s="6">
        <v>1970</v>
      </c>
      <c r="D5927" s="7">
        <v>29145100</v>
      </c>
    </row>
    <row r="5928" spans="1:4" x14ac:dyDescent="0.3">
      <c r="A5928" s="2" t="s">
        <v>186</v>
      </c>
      <c r="B5928" s="2" t="s">
        <v>187</v>
      </c>
      <c r="C5928" s="3">
        <v>1971</v>
      </c>
      <c r="D5928" s="4">
        <v>30029071</v>
      </c>
    </row>
    <row r="5929" spans="1:4" x14ac:dyDescent="0.3">
      <c r="A5929" s="5" t="s">
        <v>186</v>
      </c>
      <c r="B5929" s="5" t="s">
        <v>187</v>
      </c>
      <c r="C5929" s="6">
        <v>1972</v>
      </c>
      <c r="D5929" s="7">
        <v>30921179</v>
      </c>
    </row>
    <row r="5930" spans="1:4" x14ac:dyDescent="0.3">
      <c r="A5930" s="2" t="s">
        <v>186</v>
      </c>
      <c r="B5930" s="2" t="s">
        <v>187</v>
      </c>
      <c r="C5930" s="3">
        <v>1973</v>
      </c>
      <c r="D5930" s="4">
        <v>31839838</v>
      </c>
    </row>
    <row r="5931" spans="1:4" x14ac:dyDescent="0.3">
      <c r="A5931" s="5" t="s">
        <v>186</v>
      </c>
      <c r="B5931" s="5" t="s">
        <v>187</v>
      </c>
      <c r="C5931" s="6">
        <v>1974</v>
      </c>
      <c r="D5931" s="7">
        <v>32796463</v>
      </c>
    </row>
    <row r="5932" spans="1:4" x14ac:dyDescent="0.3">
      <c r="A5932" s="2" t="s">
        <v>186</v>
      </c>
      <c r="B5932" s="2" t="s">
        <v>187</v>
      </c>
      <c r="C5932" s="3">
        <v>1975</v>
      </c>
      <c r="D5932" s="4">
        <v>33802973</v>
      </c>
    </row>
    <row r="5933" spans="1:4" x14ac:dyDescent="0.3">
      <c r="A5933" s="5" t="s">
        <v>186</v>
      </c>
      <c r="B5933" s="5" t="s">
        <v>187</v>
      </c>
      <c r="C5933" s="6">
        <v>1976</v>
      </c>
      <c r="D5933" s="7">
        <v>34837271</v>
      </c>
    </row>
    <row r="5934" spans="1:4" x14ac:dyDescent="0.3">
      <c r="A5934" s="2" t="s">
        <v>186</v>
      </c>
      <c r="B5934" s="2" t="s">
        <v>187</v>
      </c>
      <c r="C5934" s="3">
        <v>1977</v>
      </c>
      <c r="D5934" s="4">
        <v>35933181</v>
      </c>
    </row>
    <row r="5935" spans="1:4" x14ac:dyDescent="0.3">
      <c r="A5935" s="5" t="s">
        <v>186</v>
      </c>
      <c r="B5935" s="5" t="s">
        <v>187</v>
      </c>
      <c r="C5935" s="6">
        <v>1978</v>
      </c>
      <c r="D5935" s="7">
        <v>37126535</v>
      </c>
    </row>
    <row r="5936" spans="1:4" x14ac:dyDescent="0.3">
      <c r="A5936" s="2" t="s">
        <v>186</v>
      </c>
      <c r="B5936" s="2" t="s">
        <v>187</v>
      </c>
      <c r="C5936" s="3">
        <v>1979</v>
      </c>
      <c r="D5936" s="4">
        <v>38424952</v>
      </c>
    </row>
    <row r="5937" spans="1:4" x14ac:dyDescent="0.3">
      <c r="A5937" s="5" t="s">
        <v>186</v>
      </c>
      <c r="B5937" s="5" t="s">
        <v>187</v>
      </c>
      <c r="C5937" s="6">
        <v>1980</v>
      </c>
      <c r="D5937" s="7">
        <v>39842324</v>
      </c>
    </row>
    <row r="5938" spans="1:4" x14ac:dyDescent="0.3">
      <c r="A5938" s="2" t="s">
        <v>186</v>
      </c>
      <c r="B5938" s="2" t="s">
        <v>187</v>
      </c>
      <c r="C5938" s="3">
        <v>1981</v>
      </c>
      <c r="D5938" s="4">
        <v>41989312</v>
      </c>
    </row>
    <row r="5939" spans="1:4" x14ac:dyDescent="0.3">
      <c r="A5939" s="5" t="s">
        <v>186</v>
      </c>
      <c r="B5939" s="5" t="s">
        <v>187</v>
      </c>
      <c r="C5939" s="6">
        <v>1982</v>
      </c>
      <c r="D5939" s="7">
        <v>44272141</v>
      </c>
    </row>
    <row r="5940" spans="1:4" x14ac:dyDescent="0.3">
      <c r="A5940" s="2" t="s">
        <v>186</v>
      </c>
      <c r="B5940" s="2" t="s">
        <v>187</v>
      </c>
      <c r="C5940" s="3">
        <v>1983</v>
      </c>
      <c r="D5940" s="4">
        <v>46029535</v>
      </c>
    </row>
    <row r="5941" spans="1:4" x14ac:dyDescent="0.3">
      <c r="A5941" s="5" t="s">
        <v>186</v>
      </c>
      <c r="B5941" s="5" t="s">
        <v>187</v>
      </c>
      <c r="C5941" s="6">
        <v>1984</v>
      </c>
      <c r="D5941" s="7">
        <v>47793998</v>
      </c>
    </row>
    <row r="5942" spans="1:4" x14ac:dyDescent="0.3">
      <c r="A5942" s="2" t="s">
        <v>186</v>
      </c>
      <c r="B5942" s="2" t="s">
        <v>187</v>
      </c>
      <c r="C5942" s="3">
        <v>1985</v>
      </c>
      <c r="D5942" s="4">
        <v>49582289</v>
      </c>
    </row>
    <row r="5943" spans="1:4" x14ac:dyDescent="0.3">
      <c r="A5943" s="5" t="s">
        <v>186</v>
      </c>
      <c r="B5943" s="5" t="s">
        <v>187</v>
      </c>
      <c r="C5943" s="6">
        <v>1986</v>
      </c>
      <c r="D5943" s="7">
        <v>51446045</v>
      </c>
    </row>
    <row r="5944" spans="1:4" x14ac:dyDescent="0.3">
      <c r="A5944" s="2" t="s">
        <v>186</v>
      </c>
      <c r="B5944" s="2" t="s">
        <v>187</v>
      </c>
      <c r="C5944" s="3">
        <v>1987</v>
      </c>
      <c r="D5944" s="4">
        <v>53323493</v>
      </c>
    </row>
    <row r="5945" spans="1:4" x14ac:dyDescent="0.3">
      <c r="A5945" s="5" t="s">
        <v>186</v>
      </c>
      <c r="B5945" s="5" t="s">
        <v>187</v>
      </c>
      <c r="C5945" s="6">
        <v>1988</v>
      </c>
      <c r="D5945" s="7">
        <v>55072694</v>
      </c>
    </row>
    <row r="5946" spans="1:4" x14ac:dyDescent="0.3">
      <c r="A5946" s="2" t="s">
        <v>186</v>
      </c>
      <c r="B5946" s="2" t="s">
        <v>187</v>
      </c>
      <c r="C5946" s="3">
        <v>1989</v>
      </c>
      <c r="D5946" s="4">
        <v>56704914</v>
      </c>
    </row>
    <row r="5947" spans="1:4" x14ac:dyDescent="0.3">
      <c r="A5947" s="5" t="s">
        <v>186</v>
      </c>
      <c r="B5947" s="5" t="s">
        <v>187</v>
      </c>
      <c r="C5947" s="6">
        <v>1990</v>
      </c>
      <c r="D5947" s="7">
        <v>58380092</v>
      </c>
    </row>
    <row r="5948" spans="1:4" x14ac:dyDescent="0.3">
      <c r="A5948" s="2" t="s">
        <v>186</v>
      </c>
      <c r="B5948" s="2" t="s">
        <v>187</v>
      </c>
      <c r="C5948" s="3">
        <v>1991</v>
      </c>
      <c r="D5948" s="4">
        <v>59986931</v>
      </c>
    </row>
    <row r="5949" spans="1:4" x14ac:dyDescent="0.3">
      <c r="A5949" s="5" t="s">
        <v>186</v>
      </c>
      <c r="B5949" s="5" t="s">
        <v>187</v>
      </c>
      <c r="C5949" s="6">
        <v>1992</v>
      </c>
      <c r="D5949" s="7">
        <v>61184983</v>
      </c>
    </row>
    <row r="5950" spans="1:4" x14ac:dyDescent="0.3">
      <c r="A5950" s="2" t="s">
        <v>186</v>
      </c>
      <c r="B5950" s="2" t="s">
        <v>187</v>
      </c>
      <c r="C5950" s="3">
        <v>1993</v>
      </c>
      <c r="D5950" s="4">
        <v>61403543</v>
      </c>
    </row>
    <row r="5951" spans="1:4" x14ac:dyDescent="0.3">
      <c r="A5951" s="5" t="s">
        <v>186</v>
      </c>
      <c r="B5951" s="5" t="s">
        <v>187</v>
      </c>
      <c r="C5951" s="6">
        <v>1994</v>
      </c>
      <c r="D5951" s="7">
        <v>61520598</v>
      </c>
    </row>
    <row r="5952" spans="1:4" x14ac:dyDescent="0.3">
      <c r="A5952" s="2" t="s">
        <v>186</v>
      </c>
      <c r="B5952" s="2" t="s">
        <v>187</v>
      </c>
      <c r="C5952" s="3">
        <v>1995</v>
      </c>
      <c r="D5952" s="4">
        <v>62205567</v>
      </c>
    </row>
    <row r="5953" spans="1:4" x14ac:dyDescent="0.3">
      <c r="A5953" s="5" t="s">
        <v>186</v>
      </c>
      <c r="B5953" s="5" t="s">
        <v>187</v>
      </c>
      <c r="C5953" s="6">
        <v>1996</v>
      </c>
      <c r="D5953" s="7">
        <v>62881300</v>
      </c>
    </row>
    <row r="5954" spans="1:4" x14ac:dyDescent="0.3">
      <c r="A5954" s="2" t="s">
        <v>186</v>
      </c>
      <c r="B5954" s="2" t="s">
        <v>187</v>
      </c>
      <c r="C5954" s="3">
        <v>1997</v>
      </c>
      <c r="D5954" s="4">
        <v>63639638</v>
      </c>
    </row>
    <row r="5955" spans="1:4" x14ac:dyDescent="0.3">
      <c r="A5955" s="5" t="s">
        <v>186</v>
      </c>
      <c r="B5955" s="5" t="s">
        <v>187</v>
      </c>
      <c r="C5955" s="6">
        <v>1998</v>
      </c>
      <c r="D5955" s="7">
        <v>64519859</v>
      </c>
    </row>
    <row r="5956" spans="1:4" x14ac:dyDescent="0.3">
      <c r="A5956" s="2" t="s">
        <v>186</v>
      </c>
      <c r="B5956" s="2" t="s">
        <v>187</v>
      </c>
      <c r="C5956" s="3">
        <v>1999</v>
      </c>
      <c r="D5956" s="4">
        <v>65445391</v>
      </c>
    </row>
    <row r="5957" spans="1:4" x14ac:dyDescent="0.3">
      <c r="A5957" s="5" t="s">
        <v>186</v>
      </c>
      <c r="B5957" s="5" t="s">
        <v>187</v>
      </c>
      <c r="C5957" s="6">
        <v>2000</v>
      </c>
      <c r="D5957" s="7">
        <v>66418659</v>
      </c>
    </row>
    <row r="5958" spans="1:4" x14ac:dyDescent="0.3">
      <c r="A5958" s="2" t="s">
        <v>186</v>
      </c>
      <c r="B5958" s="2" t="s">
        <v>187</v>
      </c>
      <c r="C5958" s="3">
        <v>2001</v>
      </c>
      <c r="D5958" s="4">
        <v>67452005</v>
      </c>
    </row>
    <row r="5959" spans="1:4" x14ac:dyDescent="0.3">
      <c r="A5959" s="5" t="s">
        <v>186</v>
      </c>
      <c r="B5959" s="5" t="s">
        <v>187</v>
      </c>
      <c r="C5959" s="6">
        <v>2002</v>
      </c>
      <c r="D5959" s="7">
        <v>68011317</v>
      </c>
    </row>
    <row r="5960" spans="1:4" x14ac:dyDescent="0.3">
      <c r="A5960" s="2" t="s">
        <v>186</v>
      </c>
      <c r="B5960" s="2" t="s">
        <v>187</v>
      </c>
      <c r="C5960" s="3">
        <v>2003</v>
      </c>
      <c r="D5960" s="4">
        <v>68769340</v>
      </c>
    </row>
    <row r="5961" spans="1:4" x14ac:dyDescent="0.3">
      <c r="A5961" s="5" t="s">
        <v>186</v>
      </c>
      <c r="B5961" s="5" t="s">
        <v>187</v>
      </c>
      <c r="C5961" s="6">
        <v>2004</v>
      </c>
      <c r="D5961" s="7">
        <v>70256316</v>
      </c>
    </row>
    <row r="5962" spans="1:4" x14ac:dyDescent="0.3">
      <c r="A5962" s="2" t="s">
        <v>186</v>
      </c>
      <c r="B5962" s="2" t="s">
        <v>187</v>
      </c>
      <c r="C5962" s="3">
        <v>2005</v>
      </c>
      <c r="D5962" s="4">
        <v>71828455</v>
      </c>
    </row>
    <row r="5963" spans="1:4" x14ac:dyDescent="0.3">
      <c r="A5963" s="5" t="s">
        <v>186</v>
      </c>
      <c r="B5963" s="5" t="s">
        <v>187</v>
      </c>
      <c r="C5963" s="6">
        <v>2006</v>
      </c>
      <c r="D5963" s="7">
        <v>73392747</v>
      </c>
    </row>
    <row r="5964" spans="1:4" x14ac:dyDescent="0.3">
      <c r="A5964" s="2" t="s">
        <v>186</v>
      </c>
      <c r="B5964" s="2" t="s">
        <v>187</v>
      </c>
      <c r="C5964" s="3">
        <v>2007</v>
      </c>
      <c r="D5964" s="4">
        <v>74602648</v>
      </c>
    </row>
    <row r="5965" spans="1:4" x14ac:dyDescent="0.3">
      <c r="A5965" s="5" t="s">
        <v>186</v>
      </c>
      <c r="B5965" s="5" t="s">
        <v>187</v>
      </c>
      <c r="C5965" s="6">
        <v>2008</v>
      </c>
      <c r="D5965" s="7">
        <v>75514204</v>
      </c>
    </row>
    <row r="5966" spans="1:4" x14ac:dyDescent="0.3">
      <c r="A5966" s="2" t="s">
        <v>186</v>
      </c>
      <c r="B5966" s="2" t="s">
        <v>187</v>
      </c>
      <c r="C5966" s="3">
        <v>2009</v>
      </c>
      <c r="D5966" s="4">
        <v>76457825</v>
      </c>
    </row>
    <row r="5967" spans="1:4" x14ac:dyDescent="0.3">
      <c r="A5967" s="5" t="s">
        <v>186</v>
      </c>
      <c r="B5967" s="5" t="s">
        <v>187</v>
      </c>
      <c r="C5967" s="6">
        <v>2010</v>
      </c>
      <c r="D5967" s="7">
        <v>77420842</v>
      </c>
    </row>
    <row r="5968" spans="1:4" x14ac:dyDescent="0.3">
      <c r="A5968" s="2" t="s">
        <v>186</v>
      </c>
      <c r="B5968" s="2" t="s">
        <v>187</v>
      </c>
      <c r="C5968" s="3">
        <v>2011</v>
      </c>
      <c r="D5968" s="4">
        <v>78383598</v>
      </c>
    </row>
    <row r="5969" spans="1:4" x14ac:dyDescent="0.3">
      <c r="A5969" s="5" t="s">
        <v>186</v>
      </c>
      <c r="B5969" s="5" t="s">
        <v>187</v>
      </c>
      <c r="C5969" s="6">
        <v>2012</v>
      </c>
      <c r="D5969" s="7">
        <v>79370580</v>
      </c>
    </row>
    <row r="5970" spans="1:4" x14ac:dyDescent="0.3">
      <c r="A5970" s="2" t="s">
        <v>186</v>
      </c>
      <c r="B5970" s="2" t="s">
        <v>187</v>
      </c>
      <c r="C5970" s="3">
        <v>2013</v>
      </c>
      <c r="D5970" s="4">
        <v>80414686</v>
      </c>
    </row>
    <row r="5971" spans="1:4" x14ac:dyDescent="0.3">
      <c r="A5971" s="5" t="s">
        <v>186</v>
      </c>
      <c r="B5971" s="5" t="s">
        <v>187</v>
      </c>
      <c r="C5971" s="6">
        <v>2014</v>
      </c>
      <c r="D5971" s="7">
        <v>81502045</v>
      </c>
    </row>
    <row r="5972" spans="1:4" x14ac:dyDescent="0.3">
      <c r="A5972" s="2" t="s">
        <v>186</v>
      </c>
      <c r="B5972" s="2" t="s">
        <v>187</v>
      </c>
      <c r="C5972" s="3">
        <v>2015</v>
      </c>
      <c r="D5972" s="4">
        <v>82619362</v>
      </c>
    </row>
    <row r="5973" spans="1:4" x14ac:dyDescent="0.3">
      <c r="A5973" s="5" t="s">
        <v>186</v>
      </c>
      <c r="B5973" s="5" t="s">
        <v>187</v>
      </c>
      <c r="C5973" s="6">
        <v>2016</v>
      </c>
      <c r="D5973" s="7">
        <v>83812228</v>
      </c>
    </row>
    <row r="5974" spans="1:4" x14ac:dyDescent="0.3">
      <c r="A5974" s="2" t="s">
        <v>186</v>
      </c>
      <c r="B5974" s="2" t="s">
        <v>187</v>
      </c>
      <c r="C5974" s="3">
        <v>2017</v>
      </c>
      <c r="D5974" s="4">
        <v>85026754</v>
      </c>
    </row>
    <row r="5975" spans="1:4" x14ac:dyDescent="0.3">
      <c r="A5975" s="5" t="s">
        <v>186</v>
      </c>
      <c r="B5975" s="5" t="s">
        <v>187</v>
      </c>
      <c r="C5975" s="6">
        <v>2018</v>
      </c>
      <c r="D5975" s="7">
        <v>86117998</v>
      </c>
    </row>
    <row r="5976" spans="1:4" x14ac:dyDescent="0.3">
      <c r="A5976" s="2" t="s">
        <v>186</v>
      </c>
      <c r="B5976" s="2" t="s">
        <v>187</v>
      </c>
      <c r="C5976" s="3">
        <v>2019</v>
      </c>
      <c r="D5976" s="4">
        <v>87051648</v>
      </c>
    </row>
    <row r="5977" spans="1:4" x14ac:dyDescent="0.3">
      <c r="A5977" s="5" t="s">
        <v>186</v>
      </c>
      <c r="B5977" s="5" t="s">
        <v>187</v>
      </c>
      <c r="C5977" s="6">
        <v>2020</v>
      </c>
      <c r="D5977" s="7">
        <v>87723443</v>
      </c>
    </row>
    <row r="5978" spans="1:4" x14ac:dyDescent="0.3">
      <c r="A5978" s="2" t="s">
        <v>186</v>
      </c>
      <c r="B5978" s="2" t="s">
        <v>187</v>
      </c>
      <c r="C5978" s="3">
        <v>2021</v>
      </c>
      <c r="D5978" s="4">
        <v>88455488</v>
      </c>
    </row>
    <row r="5979" spans="1:4" x14ac:dyDescent="0.3">
      <c r="A5979" s="5" t="s">
        <v>186</v>
      </c>
      <c r="B5979" s="5" t="s">
        <v>187</v>
      </c>
      <c r="C5979" s="6">
        <v>2022</v>
      </c>
      <c r="D5979" s="7">
        <v>89524246</v>
      </c>
    </row>
    <row r="5980" spans="1:4" x14ac:dyDescent="0.3">
      <c r="A5980" s="2" t="s">
        <v>186</v>
      </c>
      <c r="B5980" s="2" t="s">
        <v>187</v>
      </c>
      <c r="C5980" s="3">
        <v>2023</v>
      </c>
      <c r="D5980" s="4">
        <v>90608707</v>
      </c>
    </row>
    <row r="5981" spans="1:4" x14ac:dyDescent="0.3">
      <c r="A5981" s="5" t="s">
        <v>186</v>
      </c>
      <c r="B5981" s="5" t="s">
        <v>187</v>
      </c>
      <c r="C5981" s="6">
        <v>2024</v>
      </c>
      <c r="D5981" s="7">
        <v>91567738</v>
      </c>
    </row>
    <row r="5982" spans="1:4" x14ac:dyDescent="0.3">
      <c r="A5982" s="2" t="s">
        <v>188</v>
      </c>
      <c r="B5982" s="2" t="s">
        <v>189</v>
      </c>
      <c r="C5982" s="3">
        <v>1960</v>
      </c>
      <c r="D5982" s="4">
        <v>7022052</v>
      </c>
    </row>
    <row r="5983" spans="1:4" x14ac:dyDescent="0.3">
      <c r="A5983" s="5" t="s">
        <v>188</v>
      </c>
      <c r="B5983" s="5" t="s">
        <v>189</v>
      </c>
      <c r="C5983" s="6">
        <v>1961</v>
      </c>
      <c r="D5983" s="7">
        <v>7194553</v>
      </c>
    </row>
    <row r="5984" spans="1:4" x14ac:dyDescent="0.3">
      <c r="A5984" s="2" t="s">
        <v>188</v>
      </c>
      <c r="B5984" s="2" t="s">
        <v>189</v>
      </c>
      <c r="C5984" s="3">
        <v>1962</v>
      </c>
      <c r="D5984" s="4">
        <v>7413875</v>
      </c>
    </row>
    <row r="5985" spans="1:4" x14ac:dyDescent="0.3">
      <c r="A5985" s="5" t="s">
        <v>188</v>
      </c>
      <c r="B5985" s="5" t="s">
        <v>189</v>
      </c>
      <c r="C5985" s="6">
        <v>1963</v>
      </c>
      <c r="D5985" s="7">
        <v>7667928</v>
      </c>
    </row>
    <row r="5986" spans="1:4" x14ac:dyDescent="0.3">
      <c r="A5986" s="2" t="s">
        <v>188</v>
      </c>
      <c r="B5986" s="2" t="s">
        <v>189</v>
      </c>
      <c r="C5986" s="3">
        <v>1964</v>
      </c>
      <c r="D5986" s="4">
        <v>7929566</v>
      </c>
    </row>
    <row r="5987" spans="1:4" x14ac:dyDescent="0.3">
      <c r="A5987" s="5" t="s">
        <v>188</v>
      </c>
      <c r="B5987" s="5" t="s">
        <v>189</v>
      </c>
      <c r="C5987" s="6">
        <v>1965</v>
      </c>
      <c r="D5987" s="7">
        <v>8202140</v>
      </c>
    </row>
    <row r="5988" spans="1:4" x14ac:dyDescent="0.3">
      <c r="A5988" s="2" t="s">
        <v>188</v>
      </c>
      <c r="B5988" s="2" t="s">
        <v>189</v>
      </c>
      <c r="C5988" s="3">
        <v>1966</v>
      </c>
      <c r="D5988" s="4">
        <v>8485104</v>
      </c>
    </row>
    <row r="5989" spans="1:4" x14ac:dyDescent="0.3">
      <c r="A5989" s="5" t="s">
        <v>188</v>
      </c>
      <c r="B5989" s="5" t="s">
        <v>189</v>
      </c>
      <c r="C5989" s="6">
        <v>1967</v>
      </c>
      <c r="D5989" s="7">
        <v>8778869</v>
      </c>
    </row>
    <row r="5990" spans="1:4" x14ac:dyDescent="0.3">
      <c r="A5990" s="2" t="s">
        <v>188</v>
      </c>
      <c r="B5990" s="2" t="s">
        <v>189</v>
      </c>
      <c r="C5990" s="3">
        <v>1968</v>
      </c>
      <c r="D5990" s="4">
        <v>9085016</v>
      </c>
    </row>
    <row r="5991" spans="1:4" x14ac:dyDescent="0.3">
      <c r="A5991" s="5" t="s">
        <v>188</v>
      </c>
      <c r="B5991" s="5" t="s">
        <v>189</v>
      </c>
      <c r="C5991" s="6">
        <v>1969</v>
      </c>
      <c r="D5991" s="7">
        <v>9403356</v>
      </c>
    </row>
    <row r="5992" spans="1:4" x14ac:dyDescent="0.3">
      <c r="A5992" s="2" t="s">
        <v>188</v>
      </c>
      <c r="B5992" s="2" t="s">
        <v>189</v>
      </c>
      <c r="C5992" s="3">
        <v>1970</v>
      </c>
      <c r="D5992" s="4">
        <v>9735611</v>
      </c>
    </row>
    <row r="5993" spans="1:4" x14ac:dyDescent="0.3">
      <c r="A5993" s="5" t="s">
        <v>188</v>
      </c>
      <c r="B5993" s="5" t="s">
        <v>189</v>
      </c>
      <c r="C5993" s="6">
        <v>1971</v>
      </c>
      <c r="D5993" s="7">
        <v>10077809</v>
      </c>
    </row>
    <row r="5994" spans="1:4" x14ac:dyDescent="0.3">
      <c r="A5994" s="2" t="s">
        <v>188</v>
      </c>
      <c r="B5994" s="2" t="s">
        <v>189</v>
      </c>
      <c r="C5994" s="3">
        <v>1972</v>
      </c>
      <c r="D5994" s="4">
        <v>10430164</v>
      </c>
    </row>
    <row r="5995" spans="1:4" x14ac:dyDescent="0.3">
      <c r="A5995" s="5" t="s">
        <v>188</v>
      </c>
      <c r="B5995" s="5" t="s">
        <v>189</v>
      </c>
      <c r="C5995" s="6">
        <v>1973</v>
      </c>
      <c r="D5995" s="7">
        <v>10795869</v>
      </c>
    </row>
    <row r="5996" spans="1:4" x14ac:dyDescent="0.3">
      <c r="A5996" s="2" t="s">
        <v>188</v>
      </c>
      <c r="B5996" s="2" t="s">
        <v>189</v>
      </c>
      <c r="C5996" s="3">
        <v>1974</v>
      </c>
      <c r="D5996" s="4">
        <v>11167761</v>
      </c>
    </row>
    <row r="5997" spans="1:4" x14ac:dyDescent="0.3">
      <c r="A5997" s="5" t="s">
        <v>188</v>
      </c>
      <c r="B5997" s="5" t="s">
        <v>189</v>
      </c>
      <c r="C5997" s="6">
        <v>1975</v>
      </c>
      <c r="D5997" s="7">
        <v>11543639</v>
      </c>
    </row>
    <row r="5998" spans="1:4" x14ac:dyDescent="0.3">
      <c r="A5998" s="2" t="s">
        <v>188</v>
      </c>
      <c r="B5998" s="2" t="s">
        <v>189</v>
      </c>
      <c r="C5998" s="3">
        <v>1976</v>
      </c>
      <c r="D5998" s="4">
        <v>11927651</v>
      </c>
    </row>
    <row r="5999" spans="1:4" x14ac:dyDescent="0.3">
      <c r="A5999" s="5" t="s">
        <v>188</v>
      </c>
      <c r="B5999" s="5" t="s">
        <v>189</v>
      </c>
      <c r="C5999" s="6">
        <v>1977</v>
      </c>
      <c r="D5999" s="7">
        <v>12331046</v>
      </c>
    </row>
    <row r="6000" spans="1:4" x14ac:dyDescent="0.3">
      <c r="A6000" s="2" t="s">
        <v>188</v>
      </c>
      <c r="B6000" s="2" t="s">
        <v>189</v>
      </c>
      <c r="C6000" s="3">
        <v>1978</v>
      </c>
      <c r="D6000" s="4">
        <v>12753355</v>
      </c>
    </row>
    <row r="6001" spans="1:4" x14ac:dyDescent="0.3">
      <c r="A6001" s="5" t="s">
        <v>188</v>
      </c>
      <c r="B6001" s="5" t="s">
        <v>189</v>
      </c>
      <c r="C6001" s="6">
        <v>1979</v>
      </c>
      <c r="D6001" s="7">
        <v>13170365</v>
      </c>
    </row>
    <row r="6002" spans="1:4" x14ac:dyDescent="0.3">
      <c r="A6002" s="2" t="s">
        <v>188</v>
      </c>
      <c r="B6002" s="2" t="s">
        <v>189</v>
      </c>
      <c r="C6002" s="3">
        <v>1980</v>
      </c>
      <c r="D6002" s="4">
        <v>13591992</v>
      </c>
    </row>
    <row r="6003" spans="1:4" x14ac:dyDescent="0.3">
      <c r="A6003" s="5" t="s">
        <v>188</v>
      </c>
      <c r="B6003" s="5" t="s">
        <v>189</v>
      </c>
      <c r="C6003" s="6">
        <v>1981</v>
      </c>
      <c r="D6003" s="7">
        <v>14006381</v>
      </c>
    </row>
    <row r="6004" spans="1:4" x14ac:dyDescent="0.3">
      <c r="A6004" s="2" t="s">
        <v>188</v>
      </c>
      <c r="B6004" s="2" t="s">
        <v>189</v>
      </c>
      <c r="C6004" s="3">
        <v>1982</v>
      </c>
      <c r="D6004" s="4">
        <v>14406083</v>
      </c>
    </row>
    <row r="6005" spans="1:4" x14ac:dyDescent="0.3">
      <c r="A6005" s="5" t="s">
        <v>188</v>
      </c>
      <c r="B6005" s="5" t="s">
        <v>189</v>
      </c>
      <c r="C6005" s="6">
        <v>1983</v>
      </c>
      <c r="D6005" s="7">
        <v>14840555</v>
      </c>
    </row>
    <row r="6006" spans="1:4" x14ac:dyDescent="0.3">
      <c r="A6006" s="2" t="s">
        <v>188</v>
      </c>
      <c r="B6006" s="2" t="s">
        <v>189</v>
      </c>
      <c r="C6006" s="3">
        <v>1984</v>
      </c>
      <c r="D6006" s="4">
        <v>15310733</v>
      </c>
    </row>
    <row r="6007" spans="1:4" x14ac:dyDescent="0.3">
      <c r="A6007" s="5" t="s">
        <v>188</v>
      </c>
      <c r="B6007" s="5" t="s">
        <v>189</v>
      </c>
      <c r="C6007" s="6">
        <v>1985</v>
      </c>
      <c r="D6007" s="7">
        <v>15683430</v>
      </c>
    </row>
    <row r="6008" spans="1:4" x14ac:dyDescent="0.3">
      <c r="A6008" s="2" t="s">
        <v>188</v>
      </c>
      <c r="B6008" s="2" t="s">
        <v>189</v>
      </c>
      <c r="C6008" s="3">
        <v>1986</v>
      </c>
      <c r="D6008" s="4">
        <v>16074145</v>
      </c>
    </row>
    <row r="6009" spans="1:4" x14ac:dyDescent="0.3">
      <c r="A6009" s="5" t="s">
        <v>188</v>
      </c>
      <c r="B6009" s="5" t="s">
        <v>189</v>
      </c>
      <c r="C6009" s="6">
        <v>1987</v>
      </c>
      <c r="D6009" s="7">
        <v>16521049</v>
      </c>
    </row>
    <row r="6010" spans="1:4" x14ac:dyDescent="0.3">
      <c r="A6010" s="2" t="s">
        <v>188</v>
      </c>
      <c r="B6010" s="2" t="s">
        <v>189</v>
      </c>
      <c r="C6010" s="3">
        <v>1988</v>
      </c>
      <c r="D6010" s="4">
        <v>16908819</v>
      </c>
    </row>
    <row r="6011" spans="1:4" x14ac:dyDescent="0.3">
      <c r="A6011" s="5" t="s">
        <v>188</v>
      </c>
      <c r="B6011" s="5" t="s">
        <v>189</v>
      </c>
      <c r="C6011" s="6">
        <v>1989</v>
      </c>
      <c r="D6011" s="7">
        <v>17364542</v>
      </c>
    </row>
    <row r="6012" spans="1:4" x14ac:dyDescent="0.3">
      <c r="A6012" s="2" t="s">
        <v>188</v>
      </c>
      <c r="B6012" s="2" t="s">
        <v>189</v>
      </c>
      <c r="C6012" s="3">
        <v>1990</v>
      </c>
      <c r="D6012" s="4">
        <v>17581206</v>
      </c>
    </row>
    <row r="6013" spans="1:4" x14ac:dyDescent="0.3">
      <c r="A6013" s="5" t="s">
        <v>188</v>
      </c>
      <c r="B6013" s="5" t="s">
        <v>189</v>
      </c>
      <c r="C6013" s="6">
        <v>1991</v>
      </c>
      <c r="D6013" s="7">
        <v>17767253</v>
      </c>
    </row>
    <row r="6014" spans="1:4" x14ac:dyDescent="0.3">
      <c r="A6014" s="2" t="s">
        <v>188</v>
      </c>
      <c r="B6014" s="2" t="s">
        <v>189</v>
      </c>
      <c r="C6014" s="3">
        <v>1992</v>
      </c>
      <c r="D6014" s="4">
        <v>18300845</v>
      </c>
    </row>
    <row r="6015" spans="1:4" x14ac:dyDescent="0.3">
      <c r="A6015" s="5" t="s">
        <v>188</v>
      </c>
      <c r="B6015" s="5" t="s">
        <v>189</v>
      </c>
      <c r="C6015" s="6">
        <v>1993</v>
      </c>
      <c r="D6015" s="7">
        <v>19201195</v>
      </c>
    </row>
    <row r="6016" spans="1:4" x14ac:dyDescent="0.3">
      <c r="A6016" s="2" t="s">
        <v>188</v>
      </c>
      <c r="B6016" s="2" t="s">
        <v>189</v>
      </c>
      <c r="C6016" s="3">
        <v>1994</v>
      </c>
      <c r="D6016" s="4">
        <v>20139807</v>
      </c>
    </row>
    <row r="6017" spans="1:4" x14ac:dyDescent="0.3">
      <c r="A6017" s="5" t="s">
        <v>188</v>
      </c>
      <c r="B6017" s="5" t="s">
        <v>189</v>
      </c>
      <c r="C6017" s="6">
        <v>1995</v>
      </c>
      <c r="D6017" s="7">
        <v>20825860</v>
      </c>
    </row>
    <row r="6018" spans="1:4" x14ac:dyDescent="0.3">
      <c r="A6018" s="2" t="s">
        <v>188</v>
      </c>
      <c r="B6018" s="2" t="s">
        <v>189</v>
      </c>
      <c r="C6018" s="3">
        <v>1996</v>
      </c>
      <c r="D6018" s="4">
        <v>21501321</v>
      </c>
    </row>
    <row r="6019" spans="1:4" x14ac:dyDescent="0.3">
      <c r="A6019" s="5" t="s">
        <v>188</v>
      </c>
      <c r="B6019" s="5" t="s">
        <v>189</v>
      </c>
      <c r="C6019" s="6">
        <v>1997</v>
      </c>
      <c r="D6019" s="7">
        <v>22176593</v>
      </c>
    </row>
    <row r="6020" spans="1:4" x14ac:dyDescent="0.3">
      <c r="A6020" s="2" t="s">
        <v>188</v>
      </c>
      <c r="B6020" s="2" t="s">
        <v>189</v>
      </c>
      <c r="C6020" s="3">
        <v>1998</v>
      </c>
      <c r="D6020" s="4">
        <v>22884399</v>
      </c>
    </row>
    <row r="6021" spans="1:4" x14ac:dyDescent="0.3">
      <c r="A6021" s="5" t="s">
        <v>188</v>
      </c>
      <c r="B6021" s="5" t="s">
        <v>189</v>
      </c>
      <c r="C6021" s="6">
        <v>1999</v>
      </c>
      <c r="D6021" s="7">
        <v>23636527</v>
      </c>
    </row>
    <row r="6022" spans="1:4" x14ac:dyDescent="0.3">
      <c r="A6022" s="2" t="s">
        <v>188</v>
      </c>
      <c r="B6022" s="2" t="s">
        <v>189</v>
      </c>
      <c r="C6022" s="3">
        <v>2000</v>
      </c>
      <c r="D6022" s="4">
        <v>24424056</v>
      </c>
    </row>
    <row r="6023" spans="1:4" x14ac:dyDescent="0.3">
      <c r="A6023" s="5" t="s">
        <v>188</v>
      </c>
      <c r="B6023" s="5" t="s">
        <v>189</v>
      </c>
      <c r="C6023" s="6">
        <v>2001</v>
      </c>
      <c r="D6023" s="7">
        <v>25197840</v>
      </c>
    </row>
    <row r="6024" spans="1:4" x14ac:dyDescent="0.3">
      <c r="A6024" s="2" t="s">
        <v>188</v>
      </c>
      <c r="B6024" s="2" t="s">
        <v>189</v>
      </c>
      <c r="C6024" s="3">
        <v>2002</v>
      </c>
      <c r="D6024" s="4">
        <v>26006559</v>
      </c>
    </row>
    <row r="6025" spans="1:4" x14ac:dyDescent="0.3">
      <c r="A6025" s="5" t="s">
        <v>188</v>
      </c>
      <c r="B6025" s="5" t="s">
        <v>189</v>
      </c>
      <c r="C6025" s="6">
        <v>2003</v>
      </c>
      <c r="D6025" s="7">
        <v>26802659</v>
      </c>
    </row>
    <row r="6026" spans="1:4" x14ac:dyDescent="0.3">
      <c r="A6026" s="2" t="s">
        <v>188</v>
      </c>
      <c r="B6026" s="2" t="s">
        <v>189</v>
      </c>
      <c r="C6026" s="3">
        <v>2004</v>
      </c>
      <c r="D6026" s="4">
        <v>27577878</v>
      </c>
    </row>
    <row r="6027" spans="1:4" x14ac:dyDescent="0.3">
      <c r="A6027" s="5" t="s">
        <v>188</v>
      </c>
      <c r="B6027" s="5" t="s">
        <v>189</v>
      </c>
      <c r="C6027" s="6">
        <v>2005</v>
      </c>
      <c r="D6027" s="7">
        <v>28407448</v>
      </c>
    </row>
    <row r="6028" spans="1:4" x14ac:dyDescent="0.3">
      <c r="A6028" s="2" t="s">
        <v>188</v>
      </c>
      <c r="B6028" s="2" t="s">
        <v>189</v>
      </c>
      <c r="C6028" s="3">
        <v>2006</v>
      </c>
      <c r="D6028" s="4">
        <v>28616515</v>
      </c>
    </row>
    <row r="6029" spans="1:4" x14ac:dyDescent="0.3">
      <c r="A6029" s="5" t="s">
        <v>188</v>
      </c>
      <c r="B6029" s="5" t="s">
        <v>189</v>
      </c>
      <c r="C6029" s="6">
        <v>2007</v>
      </c>
      <c r="D6029" s="7">
        <v>28391607</v>
      </c>
    </row>
    <row r="6030" spans="1:4" x14ac:dyDescent="0.3">
      <c r="A6030" s="2" t="s">
        <v>188</v>
      </c>
      <c r="B6030" s="2" t="s">
        <v>189</v>
      </c>
      <c r="C6030" s="3">
        <v>2008</v>
      </c>
      <c r="D6030" s="4">
        <v>28971036</v>
      </c>
    </row>
    <row r="6031" spans="1:4" x14ac:dyDescent="0.3">
      <c r="A6031" s="5" t="s">
        <v>188</v>
      </c>
      <c r="B6031" s="5" t="s">
        <v>189</v>
      </c>
      <c r="C6031" s="6">
        <v>2009</v>
      </c>
      <c r="D6031" s="7">
        <v>30058206</v>
      </c>
    </row>
    <row r="6032" spans="1:4" x14ac:dyDescent="0.3">
      <c r="A6032" s="2" t="s">
        <v>188</v>
      </c>
      <c r="B6032" s="2" t="s">
        <v>189</v>
      </c>
      <c r="C6032" s="3">
        <v>2010</v>
      </c>
      <c r="D6032" s="4">
        <v>31045366</v>
      </c>
    </row>
    <row r="6033" spans="1:4" x14ac:dyDescent="0.3">
      <c r="A6033" s="5" t="s">
        <v>188</v>
      </c>
      <c r="B6033" s="5" t="s">
        <v>189</v>
      </c>
      <c r="C6033" s="6">
        <v>2011</v>
      </c>
      <c r="D6033" s="7">
        <v>32161424</v>
      </c>
    </row>
    <row r="6034" spans="1:4" x14ac:dyDescent="0.3">
      <c r="A6034" s="2" t="s">
        <v>188</v>
      </c>
      <c r="B6034" s="2" t="s">
        <v>189</v>
      </c>
      <c r="C6034" s="3">
        <v>2012</v>
      </c>
      <c r="D6034" s="4">
        <v>33654842</v>
      </c>
    </row>
    <row r="6035" spans="1:4" x14ac:dyDescent="0.3">
      <c r="A6035" s="5" t="s">
        <v>188</v>
      </c>
      <c r="B6035" s="5" t="s">
        <v>189</v>
      </c>
      <c r="C6035" s="6">
        <v>2013</v>
      </c>
      <c r="D6035" s="7">
        <v>35281989</v>
      </c>
    </row>
    <row r="6036" spans="1:4" x14ac:dyDescent="0.3">
      <c r="A6036" s="2" t="s">
        <v>188</v>
      </c>
      <c r="B6036" s="2" t="s">
        <v>189</v>
      </c>
      <c r="C6036" s="3">
        <v>2014</v>
      </c>
      <c r="D6036" s="4">
        <v>36550059</v>
      </c>
    </row>
    <row r="6037" spans="1:4" x14ac:dyDescent="0.3">
      <c r="A6037" s="5" t="s">
        <v>188</v>
      </c>
      <c r="B6037" s="5" t="s">
        <v>189</v>
      </c>
      <c r="C6037" s="6">
        <v>2015</v>
      </c>
      <c r="D6037" s="7">
        <v>37560535</v>
      </c>
    </row>
    <row r="6038" spans="1:4" x14ac:dyDescent="0.3">
      <c r="A6038" s="2" t="s">
        <v>188</v>
      </c>
      <c r="B6038" s="2" t="s">
        <v>189</v>
      </c>
      <c r="C6038" s="3">
        <v>2016</v>
      </c>
      <c r="D6038" s="4">
        <v>38469627</v>
      </c>
    </row>
    <row r="6039" spans="1:4" x14ac:dyDescent="0.3">
      <c r="A6039" s="5" t="s">
        <v>188</v>
      </c>
      <c r="B6039" s="5" t="s">
        <v>189</v>
      </c>
      <c r="C6039" s="6">
        <v>2017</v>
      </c>
      <c r="D6039" s="7">
        <v>39337353</v>
      </c>
    </row>
    <row r="6040" spans="1:4" x14ac:dyDescent="0.3">
      <c r="A6040" s="2" t="s">
        <v>188</v>
      </c>
      <c r="B6040" s="2" t="s">
        <v>189</v>
      </c>
      <c r="C6040" s="3">
        <v>2018</v>
      </c>
      <c r="D6040" s="4">
        <v>40265624</v>
      </c>
    </row>
    <row r="6041" spans="1:4" x14ac:dyDescent="0.3">
      <c r="A6041" s="5" t="s">
        <v>188</v>
      </c>
      <c r="B6041" s="5" t="s">
        <v>189</v>
      </c>
      <c r="C6041" s="6">
        <v>2019</v>
      </c>
      <c r="D6041" s="7">
        <v>41192171</v>
      </c>
    </row>
    <row r="6042" spans="1:4" x14ac:dyDescent="0.3">
      <c r="A6042" s="2" t="s">
        <v>188</v>
      </c>
      <c r="B6042" s="2" t="s">
        <v>189</v>
      </c>
      <c r="C6042" s="3">
        <v>2020</v>
      </c>
      <c r="D6042" s="4">
        <v>42116605</v>
      </c>
    </row>
    <row r="6043" spans="1:4" x14ac:dyDescent="0.3">
      <c r="A6043" s="5" t="s">
        <v>188</v>
      </c>
      <c r="B6043" s="5" t="s">
        <v>189</v>
      </c>
      <c r="C6043" s="6">
        <v>2021</v>
      </c>
      <c r="D6043" s="7">
        <v>43071211</v>
      </c>
    </row>
    <row r="6044" spans="1:4" x14ac:dyDescent="0.3">
      <c r="A6044" s="2" t="s">
        <v>188</v>
      </c>
      <c r="B6044" s="2" t="s">
        <v>189</v>
      </c>
      <c r="C6044" s="3">
        <v>2022</v>
      </c>
      <c r="D6044" s="4">
        <v>44070551</v>
      </c>
    </row>
    <row r="6045" spans="1:4" x14ac:dyDescent="0.3">
      <c r="A6045" s="5" t="s">
        <v>188</v>
      </c>
      <c r="B6045" s="5" t="s">
        <v>189</v>
      </c>
      <c r="C6045" s="6">
        <v>2023</v>
      </c>
      <c r="D6045" s="7">
        <v>45074049</v>
      </c>
    </row>
    <row r="6046" spans="1:4" x14ac:dyDescent="0.3">
      <c r="A6046" s="2" t="s">
        <v>188</v>
      </c>
      <c r="B6046" s="2" t="s">
        <v>189</v>
      </c>
      <c r="C6046" s="3">
        <v>2024</v>
      </c>
      <c r="D6046" s="4">
        <v>46042015</v>
      </c>
    </row>
    <row r="6047" spans="1:4" x14ac:dyDescent="0.3">
      <c r="A6047" s="5" t="s">
        <v>190</v>
      </c>
      <c r="B6047" s="5" t="s">
        <v>191</v>
      </c>
      <c r="C6047" s="6">
        <v>1960</v>
      </c>
      <c r="D6047" s="7">
        <v>2828600</v>
      </c>
    </row>
    <row r="6048" spans="1:4" x14ac:dyDescent="0.3">
      <c r="A6048" s="2" t="s">
        <v>190</v>
      </c>
      <c r="B6048" s="2" t="s">
        <v>191</v>
      </c>
      <c r="C6048" s="3">
        <v>1961</v>
      </c>
      <c r="D6048" s="4">
        <v>2824400</v>
      </c>
    </row>
    <row r="6049" spans="1:4" x14ac:dyDescent="0.3">
      <c r="A6049" s="5" t="s">
        <v>190</v>
      </c>
      <c r="B6049" s="5" t="s">
        <v>191</v>
      </c>
      <c r="C6049" s="6">
        <v>1962</v>
      </c>
      <c r="D6049" s="7">
        <v>2836050</v>
      </c>
    </row>
    <row r="6050" spans="1:4" x14ac:dyDescent="0.3">
      <c r="A6050" s="2" t="s">
        <v>190</v>
      </c>
      <c r="B6050" s="2" t="s">
        <v>191</v>
      </c>
      <c r="C6050" s="3">
        <v>1963</v>
      </c>
      <c r="D6050" s="4">
        <v>2852650</v>
      </c>
    </row>
    <row r="6051" spans="1:4" x14ac:dyDescent="0.3">
      <c r="A6051" s="5" t="s">
        <v>190</v>
      </c>
      <c r="B6051" s="5" t="s">
        <v>191</v>
      </c>
      <c r="C6051" s="6">
        <v>1964</v>
      </c>
      <c r="D6051" s="7">
        <v>2866550</v>
      </c>
    </row>
    <row r="6052" spans="1:4" x14ac:dyDescent="0.3">
      <c r="A6052" s="2" t="s">
        <v>190</v>
      </c>
      <c r="B6052" s="2" t="s">
        <v>191</v>
      </c>
      <c r="C6052" s="3">
        <v>1965</v>
      </c>
      <c r="D6052" s="4">
        <v>2877300</v>
      </c>
    </row>
    <row r="6053" spans="1:4" x14ac:dyDescent="0.3">
      <c r="A6053" s="5" t="s">
        <v>190</v>
      </c>
      <c r="B6053" s="5" t="s">
        <v>191</v>
      </c>
      <c r="C6053" s="6">
        <v>1966</v>
      </c>
      <c r="D6053" s="7">
        <v>2888800</v>
      </c>
    </row>
    <row r="6054" spans="1:4" x14ac:dyDescent="0.3">
      <c r="A6054" s="2" t="s">
        <v>190</v>
      </c>
      <c r="B6054" s="2" t="s">
        <v>191</v>
      </c>
      <c r="C6054" s="3">
        <v>1967</v>
      </c>
      <c r="D6054" s="4">
        <v>2902450</v>
      </c>
    </row>
    <row r="6055" spans="1:4" x14ac:dyDescent="0.3">
      <c r="A6055" s="5" t="s">
        <v>190</v>
      </c>
      <c r="B6055" s="5" t="s">
        <v>191</v>
      </c>
      <c r="C6055" s="6">
        <v>1968</v>
      </c>
      <c r="D6055" s="7">
        <v>2915550</v>
      </c>
    </row>
    <row r="6056" spans="1:4" x14ac:dyDescent="0.3">
      <c r="A6056" s="2" t="s">
        <v>190</v>
      </c>
      <c r="B6056" s="2" t="s">
        <v>191</v>
      </c>
      <c r="C6056" s="3">
        <v>1969</v>
      </c>
      <c r="D6056" s="4">
        <v>2932650</v>
      </c>
    </row>
    <row r="6057" spans="1:4" x14ac:dyDescent="0.3">
      <c r="A6057" s="5" t="s">
        <v>190</v>
      </c>
      <c r="B6057" s="5" t="s">
        <v>191</v>
      </c>
      <c r="C6057" s="6">
        <v>1970</v>
      </c>
      <c r="D6057" s="7">
        <v>2957250</v>
      </c>
    </row>
    <row r="6058" spans="1:4" x14ac:dyDescent="0.3">
      <c r="A6058" s="2" t="s">
        <v>190</v>
      </c>
      <c r="B6058" s="2" t="s">
        <v>191</v>
      </c>
      <c r="C6058" s="3">
        <v>1971</v>
      </c>
      <c r="D6058" s="4">
        <v>2992050</v>
      </c>
    </row>
    <row r="6059" spans="1:4" x14ac:dyDescent="0.3">
      <c r="A6059" s="5" t="s">
        <v>190</v>
      </c>
      <c r="B6059" s="5" t="s">
        <v>191</v>
      </c>
      <c r="C6059" s="6">
        <v>1972</v>
      </c>
      <c r="D6059" s="7">
        <v>3036850</v>
      </c>
    </row>
    <row r="6060" spans="1:4" x14ac:dyDescent="0.3">
      <c r="A6060" s="2" t="s">
        <v>190</v>
      </c>
      <c r="B6060" s="2" t="s">
        <v>191</v>
      </c>
      <c r="C6060" s="3">
        <v>1973</v>
      </c>
      <c r="D6060" s="4">
        <v>3085950</v>
      </c>
    </row>
    <row r="6061" spans="1:4" x14ac:dyDescent="0.3">
      <c r="A6061" s="5" t="s">
        <v>190</v>
      </c>
      <c r="B6061" s="5" t="s">
        <v>191</v>
      </c>
      <c r="C6061" s="6">
        <v>1974</v>
      </c>
      <c r="D6061" s="7">
        <v>3137500</v>
      </c>
    </row>
    <row r="6062" spans="1:4" x14ac:dyDescent="0.3">
      <c r="A6062" s="2" t="s">
        <v>190</v>
      </c>
      <c r="B6062" s="2" t="s">
        <v>191</v>
      </c>
      <c r="C6062" s="3">
        <v>1975</v>
      </c>
      <c r="D6062" s="4">
        <v>3189550</v>
      </c>
    </row>
    <row r="6063" spans="1:4" x14ac:dyDescent="0.3">
      <c r="A6063" s="5" t="s">
        <v>190</v>
      </c>
      <c r="B6063" s="5" t="s">
        <v>191</v>
      </c>
      <c r="C6063" s="6">
        <v>1976</v>
      </c>
      <c r="D6063" s="7">
        <v>3238050</v>
      </c>
    </row>
    <row r="6064" spans="1:4" x14ac:dyDescent="0.3">
      <c r="A6064" s="2" t="s">
        <v>190</v>
      </c>
      <c r="B6064" s="2" t="s">
        <v>191</v>
      </c>
      <c r="C6064" s="3">
        <v>1977</v>
      </c>
      <c r="D6064" s="4">
        <v>3282200</v>
      </c>
    </row>
    <row r="6065" spans="1:4" x14ac:dyDescent="0.3">
      <c r="A6065" s="5" t="s">
        <v>190</v>
      </c>
      <c r="B6065" s="5" t="s">
        <v>191</v>
      </c>
      <c r="C6065" s="6">
        <v>1978</v>
      </c>
      <c r="D6065" s="7">
        <v>3329100</v>
      </c>
    </row>
    <row r="6066" spans="1:4" x14ac:dyDescent="0.3">
      <c r="A6066" s="2" t="s">
        <v>190</v>
      </c>
      <c r="B6066" s="2" t="s">
        <v>191</v>
      </c>
      <c r="C6066" s="3">
        <v>1979</v>
      </c>
      <c r="D6066" s="4">
        <v>3373750</v>
      </c>
    </row>
    <row r="6067" spans="1:4" x14ac:dyDescent="0.3">
      <c r="A6067" s="5" t="s">
        <v>190</v>
      </c>
      <c r="B6067" s="5" t="s">
        <v>191</v>
      </c>
      <c r="C6067" s="6">
        <v>1980</v>
      </c>
      <c r="D6067" s="7">
        <v>3412800</v>
      </c>
    </row>
    <row r="6068" spans="1:4" x14ac:dyDescent="0.3">
      <c r="A6068" s="2" t="s">
        <v>190</v>
      </c>
      <c r="B6068" s="2" t="s">
        <v>191</v>
      </c>
      <c r="C6068" s="3">
        <v>1981</v>
      </c>
      <c r="D6068" s="4">
        <v>3453000</v>
      </c>
    </row>
    <row r="6069" spans="1:4" x14ac:dyDescent="0.3">
      <c r="A6069" s="5" t="s">
        <v>190</v>
      </c>
      <c r="B6069" s="5" t="s">
        <v>191</v>
      </c>
      <c r="C6069" s="6">
        <v>1982</v>
      </c>
      <c r="D6069" s="7">
        <v>3485800</v>
      </c>
    </row>
    <row r="6070" spans="1:4" x14ac:dyDescent="0.3">
      <c r="A6070" s="2" t="s">
        <v>190</v>
      </c>
      <c r="B6070" s="2" t="s">
        <v>191</v>
      </c>
      <c r="C6070" s="3">
        <v>1983</v>
      </c>
      <c r="D6070" s="4">
        <v>3510600</v>
      </c>
    </row>
    <row r="6071" spans="1:4" x14ac:dyDescent="0.3">
      <c r="A6071" s="5" t="s">
        <v>190</v>
      </c>
      <c r="B6071" s="5" t="s">
        <v>191</v>
      </c>
      <c r="C6071" s="6">
        <v>1984</v>
      </c>
      <c r="D6071" s="7">
        <v>3532423</v>
      </c>
    </row>
    <row r="6072" spans="1:4" x14ac:dyDescent="0.3">
      <c r="A6072" s="2" t="s">
        <v>190</v>
      </c>
      <c r="B6072" s="2" t="s">
        <v>191</v>
      </c>
      <c r="C6072" s="3">
        <v>1985</v>
      </c>
      <c r="D6072" s="4">
        <v>3538082</v>
      </c>
    </row>
    <row r="6073" spans="1:4" x14ac:dyDescent="0.3">
      <c r="A6073" s="5" t="s">
        <v>190</v>
      </c>
      <c r="B6073" s="5" t="s">
        <v>191</v>
      </c>
      <c r="C6073" s="6">
        <v>1986</v>
      </c>
      <c r="D6073" s="7">
        <v>3539690</v>
      </c>
    </row>
    <row r="6074" spans="1:4" x14ac:dyDescent="0.3">
      <c r="A6074" s="2" t="s">
        <v>190</v>
      </c>
      <c r="B6074" s="2" t="s">
        <v>191</v>
      </c>
      <c r="C6074" s="3">
        <v>1987</v>
      </c>
      <c r="D6074" s="4">
        <v>3540057</v>
      </c>
    </row>
    <row r="6075" spans="1:4" x14ac:dyDescent="0.3">
      <c r="A6075" s="5" t="s">
        <v>190</v>
      </c>
      <c r="B6075" s="5" t="s">
        <v>191</v>
      </c>
      <c r="C6075" s="6">
        <v>1988</v>
      </c>
      <c r="D6075" s="7">
        <v>3524949</v>
      </c>
    </row>
    <row r="6076" spans="1:4" x14ac:dyDescent="0.3">
      <c r="A6076" s="2" t="s">
        <v>190</v>
      </c>
      <c r="B6076" s="2" t="s">
        <v>191</v>
      </c>
      <c r="C6076" s="3">
        <v>1989</v>
      </c>
      <c r="D6076" s="4">
        <v>3511009</v>
      </c>
    </row>
    <row r="6077" spans="1:4" x14ac:dyDescent="0.3">
      <c r="A6077" s="5" t="s">
        <v>190</v>
      </c>
      <c r="B6077" s="5" t="s">
        <v>191</v>
      </c>
      <c r="C6077" s="6">
        <v>1990</v>
      </c>
      <c r="D6077" s="7">
        <v>3513974</v>
      </c>
    </row>
    <row r="6078" spans="1:4" x14ac:dyDescent="0.3">
      <c r="A6078" s="2" t="s">
        <v>190</v>
      </c>
      <c r="B6078" s="2" t="s">
        <v>191</v>
      </c>
      <c r="C6078" s="3">
        <v>1991</v>
      </c>
      <c r="D6078" s="4">
        <v>3534235</v>
      </c>
    </row>
    <row r="6079" spans="1:4" x14ac:dyDescent="0.3">
      <c r="A6079" s="5" t="s">
        <v>190</v>
      </c>
      <c r="B6079" s="5" t="s">
        <v>191</v>
      </c>
      <c r="C6079" s="6">
        <v>1992</v>
      </c>
      <c r="D6079" s="7">
        <v>3558430</v>
      </c>
    </row>
    <row r="6080" spans="1:4" x14ac:dyDescent="0.3">
      <c r="A6080" s="2" t="s">
        <v>190</v>
      </c>
      <c r="B6080" s="2" t="s">
        <v>191</v>
      </c>
      <c r="C6080" s="3">
        <v>1993</v>
      </c>
      <c r="D6080" s="4">
        <v>3576261</v>
      </c>
    </row>
    <row r="6081" spans="1:4" x14ac:dyDescent="0.3">
      <c r="A6081" s="5" t="s">
        <v>190</v>
      </c>
      <c r="B6081" s="5" t="s">
        <v>191</v>
      </c>
      <c r="C6081" s="6">
        <v>1994</v>
      </c>
      <c r="D6081" s="7">
        <v>3590386</v>
      </c>
    </row>
    <row r="6082" spans="1:4" x14ac:dyDescent="0.3">
      <c r="A6082" s="2" t="s">
        <v>190</v>
      </c>
      <c r="B6082" s="2" t="s">
        <v>191</v>
      </c>
      <c r="C6082" s="3">
        <v>1995</v>
      </c>
      <c r="D6082" s="4">
        <v>3608841</v>
      </c>
    </row>
    <row r="6083" spans="1:4" x14ac:dyDescent="0.3">
      <c r="A6083" s="5" t="s">
        <v>190</v>
      </c>
      <c r="B6083" s="5" t="s">
        <v>191</v>
      </c>
      <c r="C6083" s="6">
        <v>1996</v>
      </c>
      <c r="D6083" s="7">
        <v>3637510</v>
      </c>
    </row>
    <row r="6084" spans="1:4" x14ac:dyDescent="0.3">
      <c r="A6084" s="2" t="s">
        <v>190</v>
      </c>
      <c r="B6084" s="2" t="s">
        <v>191</v>
      </c>
      <c r="C6084" s="3">
        <v>1997</v>
      </c>
      <c r="D6084" s="4">
        <v>3674171</v>
      </c>
    </row>
    <row r="6085" spans="1:4" x14ac:dyDescent="0.3">
      <c r="A6085" s="5" t="s">
        <v>190</v>
      </c>
      <c r="B6085" s="5" t="s">
        <v>191</v>
      </c>
      <c r="C6085" s="6">
        <v>1998</v>
      </c>
      <c r="D6085" s="7">
        <v>3712696</v>
      </c>
    </row>
    <row r="6086" spans="1:4" x14ac:dyDescent="0.3">
      <c r="A6086" s="2" t="s">
        <v>190</v>
      </c>
      <c r="B6086" s="2" t="s">
        <v>191</v>
      </c>
      <c r="C6086" s="3">
        <v>1999</v>
      </c>
      <c r="D6086" s="4">
        <v>3754786</v>
      </c>
    </row>
    <row r="6087" spans="1:4" x14ac:dyDescent="0.3">
      <c r="A6087" s="5" t="s">
        <v>190</v>
      </c>
      <c r="B6087" s="5" t="s">
        <v>191</v>
      </c>
      <c r="C6087" s="6">
        <v>2000</v>
      </c>
      <c r="D6087" s="7">
        <v>3805174</v>
      </c>
    </row>
    <row r="6088" spans="1:4" x14ac:dyDescent="0.3">
      <c r="A6088" s="2" t="s">
        <v>190</v>
      </c>
      <c r="B6088" s="2" t="s">
        <v>191</v>
      </c>
      <c r="C6088" s="3">
        <v>2001</v>
      </c>
      <c r="D6088" s="4">
        <v>3866243</v>
      </c>
    </row>
    <row r="6089" spans="1:4" x14ac:dyDescent="0.3">
      <c r="A6089" s="5" t="s">
        <v>190</v>
      </c>
      <c r="B6089" s="5" t="s">
        <v>191</v>
      </c>
      <c r="C6089" s="6">
        <v>2002</v>
      </c>
      <c r="D6089" s="7">
        <v>3931947</v>
      </c>
    </row>
    <row r="6090" spans="1:4" x14ac:dyDescent="0.3">
      <c r="A6090" s="2" t="s">
        <v>190</v>
      </c>
      <c r="B6090" s="2" t="s">
        <v>191</v>
      </c>
      <c r="C6090" s="3">
        <v>2003</v>
      </c>
      <c r="D6090" s="4">
        <v>3996521</v>
      </c>
    </row>
    <row r="6091" spans="1:4" x14ac:dyDescent="0.3">
      <c r="A6091" s="5" t="s">
        <v>190</v>
      </c>
      <c r="B6091" s="5" t="s">
        <v>191</v>
      </c>
      <c r="C6091" s="6">
        <v>2004</v>
      </c>
      <c r="D6091" s="7">
        <v>4070262</v>
      </c>
    </row>
    <row r="6092" spans="1:4" x14ac:dyDescent="0.3">
      <c r="A6092" s="2" t="s">
        <v>190</v>
      </c>
      <c r="B6092" s="2" t="s">
        <v>191</v>
      </c>
      <c r="C6092" s="3">
        <v>2005</v>
      </c>
      <c r="D6092" s="4">
        <v>4159914</v>
      </c>
    </row>
    <row r="6093" spans="1:4" x14ac:dyDescent="0.3">
      <c r="A6093" s="5" t="s">
        <v>190</v>
      </c>
      <c r="B6093" s="5" t="s">
        <v>191</v>
      </c>
      <c r="C6093" s="6">
        <v>2006</v>
      </c>
      <c r="D6093" s="7">
        <v>4273591</v>
      </c>
    </row>
    <row r="6094" spans="1:4" x14ac:dyDescent="0.3">
      <c r="A6094" s="2" t="s">
        <v>190</v>
      </c>
      <c r="B6094" s="2" t="s">
        <v>191</v>
      </c>
      <c r="C6094" s="3">
        <v>2007</v>
      </c>
      <c r="D6094" s="4">
        <v>4398942</v>
      </c>
    </row>
    <row r="6095" spans="1:4" x14ac:dyDescent="0.3">
      <c r="A6095" s="5" t="s">
        <v>190</v>
      </c>
      <c r="B6095" s="5" t="s">
        <v>191</v>
      </c>
      <c r="C6095" s="6">
        <v>2008</v>
      </c>
      <c r="D6095" s="7">
        <v>4489544</v>
      </c>
    </row>
    <row r="6096" spans="1:4" x14ac:dyDescent="0.3">
      <c r="A6096" s="2" t="s">
        <v>190</v>
      </c>
      <c r="B6096" s="2" t="s">
        <v>191</v>
      </c>
      <c r="C6096" s="3">
        <v>2009</v>
      </c>
      <c r="D6096" s="4">
        <v>4535375</v>
      </c>
    </row>
    <row r="6097" spans="1:4" x14ac:dyDescent="0.3">
      <c r="A6097" s="5" t="s">
        <v>190</v>
      </c>
      <c r="B6097" s="5" t="s">
        <v>191</v>
      </c>
      <c r="C6097" s="6">
        <v>2010</v>
      </c>
      <c r="D6097" s="7">
        <v>4560155</v>
      </c>
    </row>
    <row r="6098" spans="1:4" x14ac:dyDescent="0.3">
      <c r="A6098" s="2" t="s">
        <v>190</v>
      </c>
      <c r="B6098" s="2" t="s">
        <v>191</v>
      </c>
      <c r="C6098" s="3">
        <v>2011</v>
      </c>
      <c r="D6098" s="4">
        <v>4580084</v>
      </c>
    </row>
    <row r="6099" spans="1:4" x14ac:dyDescent="0.3">
      <c r="A6099" s="5" t="s">
        <v>190</v>
      </c>
      <c r="B6099" s="5" t="s">
        <v>191</v>
      </c>
      <c r="C6099" s="6">
        <v>2012</v>
      </c>
      <c r="D6099" s="7">
        <v>4599533</v>
      </c>
    </row>
    <row r="6100" spans="1:4" x14ac:dyDescent="0.3">
      <c r="A6100" s="2" t="s">
        <v>190</v>
      </c>
      <c r="B6100" s="2" t="s">
        <v>191</v>
      </c>
      <c r="C6100" s="3">
        <v>2013</v>
      </c>
      <c r="D6100" s="4">
        <v>4623816</v>
      </c>
    </row>
    <row r="6101" spans="1:4" x14ac:dyDescent="0.3">
      <c r="A6101" s="5" t="s">
        <v>190</v>
      </c>
      <c r="B6101" s="5" t="s">
        <v>191</v>
      </c>
      <c r="C6101" s="6">
        <v>2014</v>
      </c>
      <c r="D6101" s="7">
        <v>4657740</v>
      </c>
    </row>
    <row r="6102" spans="1:4" x14ac:dyDescent="0.3">
      <c r="A6102" s="2" t="s">
        <v>190</v>
      </c>
      <c r="B6102" s="2" t="s">
        <v>191</v>
      </c>
      <c r="C6102" s="3">
        <v>2015</v>
      </c>
      <c r="D6102" s="4">
        <v>4701957</v>
      </c>
    </row>
    <row r="6103" spans="1:4" x14ac:dyDescent="0.3">
      <c r="A6103" s="5" t="s">
        <v>190</v>
      </c>
      <c r="B6103" s="5" t="s">
        <v>191</v>
      </c>
      <c r="C6103" s="6">
        <v>2016</v>
      </c>
      <c r="D6103" s="7">
        <v>4762722</v>
      </c>
    </row>
    <row r="6104" spans="1:4" x14ac:dyDescent="0.3">
      <c r="A6104" s="2" t="s">
        <v>190</v>
      </c>
      <c r="B6104" s="2" t="s">
        <v>191</v>
      </c>
      <c r="C6104" s="3">
        <v>2017</v>
      </c>
      <c r="D6104" s="4">
        <v>4827445</v>
      </c>
    </row>
    <row r="6105" spans="1:4" x14ac:dyDescent="0.3">
      <c r="A6105" s="5" t="s">
        <v>190</v>
      </c>
      <c r="B6105" s="5" t="s">
        <v>191</v>
      </c>
      <c r="C6105" s="6">
        <v>2018</v>
      </c>
      <c r="D6105" s="7">
        <v>4898022</v>
      </c>
    </row>
    <row r="6106" spans="1:4" x14ac:dyDescent="0.3">
      <c r="A6106" s="2" t="s">
        <v>190</v>
      </c>
      <c r="B6106" s="2" t="s">
        <v>191</v>
      </c>
      <c r="C6106" s="3">
        <v>2019</v>
      </c>
      <c r="D6106" s="4">
        <v>4976456</v>
      </c>
    </row>
    <row r="6107" spans="1:4" x14ac:dyDescent="0.3">
      <c r="A6107" s="5" t="s">
        <v>190</v>
      </c>
      <c r="B6107" s="5" t="s">
        <v>191</v>
      </c>
      <c r="C6107" s="6">
        <v>2020</v>
      </c>
      <c r="D6107" s="7">
        <v>5039747</v>
      </c>
    </row>
    <row r="6108" spans="1:4" x14ac:dyDescent="0.3">
      <c r="A6108" s="2" t="s">
        <v>190</v>
      </c>
      <c r="B6108" s="2" t="s">
        <v>191</v>
      </c>
      <c r="C6108" s="3">
        <v>2021</v>
      </c>
      <c r="D6108" s="4">
        <v>5110585</v>
      </c>
    </row>
    <row r="6109" spans="1:4" x14ac:dyDescent="0.3">
      <c r="A6109" s="5" t="s">
        <v>190</v>
      </c>
      <c r="B6109" s="5" t="s">
        <v>191</v>
      </c>
      <c r="C6109" s="6">
        <v>2022</v>
      </c>
      <c r="D6109" s="7">
        <v>5212836</v>
      </c>
    </row>
    <row r="6110" spans="1:4" x14ac:dyDescent="0.3">
      <c r="A6110" s="2" t="s">
        <v>190</v>
      </c>
      <c r="B6110" s="2" t="s">
        <v>191</v>
      </c>
      <c r="C6110" s="3">
        <v>2023</v>
      </c>
      <c r="D6110" s="4">
        <v>5307600</v>
      </c>
    </row>
    <row r="6111" spans="1:4" x14ac:dyDescent="0.3">
      <c r="A6111" s="5" t="s">
        <v>190</v>
      </c>
      <c r="B6111" s="5" t="s">
        <v>191</v>
      </c>
      <c r="C6111" s="6">
        <v>2024</v>
      </c>
      <c r="D6111" s="7">
        <v>5380257</v>
      </c>
    </row>
    <row r="6112" spans="1:4" x14ac:dyDescent="0.3">
      <c r="A6112" s="2" t="s">
        <v>192</v>
      </c>
      <c r="B6112" s="2" t="s">
        <v>193</v>
      </c>
      <c r="C6112" s="3">
        <v>1960</v>
      </c>
      <c r="D6112" s="4">
        <v>48868</v>
      </c>
    </row>
    <row r="6113" spans="1:4" x14ac:dyDescent="0.3">
      <c r="A6113" s="5" t="s">
        <v>192</v>
      </c>
      <c r="B6113" s="5" t="s">
        <v>193</v>
      </c>
      <c r="C6113" s="6">
        <v>1961</v>
      </c>
      <c r="D6113" s="7">
        <v>48451</v>
      </c>
    </row>
    <row r="6114" spans="1:4" x14ac:dyDescent="0.3">
      <c r="A6114" s="2" t="s">
        <v>192</v>
      </c>
      <c r="B6114" s="2" t="s">
        <v>193</v>
      </c>
      <c r="C6114" s="3">
        <v>1962</v>
      </c>
      <c r="D6114" s="4">
        <v>48688</v>
      </c>
    </row>
    <row r="6115" spans="1:4" x14ac:dyDescent="0.3">
      <c r="A6115" s="5" t="s">
        <v>192</v>
      </c>
      <c r="B6115" s="5" t="s">
        <v>193</v>
      </c>
      <c r="C6115" s="6">
        <v>1963</v>
      </c>
      <c r="D6115" s="7">
        <v>49151</v>
      </c>
    </row>
    <row r="6116" spans="1:4" x14ac:dyDescent="0.3">
      <c r="A6116" s="2" t="s">
        <v>192</v>
      </c>
      <c r="B6116" s="2" t="s">
        <v>193</v>
      </c>
      <c r="C6116" s="3">
        <v>1964</v>
      </c>
      <c r="D6116" s="4">
        <v>49625</v>
      </c>
    </row>
    <row r="6117" spans="1:4" x14ac:dyDescent="0.3">
      <c r="A6117" s="5" t="s">
        <v>192</v>
      </c>
      <c r="B6117" s="5" t="s">
        <v>193</v>
      </c>
      <c r="C6117" s="6">
        <v>1965</v>
      </c>
      <c r="D6117" s="7">
        <v>50090</v>
      </c>
    </row>
    <row r="6118" spans="1:4" x14ac:dyDescent="0.3">
      <c r="A6118" s="2" t="s">
        <v>192</v>
      </c>
      <c r="B6118" s="2" t="s">
        <v>193</v>
      </c>
      <c r="C6118" s="3">
        <v>1966</v>
      </c>
      <c r="D6118" s="4">
        <v>50749</v>
      </c>
    </row>
    <row r="6119" spans="1:4" x14ac:dyDescent="0.3">
      <c r="A6119" s="5" t="s">
        <v>192</v>
      </c>
      <c r="B6119" s="5" t="s">
        <v>193</v>
      </c>
      <c r="C6119" s="6">
        <v>1967</v>
      </c>
      <c r="D6119" s="7">
        <v>51741</v>
      </c>
    </row>
    <row r="6120" spans="1:4" x14ac:dyDescent="0.3">
      <c r="A6120" s="2" t="s">
        <v>192</v>
      </c>
      <c r="B6120" s="2" t="s">
        <v>193</v>
      </c>
      <c r="C6120" s="3">
        <v>1968</v>
      </c>
      <c r="D6120" s="4">
        <v>52891</v>
      </c>
    </row>
    <row r="6121" spans="1:4" x14ac:dyDescent="0.3">
      <c r="A6121" s="5" t="s">
        <v>192</v>
      </c>
      <c r="B6121" s="5" t="s">
        <v>193</v>
      </c>
      <c r="C6121" s="6">
        <v>1969</v>
      </c>
      <c r="D6121" s="7">
        <v>54074</v>
      </c>
    </row>
    <row r="6122" spans="1:4" x14ac:dyDescent="0.3">
      <c r="A6122" s="2" t="s">
        <v>192</v>
      </c>
      <c r="B6122" s="2" t="s">
        <v>193</v>
      </c>
      <c r="C6122" s="3">
        <v>1970</v>
      </c>
      <c r="D6122" s="4">
        <v>55300</v>
      </c>
    </row>
    <row r="6123" spans="1:4" x14ac:dyDescent="0.3">
      <c r="A6123" s="5" t="s">
        <v>192</v>
      </c>
      <c r="B6123" s="5" t="s">
        <v>193</v>
      </c>
      <c r="C6123" s="6">
        <v>1971</v>
      </c>
      <c r="D6123" s="7">
        <v>56427</v>
      </c>
    </row>
    <row r="6124" spans="1:4" x14ac:dyDescent="0.3">
      <c r="A6124" s="2" t="s">
        <v>192</v>
      </c>
      <c r="B6124" s="2" t="s">
        <v>193</v>
      </c>
      <c r="C6124" s="3">
        <v>1972</v>
      </c>
      <c r="D6124" s="4">
        <v>57367</v>
      </c>
    </row>
    <row r="6125" spans="1:4" x14ac:dyDescent="0.3">
      <c r="A6125" s="5" t="s">
        <v>192</v>
      </c>
      <c r="B6125" s="5" t="s">
        <v>193</v>
      </c>
      <c r="C6125" s="6">
        <v>1973</v>
      </c>
      <c r="D6125" s="7">
        <v>58256</v>
      </c>
    </row>
    <row r="6126" spans="1:4" x14ac:dyDescent="0.3">
      <c r="A6126" s="2" t="s">
        <v>192</v>
      </c>
      <c r="B6126" s="2" t="s">
        <v>193</v>
      </c>
      <c r="C6126" s="3">
        <v>1974</v>
      </c>
      <c r="D6126" s="4">
        <v>59139</v>
      </c>
    </row>
    <row r="6127" spans="1:4" x14ac:dyDescent="0.3">
      <c r="A6127" s="5" t="s">
        <v>192</v>
      </c>
      <c r="B6127" s="5" t="s">
        <v>193</v>
      </c>
      <c r="C6127" s="6">
        <v>1975</v>
      </c>
      <c r="D6127" s="7">
        <v>59959</v>
      </c>
    </row>
    <row r="6128" spans="1:4" x14ac:dyDescent="0.3">
      <c r="A6128" s="2" t="s">
        <v>192</v>
      </c>
      <c r="B6128" s="2" t="s">
        <v>193</v>
      </c>
      <c r="C6128" s="3">
        <v>1976</v>
      </c>
      <c r="D6128" s="4">
        <v>60750</v>
      </c>
    </row>
    <row r="6129" spans="1:4" x14ac:dyDescent="0.3">
      <c r="A6129" s="5" t="s">
        <v>192</v>
      </c>
      <c r="B6129" s="5" t="s">
        <v>193</v>
      </c>
      <c r="C6129" s="6">
        <v>1977</v>
      </c>
      <c r="D6129" s="7">
        <v>61566</v>
      </c>
    </row>
    <row r="6130" spans="1:4" x14ac:dyDescent="0.3">
      <c r="A6130" s="2" t="s">
        <v>192</v>
      </c>
      <c r="B6130" s="2" t="s">
        <v>193</v>
      </c>
      <c r="C6130" s="3">
        <v>1978</v>
      </c>
      <c r="D6130" s="4">
        <v>62398</v>
      </c>
    </row>
    <row r="6131" spans="1:4" x14ac:dyDescent="0.3">
      <c r="A6131" s="5" t="s">
        <v>192</v>
      </c>
      <c r="B6131" s="5" t="s">
        <v>193</v>
      </c>
      <c r="C6131" s="6">
        <v>1979</v>
      </c>
      <c r="D6131" s="7">
        <v>63239</v>
      </c>
    </row>
    <row r="6132" spans="1:4" x14ac:dyDescent="0.3">
      <c r="A6132" s="2" t="s">
        <v>192</v>
      </c>
      <c r="B6132" s="2" t="s">
        <v>193</v>
      </c>
      <c r="C6132" s="3">
        <v>1980</v>
      </c>
      <c r="D6132" s="4">
        <v>64076</v>
      </c>
    </row>
    <row r="6133" spans="1:4" x14ac:dyDescent="0.3">
      <c r="A6133" s="5" t="s">
        <v>192</v>
      </c>
      <c r="B6133" s="5" t="s">
        <v>193</v>
      </c>
      <c r="C6133" s="6">
        <v>1981</v>
      </c>
      <c r="D6133" s="7">
        <v>64596</v>
      </c>
    </row>
    <row r="6134" spans="1:4" x14ac:dyDescent="0.3">
      <c r="A6134" s="2" t="s">
        <v>192</v>
      </c>
      <c r="B6134" s="2" t="s">
        <v>193</v>
      </c>
      <c r="C6134" s="3">
        <v>1982</v>
      </c>
      <c r="D6134" s="4">
        <v>64686</v>
      </c>
    </row>
    <row r="6135" spans="1:4" x14ac:dyDescent="0.3">
      <c r="A6135" s="5" t="s">
        <v>192</v>
      </c>
      <c r="B6135" s="5" t="s">
        <v>193</v>
      </c>
      <c r="C6135" s="6">
        <v>1983</v>
      </c>
      <c r="D6135" s="7">
        <v>64630</v>
      </c>
    </row>
    <row r="6136" spans="1:4" x14ac:dyDescent="0.3">
      <c r="A6136" s="2" t="s">
        <v>192</v>
      </c>
      <c r="B6136" s="2" t="s">
        <v>193</v>
      </c>
      <c r="C6136" s="3">
        <v>1984</v>
      </c>
      <c r="D6136" s="4">
        <v>64528</v>
      </c>
    </row>
    <row r="6137" spans="1:4" x14ac:dyDescent="0.3">
      <c r="A6137" s="5" t="s">
        <v>192</v>
      </c>
      <c r="B6137" s="5" t="s">
        <v>193</v>
      </c>
      <c r="C6137" s="6">
        <v>1985</v>
      </c>
      <c r="D6137" s="7">
        <v>64401</v>
      </c>
    </row>
    <row r="6138" spans="1:4" x14ac:dyDescent="0.3">
      <c r="A6138" s="2" t="s">
        <v>192</v>
      </c>
      <c r="B6138" s="2" t="s">
        <v>193</v>
      </c>
      <c r="C6138" s="3">
        <v>1986</v>
      </c>
      <c r="D6138" s="4">
        <v>64695</v>
      </c>
    </row>
    <row r="6139" spans="1:4" x14ac:dyDescent="0.3">
      <c r="A6139" s="5" t="s">
        <v>192</v>
      </c>
      <c r="B6139" s="5" t="s">
        <v>193</v>
      </c>
      <c r="C6139" s="6">
        <v>1987</v>
      </c>
      <c r="D6139" s="7">
        <v>65597</v>
      </c>
    </row>
    <row r="6140" spans="1:4" x14ac:dyDescent="0.3">
      <c r="A6140" s="2" t="s">
        <v>192</v>
      </c>
      <c r="B6140" s="2" t="s">
        <v>193</v>
      </c>
      <c r="C6140" s="3">
        <v>1988</v>
      </c>
      <c r="D6140" s="4">
        <v>66680</v>
      </c>
    </row>
    <row r="6141" spans="1:4" x14ac:dyDescent="0.3">
      <c r="A6141" s="5" t="s">
        <v>192</v>
      </c>
      <c r="B6141" s="5" t="s">
        <v>193</v>
      </c>
      <c r="C6141" s="6">
        <v>1989</v>
      </c>
      <c r="D6141" s="7">
        <v>67790</v>
      </c>
    </row>
    <row r="6142" spans="1:4" x14ac:dyDescent="0.3">
      <c r="A6142" s="2" t="s">
        <v>192</v>
      </c>
      <c r="B6142" s="2" t="s">
        <v>193</v>
      </c>
      <c r="C6142" s="3">
        <v>1990</v>
      </c>
      <c r="D6142" s="4">
        <v>68916</v>
      </c>
    </row>
    <row r="6143" spans="1:4" x14ac:dyDescent="0.3">
      <c r="A6143" s="5" t="s">
        <v>192</v>
      </c>
      <c r="B6143" s="5" t="s">
        <v>193</v>
      </c>
      <c r="C6143" s="6">
        <v>1991</v>
      </c>
      <c r="D6143" s="7">
        <v>69808</v>
      </c>
    </row>
    <row r="6144" spans="1:4" x14ac:dyDescent="0.3">
      <c r="A6144" s="2" t="s">
        <v>192</v>
      </c>
      <c r="B6144" s="2" t="s">
        <v>193</v>
      </c>
      <c r="C6144" s="3">
        <v>1992</v>
      </c>
      <c r="D6144" s="4">
        <v>70353</v>
      </c>
    </row>
    <row r="6145" spans="1:4" x14ac:dyDescent="0.3">
      <c r="A6145" s="5" t="s">
        <v>192</v>
      </c>
      <c r="B6145" s="5" t="s">
        <v>193</v>
      </c>
      <c r="C6145" s="6">
        <v>1993</v>
      </c>
      <c r="D6145" s="7">
        <v>70772</v>
      </c>
    </row>
    <row r="6146" spans="1:4" x14ac:dyDescent="0.3">
      <c r="A6146" s="2" t="s">
        <v>192</v>
      </c>
      <c r="B6146" s="2" t="s">
        <v>193</v>
      </c>
      <c r="C6146" s="3">
        <v>1994</v>
      </c>
      <c r="D6146" s="4">
        <v>71168</v>
      </c>
    </row>
    <row r="6147" spans="1:4" x14ac:dyDescent="0.3">
      <c r="A6147" s="5" t="s">
        <v>192</v>
      </c>
      <c r="B6147" s="5" t="s">
        <v>193</v>
      </c>
      <c r="C6147" s="6">
        <v>1995</v>
      </c>
      <c r="D6147" s="7">
        <v>71513</v>
      </c>
    </row>
    <row r="6148" spans="1:4" x14ac:dyDescent="0.3">
      <c r="A6148" s="2" t="s">
        <v>192</v>
      </c>
      <c r="B6148" s="2" t="s">
        <v>193</v>
      </c>
      <c r="C6148" s="3">
        <v>1996</v>
      </c>
      <c r="D6148" s="4">
        <v>72047</v>
      </c>
    </row>
    <row r="6149" spans="1:4" x14ac:dyDescent="0.3">
      <c r="A6149" s="5" t="s">
        <v>192</v>
      </c>
      <c r="B6149" s="5" t="s">
        <v>193</v>
      </c>
      <c r="C6149" s="6">
        <v>1997</v>
      </c>
      <c r="D6149" s="7">
        <v>72909</v>
      </c>
    </row>
    <row r="6150" spans="1:4" x14ac:dyDescent="0.3">
      <c r="A6150" s="2" t="s">
        <v>192</v>
      </c>
      <c r="B6150" s="2" t="s">
        <v>193</v>
      </c>
      <c r="C6150" s="3">
        <v>1998</v>
      </c>
      <c r="D6150" s="4">
        <v>73861</v>
      </c>
    </row>
    <row r="6151" spans="1:4" x14ac:dyDescent="0.3">
      <c r="A6151" s="5" t="s">
        <v>192</v>
      </c>
      <c r="B6151" s="5" t="s">
        <v>193</v>
      </c>
      <c r="C6151" s="6">
        <v>1999</v>
      </c>
      <c r="D6151" s="7">
        <v>74790</v>
      </c>
    </row>
    <row r="6152" spans="1:4" x14ac:dyDescent="0.3">
      <c r="A6152" s="2" t="s">
        <v>192</v>
      </c>
      <c r="B6152" s="2" t="s">
        <v>193</v>
      </c>
      <c r="C6152" s="3">
        <v>2000</v>
      </c>
      <c r="D6152" s="4">
        <v>75659</v>
      </c>
    </row>
    <row r="6153" spans="1:4" x14ac:dyDescent="0.3">
      <c r="A6153" s="5" t="s">
        <v>192</v>
      </c>
      <c r="B6153" s="5" t="s">
        <v>193</v>
      </c>
      <c r="C6153" s="6">
        <v>2001</v>
      </c>
      <c r="D6153" s="7">
        <v>76476</v>
      </c>
    </row>
    <row r="6154" spans="1:4" x14ac:dyDescent="0.3">
      <c r="A6154" s="2" t="s">
        <v>192</v>
      </c>
      <c r="B6154" s="2" t="s">
        <v>193</v>
      </c>
      <c r="C6154" s="3">
        <v>2002</v>
      </c>
      <c r="D6154" s="4">
        <v>77275</v>
      </c>
    </row>
    <row r="6155" spans="1:4" x14ac:dyDescent="0.3">
      <c r="A6155" s="5" t="s">
        <v>192</v>
      </c>
      <c r="B6155" s="5" t="s">
        <v>193</v>
      </c>
      <c r="C6155" s="6">
        <v>2003</v>
      </c>
      <c r="D6155" s="7">
        <v>78049</v>
      </c>
    </row>
    <row r="6156" spans="1:4" x14ac:dyDescent="0.3">
      <c r="A6156" s="2" t="s">
        <v>192</v>
      </c>
      <c r="B6156" s="2" t="s">
        <v>193</v>
      </c>
      <c r="C6156" s="3">
        <v>2004</v>
      </c>
      <c r="D6156" s="4">
        <v>78792</v>
      </c>
    </row>
    <row r="6157" spans="1:4" x14ac:dyDescent="0.3">
      <c r="A6157" s="5" t="s">
        <v>192</v>
      </c>
      <c r="B6157" s="5" t="s">
        <v>193</v>
      </c>
      <c r="C6157" s="6">
        <v>2005</v>
      </c>
      <c r="D6157" s="7">
        <v>79516</v>
      </c>
    </row>
    <row r="6158" spans="1:4" x14ac:dyDescent="0.3">
      <c r="A6158" s="2" t="s">
        <v>192</v>
      </c>
      <c r="B6158" s="2" t="s">
        <v>193</v>
      </c>
      <c r="C6158" s="3">
        <v>2006</v>
      </c>
      <c r="D6158" s="4">
        <v>80294</v>
      </c>
    </row>
    <row r="6159" spans="1:4" x14ac:dyDescent="0.3">
      <c r="A6159" s="5" t="s">
        <v>192</v>
      </c>
      <c r="B6159" s="5" t="s">
        <v>193</v>
      </c>
      <c r="C6159" s="6">
        <v>2007</v>
      </c>
      <c r="D6159" s="7">
        <v>81147</v>
      </c>
    </row>
    <row r="6160" spans="1:4" x14ac:dyDescent="0.3">
      <c r="A6160" s="2" t="s">
        <v>192</v>
      </c>
      <c r="B6160" s="2" t="s">
        <v>193</v>
      </c>
      <c r="C6160" s="3">
        <v>2008</v>
      </c>
      <c r="D6160" s="4">
        <v>82029</v>
      </c>
    </row>
    <row r="6161" spans="1:4" x14ac:dyDescent="0.3">
      <c r="A6161" s="5" t="s">
        <v>192</v>
      </c>
      <c r="B6161" s="5" t="s">
        <v>193</v>
      </c>
      <c r="C6161" s="6">
        <v>2009</v>
      </c>
      <c r="D6161" s="7">
        <v>82939</v>
      </c>
    </row>
    <row r="6162" spans="1:4" x14ac:dyDescent="0.3">
      <c r="A6162" s="2" t="s">
        <v>192</v>
      </c>
      <c r="B6162" s="2" t="s">
        <v>193</v>
      </c>
      <c r="C6162" s="3">
        <v>2010</v>
      </c>
      <c r="D6162" s="4">
        <v>83873</v>
      </c>
    </row>
    <row r="6163" spans="1:4" x14ac:dyDescent="0.3">
      <c r="A6163" s="5" t="s">
        <v>192</v>
      </c>
      <c r="B6163" s="5" t="s">
        <v>193</v>
      </c>
      <c r="C6163" s="6">
        <v>2011</v>
      </c>
      <c r="D6163" s="7">
        <v>84382</v>
      </c>
    </row>
    <row r="6164" spans="1:4" x14ac:dyDescent="0.3">
      <c r="A6164" s="2" t="s">
        <v>192</v>
      </c>
      <c r="B6164" s="2" t="s">
        <v>193</v>
      </c>
      <c r="C6164" s="3">
        <v>2012</v>
      </c>
      <c r="D6164" s="4">
        <v>84335</v>
      </c>
    </row>
    <row r="6165" spans="1:4" x14ac:dyDescent="0.3">
      <c r="A6165" s="5" t="s">
        <v>192</v>
      </c>
      <c r="B6165" s="5" t="s">
        <v>193</v>
      </c>
      <c r="C6165" s="6">
        <v>2013</v>
      </c>
      <c r="D6165" s="7">
        <v>84141</v>
      </c>
    </row>
    <row r="6166" spans="1:4" x14ac:dyDescent="0.3">
      <c r="A6166" s="2" t="s">
        <v>192</v>
      </c>
      <c r="B6166" s="2" t="s">
        <v>193</v>
      </c>
      <c r="C6166" s="3">
        <v>2014</v>
      </c>
      <c r="D6166" s="4">
        <v>83892</v>
      </c>
    </row>
    <row r="6167" spans="1:4" x14ac:dyDescent="0.3">
      <c r="A6167" s="5" t="s">
        <v>192</v>
      </c>
      <c r="B6167" s="5" t="s">
        <v>193</v>
      </c>
      <c r="C6167" s="6">
        <v>2015</v>
      </c>
      <c r="D6167" s="7">
        <v>83593</v>
      </c>
    </row>
    <row r="6168" spans="1:4" x14ac:dyDescent="0.3">
      <c r="A6168" s="2" t="s">
        <v>192</v>
      </c>
      <c r="B6168" s="2" t="s">
        <v>193</v>
      </c>
      <c r="C6168" s="3">
        <v>2016</v>
      </c>
      <c r="D6168" s="4">
        <v>83466</v>
      </c>
    </row>
    <row r="6169" spans="1:4" x14ac:dyDescent="0.3">
      <c r="A6169" s="5" t="s">
        <v>192</v>
      </c>
      <c r="B6169" s="5" t="s">
        <v>193</v>
      </c>
      <c r="C6169" s="6">
        <v>2017</v>
      </c>
      <c r="D6169" s="7">
        <v>83609</v>
      </c>
    </row>
    <row r="6170" spans="1:4" x14ac:dyDescent="0.3">
      <c r="A6170" s="2" t="s">
        <v>192</v>
      </c>
      <c r="B6170" s="2" t="s">
        <v>193</v>
      </c>
      <c r="C6170" s="3">
        <v>2018</v>
      </c>
      <c r="D6170" s="4">
        <v>83805</v>
      </c>
    </row>
    <row r="6171" spans="1:4" x14ac:dyDescent="0.3">
      <c r="A6171" s="5" t="s">
        <v>192</v>
      </c>
      <c r="B6171" s="5" t="s">
        <v>193</v>
      </c>
      <c r="C6171" s="6">
        <v>2019</v>
      </c>
      <c r="D6171" s="7">
        <v>83957</v>
      </c>
    </row>
    <row r="6172" spans="1:4" x14ac:dyDescent="0.3">
      <c r="A6172" s="2" t="s">
        <v>192</v>
      </c>
      <c r="B6172" s="2" t="s">
        <v>193</v>
      </c>
      <c r="C6172" s="3">
        <v>2020</v>
      </c>
      <c r="D6172" s="4">
        <v>84064</v>
      </c>
    </row>
    <row r="6173" spans="1:4" x14ac:dyDescent="0.3">
      <c r="A6173" s="5" t="s">
        <v>192</v>
      </c>
      <c r="B6173" s="5" t="s">
        <v>193</v>
      </c>
      <c r="C6173" s="6">
        <v>2021</v>
      </c>
      <c r="D6173" s="7">
        <v>84106</v>
      </c>
    </row>
    <row r="6174" spans="1:4" x14ac:dyDescent="0.3">
      <c r="A6174" s="2" t="s">
        <v>192</v>
      </c>
      <c r="B6174" s="2" t="s">
        <v>193</v>
      </c>
      <c r="C6174" s="3">
        <v>2022</v>
      </c>
      <c r="D6174" s="4">
        <v>84132</v>
      </c>
    </row>
    <row r="6175" spans="1:4" x14ac:dyDescent="0.3">
      <c r="A6175" s="5" t="s">
        <v>192</v>
      </c>
      <c r="B6175" s="5" t="s">
        <v>193</v>
      </c>
      <c r="C6175" s="6">
        <v>2023</v>
      </c>
      <c r="D6175" s="7">
        <v>84165</v>
      </c>
    </row>
    <row r="6176" spans="1:4" x14ac:dyDescent="0.3">
      <c r="A6176" s="2" t="s">
        <v>192</v>
      </c>
      <c r="B6176" s="2" t="s">
        <v>193</v>
      </c>
      <c r="C6176" s="3">
        <v>2024</v>
      </c>
      <c r="D6176" s="4">
        <v>84160</v>
      </c>
    </row>
    <row r="6177" spans="1:4" x14ac:dyDescent="0.3">
      <c r="A6177" s="5" t="s">
        <v>194</v>
      </c>
      <c r="B6177" s="5" t="s">
        <v>195</v>
      </c>
      <c r="C6177" s="6">
        <v>1960</v>
      </c>
      <c r="D6177" s="7">
        <v>2114020</v>
      </c>
    </row>
    <row r="6178" spans="1:4" x14ac:dyDescent="0.3">
      <c r="A6178" s="2" t="s">
        <v>194</v>
      </c>
      <c r="B6178" s="2" t="s">
        <v>195</v>
      </c>
      <c r="C6178" s="3">
        <v>1961</v>
      </c>
      <c r="D6178" s="4">
        <v>2185000</v>
      </c>
    </row>
    <row r="6179" spans="1:4" x14ac:dyDescent="0.3">
      <c r="A6179" s="5" t="s">
        <v>194</v>
      </c>
      <c r="B6179" s="5" t="s">
        <v>195</v>
      </c>
      <c r="C6179" s="6">
        <v>1962</v>
      </c>
      <c r="D6179" s="7">
        <v>2293000</v>
      </c>
    </row>
    <row r="6180" spans="1:4" x14ac:dyDescent="0.3">
      <c r="A6180" s="2" t="s">
        <v>194</v>
      </c>
      <c r="B6180" s="2" t="s">
        <v>195</v>
      </c>
      <c r="C6180" s="3">
        <v>1963</v>
      </c>
      <c r="D6180" s="4">
        <v>2379000</v>
      </c>
    </row>
    <row r="6181" spans="1:4" x14ac:dyDescent="0.3">
      <c r="A6181" s="5" t="s">
        <v>194</v>
      </c>
      <c r="B6181" s="5" t="s">
        <v>195</v>
      </c>
      <c r="C6181" s="6">
        <v>1964</v>
      </c>
      <c r="D6181" s="7">
        <v>2475000</v>
      </c>
    </row>
    <row r="6182" spans="1:4" x14ac:dyDescent="0.3">
      <c r="A6182" s="2" t="s">
        <v>194</v>
      </c>
      <c r="B6182" s="2" t="s">
        <v>195</v>
      </c>
      <c r="C6182" s="3">
        <v>1965</v>
      </c>
      <c r="D6182" s="4">
        <v>2563000</v>
      </c>
    </row>
    <row r="6183" spans="1:4" x14ac:dyDescent="0.3">
      <c r="A6183" s="5" t="s">
        <v>194</v>
      </c>
      <c r="B6183" s="5" t="s">
        <v>195</v>
      </c>
      <c r="C6183" s="6">
        <v>1966</v>
      </c>
      <c r="D6183" s="7">
        <v>2629000</v>
      </c>
    </row>
    <row r="6184" spans="1:4" x14ac:dyDescent="0.3">
      <c r="A6184" s="2" t="s">
        <v>194</v>
      </c>
      <c r="B6184" s="2" t="s">
        <v>195</v>
      </c>
      <c r="C6184" s="3">
        <v>1967</v>
      </c>
      <c r="D6184" s="4">
        <v>2745000</v>
      </c>
    </row>
    <row r="6185" spans="1:4" x14ac:dyDescent="0.3">
      <c r="A6185" s="5" t="s">
        <v>194</v>
      </c>
      <c r="B6185" s="5" t="s">
        <v>195</v>
      </c>
      <c r="C6185" s="6">
        <v>1968</v>
      </c>
      <c r="D6185" s="7">
        <v>2803000</v>
      </c>
    </row>
    <row r="6186" spans="1:4" x14ac:dyDescent="0.3">
      <c r="A6186" s="2" t="s">
        <v>194</v>
      </c>
      <c r="B6186" s="2" t="s">
        <v>195</v>
      </c>
      <c r="C6186" s="3">
        <v>1969</v>
      </c>
      <c r="D6186" s="4">
        <v>2877000</v>
      </c>
    </row>
    <row r="6187" spans="1:4" x14ac:dyDescent="0.3">
      <c r="A6187" s="5" t="s">
        <v>194</v>
      </c>
      <c r="B6187" s="5" t="s">
        <v>195</v>
      </c>
      <c r="C6187" s="6">
        <v>1970</v>
      </c>
      <c r="D6187" s="7">
        <v>2974000</v>
      </c>
    </row>
    <row r="6188" spans="1:4" x14ac:dyDescent="0.3">
      <c r="A6188" s="2" t="s">
        <v>194</v>
      </c>
      <c r="B6188" s="2" t="s">
        <v>195</v>
      </c>
      <c r="C6188" s="3">
        <v>1971</v>
      </c>
      <c r="D6188" s="4">
        <v>3069000</v>
      </c>
    </row>
    <row r="6189" spans="1:4" x14ac:dyDescent="0.3">
      <c r="A6189" s="5" t="s">
        <v>194</v>
      </c>
      <c r="B6189" s="5" t="s">
        <v>195</v>
      </c>
      <c r="C6189" s="6">
        <v>1972</v>
      </c>
      <c r="D6189" s="7">
        <v>3148000</v>
      </c>
    </row>
    <row r="6190" spans="1:4" x14ac:dyDescent="0.3">
      <c r="A6190" s="2" t="s">
        <v>194</v>
      </c>
      <c r="B6190" s="2" t="s">
        <v>195</v>
      </c>
      <c r="C6190" s="3">
        <v>1973</v>
      </c>
      <c r="D6190" s="4">
        <v>3278000</v>
      </c>
    </row>
    <row r="6191" spans="1:4" x14ac:dyDescent="0.3">
      <c r="A6191" s="5" t="s">
        <v>194</v>
      </c>
      <c r="B6191" s="5" t="s">
        <v>195</v>
      </c>
      <c r="C6191" s="6">
        <v>1974</v>
      </c>
      <c r="D6191" s="7">
        <v>3377000</v>
      </c>
    </row>
    <row r="6192" spans="1:4" x14ac:dyDescent="0.3">
      <c r="A6192" s="2" t="s">
        <v>194</v>
      </c>
      <c r="B6192" s="2" t="s">
        <v>195</v>
      </c>
      <c r="C6192" s="3">
        <v>1975</v>
      </c>
      <c r="D6192" s="4">
        <v>3455000</v>
      </c>
    </row>
    <row r="6193" spans="1:4" x14ac:dyDescent="0.3">
      <c r="A6193" s="5" t="s">
        <v>194</v>
      </c>
      <c r="B6193" s="5" t="s">
        <v>195</v>
      </c>
      <c r="C6193" s="6">
        <v>1976</v>
      </c>
      <c r="D6193" s="7">
        <v>3533000</v>
      </c>
    </row>
    <row r="6194" spans="1:4" x14ac:dyDescent="0.3">
      <c r="A6194" s="2" t="s">
        <v>194</v>
      </c>
      <c r="B6194" s="2" t="s">
        <v>195</v>
      </c>
      <c r="C6194" s="3">
        <v>1977</v>
      </c>
      <c r="D6194" s="4">
        <v>3613000</v>
      </c>
    </row>
    <row r="6195" spans="1:4" x14ac:dyDescent="0.3">
      <c r="A6195" s="5" t="s">
        <v>194</v>
      </c>
      <c r="B6195" s="5" t="s">
        <v>195</v>
      </c>
      <c r="C6195" s="6">
        <v>1978</v>
      </c>
      <c r="D6195" s="7">
        <v>3690000</v>
      </c>
    </row>
    <row r="6196" spans="1:4" x14ac:dyDescent="0.3">
      <c r="A6196" s="2" t="s">
        <v>194</v>
      </c>
      <c r="B6196" s="2" t="s">
        <v>195</v>
      </c>
      <c r="C6196" s="3">
        <v>1979</v>
      </c>
      <c r="D6196" s="4">
        <v>3786000</v>
      </c>
    </row>
    <row r="6197" spans="1:4" x14ac:dyDescent="0.3">
      <c r="A6197" s="5" t="s">
        <v>194</v>
      </c>
      <c r="B6197" s="5" t="s">
        <v>195</v>
      </c>
      <c r="C6197" s="6">
        <v>1980</v>
      </c>
      <c r="D6197" s="7">
        <v>3878000</v>
      </c>
    </row>
    <row r="6198" spans="1:4" x14ac:dyDescent="0.3">
      <c r="A6198" s="2" t="s">
        <v>194</v>
      </c>
      <c r="B6198" s="2" t="s">
        <v>195</v>
      </c>
      <c r="C6198" s="3">
        <v>1981</v>
      </c>
      <c r="D6198" s="4">
        <v>3956000</v>
      </c>
    </row>
    <row r="6199" spans="1:4" x14ac:dyDescent="0.3">
      <c r="A6199" s="5" t="s">
        <v>194</v>
      </c>
      <c r="B6199" s="5" t="s">
        <v>195</v>
      </c>
      <c r="C6199" s="6">
        <v>1982</v>
      </c>
      <c r="D6199" s="7">
        <v>4031000</v>
      </c>
    </row>
    <row r="6200" spans="1:4" x14ac:dyDescent="0.3">
      <c r="A6200" s="2" t="s">
        <v>194</v>
      </c>
      <c r="B6200" s="2" t="s">
        <v>195</v>
      </c>
      <c r="C6200" s="3">
        <v>1983</v>
      </c>
      <c r="D6200" s="4">
        <v>4105000</v>
      </c>
    </row>
    <row r="6201" spans="1:4" x14ac:dyDescent="0.3">
      <c r="A6201" s="5" t="s">
        <v>194</v>
      </c>
      <c r="B6201" s="5" t="s">
        <v>195</v>
      </c>
      <c r="C6201" s="6">
        <v>1984</v>
      </c>
      <c r="D6201" s="7">
        <v>4159000</v>
      </c>
    </row>
    <row r="6202" spans="1:4" x14ac:dyDescent="0.3">
      <c r="A6202" s="2" t="s">
        <v>194</v>
      </c>
      <c r="B6202" s="2" t="s">
        <v>195</v>
      </c>
      <c r="C6202" s="3">
        <v>1985</v>
      </c>
      <c r="D6202" s="4">
        <v>4233000</v>
      </c>
    </row>
    <row r="6203" spans="1:4" x14ac:dyDescent="0.3">
      <c r="A6203" s="5" t="s">
        <v>194</v>
      </c>
      <c r="B6203" s="5" t="s">
        <v>195</v>
      </c>
      <c r="C6203" s="6">
        <v>1986</v>
      </c>
      <c r="D6203" s="7">
        <v>4299000</v>
      </c>
    </row>
    <row r="6204" spans="1:4" x14ac:dyDescent="0.3">
      <c r="A6204" s="2" t="s">
        <v>194</v>
      </c>
      <c r="B6204" s="2" t="s">
        <v>195</v>
      </c>
      <c r="C6204" s="3">
        <v>1987</v>
      </c>
      <c r="D6204" s="4">
        <v>4369000</v>
      </c>
    </row>
    <row r="6205" spans="1:4" x14ac:dyDescent="0.3">
      <c r="A6205" s="5" t="s">
        <v>194</v>
      </c>
      <c r="B6205" s="5" t="s">
        <v>195</v>
      </c>
      <c r="C6205" s="6">
        <v>1988</v>
      </c>
      <c r="D6205" s="7">
        <v>4442000</v>
      </c>
    </row>
    <row r="6206" spans="1:4" x14ac:dyDescent="0.3">
      <c r="A6206" s="2" t="s">
        <v>194</v>
      </c>
      <c r="B6206" s="2" t="s">
        <v>195</v>
      </c>
      <c r="C6206" s="3">
        <v>1989</v>
      </c>
      <c r="D6206" s="4">
        <v>4518000</v>
      </c>
    </row>
    <row r="6207" spans="1:4" x14ac:dyDescent="0.3">
      <c r="A6207" s="5" t="s">
        <v>194</v>
      </c>
      <c r="B6207" s="5" t="s">
        <v>195</v>
      </c>
      <c r="C6207" s="6">
        <v>1990</v>
      </c>
      <c r="D6207" s="7">
        <v>4660000</v>
      </c>
    </row>
    <row r="6208" spans="1:4" x14ac:dyDescent="0.3">
      <c r="A6208" s="2" t="s">
        <v>194</v>
      </c>
      <c r="B6208" s="2" t="s">
        <v>195</v>
      </c>
      <c r="C6208" s="3">
        <v>1991</v>
      </c>
      <c r="D6208" s="4">
        <v>4949000</v>
      </c>
    </row>
    <row r="6209" spans="1:4" x14ac:dyDescent="0.3">
      <c r="A6209" s="5" t="s">
        <v>194</v>
      </c>
      <c r="B6209" s="5" t="s">
        <v>195</v>
      </c>
      <c r="C6209" s="6">
        <v>1992</v>
      </c>
      <c r="D6209" s="7">
        <v>5123000</v>
      </c>
    </row>
    <row r="6210" spans="1:4" x14ac:dyDescent="0.3">
      <c r="A6210" s="2" t="s">
        <v>194</v>
      </c>
      <c r="B6210" s="2" t="s">
        <v>195</v>
      </c>
      <c r="C6210" s="3">
        <v>1993</v>
      </c>
      <c r="D6210" s="4">
        <v>5261000</v>
      </c>
    </row>
    <row r="6211" spans="1:4" x14ac:dyDescent="0.3">
      <c r="A6211" s="5" t="s">
        <v>194</v>
      </c>
      <c r="B6211" s="5" t="s">
        <v>195</v>
      </c>
      <c r="C6211" s="6">
        <v>1994</v>
      </c>
      <c r="D6211" s="7">
        <v>5399000</v>
      </c>
    </row>
    <row r="6212" spans="1:4" x14ac:dyDescent="0.3">
      <c r="A6212" s="2" t="s">
        <v>194</v>
      </c>
      <c r="B6212" s="2" t="s">
        <v>195</v>
      </c>
      <c r="C6212" s="3">
        <v>1995</v>
      </c>
      <c r="D6212" s="4">
        <v>5545000</v>
      </c>
    </row>
    <row r="6213" spans="1:4" x14ac:dyDescent="0.3">
      <c r="A6213" s="5" t="s">
        <v>194</v>
      </c>
      <c r="B6213" s="5" t="s">
        <v>195</v>
      </c>
      <c r="C6213" s="6">
        <v>1996</v>
      </c>
      <c r="D6213" s="7">
        <v>5692000</v>
      </c>
    </row>
    <row r="6214" spans="1:4" x14ac:dyDescent="0.3">
      <c r="A6214" s="2" t="s">
        <v>194</v>
      </c>
      <c r="B6214" s="2" t="s">
        <v>195</v>
      </c>
      <c r="C6214" s="3">
        <v>1997</v>
      </c>
      <c r="D6214" s="4">
        <v>5836000</v>
      </c>
    </row>
    <row r="6215" spans="1:4" x14ac:dyDescent="0.3">
      <c r="A6215" s="5" t="s">
        <v>194</v>
      </c>
      <c r="B6215" s="5" t="s">
        <v>195</v>
      </c>
      <c r="C6215" s="6">
        <v>1998</v>
      </c>
      <c r="D6215" s="7">
        <v>5971000</v>
      </c>
    </row>
    <row r="6216" spans="1:4" x14ac:dyDescent="0.3">
      <c r="A6216" s="2" t="s">
        <v>194</v>
      </c>
      <c r="B6216" s="2" t="s">
        <v>195</v>
      </c>
      <c r="C6216" s="3">
        <v>1999</v>
      </c>
      <c r="D6216" s="4">
        <v>6125000</v>
      </c>
    </row>
    <row r="6217" spans="1:4" x14ac:dyDescent="0.3">
      <c r="A6217" s="5" t="s">
        <v>194</v>
      </c>
      <c r="B6217" s="5" t="s">
        <v>195</v>
      </c>
      <c r="C6217" s="6">
        <v>2000</v>
      </c>
      <c r="D6217" s="7">
        <v>6289000</v>
      </c>
    </row>
    <row r="6218" spans="1:4" x14ac:dyDescent="0.3">
      <c r="A6218" s="2" t="s">
        <v>194</v>
      </c>
      <c r="B6218" s="2" t="s">
        <v>195</v>
      </c>
      <c r="C6218" s="3">
        <v>2001</v>
      </c>
      <c r="D6218" s="4">
        <v>6439000</v>
      </c>
    </row>
    <row r="6219" spans="1:4" x14ac:dyDescent="0.3">
      <c r="A6219" s="5" t="s">
        <v>194</v>
      </c>
      <c r="B6219" s="5" t="s">
        <v>195</v>
      </c>
      <c r="C6219" s="6">
        <v>2002</v>
      </c>
      <c r="D6219" s="7">
        <v>6570000</v>
      </c>
    </row>
    <row r="6220" spans="1:4" x14ac:dyDescent="0.3">
      <c r="A6220" s="2" t="s">
        <v>194</v>
      </c>
      <c r="B6220" s="2" t="s">
        <v>195</v>
      </c>
      <c r="C6220" s="3">
        <v>2003</v>
      </c>
      <c r="D6220" s="4">
        <v>6689700</v>
      </c>
    </row>
    <row r="6221" spans="1:4" x14ac:dyDescent="0.3">
      <c r="A6221" s="5" t="s">
        <v>194</v>
      </c>
      <c r="B6221" s="5" t="s">
        <v>195</v>
      </c>
      <c r="C6221" s="6">
        <v>2004</v>
      </c>
      <c r="D6221" s="7">
        <v>6809000</v>
      </c>
    </row>
    <row r="6222" spans="1:4" x14ac:dyDescent="0.3">
      <c r="A6222" s="2" t="s">
        <v>194</v>
      </c>
      <c r="B6222" s="2" t="s">
        <v>195</v>
      </c>
      <c r="C6222" s="3">
        <v>2005</v>
      </c>
      <c r="D6222" s="4">
        <v>6930100</v>
      </c>
    </row>
    <row r="6223" spans="1:4" x14ac:dyDescent="0.3">
      <c r="A6223" s="5" t="s">
        <v>194</v>
      </c>
      <c r="B6223" s="5" t="s">
        <v>195</v>
      </c>
      <c r="C6223" s="6">
        <v>2006</v>
      </c>
      <c r="D6223" s="7">
        <v>7053700</v>
      </c>
    </row>
    <row r="6224" spans="1:4" x14ac:dyDescent="0.3">
      <c r="A6224" s="2" t="s">
        <v>194</v>
      </c>
      <c r="B6224" s="2" t="s">
        <v>195</v>
      </c>
      <c r="C6224" s="3">
        <v>2007</v>
      </c>
      <c r="D6224" s="4">
        <v>7180100</v>
      </c>
    </row>
    <row r="6225" spans="1:4" x14ac:dyDescent="0.3">
      <c r="A6225" s="5" t="s">
        <v>194</v>
      </c>
      <c r="B6225" s="5" t="s">
        <v>195</v>
      </c>
      <c r="C6225" s="6">
        <v>2008</v>
      </c>
      <c r="D6225" s="7">
        <v>7308800</v>
      </c>
    </row>
    <row r="6226" spans="1:4" x14ac:dyDescent="0.3">
      <c r="A6226" s="2" t="s">
        <v>194</v>
      </c>
      <c r="B6226" s="2" t="s">
        <v>195</v>
      </c>
      <c r="C6226" s="3">
        <v>2009</v>
      </c>
      <c r="D6226" s="4">
        <v>7485600</v>
      </c>
    </row>
    <row r="6227" spans="1:4" x14ac:dyDescent="0.3">
      <c r="A6227" s="5" t="s">
        <v>194</v>
      </c>
      <c r="B6227" s="5" t="s">
        <v>195</v>
      </c>
      <c r="C6227" s="6">
        <v>2010</v>
      </c>
      <c r="D6227" s="7">
        <v>7623600</v>
      </c>
    </row>
    <row r="6228" spans="1:4" x14ac:dyDescent="0.3">
      <c r="A6228" s="2" t="s">
        <v>194</v>
      </c>
      <c r="B6228" s="2" t="s">
        <v>195</v>
      </c>
      <c r="C6228" s="3">
        <v>2011</v>
      </c>
      <c r="D6228" s="4">
        <v>7765800</v>
      </c>
    </row>
    <row r="6229" spans="1:4" x14ac:dyDescent="0.3">
      <c r="A6229" s="5" t="s">
        <v>194</v>
      </c>
      <c r="B6229" s="5" t="s">
        <v>195</v>
      </c>
      <c r="C6229" s="6">
        <v>2012</v>
      </c>
      <c r="D6229" s="7">
        <v>7910500</v>
      </c>
    </row>
    <row r="6230" spans="1:4" x14ac:dyDescent="0.3">
      <c r="A6230" s="2" t="s">
        <v>194</v>
      </c>
      <c r="B6230" s="2" t="s">
        <v>195</v>
      </c>
      <c r="C6230" s="3">
        <v>2013</v>
      </c>
      <c r="D6230" s="4">
        <v>8059500</v>
      </c>
    </row>
    <row r="6231" spans="1:4" x14ac:dyDescent="0.3">
      <c r="A6231" s="5" t="s">
        <v>194</v>
      </c>
      <c r="B6231" s="5" t="s">
        <v>195</v>
      </c>
      <c r="C6231" s="6">
        <v>2014</v>
      </c>
      <c r="D6231" s="7">
        <v>8215700</v>
      </c>
    </row>
    <row r="6232" spans="1:4" x14ac:dyDescent="0.3">
      <c r="A6232" s="2" t="s">
        <v>194</v>
      </c>
      <c r="B6232" s="2" t="s">
        <v>195</v>
      </c>
      <c r="C6232" s="3">
        <v>2015</v>
      </c>
      <c r="D6232" s="4">
        <v>8380100</v>
      </c>
    </row>
    <row r="6233" spans="1:4" x14ac:dyDescent="0.3">
      <c r="A6233" s="5" t="s">
        <v>194</v>
      </c>
      <c r="B6233" s="5" t="s">
        <v>195</v>
      </c>
      <c r="C6233" s="6">
        <v>2016</v>
      </c>
      <c r="D6233" s="7">
        <v>8546000</v>
      </c>
    </row>
    <row r="6234" spans="1:4" x14ac:dyDescent="0.3">
      <c r="A6234" s="2" t="s">
        <v>194</v>
      </c>
      <c r="B6234" s="2" t="s">
        <v>195</v>
      </c>
      <c r="C6234" s="3">
        <v>2017</v>
      </c>
      <c r="D6234" s="4">
        <v>8713300</v>
      </c>
    </row>
    <row r="6235" spans="1:4" x14ac:dyDescent="0.3">
      <c r="A6235" s="5" t="s">
        <v>194</v>
      </c>
      <c r="B6235" s="5" t="s">
        <v>195</v>
      </c>
      <c r="C6235" s="6">
        <v>2018</v>
      </c>
      <c r="D6235" s="7">
        <v>8882800</v>
      </c>
    </row>
    <row r="6236" spans="1:4" x14ac:dyDescent="0.3">
      <c r="A6236" s="2" t="s">
        <v>194</v>
      </c>
      <c r="B6236" s="2" t="s">
        <v>195</v>
      </c>
      <c r="C6236" s="3">
        <v>2019</v>
      </c>
      <c r="D6236" s="4">
        <v>9054000</v>
      </c>
    </row>
    <row r="6237" spans="1:4" x14ac:dyDescent="0.3">
      <c r="A6237" s="5" t="s">
        <v>194</v>
      </c>
      <c r="B6237" s="5" t="s">
        <v>195</v>
      </c>
      <c r="C6237" s="6">
        <v>2020</v>
      </c>
      <c r="D6237" s="7">
        <v>9215100</v>
      </c>
    </row>
    <row r="6238" spans="1:4" x14ac:dyDescent="0.3">
      <c r="A6238" s="2" t="s">
        <v>194</v>
      </c>
      <c r="B6238" s="2" t="s">
        <v>195</v>
      </c>
      <c r="C6238" s="3">
        <v>2021</v>
      </c>
      <c r="D6238" s="4">
        <v>9371400</v>
      </c>
    </row>
    <row r="6239" spans="1:4" x14ac:dyDescent="0.3">
      <c r="A6239" s="5" t="s">
        <v>194</v>
      </c>
      <c r="B6239" s="5" t="s">
        <v>195</v>
      </c>
      <c r="C6239" s="6">
        <v>2022</v>
      </c>
      <c r="D6239" s="7">
        <v>9557500</v>
      </c>
    </row>
    <row r="6240" spans="1:4" x14ac:dyDescent="0.3">
      <c r="A6240" s="2" t="s">
        <v>194</v>
      </c>
      <c r="B6240" s="2" t="s">
        <v>195</v>
      </c>
      <c r="C6240" s="3">
        <v>2023</v>
      </c>
      <c r="D6240" s="4">
        <v>9849000</v>
      </c>
    </row>
    <row r="6241" spans="1:4" x14ac:dyDescent="0.3">
      <c r="A6241" s="5" t="s">
        <v>194</v>
      </c>
      <c r="B6241" s="5" t="s">
        <v>195</v>
      </c>
      <c r="C6241" s="6">
        <v>2024</v>
      </c>
      <c r="D6241" s="7">
        <v>9974400</v>
      </c>
    </row>
    <row r="6242" spans="1:4" x14ac:dyDescent="0.3">
      <c r="A6242" s="2" t="s">
        <v>196</v>
      </c>
      <c r="B6242" s="2" t="s">
        <v>197</v>
      </c>
      <c r="C6242" s="3">
        <v>1960</v>
      </c>
      <c r="D6242" s="4">
        <v>50199700</v>
      </c>
    </row>
    <row r="6243" spans="1:4" x14ac:dyDescent="0.3">
      <c r="A6243" s="5" t="s">
        <v>196</v>
      </c>
      <c r="B6243" s="5" t="s">
        <v>197</v>
      </c>
      <c r="C6243" s="6">
        <v>1961</v>
      </c>
      <c r="D6243" s="7">
        <v>50536350</v>
      </c>
    </row>
    <row r="6244" spans="1:4" x14ac:dyDescent="0.3">
      <c r="A6244" s="2" t="s">
        <v>196</v>
      </c>
      <c r="B6244" s="2" t="s">
        <v>197</v>
      </c>
      <c r="C6244" s="3">
        <v>1962</v>
      </c>
      <c r="D6244" s="4">
        <v>50879450</v>
      </c>
    </row>
    <row r="6245" spans="1:4" x14ac:dyDescent="0.3">
      <c r="A6245" s="5" t="s">
        <v>196</v>
      </c>
      <c r="B6245" s="5" t="s">
        <v>197</v>
      </c>
      <c r="C6245" s="6">
        <v>1963</v>
      </c>
      <c r="D6245" s="7">
        <v>51252000</v>
      </c>
    </row>
    <row r="6246" spans="1:4" x14ac:dyDescent="0.3">
      <c r="A6246" s="2" t="s">
        <v>196</v>
      </c>
      <c r="B6246" s="2" t="s">
        <v>197</v>
      </c>
      <c r="C6246" s="3">
        <v>1964</v>
      </c>
      <c r="D6246" s="4">
        <v>51675350</v>
      </c>
    </row>
    <row r="6247" spans="1:4" x14ac:dyDescent="0.3">
      <c r="A6247" s="5" t="s">
        <v>196</v>
      </c>
      <c r="B6247" s="5" t="s">
        <v>197</v>
      </c>
      <c r="C6247" s="6">
        <v>1965</v>
      </c>
      <c r="D6247" s="7">
        <v>52112350</v>
      </c>
    </row>
    <row r="6248" spans="1:4" x14ac:dyDescent="0.3">
      <c r="A6248" s="2" t="s">
        <v>196</v>
      </c>
      <c r="B6248" s="2" t="s">
        <v>197</v>
      </c>
      <c r="C6248" s="3">
        <v>1966</v>
      </c>
      <c r="D6248" s="4">
        <v>52519000</v>
      </c>
    </row>
    <row r="6249" spans="1:4" x14ac:dyDescent="0.3">
      <c r="A6249" s="5" t="s">
        <v>196</v>
      </c>
      <c r="B6249" s="5" t="s">
        <v>197</v>
      </c>
      <c r="C6249" s="6">
        <v>1967</v>
      </c>
      <c r="D6249" s="7">
        <v>52900500</v>
      </c>
    </row>
    <row r="6250" spans="1:4" x14ac:dyDescent="0.3">
      <c r="A6250" s="2" t="s">
        <v>196</v>
      </c>
      <c r="B6250" s="2" t="s">
        <v>197</v>
      </c>
      <c r="C6250" s="3">
        <v>1968</v>
      </c>
      <c r="D6250" s="4">
        <v>53235750</v>
      </c>
    </row>
    <row r="6251" spans="1:4" x14ac:dyDescent="0.3">
      <c r="A6251" s="5" t="s">
        <v>196</v>
      </c>
      <c r="B6251" s="5" t="s">
        <v>197</v>
      </c>
      <c r="C6251" s="6">
        <v>1969</v>
      </c>
      <c r="D6251" s="7">
        <v>53537950</v>
      </c>
    </row>
    <row r="6252" spans="1:4" x14ac:dyDescent="0.3">
      <c r="A6252" s="2" t="s">
        <v>196</v>
      </c>
      <c r="B6252" s="2" t="s">
        <v>197</v>
      </c>
      <c r="C6252" s="3">
        <v>1970</v>
      </c>
      <c r="D6252" s="4">
        <v>53821850</v>
      </c>
    </row>
    <row r="6253" spans="1:4" x14ac:dyDescent="0.3">
      <c r="A6253" s="5" t="s">
        <v>196</v>
      </c>
      <c r="B6253" s="5" t="s">
        <v>197</v>
      </c>
      <c r="C6253" s="6">
        <v>1971</v>
      </c>
      <c r="D6253" s="7">
        <v>54073490</v>
      </c>
    </row>
    <row r="6254" spans="1:4" x14ac:dyDescent="0.3">
      <c r="A6254" s="2" t="s">
        <v>196</v>
      </c>
      <c r="B6254" s="2" t="s">
        <v>197</v>
      </c>
      <c r="C6254" s="3">
        <v>1972</v>
      </c>
      <c r="D6254" s="4">
        <v>54381345</v>
      </c>
    </row>
    <row r="6255" spans="1:4" x14ac:dyDescent="0.3">
      <c r="A6255" s="5" t="s">
        <v>196</v>
      </c>
      <c r="B6255" s="5" t="s">
        <v>197</v>
      </c>
      <c r="C6255" s="6">
        <v>1973</v>
      </c>
      <c r="D6255" s="7">
        <v>54751406</v>
      </c>
    </row>
    <row r="6256" spans="1:4" x14ac:dyDescent="0.3">
      <c r="A6256" s="2" t="s">
        <v>196</v>
      </c>
      <c r="B6256" s="2" t="s">
        <v>197</v>
      </c>
      <c r="C6256" s="3">
        <v>1974</v>
      </c>
      <c r="D6256" s="4">
        <v>55110868</v>
      </c>
    </row>
    <row r="6257" spans="1:4" x14ac:dyDescent="0.3">
      <c r="A6257" s="5" t="s">
        <v>196</v>
      </c>
      <c r="B6257" s="5" t="s">
        <v>197</v>
      </c>
      <c r="C6257" s="6">
        <v>1975</v>
      </c>
      <c r="D6257" s="7">
        <v>55441001</v>
      </c>
    </row>
    <row r="6258" spans="1:4" x14ac:dyDescent="0.3">
      <c r="A6258" s="2" t="s">
        <v>196</v>
      </c>
      <c r="B6258" s="2" t="s">
        <v>197</v>
      </c>
      <c r="C6258" s="3">
        <v>1976</v>
      </c>
      <c r="D6258" s="4">
        <v>55718260</v>
      </c>
    </row>
    <row r="6259" spans="1:4" x14ac:dyDescent="0.3">
      <c r="A6259" s="5" t="s">
        <v>196</v>
      </c>
      <c r="B6259" s="5" t="s">
        <v>197</v>
      </c>
      <c r="C6259" s="6">
        <v>1977</v>
      </c>
      <c r="D6259" s="7">
        <v>55955411</v>
      </c>
    </row>
    <row r="6260" spans="1:4" x14ac:dyDescent="0.3">
      <c r="A6260" s="2" t="s">
        <v>196</v>
      </c>
      <c r="B6260" s="2" t="s">
        <v>197</v>
      </c>
      <c r="C6260" s="3">
        <v>1978</v>
      </c>
      <c r="D6260" s="4">
        <v>56155143</v>
      </c>
    </row>
    <row r="6261" spans="1:4" x14ac:dyDescent="0.3">
      <c r="A6261" s="5" t="s">
        <v>196</v>
      </c>
      <c r="B6261" s="5" t="s">
        <v>197</v>
      </c>
      <c r="C6261" s="6">
        <v>1979</v>
      </c>
      <c r="D6261" s="7">
        <v>56317749</v>
      </c>
    </row>
    <row r="6262" spans="1:4" x14ac:dyDescent="0.3">
      <c r="A6262" s="2" t="s">
        <v>196</v>
      </c>
      <c r="B6262" s="2" t="s">
        <v>197</v>
      </c>
      <c r="C6262" s="3">
        <v>1980</v>
      </c>
      <c r="D6262" s="4">
        <v>56433883</v>
      </c>
    </row>
    <row r="6263" spans="1:4" x14ac:dyDescent="0.3">
      <c r="A6263" s="5" t="s">
        <v>196</v>
      </c>
      <c r="B6263" s="5" t="s">
        <v>197</v>
      </c>
      <c r="C6263" s="6">
        <v>1981</v>
      </c>
      <c r="D6263" s="7">
        <v>56501675</v>
      </c>
    </row>
    <row r="6264" spans="1:4" x14ac:dyDescent="0.3">
      <c r="A6264" s="2" t="s">
        <v>196</v>
      </c>
      <c r="B6264" s="2" t="s">
        <v>197</v>
      </c>
      <c r="C6264" s="3">
        <v>1982</v>
      </c>
      <c r="D6264" s="4">
        <v>56543548</v>
      </c>
    </row>
    <row r="6265" spans="1:4" x14ac:dyDescent="0.3">
      <c r="A6265" s="5" t="s">
        <v>196</v>
      </c>
      <c r="B6265" s="5" t="s">
        <v>197</v>
      </c>
      <c r="C6265" s="6">
        <v>1983</v>
      </c>
      <c r="D6265" s="7">
        <v>56564074</v>
      </c>
    </row>
    <row r="6266" spans="1:4" x14ac:dyDescent="0.3">
      <c r="A6266" s="2" t="s">
        <v>196</v>
      </c>
      <c r="B6266" s="2" t="s">
        <v>197</v>
      </c>
      <c r="C6266" s="3">
        <v>1984</v>
      </c>
      <c r="D6266" s="4">
        <v>56576718</v>
      </c>
    </row>
    <row r="6267" spans="1:4" x14ac:dyDescent="0.3">
      <c r="A6267" s="5" t="s">
        <v>196</v>
      </c>
      <c r="B6267" s="5" t="s">
        <v>197</v>
      </c>
      <c r="C6267" s="6">
        <v>1985</v>
      </c>
      <c r="D6267" s="7">
        <v>56593071</v>
      </c>
    </row>
    <row r="6268" spans="1:4" x14ac:dyDescent="0.3">
      <c r="A6268" s="2" t="s">
        <v>196</v>
      </c>
      <c r="B6268" s="2" t="s">
        <v>197</v>
      </c>
      <c r="C6268" s="3">
        <v>1986</v>
      </c>
      <c r="D6268" s="4">
        <v>56596155</v>
      </c>
    </row>
    <row r="6269" spans="1:4" x14ac:dyDescent="0.3">
      <c r="A6269" s="5" t="s">
        <v>196</v>
      </c>
      <c r="B6269" s="5" t="s">
        <v>197</v>
      </c>
      <c r="C6269" s="6">
        <v>1987</v>
      </c>
      <c r="D6269" s="7">
        <v>56601931</v>
      </c>
    </row>
    <row r="6270" spans="1:4" x14ac:dyDescent="0.3">
      <c r="A6270" s="2" t="s">
        <v>196</v>
      </c>
      <c r="B6270" s="2" t="s">
        <v>197</v>
      </c>
      <c r="C6270" s="3">
        <v>1988</v>
      </c>
      <c r="D6270" s="4">
        <v>56629288</v>
      </c>
    </row>
    <row r="6271" spans="1:4" x14ac:dyDescent="0.3">
      <c r="A6271" s="5" t="s">
        <v>196</v>
      </c>
      <c r="B6271" s="5" t="s">
        <v>197</v>
      </c>
      <c r="C6271" s="6">
        <v>1989</v>
      </c>
      <c r="D6271" s="7">
        <v>56671781</v>
      </c>
    </row>
    <row r="6272" spans="1:4" x14ac:dyDescent="0.3">
      <c r="A6272" s="2" t="s">
        <v>196</v>
      </c>
      <c r="B6272" s="2" t="s">
        <v>197</v>
      </c>
      <c r="C6272" s="3">
        <v>1990</v>
      </c>
      <c r="D6272" s="4">
        <v>56719240</v>
      </c>
    </row>
    <row r="6273" spans="1:4" x14ac:dyDescent="0.3">
      <c r="A6273" s="5" t="s">
        <v>196</v>
      </c>
      <c r="B6273" s="5" t="s">
        <v>197</v>
      </c>
      <c r="C6273" s="6">
        <v>1991</v>
      </c>
      <c r="D6273" s="7">
        <v>56758521</v>
      </c>
    </row>
    <row r="6274" spans="1:4" x14ac:dyDescent="0.3">
      <c r="A6274" s="2" t="s">
        <v>196</v>
      </c>
      <c r="B6274" s="2" t="s">
        <v>197</v>
      </c>
      <c r="C6274" s="3">
        <v>1992</v>
      </c>
      <c r="D6274" s="4">
        <v>56797087</v>
      </c>
    </row>
    <row r="6275" spans="1:4" x14ac:dyDescent="0.3">
      <c r="A6275" s="5" t="s">
        <v>196</v>
      </c>
      <c r="B6275" s="5" t="s">
        <v>197</v>
      </c>
      <c r="C6275" s="6">
        <v>1993</v>
      </c>
      <c r="D6275" s="7">
        <v>56831821</v>
      </c>
    </row>
    <row r="6276" spans="1:4" x14ac:dyDescent="0.3">
      <c r="A6276" s="2" t="s">
        <v>196</v>
      </c>
      <c r="B6276" s="2" t="s">
        <v>197</v>
      </c>
      <c r="C6276" s="3">
        <v>1994</v>
      </c>
      <c r="D6276" s="4">
        <v>56843400</v>
      </c>
    </row>
    <row r="6277" spans="1:4" x14ac:dyDescent="0.3">
      <c r="A6277" s="5" t="s">
        <v>196</v>
      </c>
      <c r="B6277" s="5" t="s">
        <v>197</v>
      </c>
      <c r="C6277" s="6">
        <v>1995</v>
      </c>
      <c r="D6277" s="7">
        <v>56844303</v>
      </c>
    </row>
    <row r="6278" spans="1:4" x14ac:dyDescent="0.3">
      <c r="A6278" s="2" t="s">
        <v>196</v>
      </c>
      <c r="B6278" s="2" t="s">
        <v>197</v>
      </c>
      <c r="C6278" s="3">
        <v>1996</v>
      </c>
      <c r="D6278" s="4">
        <v>56860281</v>
      </c>
    </row>
    <row r="6279" spans="1:4" x14ac:dyDescent="0.3">
      <c r="A6279" s="5" t="s">
        <v>196</v>
      </c>
      <c r="B6279" s="5" t="s">
        <v>197</v>
      </c>
      <c r="C6279" s="6">
        <v>1997</v>
      </c>
      <c r="D6279" s="7">
        <v>56890372</v>
      </c>
    </row>
    <row r="6280" spans="1:4" x14ac:dyDescent="0.3">
      <c r="A6280" s="2" t="s">
        <v>196</v>
      </c>
      <c r="B6280" s="2" t="s">
        <v>197</v>
      </c>
      <c r="C6280" s="3">
        <v>1998</v>
      </c>
      <c r="D6280" s="4">
        <v>56906744</v>
      </c>
    </row>
    <row r="6281" spans="1:4" x14ac:dyDescent="0.3">
      <c r="A6281" s="5" t="s">
        <v>196</v>
      </c>
      <c r="B6281" s="5" t="s">
        <v>197</v>
      </c>
      <c r="C6281" s="6">
        <v>1999</v>
      </c>
      <c r="D6281" s="7">
        <v>56916317</v>
      </c>
    </row>
    <row r="6282" spans="1:4" x14ac:dyDescent="0.3">
      <c r="A6282" s="2" t="s">
        <v>196</v>
      </c>
      <c r="B6282" s="2" t="s">
        <v>197</v>
      </c>
      <c r="C6282" s="3">
        <v>2000</v>
      </c>
      <c r="D6282" s="4">
        <v>56942108</v>
      </c>
    </row>
    <row r="6283" spans="1:4" x14ac:dyDescent="0.3">
      <c r="A6283" s="5" t="s">
        <v>196</v>
      </c>
      <c r="B6283" s="5" t="s">
        <v>197</v>
      </c>
      <c r="C6283" s="6">
        <v>2001</v>
      </c>
      <c r="D6283" s="7">
        <v>56976981</v>
      </c>
    </row>
    <row r="6284" spans="1:4" x14ac:dyDescent="0.3">
      <c r="A6284" s="2" t="s">
        <v>196</v>
      </c>
      <c r="B6284" s="2" t="s">
        <v>197</v>
      </c>
      <c r="C6284" s="3">
        <v>2002</v>
      </c>
      <c r="D6284" s="4">
        <v>57089824</v>
      </c>
    </row>
    <row r="6285" spans="1:4" x14ac:dyDescent="0.3">
      <c r="A6285" s="5" t="s">
        <v>196</v>
      </c>
      <c r="B6285" s="5" t="s">
        <v>197</v>
      </c>
      <c r="C6285" s="6">
        <v>2003</v>
      </c>
      <c r="D6285" s="7">
        <v>57399184</v>
      </c>
    </row>
    <row r="6286" spans="1:4" x14ac:dyDescent="0.3">
      <c r="A6286" s="2" t="s">
        <v>196</v>
      </c>
      <c r="B6286" s="2" t="s">
        <v>197</v>
      </c>
      <c r="C6286" s="3">
        <v>2004</v>
      </c>
      <c r="D6286" s="4">
        <v>57828179</v>
      </c>
    </row>
    <row r="6287" spans="1:4" x14ac:dyDescent="0.3">
      <c r="A6287" s="5" t="s">
        <v>196</v>
      </c>
      <c r="B6287" s="5" t="s">
        <v>197</v>
      </c>
      <c r="C6287" s="6">
        <v>2005</v>
      </c>
      <c r="D6287" s="7">
        <v>58166682</v>
      </c>
    </row>
    <row r="6288" spans="1:4" x14ac:dyDescent="0.3">
      <c r="A6288" s="2" t="s">
        <v>196</v>
      </c>
      <c r="B6288" s="2" t="s">
        <v>197</v>
      </c>
      <c r="C6288" s="3">
        <v>2006</v>
      </c>
      <c r="D6288" s="4">
        <v>58399861</v>
      </c>
    </row>
    <row r="6289" spans="1:4" x14ac:dyDescent="0.3">
      <c r="A6289" s="5" t="s">
        <v>196</v>
      </c>
      <c r="B6289" s="5" t="s">
        <v>197</v>
      </c>
      <c r="C6289" s="6">
        <v>2007</v>
      </c>
      <c r="D6289" s="7">
        <v>58756247</v>
      </c>
    </row>
    <row r="6290" spans="1:4" x14ac:dyDescent="0.3">
      <c r="A6290" s="2" t="s">
        <v>196</v>
      </c>
      <c r="B6290" s="2" t="s">
        <v>197</v>
      </c>
      <c r="C6290" s="3">
        <v>2008</v>
      </c>
      <c r="D6290" s="4">
        <v>59211181</v>
      </c>
    </row>
    <row r="6291" spans="1:4" x14ac:dyDescent="0.3">
      <c r="A6291" s="5" t="s">
        <v>196</v>
      </c>
      <c r="B6291" s="5" t="s">
        <v>197</v>
      </c>
      <c r="C6291" s="6">
        <v>2009</v>
      </c>
      <c r="D6291" s="7">
        <v>59555454</v>
      </c>
    </row>
    <row r="6292" spans="1:4" x14ac:dyDescent="0.3">
      <c r="A6292" s="2" t="s">
        <v>196</v>
      </c>
      <c r="B6292" s="2" t="s">
        <v>197</v>
      </c>
      <c r="C6292" s="3">
        <v>2010</v>
      </c>
      <c r="D6292" s="4">
        <v>59819407</v>
      </c>
    </row>
    <row r="6293" spans="1:4" x14ac:dyDescent="0.3">
      <c r="A6293" s="5" t="s">
        <v>196</v>
      </c>
      <c r="B6293" s="5" t="s">
        <v>197</v>
      </c>
      <c r="C6293" s="6">
        <v>2011</v>
      </c>
      <c r="D6293" s="7">
        <v>60026841</v>
      </c>
    </row>
    <row r="6294" spans="1:4" x14ac:dyDescent="0.3">
      <c r="A6294" s="2" t="s">
        <v>196</v>
      </c>
      <c r="B6294" s="2" t="s">
        <v>197</v>
      </c>
      <c r="C6294" s="3">
        <v>2012</v>
      </c>
      <c r="D6294" s="4">
        <v>60191247</v>
      </c>
    </row>
    <row r="6295" spans="1:4" x14ac:dyDescent="0.3">
      <c r="A6295" s="5" t="s">
        <v>196</v>
      </c>
      <c r="B6295" s="5" t="s">
        <v>197</v>
      </c>
      <c r="C6295" s="6">
        <v>2013</v>
      </c>
      <c r="D6295" s="7">
        <v>60311613</v>
      </c>
    </row>
    <row r="6296" spans="1:4" x14ac:dyDescent="0.3">
      <c r="A6296" s="2" t="s">
        <v>196</v>
      </c>
      <c r="B6296" s="2" t="s">
        <v>197</v>
      </c>
      <c r="C6296" s="3">
        <v>2014</v>
      </c>
      <c r="D6296" s="4">
        <v>60320707</v>
      </c>
    </row>
    <row r="6297" spans="1:4" x14ac:dyDescent="0.3">
      <c r="A6297" s="5" t="s">
        <v>196</v>
      </c>
      <c r="B6297" s="5" t="s">
        <v>197</v>
      </c>
      <c r="C6297" s="6">
        <v>2015</v>
      </c>
      <c r="D6297" s="7">
        <v>60229605</v>
      </c>
    </row>
    <row r="6298" spans="1:4" x14ac:dyDescent="0.3">
      <c r="A6298" s="2" t="s">
        <v>196</v>
      </c>
      <c r="B6298" s="2" t="s">
        <v>197</v>
      </c>
      <c r="C6298" s="3">
        <v>2016</v>
      </c>
      <c r="D6298" s="4">
        <v>60115223</v>
      </c>
    </row>
    <row r="6299" spans="1:4" x14ac:dyDescent="0.3">
      <c r="A6299" s="5" t="s">
        <v>196</v>
      </c>
      <c r="B6299" s="5" t="s">
        <v>197</v>
      </c>
      <c r="C6299" s="6">
        <v>2017</v>
      </c>
      <c r="D6299" s="7">
        <v>60002252</v>
      </c>
    </row>
    <row r="6300" spans="1:4" x14ac:dyDescent="0.3">
      <c r="A6300" s="2" t="s">
        <v>196</v>
      </c>
      <c r="B6300" s="2" t="s">
        <v>197</v>
      </c>
      <c r="C6300" s="3">
        <v>2018</v>
      </c>
      <c r="D6300" s="4">
        <v>60148658</v>
      </c>
    </row>
    <row r="6301" spans="1:4" x14ac:dyDescent="0.3">
      <c r="A6301" s="5" t="s">
        <v>196</v>
      </c>
      <c r="B6301" s="5" t="s">
        <v>197</v>
      </c>
      <c r="C6301" s="6">
        <v>2019</v>
      </c>
      <c r="D6301" s="7">
        <v>59729081</v>
      </c>
    </row>
    <row r="6302" spans="1:4" x14ac:dyDescent="0.3">
      <c r="A6302" s="2" t="s">
        <v>196</v>
      </c>
      <c r="B6302" s="2" t="s">
        <v>197</v>
      </c>
      <c r="C6302" s="3">
        <v>2020</v>
      </c>
      <c r="D6302" s="4">
        <v>59438851</v>
      </c>
    </row>
    <row r="6303" spans="1:4" x14ac:dyDescent="0.3">
      <c r="A6303" s="5" t="s">
        <v>196</v>
      </c>
      <c r="B6303" s="5" t="s">
        <v>197</v>
      </c>
      <c r="C6303" s="6">
        <v>2021</v>
      </c>
      <c r="D6303" s="7">
        <v>59133173</v>
      </c>
    </row>
    <row r="6304" spans="1:4" x14ac:dyDescent="0.3">
      <c r="A6304" s="2" t="s">
        <v>196</v>
      </c>
      <c r="B6304" s="2" t="s">
        <v>197</v>
      </c>
      <c r="C6304" s="3">
        <v>2022</v>
      </c>
      <c r="D6304" s="4">
        <v>59013667</v>
      </c>
    </row>
    <row r="6305" spans="1:4" x14ac:dyDescent="0.3">
      <c r="A6305" s="5" t="s">
        <v>196</v>
      </c>
      <c r="B6305" s="5" t="s">
        <v>197</v>
      </c>
      <c r="C6305" s="6">
        <v>2023</v>
      </c>
      <c r="D6305" s="7">
        <v>58993475</v>
      </c>
    </row>
    <row r="6306" spans="1:4" x14ac:dyDescent="0.3">
      <c r="A6306" s="2" t="s">
        <v>196</v>
      </c>
      <c r="B6306" s="2" t="s">
        <v>197</v>
      </c>
      <c r="C6306" s="3">
        <v>2024</v>
      </c>
      <c r="D6306" s="4">
        <v>58986023</v>
      </c>
    </row>
    <row r="6307" spans="1:4" x14ac:dyDescent="0.3">
      <c r="A6307" s="5" t="s">
        <v>198</v>
      </c>
      <c r="B6307" s="5" t="s">
        <v>199</v>
      </c>
      <c r="C6307" s="6">
        <v>1960</v>
      </c>
      <c r="D6307" s="7">
        <v>1650005</v>
      </c>
    </row>
    <row r="6308" spans="1:4" x14ac:dyDescent="0.3">
      <c r="A6308" s="2" t="s">
        <v>198</v>
      </c>
      <c r="B6308" s="2" t="s">
        <v>199</v>
      </c>
      <c r="C6308" s="3">
        <v>1961</v>
      </c>
      <c r="D6308" s="4">
        <v>1673261</v>
      </c>
    </row>
    <row r="6309" spans="1:4" x14ac:dyDescent="0.3">
      <c r="A6309" s="5" t="s">
        <v>198</v>
      </c>
      <c r="B6309" s="5" t="s">
        <v>199</v>
      </c>
      <c r="C6309" s="6">
        <v>1962</v>
      </c>
      <c r="D6309" s="7">
        <v>1696932</v>
      </c>
    </row>
    <row r="6310" spans="1:4" x14ac:dyDescent="0.3">
      <c r="A6310" s="2" t="s">
        <v>198</v>
      </c>
      <c r="B6310" s="2" t="s">
        <v>199</v>
      </c>
      <c r="C6310" s="3">
        <v>1963</v>
      </c>
      <c r="D6310" s="4">
        <v>1721099</v>
      </c>
    </row>
    <row r="6311" spans="1:4" x14ac:dyDescent="0.3">
      <c r="A6311" s="5" t="s">
        <v>198</v>
      </c>
      <c r="B6311" s="5" t="s">
        <v>199</v>
      </c>
      <c r="C6311" s="6">
        <v>1964</v>
      </c>
      <c r="D6311" s="7">
        <v>1745568</v>
      </c>
    </row>
    <row r="6312" spans="1:4" x14ac:dyDescent="0.3">
      <c r="A6312" s="2" t="s">
        <v>198</v>
      </c>
      <c r="B6312" s="2" t="s">
        <v>199</v>
      </c>
      <c r="C6312" s="3">
        <v>1965</v>
      </c>
      <c r="D6312" s="4">
        <v>1769192</v>
      </c>
    </row>
    <row r="6313" spans="1:4" x14ac:dyDescent="0.3">
      <c r="A6313" s="5" t="s">
        <v>198</v>
      </c>
      <c r="B6313" s="5" t="s">
        <v>199</v>
      </c>
      <c r="C6313" s="6">
        <v>1966</v>
      </c>
      <c r="D6313" s="7">
        <v>1791475</v>
      </c>
    </row>
    <row r="6314" spans="1:4" x14ac:dyDescent="0.3">
      <c r="A6314" s="2" t="s">
        <v>198</v>
      </c>
      <c r="B6314" s="2" t="s">
        <v>199</v>
      </c>
      <c r="C6314" s="3">
        <v>1967</v>
      </c>
      <c r="D6314" s="4">
        <v>1812865</v>
      </c>
    </row>
    <row r="6315" spans="1:4" x14ac:dyDescent="0.3">
      <c r="A6315" s="5" t="s">
        <v>198</v>
      </c>
      <c r="B6315" s="5" t="s">
        <v>199</v>
      </c>
      <c r="C6315" s="6">
        <v>1968</v>
      </c>
      <c r="D6315" s="7">
        <v>1833765</v>
      </c>
    </row>
    <row r="6316" spans="1:4" x14ac:dyDescent="0.3">
      <c r="A6316" s="2" t="s">
        <v>198</v>
      </c>
      <c r="B6316" s="2" t="s">
        <v>199</v>
      </c>
      <c r="C6316" s="3">
        <v>1969</v>
      </c>
      <c r="D6316" s="4">
        <v>1855127</v>
      </c>
    </row>
    <row r="6317" spans="1:4" x14ac:dyDescent="0.3">
      <c r="A6317" s="5" t="s">
        <v>198</v>
      </c>
      <c r="B6317" s="5" t="s">
        <v>199</v>
      </c>
      <c r="C6317" s="6">
        <v>1970</v>
      </c>
      <c r="D6317" s="7">
        <v>1878196</v>
      </c>
    </row>
    <row r="6318" spans="1:4" x14ac:dyDescent="0.3">
      <c r="A6318" s="2" t="s">
        <v>198</v>
      </c>
      <c r="B6318" s="2" t="s">
        <v>199</v>
      </c>
      <c r="C6318" s="3">
        <v>1971</v>
      </c>
      <c r="D6318" s="4">
        <v>1903728</v>
      </c>
    </row>
    <row r="6319" spans="1:4" x14ac:dyDescent="0.3">
      <c r="A6319" s="5" t="s">
        <v>198</v>
      </c>
      <c r="B6319" s="5" t="s">
        <v>199</v>
      </c>
      <c r="C6319" s="6">
        <v>1972</v>
      </c>
      <c r="D6319" s="7">
        <v>1931542</v>
      </c>
    </row>
    <row r="6320" spans="1:4" x14ac:dyDescent="0.3">
      <c r="A6320" s="2" t="s">
        <v>198</v>
      </c>
      <c r="B6320" s="2" t="s">
        <v>199</v>
      </c>
      <c r="C6320" s="3">
        <v>1973</v>
      </c>
      <c r="D6320" s="4">
        <v>1961219</v>
      </c>
    </row>
    <row r="6321" spans="1:4" x14ac:dyDescent="0.3">
      <c r="A6321" s="5" t="s">
        <v>198</v>
      </c>
      <c r="B6321" s="5" t="s">
        <v>199</v>
      </c>
      <c r="C6321" s="6">
        <v>1974</v>
      </c>
      <c r="D6321" s="7">
        <v>1990906</v>
      </c>
    </row>
    <row r="6322" spans="1:4" x14ac:dyDescent="0.3">
      <c r="A6322" s="2" t="s">
        <v>198</v>
      </c>
      <c r="B6322" s="2" t="s">
        <v>199</v>
      </c>
      <c r="C6322" s="3">
        <v>1975</v>
      </c>
      <c r="D6322" s="4">
        <v>2018981</v>
      </c>
    </row>
    <row r="6323" spans="1:4" x14ac:dyDescent="0.3">
      <c r="A6323" s="5" t="s">
        <v>198</v>
      </c>
      <c r="B6323" s="5" t="s">
        <v>199</v>
      </c>
      <c r="C6323" s="6">
        <v>1976</v>
      </c>
      <c r="D6323" s="7">
        <v>2045578</v>
      </c>
    </row>
    <row r="6324" spans="1:4" x14ac:dyDescent="0.3">
      <c r="A6324" s="2" t="s">
        <v>198</v>
      </c>
      <c r="B6324" s="2" t="s">
        <v>199</v>
      </c>
      <c r="C6324" s="3">
        <v>1977</v>
      </c>
      <c r="D6324" s="4">
        <v>2070657</v>
      </c>
    </row>
    <row r="6325" spans="1:4" x14ac:dyDescent="0.3">
      <c r="A6325" s="5" t="s">
        <v>198</v>
      </c>
      <c r="B6325" s="5" t="s">
        <v>199</v>
      </c>
      <c r="C6325" s="6">
        <v>1978</v>
      </c>
      <c r="D6325" s="7">
        <v>2094836</v>
      </c>
    </row>
    <row r="6326" spans="1:4" x14ac:dyDescent="0.3">
      <c r="A6326" s="2" t="s">
        <v>198</v>
      </c>
      <c r="B6326" s="2" t="s">
        <v>199</v>
      </c>
      <c r="C6326" s="3">
        <v>1979</v>
      </c>
      <c r="D6326" s="4">
        <v>2119486</v>
      </c>
    </row>
    <row r="6327" spans="1:4" x14ac:dyDescent="0.3">
      <c r="A6327" s="5" t="s">
        <v>198</v>
      </c>
      <c r="B6327" s="5" t="s">
        <v>199</v>
      </c>
      <c r="C6327" s="6">
        <v>1980</v>
      </c>
      <c r="D6327" s="7">
        <v>2145658</v>
      </c>
    </row>
    <row r="6328" spans="1:4" x14ac:dyDescent="0.3">
      <c r="A6328" s="2" t="s">
        <v>198</v>
      </c>
      <c r="B6328" s="2" t="s">
        <v>199</v>
      </c>
      <c r="C6328" s="3">
        <v>1981</v>
      </c>
      <c r="D6328" s="4">
        <v>2173818</v>
      </c>
    </row>
    <row r="6329" spans="1:4" x14ac:dyDescent="0.3">
      <c r="A6329" s="5" t="s">
        <v>198</v>
      </c>
      <c r="B6329" s="5" t="s">
        <v>199</v>
      </c>
      <c r="C6329" s="6">
        <v>1982</v>
      </c>
      <c r="D6329" s="7">
        <v>2203889</v>
      </c>
    </row>
    <row r="6330" spans="1:4" x14ac:dyDescent="0.3">
      <c r="A6330" s="2" t="s">
        <v>198</v>
      </c>
      <c r="B6330" s="2" t="s">
        <v>199</v>
      </c>
      <c r="C6330" s="3">
        <v>1983</v>
      </c>
      <c r="D6330" s="4">
        <v>2234832</v>
      </c>
    </row>
    <row r="6331" spans="1:4" x14ac:dyDescent="0.3">
      <c r="A6331" s="5" t="s">
        <v>198</v>
      </c>
      <c r="B6331" s="5" t="s">
        <v>199</v>
      </c>
      <c r="C6331" s="6">
        <v>1984</v>
      </c>
      <c r="D6331" s="7">
        <v>2264562</v>
      </c>
    </row>
    <row r="6332" spans="1:4" x14ac:dyDescent="0.3">
      <c r="A6332" s="2" t="s">
        <v>198</v>
      </c>
      <c r="B6332" s="2" t="s">
        <v>199</v>
      </c>
      <c r="C6332" s="3">
        <v>1985</v>
      </c>
      <c r="D6332" s="4">
        <v>2290656</v>
      </c>
    </row>
    <row r="6333" spans="1:4" x14ac:dyDescent="0.3">
      <c r="A6333" s="5" t="s">
        <v>198</v>
      </c>
      <c r="B6333" s="5" t="s">
        <v>199</v>
      </c>
      <c r="C6333" s="6">
        <v>1986</v>
      </c>
      <c r="D6333" s="7">
        <v>2312125</v>
      </c>
    </row>
    <row r="6334" spans="1:4" x14ac:dyDescent="0.3">
      <c r="A6334" s="2" t="s">
        <v>198</v>
      </c>
      <c r="B6334" s="2" t="s">
        <v>199</v>
      </c>
      <c r="C6334" s="3">
        <v>1987</v>
      </c>
      <c r="D6334" s="4">
        <v>2329813</v>
      </c>
    </row>
    <row r="6335" spans="1:4" x14ac:dyDescent="0.3">
      <c r="A6335" s="5" t="s">
        <v>198</v>
      </c>
      <c r="B6335" s="5" t="s">
        <v>199</v>
      </c>
      <c r="C6335" s="6">
        <v>1988</v>
      </c>
      <c r="D6335" s="7">
        <v>2345777</v>
      </c>
    </row>
    <row r="6336" spans="1:4" x14ac:dyDescent="0.3">
      <c r="A6336" s="2" t="s">
        <v>198</v>
      </c>
      <c r="B6336" s="2" t="s">
        <v>199</v>
      </c>
      <c r="C6336" s="3">
        <v>1989</v>
      </c>
      <c r="D6336" s="4">
        <v>2361916</v>
      </c>
    </row>
    <row r="6337" spans="1:4" x14ac:dyDescent="0.3">
      <c r="A6337" s="5" t="s">
        <v>198</v>
      </c>
      <c r="B6337" s="5" t="s">
        <v>199</v>
      </c>
      <c r="C6337" s="6">
        <v>1990</v>
      </c>
      <c r="D6337" s="7">
        <v>2379877</v>
      </c>
    </row>
    <row r="6338" spans="1:4" x14ac:dyDescent="0.3">
      <c r="A6338" s="2" t="s">
        <v>198</v>
      </c>
      <c r="B6338" s="2" t="s">
        <v>199</v>
      </c>
      <c r="C6338" s="3">
        <v>1991</v>
      </c>
      <c r="D6338" s="4">
        <v>2400869</v>
      </c>
    </row>
    <row r="6339" spans="1:4" x14ac:dyDescent="0.3">
      <c r="A6339" s="5" t="s">
        <v>198</v>
      </c>
      <c r="B6339" s="5" t="s">
        <v>199</v>
      </c>
      <c r="C6339" s="6">
        <v>1992</v>
      </c>
      <c r="D6339" s="7">
        <v>2424701</v>
      </c>
    </row>
    <row r="6340" spans="1:4" x14ac:dyDescent="0.3">
      <c r="A6340" s="2" t="s">
        <v>198</v>
      </c>
      <c r="B6340" s="2" t="s">
        <v>199</v>
      </c>
      <c r="C6340" s="3">
        <v>1993</v>
      </c>
      <c r="D6340" s="4">
        <v>2449916</v>
      </c>
    </row>
    <row r="6341" spans="1:4" x14ac:dyDescent="0.3">
      <c r="A6341" s="5" t="s">
        <v>198</v>
      </c>
      <c r="B6341" s="5" t="s">
        <v>199</v>
      </c>
      <c r="C6341" s="6">
        <v>1994</v>
      </c>
      <c r="D6341" s="7">
        <v>2475220</v>
      </c>
    </row>
    <row r="6342" spans="1:4" x14ac:dyDescent="0.3">
      <c r="A6342" s="2" t="s">
        <v>198</v>
      </c>
      <c r="B6342" s="2" t="s">
        <v>199</v>
      </c>
      <c r="C6342" s="3">
        <v>1995</v>
      </c>
      <c r="D6342" s="4">
        <v>2500151</v>
      </c>
    </row>
    <row r="6343" spans="1:4" x14ac:dyDescent="0.3">
      <c r="A6343" s="5" t="s">
        <v>198</v>
      </c>
      <c r="B6343" s="5" t="s">
        <v>199</v>
      </c>
      <c r="C6343" s="6">
        <v>1996</v>
      </c>
      <c r="D6343" s="7">
        <v>2524463</v>
      </c>
    </row>
    <row r="6344" spans="1:4" x14ac:dyDescent="0.3">
      <c r="A6344" s="2" t="s">
        <v>198</v>
      </c>
      <c r="B6344" s="2" t="s">
        <v>199</v>
      </c>
      <c r="C6344" s="3">
        <v>1997</v>
      </c>
      <c r="D6344" s="4">
        <v>2547848</v>
      </c>
    </row>
    <row r="6345" spans="1:4" x14ac:dyDescent="0.3">
      <c r="A6345" s="5" t="s">
        <v>198</v>
      </c>
      <c r="B6345" s="5" t="s">
        <v>199</v>
      </c>
      <c r="C6345" s="6">
        <v>1998</v>
      </c>
      <c r="D6345" s="7">
        <v>2569736</v>
      </c>
    </row>
    <row r="6346" spans="1:4" x14ac:dyDescent="0.3">
      <c r="A6346" s="2" t="s">
        <v>198</v>
      </c>
      <c r="B6346" s="2" t="s">
        <v>199</v>
      </c>
      <c r="C6346" s="3">
        <v>1999</v>
      </c>
      <c r="D6346" s="4">
        <v>2589795</v>
      </c>
    </row>
    <row r="6347" spans="1:4" x14ac:dyDescent="0.3">
      <c r="A6347" s="5" t="s">
        <v>198</v>
      </c>
      <c r="B6347" s="5" t="s">
        <v>199</v>
      </c>
      <c r="C6347" s="6">
        <v>2000</v>
      </c>
      <c r="D6347" s="7">
        <v>2607826</v>
      </c>
    </row>
    <row r="6348" spans="1:4" x14ac:dyDescent="0.3">
      <c r="A6348" s="2" t="s">
        <v>198</v>
      </c>
      <c r="B6348" s="2" t="s">
        <v>199</v>
      </c>
      <c r="C6348" s="3">
        <v>2001</v>
      </c>
      <c r="D6348" s="4">
        <v>2624403</v>
      </c>
    </row>
    <row r="6349" spans="1:4" x14ac:dyDescent="0.3">
      <c r="A6349" s="5" t="s">
        <v>198</v>
      </c>
      <c r="B6349" s="5" t="s">
        <v>199</v>
      </c>
      <c r="C6349" s="6">
        <v>2002</v>
      </c>
      <c r="D6349" s="7">
        <v>2640572</v>
      </c>
    </row>
    <row r="6350" spans="1:4" x14ac:dyDescent="0.3">
      <c r="A6350" s="2" t="s">
        <v>198</v>
      </c>
      <c r="B6350" s="2" t="s">
        <v>199</v>
      </c>
      <c r="C6350" s="3">
        <v>2003</v>
      </c>
      <c r="D6350" s="4">
        <v>2656623</v>
      </c>
    </row>
    <row r="6351" spans="1:4" x14ac:dyDescent="0.3">
      <c r="A6351" s="5" t="s">
        <v>198</v>
      </c>
      <c r="B6351" s="5" t="s">
        <v>199</v>
      </c>
      <c r="C6351" s="6">
        <v>2004</v>
      </c>
      <c r="D6351" s="7">
        <v>2672225</v>
      </c>
    </row>
    <row r="6352" spans="1:4" x14ac:dyDescent="0.3">
      <c r="A6352" s="2" t="s">
        <v>198</v>
      </c>
      <c r="B6352" s="2" t="s">
        <v>199</v>
      </c>
      <c r="C6352" s="3">
        <v>2005</v>
      </c>
      <c r="D6352" s="4">
        <v>2687066</v>
      </c>
    </row>
    <row r="6353" spans="1:4" x14ac:dyDescent="0.3">
      <c r="A6353" s="5" t="s">
        <v>198</v>
      </c>
      <c r="B6353" s="5" t="s">
        <v>199</v>
      </c>
      <c r="C6353" s="6">
        <v>2006</v>
      </c>
      <c r="D6353" s="7">
        <v>2700968</v>
      </c>
    </row>
    <row r="6354" spans="1:4" x14ac:dyDescent="0.3">
      <c r="A6354" s="2" t="s">
        <v>198</v>
      </c>
      <c r="B6354" s="2" t="s">
        <v>199</v>
      </c>
      <c r="C6354" s="3">
        <v>2007</v>
      </c>
      <c r="D6354" s="4">
        <v>2713800</v>
      </c>
    </row>
    <row r="6355" spans="1:4" x14ac:dyDescent="0.3">
      <c r="A6355" s="5" t="s">
        <v>198</v>
      </c>
      <c r="B6355" s="5" t="s">
        <v>199</v>
      </c>
      <c r="C6355" s="6">
        <v>2008</v>
      </c>
      <c r="D6355" s="7">
        <v>2725635</v>
      </c>
    </row>
    <row r="6356" spans="1:4" x14ac:dyDescent="0.3">
      <c r="A6356" s="2" t="s">
        <v>198</v>
      </c>
      <c r="B6356" s="2" t="s">
        <v>199</v>
      </c>
      <c r="C6356" s="3">
        <v>2009</v>
      </c>
      <c r="D6356" s="4">
        <v>2736995</v>
      </c>
    </row>
    <row r="6357" spans="1:4" x14ac:dyDescent="0.3">
      <c r="A6357" s="5" t="s">
        <v>198</v>
      </c>
      <c r="B6357" s="5" t="s">
        <v>199</v>
      </c>
      <c r="C6357" s="6">
        <v>2010</v>
      </c>
      <c r="D6357" s="7">
        <v>2748568</v>
      </c>
    </row>
    <row r="6358" spans="1:4" x14ac:dyDescent="0.3">
      <c r="A6358" s="2" t="s">
        <v>198</v>
      </c>
      <c r="B6358" s="2" t="s">
        <v>199</v>
      </c>
      <c r="C6358" s="3">
        <v>2011</v>
      </c>
      <c r="D6358" s="4">
        <v>2760494</v>
      </c>
    </row>
    <row r="6359" spans="1:4" x14ac:dyDescent="0.3">
      <c r="A6359" s="5" t="s">
        <v>198</v>
      </c>
      <c r="B6359" s="5" t="s">
        <v>199</v>
      </c>
      <c r="C6359" s="6">
        <v>2012</v>
      </c>
      <c r="D6359" s="7">
        <v>2772430</v>
      </c>
    </row>
    <row r="6360" spans="1:4" x14ac:dyDescent="0.3">
      <c r="A6360" s="2" t="s">
        <v>198</v>
      </c>
      <c r="B6360" s="2" t="s">
        <v>199</v>
      </c>
      <c r="C6360" s="3">
        <v>2013</v>
      </c>
      <c r="D6360" s="4">
        <v>2783687</v>
      </c>
    </row>
    <row r="6361" spans="1:4" x14ac:dyDescent="0.3">
      <c r="A6361" s="5" t="s">
        <v>198</v>
      </c>
      <c r="B6361" s="5" t="s">
        <v>199</v>
      </c>
      <c r="C6361" s="6">
        <v>2014</v>
      </c>
      <c r="D6361" s="7">
        <v>2793749</v>
      </c>
    </row>
    <row r="6362" spans="1:4" x14ac:dyDescent="0.3">
      <c r="A6362" s="2" t="s">
        <v>198</v>
      </c>
      <c r="B6362" s="2" t="s">
        <v>199</v>
      </c>
      <c r="C6362" s="3">
        <v>2015</v>
      </c>
      <c r="D6362" s="4">
        <v>2802534</v>
      </c>
    </row>
    <row r="6363" spans="1:4" x14ac:dyDescent="0.3">
      <c r="A6363" s="5" t="s">
        <v>198</v>
      </c>
      <c r="B6363" s="5" t="s">
        <v>199</v>
      </c>
      <c r="C6363" s="6">
        <v>2016</v>
      </c>
      <c r="D6363" s="7">
        <v>2809915</v>
      </c>
    </row>
    <row r="6364" spans="1:4" x14ac:dyDescent="0.3">
      <c r="A6364" s="2" t="s">
        <v>198</v>
      </c>
      <c r="B6364" s="2" t="s">
        <v>199</v>
      </c>
      <c r="C6364" s="3">
        <v>2017</v>
      </c>
      <c r="D6364" s="4">
        <v>2815764</v>
      </c>
    </row>
    <row r="6365" spans="1:4" x14ac:dyDescent="0.3">
      <c r="A6365" s="5" t="s">
        <v>198</v>
      </c>
      <c r="B6365" s="5" t="s">
        <v>199</v>
      </c>
      <c r="C6365" s="6">
        <v>2018</v>
      </c>
      <c r="D6365" s="7">
        <v>2820097</v>
      </c>
    </row>
    <row r="6366" spans="1:4" x14ac:dyDescent="0.3">
      <c r="A6366" s="2" t="s">
        <v>198</v>
      </c>
      <c r="B6366" s="2" t="s">
        <v>199</v>
      </c>
      <c r="C6366" s="3">
        <v>2019</v>
      </c>
      <c r="D6366" s="4">
        <v>2823271</v>
      </c>
    </row>
    <row r="6367" spans="1:4" x14ac:dyDescent="0.3">
      <c r="A6367" s="5" t="s">
        <v>198</v>
      </c>
      <c r="B6367" s="5" t="s">
        <v>199</v>
      </c>
      <c r="C6367" s="6">
        <v>2020</v>
      </c>
      <c r="D6367" s="7">
        <v>2830739</v>
      </c>
    </row>
    <row r="6368" spans="1:4" x14ac:dyDescent="0.3">
      <c r="A6368" s="2" t="s">
        <v>198</v>
      </c>
      <c r="B6368" s="2" t="s">
        <v>199</v>
      </c>
      <c r="C6368" s="3">
        <v>2021</v>
      </c>
      <c r="D6368" s="4">
        <v>2837682</v>
      </c>
    </row>
    <row r="6369" spans="1:4" x14ac:dyDescent="0.3">
      <c r="A6369" s="5" t="s">
        <v>198</v>
      </c>
      <c r="B6369" s="5" t="s">
        <v>199</v>
      </c>
      <c r="C6369" s="6">
        <v>2022</v>
      </c>
      <c r="D6369" s="7">
        <v>2839144</v>
      </c>
    </row>
    <row r="6370" spans="1:4" x14ac:dyDescent="0.3">
      <c r="A6370" s="2" t="s">
        <v>198</v>
      </c>
      <c r="B6370" s="2" t="s">
        <v>199</v>
      </c>
      <c r="C6370" s="3">
        <v>2023</v>
      </c>
      <c r="D6370" s="4">
        <v>2839786</v>
      </c>
    </row>
    <row r="6371" spans="1:4" x14ac:dyDescent="0.3">
      <c r="A6371" s="5" t="s">
        <v>198</v>
      </c>
      <c r="B6371" s="5" t="s">
        <v>199</v>
      </c>
      <c r="C6371" s="6">
        <v>2024</v>
      </c>
      <c r="D6371" s="7">
        <v>2839175</v>
      </c>
    </row>
    <row r="6372" spans="1:4" x14ac:dyDescent="0.3">
      <c r="A6372" s="2" t="s">
        <v>200</v>
      </c>
      <c r="B6372" s="2" t="s">
        <v>201</v>
      </c>
      <c r="C6372" s="3">
        <v>1960</v>
      </c>
      <c r="D6372" s="4">
        <v>93216000</v>
      </c>
    </row>
    <row r="6373" spans="1:4" x14ac:dyDescent="0.3">
      <c r="A6373" s="5" t="s">
        <v>200</v>
      </c>
      <c r="B6373" s="5" t="s">
        <v>201</v>
      </c>
      <c r="C6373" s="6">
        <v>1961</v>
      </c>
      <c r="D6373" s="7">
        <v>94055000</v>
      </c>
    </row>
    <row r="6374" spans="1:4" x14ac:dyDescent="0.3">
      <c r="A6374" s="2" t="s">
        <v>200</v>
      </c>
      <c r="B6374" s="2" t="s">
        <v>201</v>
      </c>
      <c r="C6374" s="3">
        <v>1962</v>
      </c>
      <c r="D6374" s="4">
        <v>94933000</v>
      </c>
    </row>
    <row r="6375" spans="1:4" x14ac:dyDescent="0.3">
      <c r="A6375" s="5" t="s">
        <v>200</v>
      </c>
      <c r="B6375" s="5" t="s">
        <v>201</v>
      </c>
      <c r="C6375" s="6">
        <v>1963</v>
      </c>
      <c r="D6375" s="7">
        <v>95900000</v>
      </c>
    </row>
    <row r="6376" spans="1:4" x14ac:dyDescent="0.3">
      <c r="A6376" s="2" t="s">
        <v>200</v>
      </c>
      <c r="B6376" s="2" t="s">
        <v>201</v>
      </c>
      <c r="C6376" s="3">
        <v>1964</v>
      </c>
      <c r="D6376" s="4">
        <v>96903000</v>
      </c>
    </row>
    <row r="6377" spans="1:4" x14ac:dyDescent="0.3">
      <c r="A6377" s="5" t="s">
        <v>200</v>
      </c>
      <c r="B6377" s="5" t="s">
        <v>201</v>
      </c>
      <c r="C6377" s="6">
        <v>1965</v>
      </c>
      <c r="D6377" s="7">
        <v>97952000</v>
      </c>
    </row>
    <row r="6378" spans="1:4" x14ac:dyDescent="0.3">
      <c r="A6378" s="2" t="s">
        <v>200</v>
      </c>
      <c r="B6378" s="2" t="s">
        <v>201</v>
      </c>
      <c r="C6378" s="3">
        <v>1966</v>
      </c>
      <c r="D6378" s="4">
        <v>98851000</v>
      </c>
    </row>
    <row r="6379" spans="1:4" x14ac:dyDescent="0.3">
      <c r="A6379" s="5" t="s">
        <v>200</v>
      </c>
      <c r="B6379" s="5" t="s">
        <v>201</v>
      </c>
      <c r="C6379" s="6">
        <v>1967</v>
      </c>
      <c r="D6379" s="7">
        <v>99879000</v>
      </c>
    </row>
    <row r="6380" spans="1:4" x14ac:dyDescent="0.3">
      <c r="A6380" s="2" t="s">
        <v>200</v>
      </c>
      <c r="B6380" s="2" t="s">
        <v>201</v>
      </c>
      <c r="C6380" s="3">
        <v>1968</v>
      </c>
      <c r="D6380" s="4">
        <v>101011000</v>
      </c>
    </row>
    <row r="6381" spans="1:4" x14ac:dyDescent="0.3">
      <c r="A6381" s="5" t="s">
        <v>200</v>
      </c>
      <c r="B6381" s="5" t="s">
        <v>201</v>
      </c>
      <c r="C6381" s="6">
        <v>1969</v>
      </c>
      <c r="D6381" s="7">
        <v>102219000</v>
      </c>
    </row>
    <row r="6382" spans="1:4" x14ac:dyDescent="0.3">
      <c r="A6382" s="2" t="s">
        <v>200</v>
      </c>
      <c r="B6382" s="2" t="s">
        <v>201</v>
      </c>
      <c r="C6382" s="3">
        <v>1970</v>
      </c>
      <c r="D6382" s="4">
        <v>103403000</v>
      </c>
    </row>
    <row r="6383" spans="1:4" x14ac:dyDescent="0.3">
      <c r="A6383" s="5" t="s">
        <v>200</v>
      </c>
      <c r="B6383" s="5" t="s">
        <v>201</v>
      </c>
      <c r="C6383" s="6">
        <v>1971</v>
      </c>
      <c r="D6383" s="7">
        <v>105697000</v>
      </c>
    </row>
    <row r="6384" spans="1:4" x14ac:dyDescent="0.3">
      <c r="A6384" s="2" t="s">
        <v>200</v>
      </c>
      <c r="B6384" s="2" t="s">
        <v>201</v>
      </c>
      <c r="C6384" s="3">
        <v>1972</v>
      </c>
      <c r="D6384" s="4">
        <v>107188000</v>
      </c>
    </row>
    <row r="6385" spans="1:4" x14ac:dyDescent="0.3">
      <c r="A6385" s="5" t="s">
        <v>200</v>
      </c>
      <c r="B6385" s="5" t="s">
        <v>201</v>
      </c>
      <c r="C6385" s="6">
        <v>1973</v>
      </c>
      <c r="D6385" s="7">
        <v>108707000</v>
      </c>
    </row>
    <row r="6386" spans="1:4" x14ac:dyDescent="0.3">
      <c r="A6386" s="2" t="s">
        <v>200</v>
      </c>
      <c r="B6386" s="2" t="s">
        <v>201</v>
      </c>
      <c r="C6386" s="3">
        <v>1974</v>
      </c>
      <c r="D6386" s="4">
        <v>110162000</v>
      </c>
    </row>
    <row r="6387" spans="1:4" x14ac:dyDescent="0.3">
      <c r="A6387" s="5" t="s">
        <v>200</v>
      </c>
      <c r="B6387" s="5" t="s">
        <v>201</v>
      </c>
      <c r="C6387" s="6">
        <v>1975</v>
      </c>
      <c r="D6387" s="7">
        <v>111573000</v>
      </c>
    </row>
    <row r="6388" spans="1:4" x14ac:dyDescent="0.3">
      <c r="A6388" s="2" t="s">
        <v>200</v>
      </c>
      <c r="B6388" s="2" t="s">
        <v>201</v>
      </c>
      <c r="C6388" s="3">
        <v>1976</v>
      </c>
      <c r="D6388" s="4">
        <v>112775000</v>
      </c>
    </row>
    <row r="6389" spans="1:4" x14ac:dyDescent="0.3">
      <c r="A6389" s="5" t="s">
        <v>200</v>
      </c>
      <c r="B6389" s="5" t="s">
        <v>201</v>
      </c>
      <c r="C6389" s="6">
        <v>1977</v>
      </c>
      <c r="D6389" s="7">
        <v>113872000</v>
      </c>
    </row>
    <row r="6390" spans="1:4" x14ac:dyDescent="0.3">
      <c r="A6390" s="2" t="s">
        <v>200</v>
      </c>
      <c r="B6390" s="2" t="s">
        <v>201</v>
      </c>
      <c r="C6390" s="3">
        <v>1978</v>
      </c>
      <c r="D6390" s="4">
        <v>114913000</v>
      </c>
    </row>
    <row r="6391" spans="1:4" x14ac:dyDescent="0.3">
      <c r="A6391" s="5" t="s">
        <v>200</v>
      </c>
      <c r="B6391" s="5" t="s">
        <v>201</v>
      </c>
      <c r="C6391" s="6">
        <v>1979</v>
      </c>
      <c r="D6391" s="7">
        <v>115890000</v>
      </c>
    </row>
    <row r="6392" spans="1:4" x14ac:dyDescent="0.3">
      <c r="A6392" s="2" t="s">
        <v>200</v>
      </c>
      <c r="B6392" s="2" t="s">
        <v>201</v>
      </c>
      <c r="C6392" s="3">
        <v>1980</v>
      </c>
      <c r="D6392" s="4">
        <v>116807000</v>
      </c>
    </row>
    <row r="6393" spans="1:4" x14ac:dyDescent="0.3">
      <c r="A6393" s="5" t="s">
        <v>200</v>
      </c>
      <c r="B6393" s="5" t="s">
        <v>201</v>
      </c>
      <c r="C6393" s="6">
        <v>1981</v>
      </c>
      <c r="D6393" s="7">
        <v>117661000</v>
      </c>
    </row>
    <row r="6394" spans="1:4" x14ac:dyDescent="0.3">
      <c r="A6394" s="2" t="s">
        <v>200</v>
      </c>
      <c r="B6394" s="2" t="s">
        <v>201</v>
      </c>
      <c r="C6394" s="3">
        <v>1982</v>
      </c>
      <c r="D6394" s="4">
        <v>118480000</v>
      </c>
    </row>
    <row r="6395" spans="1:4" x14ac:dyDescent="0.3">
      <c r="A6395" s="5" t="s">
        <v>200</v>
      </c>
      <c r="B6395" s="5" t="s">
        <v>201</v>
      </c>
      <c r="C6395" s="6">
        <v>1983</v>
      </c>
      <c r="D6395" s="7">
        <v>119307000</v>
      </c>
    </row>
    <row r="6396" spans="1:4" x14ac:dyDescent="0.3">
      <c r="A6396" s="2" t="s">
        <v>200</v>
      </c>
      <c r="B6396" s="2" t="s">
        <v>201</v>
      </c>
      <c r="C6396" s="3">
        <v>1984</v>
      </c>
      <c r="D6396" s="4">
        <v>120083000</v>
      </c>
    </row>
    <row r="6397" spans="1:4" x14ac:dyDescent="0.3">
      <c r="A6397" s="5" t="s">
        <v>200</v>
      </c>
      <c r="B6397" s="5" t="s">
        <v>201</v>
      </c>
      <c r="C6397" s="6">
        <v>1985</v>
      </c>
      <c r="D6397" s="7">
        <v>120837000</v>
      </c>
    </row>
    <row r="6398" spans="1:4" x14ac:dyDescent="0.3">
      <c r="A6398" s="2" t="s">
        <v>200</v>
      </c>
      <c r="B6398" s="2" t="s">
        <v>201</v>
      </c>
      <c r="C6398" s="3">
        <v>1986</v>
      </c>
      <c r="D6398" s="4">
        <v>121482000</v>
      </c>
    </row>
    <row r="6399" spans="1:4" x14ac:dyDescent="0.3">
      <c r="A6399" s="5" t="s">
        <v>200</v>
      </c>
      <c r="B6399" s="5" t="s">
        <v>201</v>
      </c>
      <c r="C6399" s="6">
        <v>1987</v>
      </c>
      <c r="D6399" s="7">
        <v>122069000</v>
      </c>
    </row>
    <row r="6400" spans="1:4" x14ac:dyDescent="0.3">
      <c r="A6400" s="2" t="s">
        <v>200</v>
      </c>
      <c r="B6400" s="2" t="s">
        <v>201</v>
      </c>
      <c r="C6400" s="3">
        <v>1988</v>
      </c>
      <c r="D6400" s="4">
        <v>122578000</v>
      </c>
    </row>
    <row r="6401" spans="1:4" x14ac:dyDescent="0.3">
      <c r="A6401" s="5" t="s">
        <v>200</v>
      </c>
      <c r="B6401" s="5" t="s">
        <v>201</v>
      </c>
      <c r="C6401" s="6">
        <v>1989</v>
      </c>
      <c r="D6401" s="7">
        <v>123069000</v>
      </c>
    </row>
    <row r="6402" spans="1:4" x14ac:dyDescent="0.3">
      <c r="A6402" s="2" t="s">
        <v>200</v>
      </c>
      <c r="B6402" s="2" t="s">
        <v>201</v>
      </c>
      <c r="C6402" s="3">
        <v>1990</v>
      </c>
      <c r="D6402" s="4">
        <v>123478000</v>
      </c>
    </row>
    <row r="6403" spans="1:4" x14ac:dyDescent="0.3">
      <c r="A6403" s="5" t="s">
        <v>200</v>
      </c>
      <c r="B6403" s="5" t="s">
        <v>201</v>
      </c>
      <c r="C6403" s="6">
        <v>1991</v>
      </c>
      <c r="D6403" s="7">
        <v>123964000</v>
      </c>
    </row>
    <row r="6404" spans="1:4" x14ac:dyDescent="0.3">
      <c r="A6404" s="2" t="s">
        <v>200</v>
      </c>
      <c r="B6404" s="2" t="s">
        <v>201</v>
      </c>
      <c r="C6404" s="3">
        <v>1992</v>
      </c>
      <c r="D6404" s="4">
        <v>124425000</v>
      </c>
    </row>
    <row r="6405" spans="1:4" x14ac:dyDescent="0.3">
      <c r="A6405" s="5" t="s">
        <v>200</v>
      </c>
      <c r="B6405" s="5" t="s">
        <v>201</v>
      </c>
      <c r="C6405" s="6">
        <v>1993</v>
      </c>
      <c r="D6405" s="7">
        <v>124829000</v>
      </c>
    </row>
    <row r="6406" spans="1:4" x14ac:dyDescent="0.3">
      <c r="A6406" s="2" t="s">
        <v>200</v>
      </c>
      <c r="B6406" s="2" t="s">
        <v>201</v>
      </c>
      <c r="C6406" s="3">
        <v>1994</v>
      </c>
      <c r="D6406" s="4">
        <v>125178000</v>
      </c>
    </row>
    <row r="6407" spans="1:4" x14ac:dyDescent="0.3">
      <c r="A6407" s="5" t="s">
        <v>200</v>
      </c>
      <c r="B6407" s="5" t="s">
        <v>201</v>
      </c>
      <c r="C6407" s="6">
        <v>1995</v>
      </c>
      <c r="D6407" s="7">
        <v>125472000</v>
      </c>
    </row>
    <row r="6408" spans="1:4" x14ac:dyDescent="0.3">
      <c r="A6408" s="2" t="s">
        <v>200</v>
      </c>
      <c r="B6408" s="2" t="s">
        <v>201</v>
      </c>
      <c r="C6408" s="3">
        <v>1996</v>
      </c>
      <c r="D6408" s="4">
        <v>125757000</v>
      </c>
    </row>
    <row r="6409" spans="1:4" x14ac:dyDescent="0.3">
      <c r="A6409" s="5" t="s">
        <v>200</v>
      </c>
      <c r="B6409" s="5" t="s">
        <v>201</v>
      </c>
      <c r="C6409" s="6">
        <v>1997</v>
      </c>
      <c r="D6409" s="7">
        <v>126057000</v>
      </c>
    </row>
    <row r="6410" spans="1:4" x14ac:dyDescent="0.3">
      <c r="A6410" s="2" t="s">
        <v>200</v>
      </c>
      <c r="B6410" s="2" t="s">
        <v>201</v>
      </c>
      <c r="C6410" s="3">
        <v>1998</v>
      </c>
      <c r="D6410" s="4">
        <v>126400000</v>
      </c>
    </row>
    <row r="6411" spans="1:4" x14ac:dyDescent="0.3">
      <c r="A6411" s="5" t="s">
        <v>200</v>
      </c>
      <c r="B6411" s="5" t="s">
        <v>201</v>
      </c>
      <c r="C6411" s="6">
        <v>1999</v>
      </c>
      <c r="D6411" s="7">
        <v>126631000</v>
      </c>
    </row>
    <row r="6412" spans="1:4" x14ac:dyDescent="0.3">
      <c r="A6412" s="2" t="s">
        <v>200</v>
      </c>
      <c r="B6412" s="2" t="s">
        <v>201</v>
      </c>
      <c r="C6412" s="3">
        <v>2000</v>
      </c>
      <c r="D6412" s="4">
        <v>126843000</v>
      </c>
    </row>
    <row r="6413" spans="1:4" x14ac:dyDescent="0.3">
      <c r="A6413" s="5" t="s">
        <v>200</v>
      </c>
      <c r="B6413" s="5" t="s">
        <v>201</v>
      </c>
      <c r="C6413" s="6">
        <v>2001</v>
      </c>
      <c r="D6413" s="7">
        <v>127149000</v>
      </c>
    </row>
    <row r="6414" spans="1:4" x14ac:dyDescent="0.3">
      <c r="A6414" s="2" t="s">
        <v>200</v>
      </c>
      <c r="B6414" s="2" t="s">
        <v>201</v>
      </c>
      <c r="C6414" s="3">
        <v>2002</v>
      </c>
      <c r="D6414" s="4">
        <v>127445000</v>
      </c>
    </row>
    <row r="6415" spans="1:4" x14ac:dyDescent="0.3">
      <c r="A6415" s="5" t="s">
        <v>200</v>
      </c>
      <c r="B6415" s="5" t="s">
        <v>201</v>
      </c>
      <c r="C6415" s="6">
        <v>2003</v>
      </c>
      <c r="D6415" s="7">
        <v>127718000</v>
      </c>
    </row>
    <row r="6416" spans="1:4" x14ac:dyDescent="0.3">
      <c r="A6416" s="2" t="s">
        <v>200</v>
      </c>
      <c r="B6416" s="2" t="s">
        <v>201</v>
      </c>
      <c r="C6416" s="3">
        <v>2004</v>
      </c>
      <c r="D6416" s="4">
        <v>127761000</v>
      </c>
    </row>
    <row r="6417" spans="1:4" x14ac:dyDescent="0.3">
      <c r="A6417" s="5" t="s">
        <v>200</v>
      </c>
      <c r="B6417" s="5" t="s">
        <v>201</v>
      </c>
      <c r="C6417" s="6">
        <v>2005</v>
      </c>
      <c r="D6417" s="7">
        <v>127773000</v>
      </c>
    </row>
    <row r="6418" spans="1:4" x14ac:dyDescent="0.3">
      <c r="A6418" s="2" t="s">
        <v>200</v>
      </c>
      <c r="B6418" s="2" t="s">
        <v>201</v>
      </c>
      <c r="C6418" s="3">
        <v>2006</v>
      </c>
      <c r="D6418" s="4">
        <v>127854000</v>
      </c>
    </row>
    <row r="6419" spans="1:4" x14ac:dyDescent="0.3">
      <c r="A6419" s="5" t="s">
        <v>200</v>
      </c>
      <c r="B6419" s="5" t="s">
        <v>201</v>
      </c>
      <c r="C6419" s="6">
        <v>2007</v>
      </c>
      <c r="D6419" s="7">
        <v>128001000</v>
      </c>
    </row>
    <row r="6420" spans="1:4" x14ac:dyDescent="0.3">
      <c r="A6420" s="2" t="s">
        <v>200</v>
      </c>
      <c r="B6420" s="2" t="s">
        <v>201</v>
      </c>
      <c r="C6420" s="3">
        <v>2008</v>
      </c>
      <c r="D6420" s="4">
        <v>128063000</v>
      </c>
    </row>
    <row r="6421" spans="1:4" x14ac:dyDescent="0.3">
      <c r="A6421" s="5" t="s">
        <v>200</v>
      </c>
      <c r="B6421" s="5" t="s">
        <v>201</v>
      </c>
      <c r="C6421" s="6">
        <v>2009</v>
      </c>
      <c r="D6421" s="7">
        <v>128047000</v>
      </c>
    </row>
    <row r="6422" spans="1:4" x14ac:dyDescent="0.3">
      <c r="A6422" s="2" t="s">
        <v>200</v>
      </c>
      <c r="B6422" s="2" t="s">
        <v>201</v>
      </c>
      <c r="C6422" s="3">
        <v>2010</v>
      </c>
      <c r="D6422" s="4">
        <v>128070000</v>
      </c>
    </row>
    <row r="6423" spans="1:4" x14ac:dyDescent="0.3">
      <c r="A6423" s="5" t="s">
        <v>200</v>
      </c>
      <c r="B6423" s="5" t="s">
        <v>201</v>
      </c>
      <c r="C6423" s="6">
        <v>2011</v>
      </c>
      <c r="D6423" s="7">
        <v>127833000</v>
      </c>
    </row>
    <row r="6424" spans="1:4" x14ac:dyDescent="0.3">
      <c r="A6424" s="2" t="s">
        <v>200</v>
      </c>
      <c r="B6424" s="2" t="s">
        <v>201</v>
      </c>
      <c r="C6424" s="3">
        <v>2012</v>
      </c>
      <c r="D6424" s="4">
        <v>127629000</v>
      </c>
    </row>
    <row r="6425" spans="1:4" x14ac:dyDescent="0.3">
      <c r="A6425" s="5" t="s">
        <v>200</v>
      </c>
      <c r="B6425" s="5" t="s">
        <v>201</v>
      </c>
      <c r="C6425" s="6">
        <v>2013</v>
      </c>
      <c r="D6425" s="7">
        <v>127445000</v>
      </c>
    </row>
    <row r="6426" spans="1:4" x14ac:dyDescent="0.3">
      <c r="A6426" s="2" t="s">
        <v>200</v>
      </c>
      <c r="B6426" s="2" t="s">
        <v>201</v>
      </c>
      <c r="C6426" s="3">
        <v>2014</v>
      </c>
      <c r="D6426" s="4">
        <v>127276000</v>
      </c>
    </row>
    <row r="6427" spans="1:4" x14ac:dyDescent="0.3">
      <c r="A6427" s="5" t="s">
        <v>200</v>
      </c>
      <c r="B6427" s="5" t="s">
        <v>201</v>
      </c>
      <c r="C6427" s="6">
        <v>2015</v>
      </c>
      <c r="D6427" s="7">
        <v>127141000</v>
      </c>
    </row>
    <row r="6428" spans="1:4" x14ac:dyDescent="0.3">
      <c r="A6428" s="2" t="s">
        <v>200</v>
      </c>
      <c r="B6428" s="2" t="s">
        <v>201</v>
      </c>
      <c r="C6428" s="3">
        <v>2016</v>
      </c>
      <c r="D6428" s="4">
        <v>127076000</v>
      </c>
    </row>
    <row r="6429" spans="1:4" x14ac:dyDescent="0.3">
      <c r="A6429" s="5" t="s">
        <v>200</v>
      </c>
      <c r="B6429" s="5" t="s">
        <v>201</v>
      </c>
      <c r="C6429" s="6">
        <v>2017</v>
      </c>
      <c r="D6429" s="7">
        <v>126972000</v>
      </c>
    </row>
    <row r="6430" spans="1:4" x14ac:dyDescent="0.3">
      <c r="A6430" s="2" t="s">
        <v>200</v>
      </c>
      <c r="B6430" s="2" t="s">
        <v>201</v>
      </c>
      <c r="C6430" s="3">
        <v>2018</v>
      </c>
      <c r="D6430" s="4">
        <v>126811000</v>
      </c>
    </row>
    <row r="6431" spans="1:4" x14ac:dyDescent="0.3">
      <c r="A6431" s="5" t="s">
        <v>200</v>
      </c>
      <c r="B6431" s="5" t="s">
        <v>201</v>
      </c>
      <c r="C6431" s="6">
        <v>2019</v>
      </c>
      <c r="D6431" s="7">
        <v>126633000</v>
      </c>
    </row>
    <row r="6432" spans="1:4" x14ac:dyDescent="0.3">
      <c r="A6432" s="2" t="s">
        <v>200</v>
      </c>
      <c r="B6432" s="2" t="s">
        <v>201</v>
      </c>
      <c r="C6432" s="3">
        <v>2020</v>
      </c>
      <c r="D6432" s="4">
        <v>126261000</v>
      </c>
    </row>
    <row r="6433" spans="1:4" x14ac:dyDescent="0.3">
      <c r="A6433" s="5" t="s">
        <v>200</v>
      </c>
      <c r="B6433" s="5" t="s">
        <v>201</v>
      </c>
      <c r="C6433" s="6">
        <v>2021</v>
      </c>
      <c r="D6433" s="7">
        <v>125681593</v>
      </c>
    </row>
    <row r="6434" spans="1:4" x14ac:dyDescent="0.3">
      <c r="A6434" s="2" t="s">
        <v>200</v>
      </c>
      <c r="B6434" s="2" t="s">
        <v>201</v>
      </c>
      <c r="C6434" s="3">
        <v>2022</v>
      </c>
      <c r="D6434" s="4">
        <v>125124989</v>
      </c>
    </row>
    <row r="6435" spans="1:4" x14ac:dyDescent="0.3">
      <c r="A6435" s="5" t="s">
        <v>200</v>
      </c>
      <c r="B6435" s="5" t="s">
        <v>201</v>
      </c>
      <c r="C6435" s="6">
        <v>2023</v>
      </c>
      <c r="D6435" s="7">
        <v>124516650</v>
      </c>
    </row>
    <row r="6436" spans="1:4" x14ac:dyDescent="0.3">
      <c r="A6436" s="2" t="s">
        <v>200</v>
      </c>
      <c r="B6436" s="2" t="s">
        <v>201</v>
      </c>
      <c r="C6436" s="3">
        <v>2024</v>
      </c>
      <c r="D6436" s="4">
        <v>123975371</v>
      </c>
    </row>
    <row r="6437" spans="1:4" x14ac:dyDescent="0.3">
      <c r="A6437" s="5" t="s">
        <v>202</v>
      </c>
      <c r="B6437" s="5" t="s">
        <v>203</v>
      </c>
      <c r="C6437" s="6">
        <v>1960</v>
      </c>
      <c r="D6437" s="7">
        <v>853471</v>
      </c>
    </row>
    <row r="6438" spans="1:4" x14ac:dyDescent="0.3">
      <c r="A6438" s="2" t="s">
        <v>202</v>
      </c>
      <c r="B6438" s="2" t="s">
        <v>203</v>
      </c>
      <c r="C6438" s="3">
        <v>1961</v>
      </c>
      <c r="D6438" s="4">
        <v>897591</v>
      </c>
    </row>
    <row r="6439" spans="1:4" x14ac:dyDescent="0.3">
      <c r="A6439" s="5" t="s">
        <v>202</v>
      </c>
      <c r="B6439" s="5" t="s">
        <v>203</v>
      </c>
      <c r="C6439" s="6">
        <v>1962</v>
      </c>
      <c r="D6439" s="7">
        <v>940554</v>
      </c>
    </row>
    <row r="6440" spans="1:4" x14ac:dyDescent="0.3">
      <c r="A6440" s="2" t="s">
        <v>202</v>
      </c>
      <c r="B6440" s="2" t="s">
        <v>203</v>
      </c>
      <c r="C6440" s="3">
        <v>1963</v>
      </c>
      <c r="D6440" s="4">
        <v>984714</v>
      </c>
    </row>
    <row r="6441" spans="1:4" x14ac:dyDescent="0.3">
      <c r="A6441" s="5" t="s">
        <v>202</v>
      </c>
      <c r="B6441" s="5" t="s">
        <v>203</v>
      </c>
      <c r="C6441" s="6">
        <v>1964</v>
      </c>
      <c r="D6441" s="7">
        <v>1035640</v>
      </c>
    </row>
    <row r="6442" spans="1:4" x14ac:dyDescent="0.3">
      <c r="A6442" s="2" t="s">
        <v>202</v>
      </c>
      <c r="B6442" s="2" t="s">
        <v>203</v>
      </c>
      <c r="C6442" s="3">
        <v>1965</v>
      </c>
      <c r="D6442" s="4">
        <v>1099440</v>
      </c>
    </row>
    <row r="6443" spans="1:4" x14ac:dyDescent="0.3">
      <c r="A6443" s="5" t="s">
        <v>202</v>
      </c>
      <c r="B6443" s="5" t="s">
        <v>203</v>
      </c>
      <c r="C6443" s="6">
        <v>1966</v>
      </c>
      <c r="D6443" s="7">
        <v>1178360</v>
      </c>
    </row>
    <row r="6444" spans="1:4" x14ac:dyDescent="0.3">
      <c r="A6444" s="2" t="s">
        <v>202</v>
      </c>
      <c r="B6444" s="2" t="s">
        <v>203</v>
      </c>
      <c r="C6444" s="3">
        <v>1967</v>
      </c>
      <c r="D6444" s="4">
        <v>1271183</v>
      </c>
    </row>
    <row r="6445" spans="1:4" x14ac:dyDescent="0.3">
      <c r="A6445" s="5" t="s">
        <v>202</v>
      </c>
      <c r="B6445" s="5" t="s">
        <v>203</v>
      </c>
      <c r="C6445" s="6">
        <v>1968</v>
      </c>
      <c r="D6445" s="7">
        <v>1372460</v>
      </c>
    </row>
    <row r="6446" spans="1:4" x14ac:dyDescent="0.3">
      <c r="A6446" s="2" t="s">
        <v>202</v>
      </c>
      <c r="B6446" s="2" t="s">
        <v>203</v>
      </c>
      <c r="C6446" s="3">
        <v>1969</v>
      </c>
      <c r="D6446" s="4">
        <v>1473100</v>
      </c>
    </row>
    <row r="6447" spans="1:4" x14ac:dyDescent="0.3">
      <c r="A6447" s="5" t="s">
        <v>202</v>
      </c>
      <c r="B6447" s="5" t="s">
        <v>203</v>
      </c>
      <c r="C6447" s="6">
        <v>1970</v>
      </c>
      <c r="D6447" s="7">
        <v>1565163</v>
      </c>
    </row>
    <row r="6448" spans="1:4" x14ac:dyDescent="0.3">
      <c r="A6448" s="2" t="s">
        <v>202</v>
      </c>
      <c r="B6448" s="2" t="s">
        <v>203</v>
      </c>
      <c r="C6448" s="3">
        <v>1971</v>
      </c>
      <c r="D6448" s="4">
        <v>1645145</v>
      </c>
    </row>
    <row r="6449" spans="1:4" x14ac:dyDescent="0.3">
      <c r="A6449" s="5" t="s">
        <v>202</v>
      </c>
      <c r="B6449" s="5" t="s">
        <v>203</v>
      </c>
      <c r="C6449" s="6">
        <v>1972</v>
      </c>
      <c r="D6449" s="7">
        <v>1714555</v>
      </c>
    </row>
    <row r="6450" spans="1:4" x14ac:dyDescent="0.3">
      <c r="A6450" s="2" t="s">
        <v>202</v>
      </c>
      <c r="B6450" s="2" t="s">
        <v>203</v>
      </c>
      <c r="C6450" s="3">
        <v>1973</v>
      </c>
      <c r="D6450" s="4">
        <v>1778094</v>
      </c>
    </row>
    <row r="6451" spans="1:4" x14ac:dyDescent="0.3">
      <c r="A6451" s="5" t="s">
        <v>202</v>
      </c>
      <c r="B6451" s="5" t="s">
        <v>203</v>
      </c>
      <c r="C6451" s="6">
        <v>1974</v>
      </c>
      <c r="D6451" s="7">
        <v>1839182</v>
      </c>
    </row>
    <row r="6452" spans="1:4" x14ac:dyDescent="0.3">
      <c r="A6452" s="2" t="s">
        <v>202</v>
      </c>
      <c r="B6452" s="2" t="s">
        <v>203</v>
      </c>
      <c r="C6452" s="3">
        <v>1975</v>
      </c>
      <c r="D6452" s="4">
        <v>1899055</v>
      </c>
    </row>
    <row r="6453" spans="1:4" x14ac:dyDescent="0.3">
      <c r="A6453" s="5" t="s">
        <v>202</v>
      </c>
      <c r="B6453" s="5" t="s">
        <v>203</v>
      </c>
      <c r="C6453" s="6">
        <v>1976</v>
      </c>
      <c r="D6453" s="7">
        <v>1958177</v>
      </c>
    </row>
    <row r="6454" spans="1:4" x14ac:dyDescent="0.3">
      <c r="A6454" s="2" t="s">
        <v>202</v>
      </c>
      <c r="B6454" s="2" t="s">
        <v>203</v>
      </c>
      <c r="C6454" s="3">
        <v>1977</v>
      </c>
      <c r="D6454" s="4">
        <v>2019002</v>
      </c>
    </row>
    <row r="6455" spans="1:4" x14ac:dyDescent="0.3">
      <c r="A6455" s="5" t="s">
        <v>202</v>
      </c>
      <c r="B6455" s="5" t="s">
        <v>203</v>
      </c>
      <c r="C6455" s="6">
        <v>1978</v>
      </c>
      <c r="D6455" s="7">
        <v>2083595</v>
      </c>
    </row>
    <row r="6456" spans="1:4" x14ac:dyDescent="0.3">
      <c r="A6456" s="2" t="s">
        <v>202</v>
      </c>
      <c r="B6456" s="2" t="s">
        <v>203</v>
      </c>
      <c r="C6456" s="3">
        <v>1979</v>
      </c>
      <c r="D6456" s="4">
        <v>2153882</v>
      </c>
    </row>
    <row r="6457" spans="1:4" x14ac:dyDescent="0.3">
      <c r="A6457" s="5" t="s">
        <v>202</v>
      </c>
      <c r="B6457" s="5" t="s">
        <v>203</v>
      </c>
      <c r="C6457" s="6">
        <v>1980</v>
      </c>
      <c r="D6457" s="7">
        <v>2234186</v>
      </c>
    </row>
    <row r="6458" spans="1:4" x14ac:dyDescent="0.3">
      <c r="A6458" s="2" t="s">
        <v>202</v>
      </c>
      <c r="B6458" s="2" t="s">
        <v>203</v>
      </c>
      <c r="C6458" s="3">
        <v>1981</v>
      </c>
      <c r="D6458" s="4">
        <v>2325517</v>
      </c>
    </row>
    <row r="6459" spans="1:4" x14ac:dyDescent="0.3">
      <c r="A6459" s="5" t="s">
        <v>202</v>
      </c>
      <c r="B6459" s="5" t="s">
        <v>203</v>
      </c>
      <c r="C6459" s="6">
        <v>1982</v>
      </c>
      <c r="D6459" s="7">
        <v>2426927</v>
      </c>
    </row>
    <row r="6460" spans="1:4" x14ac:dyDescent="0.3">
      <c r="A6460" s="2" t="s">
        <v>202</v>
      </c>
      <c r="B6460" s="2" t="s">
        <v>203</v>
      </c>
      <c r="C6460" s="3">
        <v>1983</v>
      </c>
      <c r="D6460" s="4">
        <v>2537307</v>
      </c>
    </row>
    <row r="6461" spans="1:4" x14ac:dyDescent="0.3">
      <c r="A6461" s="5" t="s">
        <v>202</v>
      </c>
      <c r="B6461" s="5" t="s">
        <v>203</v>
      </c>
      <c r="C6461" s="6">
        <v>1984</v>
      </c>
      <c r="D6461" s="7">
        <v>2654688</v>
      </c>
    </row>
    <row r="6462" spans="1:4" x14ac:dyDescent="0.3">
      <c r="A6462" s="2" t="s">
        <v>202</v>
      </c>
      <c r="B6462" s="2" t="s">
        <v>203</v>
      </c>
      <c r="C6462" s="3">
        <v>1985</v>
      </c>
      <c r="D6462" s="4">
        <v>2778810</v>
      </c>
    </row>
    <row r="6463" spans="1:4" x14ac:dyDescent="0.3">
      <c r="A6463" s="5" t="s">
        <v>202</v>
      </c>
      <c r="B6463" s="5" t="s">
        <v>203</v>
      </c>
      <c r="C6463" s="6">
        <v>1986</v>
      </c>
      <c r="D6463" s="7">
        <v>2909887</v>
      </c>
    </row>
    <row r="6464" spans="1:4" x14ac:dyDescent="0.3">
      <c r="A6464" s="2" t="s">
        <v>202</v>
      </c>
      <c r="B6464" s="2" t="s">
        <v>203</v>
      </c>
      <c r="C6464" s="3">
        <v>1987</v>
      </c>
      <c r="D6464" s="4">
        <v>3047634</v>
      </c>
    </row>
    <row r="6465" spans="1:4" x14ac:dyDescent="0.3">
      <c r="A6465" s="5" t="s">
        <v>202</v>
      </c>
      <c r="B6465" s="5" t="s">
        <v>203</v>
      </c>
      <c r="C6465" s="6">
        <v>1988</v>
      </c>
      <c r="D6465" s="7">
        <v>3193039</v>
      </c>
    </row>
    <row r="6466" spans="1:4" x14ac:dyDescent="0.3">
      <c r="A6466" s="2" t="s">
        <v>202</v>
      </c>
      <c r="B6466" s="2" t="s">
        <v>203</v>
      </c>
      <c r="C6466" s="3">
        <v>1989</v>
      </c>
      <c r="D6466" s="4">
        <v>3349627</v>
      </c>
    </row>
    <row r="6467" spans="1:4" x14ac:dyDescent="0.3">
      <c r="A6467" s="5" t="s">
        <v>202</v>
      </c>
      <c r="B6467" s="5" t="s">
        <v>203</v>
      </c>
      <c r="C6467" s="6">
        <v>1990</v>
      </c>
      <c r="D6467" s="7">
        <v>3621908</v>
      </c>
    </row>
    <row r="6468" spans="1:4" x14ac:dyDescent="0.3">
      <c r="A6468" s="2" t="s">
        <v>202</v>
      </c>
      <c r="B6468" s="2" t="s">
        <v>203</v>
      </c>
      <c r="C6468" s="3">
        <v>1991</v>
      </c>
      <c r="D6468" s="4">
        <v>3915149</v>
      </c>
    </row>
    <row r="6469" spans="1:4" x14ac:dyDescent="0.3">
      <c r="A6469" s="5" t="s">
        <v>202</v>
      </c>
      <c r="B6469" s="5" t="s">
        <v>203</v>
      </c>
      <c r="C6469" s="6">
        <v>1992</v>
      </c>
      <c r="D6469" s="7">
        <v>4127693</v>
      </c>
    </row>
    <row r="6470" spans="1:4" x14ac:dyDescent="0.3">
      <c r="A6470" s="2" t="s">
        <v>202</v>
      </c>
      <c r="B6470" s="2" t="s">
        <v>203</v>
      </c>
      <c r="C6470" s="3">
        <v>1993</v>
      </c>
      <c r="D6470" s="4">
        <v>4348020</v>
      </c>
    </row>
    <row r="6471" spans="1:4" x14ac:dyDescent="0.3">
      <c r="A6471" s="5" t="s">
        <v>202</v>
      </c>
      <c r="B6471" s="5" t="s">
        <v>203</v>
      </c>
      <c r="C6471" s="6">
        <v>1994</v>
      </c>
      <c r="D6471" s="7">
        <v>4561406</v>
      </c>
    </row>
    <row r="6472" spans="1:4" x14ac:dyDescent="0.3">
      <c r="A6472" s="2" t="s">
        <v>202</v>
      </c>
      <c r="B6472" s="2" t="s">
        <v>203</v>
      </c>
      <c r="C6472" s="3">
        <v>1995</v>
      </c>
      <c r="D6472" s="4">
        <v>4752096</v>
      </c>
    </row>
    <row r="6473" spans="1:4" x14ac:dyDescent="0.3">
      <c r="A6473" s="5" t="s">
        <v>202</v>
      </c>
      <c r="B6473" s="5" t="s">
        <v>203</v>
      </c>
      <c r="C6473" s="6">
        <v>1996</v>
      </c>
      <c r="D6473" s="7">
        <v>4912516</v>
      </c>
    </row>
    <row r="6474" spans="1:4" x14ac:dyDescent="0.3">
      <c r="A6474" s="2" t="s">
        <v>202</v>
      </c>
      <c r="B6474" s="2" t="s">
        <v>203</v>
      </c>
      <c r="C6474" s="3">
        <v>1997</v>
      </c>
      <c r="D6474" s="4">
        <v>5046285</v>
      </c>
    </row>
    <row r="6475" spans="1:4" x14ac:dyDescent="0.3">
      <c r="A6475" s="5" t="s">
        <v>202</v>
      </c>
      <c r="B6475" s="5" t="s">
        <v>203</v>
      </c>
      <c r="C6475" s="6">
        <v>1998</v>
      </c>
      <c r="D6475" s="7">
        <v>5164284</v>
      </c>
    </row>
    <row r="6476" spans="1:4" x14ac:dyDescent="0.3">
      <c r="A6476" s="2" t="s">
        <v>202</v>
      </c>
      <c r="B6476" s="2" t="s">
        <v>203</v>
      </c>
      <c r="C6476" s="3">
        <v>1999</v>
      </c>
      <c r="D6476" s="4">
        <v>5276444</v>
      </c>
    </row>
    <row r="6477" spans="1:4" x14ac:dyDescent="0.3">
      <c r="A6477" s="5" t="s">
        <v>202</v>
      </c>
      <c r="B6477" s="5" t="s">
        <v>203</v>
      </c>
      <c r="C6477" s="6">
        <v>2000</v>
      </c>
      <c r="D6477" s="7">
        <v>5386945</v>
      </c>
    </row>
    <row r="6478" spans="1:4" x14ac:dyDescent="0.3">
      <c r="A6478" s="2" t="s">
        <v>202</v>
      </c>
      <c r="B6478" s="2" t="s">
        <v>203</v>
      </c>
      <c r="C6478" s="3">
        <v>2001</v>
      </c>
      <c r="D6478" s="4">
        <v>5498894</v>
      </c>
    </row>
    <row r="6479" spans="1:4" x14ac:dyDescent="0.3">
      <c r="A6479" s="5" t="s">
        <v>202</v>
      </c>
      <c r="B6479" s="5" t="s">
        <v>203</v>
      </c>
      <c r="C6479" s="6">
        <v>2002</v>
      </c>
      <c r="D6479" s="7">
        <v>5616066</v>
      </c>
    </row>
    <row r="6480" spans="1:4" x14ac:dyDescent="0.3">
      <c r="A6480" s="2" t="s">
        <v>202</v>
      </c>
      <c r="B6480" s="2" t="s">
        <v>203</v>
      </c>
      <c r="C6480" s="3">
        <v>2003</v>
      </c>
      <c r="D6480" s="4">
        <v>5741828</v>
      </c>
    </row>
    <row r="6481" spans="1:4" x14ac:dyDescent="0.3">
      <c r="A6481" s="5" t="s">
        <v>202</v>
      </c>
      <c r="B6481" s="5" t="s">
        <v>203</v>
      </c>
      <c r="C6481" s="6">
        <v>2004</v>
      </c>
      <c r="D6481" s="7">
        <v>5882061</v>
      </c>
    </row>
    <row r="6482" spans="1:4" x14ac:dyDescent="0.3">
      <c r="A6482" s="2" t="s">
        <v>202</v>
      </c>
      <c r="B6482" s="2" t="s">
        <v>203</v>
      </c>
      <c r="C6482" s="3">
        <v>2005</v>
      </c>
      <c r="D6482" s="4">
        <v>6029587</v>
      </c>
    </row>
    <row r="6483" spans="1:4" x14ac:dyDescent="0.3">
      <c r="A6483" s="5" t="s">
        <v>202</v>
      </c>
      <c r="B6483" s="5" t="s">
        <v>203</v>
      </c>
      <c r="C6483" s="6">
        <v>2006</v>
      </c>
      <c r="D6483" s="7">
        <v>6427371</v>
      </c>
    </row>
    <row r="6484" spans="1:4" x14ac:dyDescent="0.3">
      <c r="A6484" s="2" t="s">
        <v>202</v>
      </c>
      <c r="B6484" s="2" t="s">
        <v>203</v>
      </c>
      <c r="C6484" s="3">
        <v>2007</v>
      </c>
      <c r="D6484" s="4">
        <v>6827227</v>
      </c>
    </row>
    <row r="6485" spans="1:4" x14ac:dyDescent="0.3">
      <c r="A6485" s="5" t="s">
        <v>202</v>
      </c>
      <c r="B6485" s="5" t="s">
        <v>203</v>
      </c>
      <c r="C6485" s="6">
        <v>2008</v>
      </c>
      <c r="D6485" s="7">
        <v>6989866</v>
      </c>
    </row>
    <row r="6486" spans="1:4" x14ac:dyDescent="0.3">
      <c r="A6486" s="2" t="s">
        <v>202</v>
      </c>
      <c r="B6486" s="2" t="s">
        <v>203</v>
      </c>
      <c r="C6486" s="3">
        <v>2009</v>
      </c>
      <c r="D6486" s="4">
        <v>7141753</v>
      </c>
    </row>
    <row r="6487" spans="1:4" x14ac:dyDescent="0.3">
      <c r="A6487" s="5" t="s">
        <v>202</v>
      </c>
      <c r="B6487" s="5" t="s">
        <v>203</v>
      </c>
      <c r="C6487" s="6">
        <v>2010</v>
      </c>
      <c r="D6487" s="7">
        <v>7297043</v>
      </c>
    </row>
    <row r="6488" spans="1:4" x14ac:dyDescent="0.3">
      <c r="A6488" s="2" t="s">
        <v>202</v>
      </c>
      <c r="B6488" s="2" t="s">
        <v>203</v>
      </c>
      <c r="C6488" s="3">
        <v>2011</v>
      </c>
      <c r="D6488" s="4">
        <v>7480424</v>
      </c>
    </row>
    <row r="6489" spans="1:4" x14ac:dyDescent="0.3">
      <c r="A6489" s="5" t="s">
        <v>202</v>
      </c>
      <c r="B6489" s="5" t="s">
        <v>203</v>
      </c>
      <c r="C6489" s="6">
        <v>2012</v>
      </c>
      <c r="D6489" s="7">
        <v>7587127</v>
      </c>
    </row>
    <row r="6490" spans="1:4" x14ac:dyDescent="0.3">
      <c r="A6490" s="2" t="s">
        <v>202</v>
      </c>
      <c r="B6490" s="2" t="s">
        <v>203</v>
      </c>
      <c r="C6490" s="3">
        <v>2013</v>
      </c>
      <c r="D6490" s="4">
        <v>7991809</v>
      </c>
    </row>
    <row r="6491" spans="1:4" x14ac:dyDescent="0.3">
      <c r="A6491" s="5" t="s">
        <v>202</v>
      </c>
      <c r="B6491" s="5" t="s">
        <v>203</v>
      </c>
      <c r="C6491" s="6">
        <v>2014</v>
      </c>
      <c r="D6491" s="7">
        <v>8791710</v>
      </c>
    </row>
    <row r="6492" spans="1:4" x14ac:dyDescent="0.3">
      <c r="A6492" s="2" t="s">
        <v>202</v>
      </c>
      <c r="B6492" s="2" t="s">
        <v>203</v>
      </c>
      <c r="C6492" s="3">
        <v>2015</v>
      </c>
      <c r="D6492" s="4">
        <v>9544729</v>
      </c>
    </row>
    <row r="6493" spans="1:4" x14ac:dyDescent="0.3">
      <c r="A6493" s="5" t="s">
        <v>202</v>
      </c>
      <c r="B6493" s="5" t="s">
        <v>203</v>
      </c>
      <c r="C6493" s="6">
        <v>2016</v>
      </c>
      <c r="D6493" s="7">
        <v>10006367</v>
      </c>
    </row>
    <row r="6494" spans="1:4" x14ac:dyDescent="0.3">
      <c r="A6494" s="2" t="s">
        <v>202</v>
      </c>
      <c r="B6494" s="2" t="s">
        <v>203</v>
      </c>
      <c r="C6494" s="3">
        <v>2017</v>
      </c>
      <c r="D6494" s="4">
        <v>10234226</v>
      </c>
    </row>
    <row r="6495" spans="1:4" x14ac:dyDescent="0.3">
      <c r="A6495" s="5" t="s">
        <v>202</v>
      </c>
      <c r="B6495" s="5" t="s">
        <v>203</v>
      </c>
      <c r="C6495" s="6">
        <v>2018</v>
      </c>
      <c r="D6495" s="7">
        <v>10462306</v>
      </c>
    </row>
    <row r="6496" spans="1:4" x14ac:dyDescent="0.3">
      <c r="A6496" s="2" t="s">
        <v>202</v>
      </c>
      <c r="B6496" s="2" t="s">
        <v>203</v>
      </c>
      <c r="C6496" s="3">
        <v>2019</v>
      </c>
      <c r="D6496" s="4">
        <v>10671891</v>
      </c>
    </row>
    <row r="6497" spans="1:4" x14ac:dyDescent="0.3">
      <c r="A6497" s="5" t="s">
        <v>202</v>
      </c>
      <c r="B6497" s="5" t="s">
        <v>203</v>
      </c>
      <c r="C6497" s="6">
        <v>2020</v>
      </c>
      <c r="D6497" s="7">
        <v>10865228</v>
      </c>
    </row>
    <row r="6498" spans="1:4" x14ac:dyDescent="0.3">
      <c r="A6498" s="2" t="s">
        <v>202</v>
      </c>
      <c r="B6498" s="2" t="s">
        <v>203</v>
      </c>
      <c r="C6498" s="3">
        <v>2021</v>
      </c>
      <c r="D6498" s="4">
        <v>11066356</v>
      </c>
    </row>
    <row r="6499" spans="1:4" x14ac:dyDescent="0.3">
      <c r="A6499" s="5" t="s">
        <v>202</v>
      </c>
      <c r="B6499" s="5" t="s">
        <v>203</v>
      </c>
      <c r="C6499" s="6">
        <v>2022</v>
      </c>
      <c r="D6499" s="7">
        <v>11256263</v>
      </c>
    </row>
    <row r="6500" spans="1:4" x14ac:dyDescent="0.3">
      <c r="A6500" s="2" t="s">
        <v>202</v>
      </c>
      <c r="B6500" s="2" t="s">
        <v>203</v>
      </c>
      <c r="C6500" s="3">
        <v>2023</v>
      </c>
      <c r="D6500" s="4">
        <v>11439213</v>
      </c>
    </row>
    <row r="6501" spans="1:4" x14ac:dyDescent="0.3">
      <c r="A6501" s="5" t="s">
        <v>202</v>
      </c>
      <c r="B6501" s="5" t="s">
        <v>203</v>
      </c>
      <c r="C6501" s="6">
        <v>2024</v>
      </c>
      <c r="D6501" s="7">
        <v>11552876</v>
      </c>
    </row>
    <row r="6502" spans="1:4" x14ac:dyDescent="0.3">
      <c r="A6502" s="2" t="s">
        <v>204</v>
      </c>
      <c r="B6502" s="2" t="s">
        <v>205</v>
      </c>
      <c r="C6502" s="3">
        <v>1960</v>
      </c>
      <c r="D6502" s="4">
        <v>9429981</v>
      </c>
    </row>
    <row r="6503" spans="1:4" x14ac:dyDescent="0.3">
      <c r="A6503" s="5" t="s">
        <v>204</v>
      </c>
      <c r="B6503" s="5" t="s">
        <v>205</v>
      </c>
      <c r="C6503" s="6">
        <v>1961</v>
      </c>
      <c r="D6503" s="7">
        <v>9742085</v>
      </c>
    </row>
    <row r="6504" spans="1:4" x14ac:dyDescent="0.3">
      <c r="A6504" s="2" t="s">
        <v>204</v>
      </c>
      <c r="B6504" s="2" t="s">
        <v>205</v>
      </c>
      <c r="C6504" s="3">
        <v>1962</v>
      </c>
      <c r="D6504" s="4">
        <v>10058928</v>
      </c>
    </row>
    <row r="6505" spans="1:4" x14ac:dyDescent="0.3">
      <c r="A6505" s="5" t="s">
        <v>204</v>
      </c>
      <c r="B6505" s="5" t="s">
        <v>205</v>
      </c>
      <c r="C6505" s="6">
        <v>1963</v>
      </c>
      <c r="D6505" s="7">
        <v>10377466</v>
      </c>
    </row>
    <row r="6506" spans="1:4" x14ac:dyDescent="0.3">
      <c r="A6506" s="2" t="s">
        <v>204</v>
      </c>
      <c r="B6506" s="2" t="s">
        <v>205</v>
      </c>
      <c r="C6506" s="3">
        <v>1964</v>
      </c>
      <c r="D6506" s="4">
        <v>10690309</v>
      </c>
    </row>
    <row r="6507" spans="1:4" x14ac:dyDescent="0.3">
      <c r="A6507" s="5" t="s">
        <v>204</v>
      </c>
      <c r="B6507" s="5" t="s">
        <v>205</v>
      </c>
      <c r="C6507" s="6">
        <v>1965</v>
      </c>
      <c r="D6507" s="7">
        <v>10993183</v>
      </c>
    </row>
    <row r="6508" spans="1:4" x14ac:dyDescent="0.3">
      <c r="A6508" s="2" t="s">
        <v>204</v>
      </c>
      <c r="B6508" s="2" t="s">
        <v>205</v>
      </c>
      <c r="C6508" s="3">
        <v>1966</v>
      </c>
      <c r="D6508" s="4">
        <v>11288989</v>
      </c>
    </row>
    <row r="6509" spans="1:4" x14ac:dyDescent="0.3">
      <c r="A6509" s="5" t="s">
        <v>204</v>
      </c>
      <c r="B6509" s="5" t="s">
        <v>205</v>
      </c>
      <c r="C6509" s="6">
        <v>1967</v>
      </c>
      <c r="D6509" s="7">
        <v>11584428</v>
      </c>
    </row>
    <row r="6510" spans="1:4" x14ac:dyDescent="0.3">
      <c r="A6510" s="2" t="s">
        <v>204</v>
      </c>
      <c r="B6510" s="2" t="s">
        <v>205</v>
      </c>
      <c r="C6510" s="3">
        <v>1968</v>
      </c>
      <c r="D6510" s="4">
        <v>11879182</v>
      </c>
    </row>
    <row r="6511" spans="1:4" x14ac:dyDescent="0.3">
      <c r="A6511" s="5" t="s">
        <v>204</v>
      </c>
      <c r="B6511" s="5" t="s">
        <v>205</v>
      </c>
      <c r="C6511" s="6">
        <v>1969</v>
      </c>
      <c r="D6511" s="7">
        <v>12156212</v>
      </c>
    </row>
    <row r="6512" spans="1:4" x14ac:dyDescent="0.3">
      <c r="A6512" s="2" t="s">
        <v>204</v>
      </c>
      <c r="B6512" s="2" t="s">
        <v>205</v>
      </c>
      <c r="C6512" s="3">
        <v>1970</v>
      </c>
      <c r="D6512" s="4">
        <v>12419057</v>
      </c>
    </row>
    <row r="6513" spans="1:4" x14ac:dyDescent="0.3">
      <c r="A6513" s="5" t="s">
        <v>204</v>
      </c>
      <c r="B6513" s="5" t="s">
        <v>205</v>
      </c>
      <c r="C6513" s="6">
        <v>1971</v>
      </c>
      <c r="D6513" s="7">
        <v>12684813</v>
      </c>
    </row>
    <row r="6514" spans="1:4" x14ac:dyDescent="0.3">
      <c r="A6514" s="2" t="s">
        <v>204</v>
      </c>
      <c r="B6514" s="2" t="s">
        <v>205</v>
      </c>
      <c r="C6514" s="3">
        <v>1972</v>
      </c>
      <c r="D6514" s="4">
        <v>12951798</v>
      </c>
    </row>
    <row r="6515" spans="1:4" x14ac:dyDescent="0.3">
      <c r="A6515" s="5" t="s">
        <v>204</v>
      </c>
      <c r="B6515" s="5" t="s">
        <v>205</v>
      </c>
      <c r="C6515" s="6">
        <v>1973</v>
      </c>
      <c r="D6515" s="7">
        <v>13208121</v>
      </c>
    </row>
    <row r="6516" spans="1:4" x14ac:dyDescent="0.3">
      <c r="A6516" s="2" t="s">
        <v>204</v>
      </c>
      <c r="B6516" s="2" t="s">
        <v>205</v>
      </c>
      <c r="C6516" s="3">
        <v>1974</v>
      </c>
      <c r="D6516" s="4">
        <v>13454570</v>
      </c>
    </row>
    <row r="6517" spans="1:4" x14ac:dyDescent="0.3">
      <c r="A6517" s="5" t="s">
        <v>204</v>
      </c>
      <c r="B6517" s="5" t="s">
        <v>205</v>
      </c>
      <c r="C6517" s="6">
        <v>1975</v>
      </c>
      <c r="D6517" s="7">
        <v>13700843</v>
      </c>
    </row>
    <row r="6518" spans="1:4" x14ac:dyDescent="0.3">
      <c r="A6518" s="2" t="s">
        <v>204</v>
      </c>
      <c r="B6518" s="2" t="s">
        <v>205</v>
      </c>
      <c r="C6518" s="3">
        <v>1976</v>
      </c>
      <c r="D6518" s="4">
        <v>13998738</v>
      </c>
    </row>
    <row r="6519" spans="1:4" x14ac:dyDescent="0.3">
      <c r="A6519" s="5" t="s">
        <v>204</v>
      </c>
      <c r="B6519" s="5" t="s">
        <v>205</v>
      </c>
      <c r="C6519" s="6">
        <v>1977</v>
      </c>
      <c r="D6519" s="7">
        <v>14353265</v>
      </c>
    </row>
    <row r="6520" spans="1:4" x14ac:dyDescent="0.3">
      <c r="A6520" s="2" t="s">
        <v>204</v>
      </c>
      <c r="B6520" s="2" t="s">
        <v>205</v>
      </c>
      <c r="C6520" s="3">
        <v>1978</v>
      </c>
      <c r="D6520" s="4">
        <v>14711497</v>
      </c>
    </row>
    <row r="6521" spans="1:4" x14ac:dyDescent="0.3">
      <c r="A6521" s="5" t="s">
        <v>204</v>
      </c>
      <c r="B6521" s="5" t="s">
        <v>205</v>
      </c>
      <c r="C6521" s="6">
        <v>1979</v>
      </c>
      <c r="D6521" s="7">
        <v>14978696</v>
      </c>
    </row>
    <row r="6522" spans="1:4" x14ac:dyDescent="0.3">
      <c r="A6522" s="2" t="s">
        <v>204</v>
      </c>
      <c r="B6522" s="2" t="s">
        <v>205</v>
      </c>
      <c r="C6522" s="3">
        <v>1980</v>
      </c>
      <c r="D6522" s="4">
        <v>15152949</v>
      </c>
    </row>
    <row r="6523" spans="1:4" x14ac:dyDescent="0.3">
      <c r="A6523" s="5" t="s">
        <v>204</v>
      </c>
      <c r="B6523" s="5" t="s">
        <v>205</v>
      </c>
      <c r="C6523" s="6">
        <v>1981</v>
      </c>
      <c r="D6523" s="7">
        <v>15323082</v>
      </c>
    </row>
    <row r="6524" spans="1:4" x14ac:dyDescent="0.3">
      <c r="A6524" s="2" t="s">
        <v>204</v>
      </c>
      <c r="B6524" s="2" t="s">
        <v>205</v>
      </c>
      <c r="C6524" s="3">
        <v>1982</v>
      </c>
      <c r="D6524" s="4">
        <v>15492595</v>
      </c>
    </row>
    <row r="6525" spans="1:4" x14ac:dyDescent="0.3">
      <c r="A6525" s="5" t="s">
        <v>204</v>
      </c>
      <c r="B6525" s="5" t="s">
        <v>205</v>
      </c>
      <c r="C6525" s="6">
        <v>1983</v>
      </c>
      <c r="D6525" s="7">
        <v>15665551</v>
      </c>
    </row>
    <row r="6526" spans="1:4" x14ac:dyDescent="0.3">
      <c r="A6526" s="2" t="s">
        <v>204</v>
      </c>
      <c r="B6526" s="2" t="s">
        <v>205</v>
      </c>
      <c r="C6526" s="3">
        <v>1984</v>
      </c>
      <c r="D6526" s="4">
        <v>15844621</v>
      </c>
    </row>
    <row r="6527" spans="1:4" x14ac:dyDescent="0.3">
      <c r="A6527" s="5" t="s">
        <v>204</v>
      </c>
      <c r="B6527" s="5" t="s">
        <v>205</v>
      </c>
      <c r="C6527" s="6">
        <v>1985</v>
      </c>
      <c r="D6527" s="7">
        <v>16031090</v>
      </c>
    </row>
    <row r="6528" spans="1:4" x14ac:dyDescent="0.3">
      <c r="A6528" s="2" t="s">
        <v>204</v>
      </c>
      <c r="B6528" s="2" t="s">
        <v>205</v>
      </c>
      <c r="C6528" s="3">
        <v>1986</v>
      </c>
      <c r="D6528" s="4">
        <v>16262702</v>
      </c>
    </row>
    <row r="6529" spans="1:4" x14ac:dyDescent="0.3">
      <c r="A6529" s="5" t="s">
        <v>204</v>
      </c>
      <c r="B6529" s="5" t="s">
        <v>205</v>
      </c>
      <c r="C6529" s="6">
        <v>1987</v>
      </c>
      <c r="D6529" s="7">
        <v>16527715</v>
      </c>
    </row>
    <row r="6530" spans="1:4" x14ac:dyDescent="0.3">
      <c r="A6530" s="2" t="s">
        <v>204</v>
      </c>
      <c r="B6530" s="2" t="s">
        <v>205</v>
      </c>
      <c r="C6530" s="3">
        <v>1988</v>
      </c>
      <c r="D6530" s="4">
        <v>16781168</v>
      </c>
    </row>
    <row r="6531" spans="1:4" x14ac:dyDescent="0.3">
      <c r="A6531" s="5" t="s">
        <v>204</v>
      </c>
      <c r="B6531" s="5" t="s">
        <v>205</v>
      </c>
      <c r="C6531" s="6">
        <v>1989</v>
      </c>
      <c r="D6531" s="7">
        <v>16997013</v>
      </c>
    </row>
    <row r="6532" spans="1:4" x14ac:dyDescent="0.3">
      <c r="A6532" s="2" t="s">
        <v>204</v>
      </c>
      <c r="B6532" s="2" t="s">
        <v>205</v>
      </c>
      <c r="C6532" s="3">
        <v>1990</v>
      </c>
      <c r="D6532" s="4">
        <v>17154054</v>
      </c>
    </row>
    <row r="6533" spans="1:4" x14ac:dyDescent="0.3">
      <c r="A6533" s="5" t="s">
        <v>204</v>
      </c>
      <c r="B6533" s="5" t="s">
        <v>205</v>
      </c>
      <c r="C6533" s="6">
        <v>1991</v>
      </c>
      <c r="D6533" s="7">
        <v>17278600</v>
      </c>
    </row>
    <row r="6534" spans="1:4" x14ac:dyDescent="0.3">
      <c r="A6534" s="2" t="s">
        <v>204</v>
      </c>
      <c r="B6534" s="2" t="s">
        <v>205</v>
      </c>
      <c r="C6534" s="3">
        <v>1992</v>
      </c>
      <c r="D6534" s="4">
        <v>17332625</v>
      </c>
    </row>
    <row r="6535" spans="1:4" x14ac:dyDescent="0.3">
      <c r="A6535" s="5" t="s">
        <v>204</v>
      </c>
      <c r="B6535" s="5" t="s">
        <v>205</v>
      </c>
      <c r="C6535" s="6">
        <v>1993</v>
      </c>
      <c r="D6535" s="7">
        <v>17274487</v>
      </c>
    </row>
    <row r="6536" spans="1:4" x14ac:dyDescent="0.3">
      <c r="A6536" s="2" t="s">
        <v>204</v>
      </c>
      <c r="B6536" s="2" t="s">
        <v>205</v>
      </c>
      <c r="C6536" s="3">
        <v>1994</v>
      </c>
      <c r="D6536" s="4">
        <v>17043771</v>
      </c>
    </row>
    <row r="6537" spans="1:4" x14ac:dyDescent="0.3">
      <c r="A6537" s="5" t="s">
        <v>204</v>
      </c>
      <c r="B6537" s="5" t="s">
        <v>205</v>
      </c>
      <c r="C6537" s="6">
        <v>1995</v>
      </c>
      <c r="D6537" s="7">
        <v>16730536</v>
      </c>
    </row>
    <row r="6538" spans="1:4" x14ac:dyDescent="0.3">
      <c r="A6538" s="2" t="s">
        <v>204</v>
      </c>
      <c r="B6538" s="2" t="s">
        <v>205</v>
      </c>
      <c r="C6538" s="3">
        <v>1996</v>
      </c>
      <c r="D6538" s="4">
        <v>16416027</v>
      </c>
    </row>
    <row r="6539" spans="1:4" x14ac:dyDescent="0.3">
      <c r="A6539" s="5" t="s">
        <v>204</v>
      </c>
      <c r="B6539" s="5" t="s">
        <v>205</v>
      </c>
      <c r="C6539" s="6">
        <v>1997</v>
      </c>
      <c r="D6539" s="7">
        <v>16043251</v>
      </c>
    </row>
    <row r="6540" spans="1:4" x14ac:dyDescent="0.3">
      <c r="A6540" s="2" t="s">
        <v>204</v>
      </c>
      <c r="B6540" s="2" t="s">
        <v>205</v>
      </c>
      <c r="C6540" s="3">
        <v>1998</v>
      </c>
      <c r="D6540" s="4">
        <v>15647785</v>
      </c>
    </row>
    <row r="6541" spans="1:4" x14ac:dyDescent="0.3">
      <c r="A6541" s="5" t="s">
        <v>204</v>
      </c>
      <c r="B6541" s="5" t="s">
        <v>205</v>
      </c>
      <c r="C6541" s="6">
        <v>1999</v>
      </c>
      <c r="D6541" s="7">
        <v>15455874</v>
      </c>
    </row>
    <row r="6542" spans="1:4" x14ac:dyDescent="0.3">
      <c r="A6542" s="2" t="s">
        <v>204</v>
      </c>
      <c r="B6542" s="2" t="s">
        <v>205</v>
      </c>
      <c r="C6542" s="3">
        <v>2000</v>
      </c>
      <c r="D6542" s="4">
        <v>15501103</v>
      </c>
    </row>
    <row r="6543" spans="1:4" x14ac:dyDescent="0.3">
      <c r="A6543" s="5" t="s">
        <v>204</v>
      </c>
      <c r="B6543" s="5" t="s">
        <v>205</v>
      </c>
      <c r="C6543" s="6">
        <v>2001</v>
      </c>
      <c r="D6543" s="7">
        <v>15575550</v>
      </c>
    </row>
    <row r="6544" spans="1:4" x14ac:dyDescent="0.3">
      <c r="A6544" s="2" t="s">
        <v>204</v>
      </c>
      <c r="B6544" s="2" t="s">
        <v>205</v>
      </c>
      <c r="C6544" s="3">
        <v>2002</v>
      </c>
      <c r="D6544" s="4">
        <v>15656677</v>
      </c>
    </row>
    <row r="6545" spans="1:4" x14ac:dyDescent="0.3">
      <c r="A6545" s="5" t="s">
        <v>204</v>
      </c>
      <c r="B6545" s="5" t="s">
        <v>205</v>
      </c>
      <c r="C6545" s="6">
        <v>2003</v>
      </c>
      <c r="D6545" s="7">
        <v>15747380</v>
      </c>
    </row>
    <row r="6546" spans="1:4" x14ac:dyDescent="0.3">
      <c r="A6546" s="2" t="s">
        <v>204</v>
      </c>
      <c r="B6546" s="2" t="s">
        <v>205</v>
      </c>
      <c r="C6546" s="3">
        <v>2004</v>
      </c>
      <c r="D6546" s="4">
        <v>15850159</v>
      </c>
    </row>
    <row r="6547" spans="1:4" x14ac:dyDescent="0.3">
      <c r="A6547" s="5" t="s">
        <v>204</v>
      </c>
      <c r="B6547" s="5" t="s">
        <v>205</v>
      </c>
      <c r="C6547" s="6">
        <v>2005</v>
      </c>
      <c r="D6547" s="7">
        <v>15968117</v>
      </c>
    </row>
    <row r="6548" spans="1:4" x14ac:dyDescent="0.3">
      <c r="A6548" s="2" t="s">
        <v>204</v>
      </c>
      <c r="B6548" s="2" t="s">
        <v>205</v>
      </c>
      <c r="C6548" s="3">
        <v>2006</v>
      </c>
      <c r="D6548" s="4">
        <v>16103716</v>
      </c>
    </row>
    <row r="6549" spans="1:4" x14ac:dyDescent="0.3">
      <c r="A6549" s="5" t="s">
        <v>204</v>
      </c>
      <c r="B6549" s="5" t="s">
        <v>205</v>
      </c>
      <c r="C6549" s="6">
        <v>2007</v>
      </c>
      <c r="D6549" s="7">
        <v>16257214</v>
      </c>
    </row>
    <row r="6550" spans="1:4" x14ac:dyDescent="0.3">
      <c r="A6550" s="2" t="s">
        <v>204</v>
      </c>
      <c r="B6550" s="2" t="s">
        <v>205</v>
      </c>
      <c r="C6550" s="3">
        <v>2008</v>
      </c>
      <c r="D6550" s="4">
        <v>16426525</v>
      </c>
    </row>
    <row r="6551" spans="1:4" x14ac:dyDescent="0.3">
      <c r="A6551" s="5" t="s">
        <v>204</v>
      </c>
      <c r="B6551" s="5" t="s">
        <v>205</v>
      </c>
      <c r="C6551" s="6">
        <v>2009</v>
      </c>
      <c r="D6551" s="7">
        <v>16619846</v>
      </c>
    </row>
    <row r="6552" spans="1:4" x14ac:dyDescent="0.3">
      <c r="A6552" s="2" t="s">
        <v>204</v>
      </c>
      <c r="B6552" s="2" t="s">
        <v>205</v>
      </c>
      <c r="C6552" s="3">
        <v>2010</v>
      </c>
      <c r="D6552" s="4">
        <v>16836810</v>
      </c>
    </row>
    <row r="6553" spans="1:4" x14ac:dyDescent="0.3">
      <c r="A6553" s="5" t="s">
        <v>204</v>
      </c>
      <c r="B6553" s="5" t="s">
        <v>205</v>
      </c>
      <c r="C6553" s="6">
        <v>2011</v>
      </c>
      <c r="D6553" s="7">
        <v>17066002</v>
      </c>
    </row>
    <row r="6554" spans="1:4" x14ac:dyDescent="0.3">
      <c r="A6554" s="2" t="s">
        <v>204</v>
      </c>
      <c r="B6554" s="2" t="s">
        <v>205</v>
      </c>
      <c r="C6554" s="3">
        <v>2012</v>
      </c>
      <c r="D6554" s="4">
        <v>17306106</v>
      </c>
    </row>
    <row r="6555" spans="1:4" x14ac:dyDescent="0.3">
      <c r="A6555" s="5" t="s">
        <v>204</v>
      </c>
      <c r="B6555" s="5" t="s">
        <v>205</v>
      </c>
      <c r="C6555" s="6">
        <v>2013</v>
      </c>
      <c r="D6555" s="7">
        <v>17556502</v>
      </c>
    </row>
    <row r="6556" spans="1:4" x14ac:dyDescent="0.3">
      <c r="A6556" s="2" t="s">
        <v>204</v>
      </c>
      <c r="B6556" s="2" t="s">
        <v>205</v>
      </c>
      <c r="C6556" s="3">
        <v>2014</v>
      </c>
      <c r="D6556" s="4">
        <v>17816285</v>
      </c>
    </row>
    <row r="6557" spans="1:4" x14ac:dyDescent="0.3">
      <c r="A6557" s="5" t="s">
        <v>204</v>
      </c>
      <c r="B6557" s="5" t="s">
        <v>205</v>
      </c>
      <c r="C6557" s="6">
        <v>2015</v>
      </c>
      <c r="D6557" s="7">
        <v>18084169</v>
      </c>
    </row>
    <row r="6558" spans="1:4" x14ac:dyDescent="0.3">
      <c r="A6558" s="2" t="s">
        <v>204</v>
      </c>
      <c r="B6558" s="2" t="s">
        <v>205</v>
      </c>
      <c r="C6558" s="3">
        <v>2016</v>
      </c>
      <c r="D6558" s="4">
        <v>18363600</v>
      </c>
    </row>
    <row r="6559" spans="1:4" x14ac:dyDescent="0.3">
      <c r="A6559" s="5" t="s">
        <v>204</v>
      </c>
      <c r="B6559" s="5" t="s">
        <v>205</v>
      </c>
      <c r="C6559" s="6">
        <v>2017</v>
      </c>
      <c r="D6559" s="7">
        <v>18651931</v>
      </c>
    </row>
    <row r="6560" spans="1:4" x14ac:dyDescent="0.3">
      <c r="A6560" s="2" t="s">
        <v>204</v>
      </c>
      <c r="B6560" s="2" t="s">
        <v>205</v>
      </c>
      <c r="C6560" s="3">
        <v>2018</v>
      </c>
      <c r="D6560" s="4">
        <v>18932727</v>
      </c>
    </row>
    <row r="6561" spans="1:4" x14ac:dyDescent="0.3">
      <c r="A6561" s="5" t="s">
        <v>204</v>
      </c>
      <c r="B6561" s="5" t="s">
        <v>205</v>
      </c>
      <c r="C6561" s="6">
        <v>2019</v>
      </c>
      <c r="D6561" s="7">
        <v>19209555</v>
      </c>
    </row>
    <row r="6562" spans="1:4" x14ac:dyDescent="0.3">
      <c r="A6562" s="2" t="s">
        <v>204</v>
      </c>
      <c r="B6562" s="2" t="s">
        <v>205</v>
      </c>
      <c r="C6562" s="3">
        <v>2020</v>
      </c>
      <c r="D6562" s="4">
        <v>19482117</v>
      </c>
    </row>
    <row r="6563" spans="1:4" x14ac:dyDescent="0.3">
      <c r="A6563" s="5" t="s">
        <v>204</v>
      </c>
      <c r="B6563" s="5" t="s">
        <v>205</v>
      </c>
      <c r="C6563" s="6">
        <v>2021</v>
      </c>
      <c r="D6563" s="7">
        <v>19743603</v>
      </c>
    </row>
    <row r="6564" spans="1:4" x14ac:dyDescent="0.3">
      <c r="A6564" s="2" t="s">
        <v>204</v>
      </c>
      <c r="B6564" s="2" t="s">
        <v>205</v>
      </c>
      <c r="C6564" s="3">
        <v>2022</v>
      </c>
      <c r="D6564" s="4">
        <v>20034609</v>
      </c>
    </row>
    <row r="6565" spans="1:4" x14ac:dyDescent="0.3">
      <c r="A6565" s="5" t="s">
        <v>204</v>
      </c>
      <c r="B6565" s="5" t="s">
        <v>205</v>
      </c>
      <c r="C6565" s="6">
        <v>2023</v>
      </c>
      <c r="D6565" s="7">
        <v>20330104</v>
      </c>
    </row>
    <row r="6566" spans="1:4" x14ac:dyDescent="0.3">
      <c r="A6566" s="2" t="s">
        <v>204</v>
      </c>
      <c r="B6566" s="2" t="s">
        <v>205</v>
      </c>
      <c r="C6566" s="3">
        <v>2024</v>
      </c>
      <c r="D6566" s="4">
        <v>20592571</v>
      </c>
    </row>
    <row r="6567" spans="1:4" x14ac:dyDescent="0.3">
      <c r="A6567" s="5" t="s">
        <v>206</v>
      </c>
      <c r="B6567" s="5" t="s">
        <v>207</v>
      </c>
      <c r="C6567" s="6">
        <v>1960</v>
      </c>
      <c r="D6567" s="7">
        <v>7695307</v>
      </c>
    </row>
    <row r="6568" spans="1:4" x14ac:dyDescent="0.3">
      <c r="A6568" s="2" t="s">
        <v>206</v>
      </c>
      <c r="B6568" s="2" t="s">
        <v>207</v>
      </c>
      <c r="C6568" s="3">
        <v>1961</v>
      </c>
      <c r="D6568" s="4">
        <v>7987770</v>
      </c>
    </row>
    <row r="6569" spans="1:4" x14ac:dyDescent="0.3">
      <c r="A6569" s="5" t="s">
        <v>206</v>
      </c>
      <c r="B6569" s="5" t="s">
        <v>207</v>
      </c>
      <c r="C6569" s="6">
        <v>1962</v>
      </c>
      <c r="D6569" s="7">
        <v>8299308</v>
      </c>
    </row>
    <row r="6570" spans="1:4" x14ac:dyDescent="0.3">
      <c r="A6570" s="2" t="s">
        <v>206</v>
      </c>
      <c r="B6570" s="2" t="s">
        <v>207</v>
      </c>
      <c r="C6570" s="3">
        <v>1963</v>
      </c>
      <c r="D6570" s="4">
        <v>8627971</v>
      </c>
    </row>
    <row r="6571" spans="1:4" x14ac:dyDescent="0.3">
      <c r="A6571" s="5" t="s">
        <v>206</v>
      </c>
      <c r="B6571" s="5" t="s">
        <v>207</v>
      </c>
      <c r="C6571" s="6">
        <v>1964</v>
      </c>
      <c r="D6571" s="7">
        <v>8973535</v>
      </c>
    </row>
    <row r="6572" spans="1:4" x14ac:dyDescent="0.3">
      <c r="A6572" s="2" t="s">
        <v>206</v>
      </c>
      <c r="B6572" s="2" t="s">
        <v>207</v>
      </c>
      <c r="C6572" s="3">
        <v>1965</v>
      </c>
      <c r="D6572" s="4">
        <v>9338078</v>
      </c>
    </row>
    <row r="6573" spans="1:4" x14ac:dyDescent="0.3">
      <c r="A6573" s="5" t="s">
        <v>206</v>
      </c>
      <c r="B6573" s="5" t="s">
        <v>207</v>
      </c>
      <c r="C6573" s="6">
        <v>1966</v>
      </c>
      <c r="D6573" s="7">
        <v>9717816</v>
      </c>
    </row>
    <row r="6574" spans="1:4" x14ac:dyDescent="0.3">
      <c r="A6574" s="2" t="s">
        <v>206</v>
      </c>
      <c r="B6574" s="2" t="s">
        <v>207</v>
      </c>
      <c r="C6574" s="3">
        <v>1967</v>
      </c>
      <c r="D6574" s="4">
        <v>10111057</v>
      </c>
    </row>
    <row r="6575" spans="1:4" x14ac:dyDescent="0.3">
      <c r="A6575" s="5" t="s">
        <v>206</v>
      </c>
      <c r="B6575" s="5" t="s">
        <v>207</v>
      </c>
      <c r="C6575" s="6">
        <v>1968</v>
      </c>
      <c r="D6575" s="7">
        <v>10518823</v>
      </c>
    </row>
    <row r="6576" spans="1:4" x14ac:dyDescent="0.3">
      <c r="A6576" s="2" t="s">
        <v>206</v>
      </c>
      <c r="B6576" s="2" t="s">
        <v>207</v>
      </c>
      <c r="C6576" s="3">
        <v>1969</v>
      </c>
      <c r="D6576" s="4">
        <v>10939695</v>
      </c>
    </row>
    <row r="6577" spans="1:4" x14ac:dyDescent="0.3">
      <c r="A6577" s="5" t="s">
        <v>206</v>
      </c>
      <c r="B6577" s="5" t="s">
        <v>207</v>
      </c>
      <c r="C6577" s="6">
        <v>1970</v>
      </c>
      <c r="D6577" s="7">
        <v>11368791</v>
      </c>
    </row>
    <row r="6578" spans="1:4" x14ac:dyDescent="0.3">
      <c r="A6578" s="2" t="s">
        <v>206</v>
      </c>
      <c r="B6578" s="2" t="s">
        <v>207</v>
      </c>
      <c r="C6578" s="3">
        <v>1971</v>
      </c>
      <c r="D6578" s="4">
        <v>11788904</v>
      </c>
    </row>
    <row r="6579" spans="1:4" x14ac:dyDescent="0.3">
      <c r="A6579" s="5" t="s">
        <v>206</v>
      </c>
      <c r="B6579" s="5" t="s">
        <v>207</v>
      </c>
      <c r="C6579" s="6">
        <v>1972</v>
      </c>
      <c r="D6579" s="7">
        <v>12206060</v>
      </c>
    </row>
    <row r="6580" spans="1:4" x14ac:dyDescent="0.3">
      <c r="A6580" s="2" t="s">
        <v>206</v>
      </c>
      <c r="B6580" s="2" t="s">
        <v>207</v>
      </c>
      <c r="C6580" s="3">
        <v>1973</v>
      </c>
      <c r="D6580" s="4">
        <v>12634835</v>
      </c>
    </row>
    <row r="6581" spans="1:4" x14ac:dyDescent="0.3">
      <c r="A6581" s="5" t="s">
        <v>206</v>
      </c>
      <c r="B6581" s="5" t="s">
        <v>207</v>
      </c>
      <c r="C6581" s="6">
        <v>1974</v>
      </c>
      <c r="D6581" s="7">
        <v>13070078</v>
      </c>
    </row>
    <row r="6582" spans="1:4" x14ac:dyDescent="0.3">
      <c r="A6582" s="2" t="s">
        <v>206</v>
      </c>
      <c r="B6582" s="2" t="s">
        <v>207</v>
      </c>
      <c r="C6582" s="3">
        <v>1975</v>
      </c>
      <c r="D6582" s="4">
        <v>13511671</v>
      </c>
    </row>
    <row r="6583" spans="1:4" x14ac:dyDescent="0.3">
      <c r="A6583" s="5" t="s">
        <v>206</v>
      </c>
      <c r="B6583" s="5" t="s">
        <v>207</v>
      </c>
      <c r="C6583" s="6">
        <v>1976</v>
      </c>
      <c r="D6583" s="7">
        <v>13957623</v>
      </c>
    </row>
    <row r="6584" spans="1:4" x14ac:dyDescent="0.3">
      <c r="A6584" s="2" t="s">
        <v>206</v>
      </c>
      <c r="B6584" s="2" t="s">
        <v>207</v>
      </c>
      <c r="C6584" s="3">
        <v>1977</v>
      </c>
      <c r="D6584" s="4">
        <v>14428819</v>
      </c>
    </row>
    <row r="6585" spans="1:4" x14ac:dyDescent="0.3">
      <c r="A6585" s="5" t="s">
        <v>206</v>
      </c>
      <c r="B6585" s="5" t="s">
        <v>207</v>
      </c>
      <c r="C6585" s="6">
        <v>1978</v>
      </c>
      <c r="D6585" s="7">
        <v>14934126</v>
      </c>
    </row>
    <row r="6586" spans="1:4" x14ac:dyDescent="0.3">
      <c r="A6586" s="2" t="s">
        <v>206</v>
      </c>
      <c r="B6586" s="2" t="s">
        <v>207</v>
      </c>
      <c r="C6586" s="3">
        <v>1979</v>
      </c>
      <c r="D6586" s="4">
        <v>15460666</v>
      </c>
    </row>
    <row r="6587" spans="1:4" x14ac:dyDescent="0.3">
      <c r="A6587" s="5" t="s">
        <v>206</v>
      </c>
      <c r="B6587" s="5" t="s">
        <v>207</v>
      </c>
      <c r="C6587" s="6">
        <v>1980</v>
      </c>
      <c r="D6587" s="7">
        <v>16018459</v>
      </c>
    </row>
    <row r="6588" spans="1:4" x14ac:dyDescent="0.3">
      <c r="A6588" s="2" t="s">
        <v>206</v>
      </c>
      <c r="B6588" s="2" t="s">
        <v>207</v>
      </c>
      <c r="C6588" s="3">
        <v>1981</v>
      </c>
      <c r="D6588" s="4">
        <v>16601507</v>
      </c>
    </row>
    <row r="6589" spans="1:4" x14ac:dyDescent="0.3">
      <c r="A6589" s="5" t="s">
        <v>206</v>
      </c>
      <c r="B6589" s="5" t="s">
        <v>207</v>
      </c>
      <c r="C6589" s="6">
        <v>1982</v>
      </c>
      <c r="D6589" s="7">
        <v>17206175</v>
      </c>
    </row>
    <row r="6590" spans="1:4" x14ac:dyDescent="0.3">
      <c r="A6590" s="2" t="s">
        <v>206</v>
      </c>
      <c r="B6590" s="2" t="s">
        <v>207</v>
      </c>
      <c r="C6590" s="3">
        <v>1983</v>
      </c>
      <c r="D6590" s="4">
        <v>17846374</v>
      </c>
    </row>
    <row r="6591" spans="1:4" x14ac:dyDescent="0.3">
      <c r="A6591" s="5" t="s">
        <v>206</v>
      </c>
      <c r="B6591" s="5" t="s">
        <v>207</v>
      </c>
      <c r="C6591" s="6">
        <v>1984</v>
      </c>
      <c r="D6591" s="7">
        <v>18514906</v>
      </c>
    </row>
    <row r="6592" spans="1:4" x14ac:dyDescent="0.3">
      <c r="A6592" s="2" t="s">
        <v>206</v>
      </c>
      <c r="B6592" s="2" t="s">
        <v>207</v>
      </c>
      <c r="C6592" s="3">
        <v>1985</v>
      </c>
      <c r="D6592" s="4">
        <v>19201768</v>
      </c>
    </row>
    <row r="6593" spans="1:4" x14ac:dyDescent="0.3">
      <c r="A6593" s="5" t="s">
        <v>206</v>
      </c>
      <c r="B6593" s="5" t="s">
        <v>207</v>
      </c>
      <c r="C6593" s="6">
        <v>1986</v>
      </c>
      <c r="D6593" s="7">
        <v>19901646</v>
      </c>
    </row>
    <row r="6594" spans="1:4" x14ac:dyDescent="0.3">
      <c r="A6594" s="2" t="s">
        <v>206</v>
      </c>
      <c r="B6594" s="2" t="s">
        <v>207</v>
      </c>
      <c r="C6594" s="3">
        <v>1987</v>
      </c>
      <c r="D6594" s="4">
        <v>20616096</v>
      </c>
    </row>
    <row r="6595" spans="1:4" x14ac:dyDescent="0.3">
      <c r="A6595" s="5" t="s">
        <v>206</v>
      </c>
      <c r="B6595" s="5" t="s">
        <v>207</v>
      </c>
      <c r="C6595" s="6">
        <v>1988</v>
      </c>
      <c r="D6595" s="7">
        <v>21356219</v>
      </c>
    </row>
    <row r="6596" spans="1:4" x14ac:dyDescent="0.3">
      <c r="A6596" s="2" t="s">
        <v>206</v>
      </c>
      <c r="B6596" s="2" t="s">
        <v>207</v>
      </c>
      <c r="C6596" s="3">
        <v>1989</v>
      </c>
      <c r="D6596" s="4">
        <v>22118434</v>
      </c>
    </row>
    <row r="6597" spans="1:4" x14ac:dyDescent="0.3">
      <c r="A6597" s="5" t="s">
        <v>206</v>
      </c>
      <c r="B6597" s="5" t="s">
        <v>207</v>
      </c>
      <c r="C6597" s="6">
        <v>1990</v>
      </c>
      <c r="D6597" s="7">
        <v>22892651</v>
      </c>
    </row>
    <row r="6598" spans="1:4" x14ac:dyDescent="0.3">
      <c r="A6598" s="2" t="s">
        <v>206</v>
      </c>
      <c r="B6598" s="2" t="s">
        <v>207</v>
      </c>
      <c r="C6598" s="3">
        <v>1991</v>
      </c>
      <c r="D6598" s="4">
        <v>23646514</v>
      </c>
    </row>
    <row r="6599" spans="1:4" x14ac:dyDescent="0.3">
      <c r="A6599" s="5" t="s">
        <v>206</v>
      </c>
      <c r="B6599" s="5" t="s">
        <v>207</v>
      </c>
      <c r="C6599" s="6">
        <v>1992</v>
      </c>
      <c r="D6599" s="7">
        <v>24382460</v>
      </c>
    </row>
    <row r="6600" spans="1:4" x14ac:dyDescent="0.3">
      <c r="A6600" s="2" t="s">
        <v>206</v>
      </c>
      <c r="B6600" s="2" t="s">
        <v>207</v>
      </c>
      <c r="C6600" s="3">
        <v>1993</v>
      </c>
      <c r="D6600" s="4">
        <v>25117188</v>
      </c>
    </row>
    <row r="6601" spans="1:4" x14ac:dyDescent="0.3">
      <c r="A6601" s="5" t="s">
        <v>206</v>
      </c>
      <c r="B6601" s="5" t="s">
        <v>207</v>
      </c>
      <c r="C6601" s="6">
        <v>1994</v>
      </c>
      <c r="D6601" s="7">
        <v>25857130</v>
      </c>
    </row>
    <row r="6602" spans="1:4" x14ac:dyDescent="0.3">
      <c r="A6602" s="2" t="s">
        <v>206</v>
      </c>
      <c r="B6602" s="2" t="s">
        <v>207</v>
      </c>
      <c r="C6602" s="3">
        <v>1995</v>
      </c>
      <c r="D6602" s="4">
        <v>26601751</v>
      </c>
    </row>
    <row r="6603" spans="1:4" x14ac:dyDescent="0.3">
      <c r="A6603" s="5" t="s">
        <v>206</v>
      </c>
      <c r="B6603" s="5" t="s">
        <v>207</v>
      </c>
      <c r="C6603" s="6">
        <v>1996</v>
      </c>
      <c r="D6603" s="7">
        <v>27344211</v>
      </c>
    </row>
    <row r="6604" spans="1:4" x14ac:dyDescent="0.3">
      <c r="A6604" s="2" t="s">
        <v>206</v>
      </c>
      <c r="B6604" s="2" t="s">
        <v>207</v>
      </c>
      <c r="C6604" s="3">
        <v>1997</v>
      </c>
      <c r="D6604" s="4">
        <v>28101768</v>
      </c>
    </row>
    <row r="6605" spans="1:4" x14ac:dyDescent="0.3">
      <c r="A6605" s="5" t="s">
        <v>206</v>
      </c>
      <c r="B6605" s="5" t="s">
        <v>207</v>
      </c>
      <c r="C6605" s="6">
        <v>1998</v>
      </c>
      <c r="D6605" s="7">
        <v>28888057</v>
      </c>
    </row>
    <row r="6606" spans="1:4" x14ac:dyDescent="0.3">
      <c r="A6606" s="2" t="s">
        <v>206</v>
      </c>
      <c r="B6606" s="2" t="s">
        <v>207</v>
      </c>
      <c r="C6606" s="3">
        <v>1999</v>
      </c>
      <c r="D6606" s="4">
        <v>29733408</v>
      </c>
    </row>
    <row r="6607" spans="1:4" x14ac:dyDescent="0.3">
      <c r="A6607" s="5" t="s">
        <v>206</v>
      </c>
      <c r="B6607" s="5" t="s">
        <v>207</v>
      </c>
      <c r="C6607" s="6">
        <v>2000</v>
      </c>
      <c r="D6607" s="7">
        <v>30642890</v>
      </c>
    </row>
    <row r="6608" spans="1:4" x14ac:dyDescent="0.3">
      <c r="A6608" s="2" t="s">
        <v>206</v>
      </c>
      <c r="B6608" s="2" t="s">
        <v>207</v>
      </c>
      <c r="C6608" s="3">
        <v>2001</v>
      </c>
      <c r="D6608" s="4">
        <v>31619170</v>
      </c>
    </row>
    <row r="6609" spans="1:4" x14ac:dyDescent="0.3">
      <c r="A6609" s="5" t="s">
        <v>206</v>
      </c>
      <c r="B6609" s="5" t="s">
        <v>207</v>
      </c>
      <c r="C6609" s="6">
        <v>2002</v>
      </c>
      <c r="D6609" s="7">
        <v>32629808</v>
      </c>
    </row>
    <row r="6610" spans="1:4" x14ac:dyDescent="0.3">
      <c r="A6610" s="2" t="s">
        <v>206</v>
      </c>
      <c r="B6610" s="2" t="s">
        <v>207</v>
      </c>
      <c r="C6610" s="3">
        <v>2003</v>
      </c>
      <c r="D6610" s="4">
        <v>33652223</v>
      </c>
    </row>
    <row r="6611" spans="1:4" x14ac:dyDescent="0.3">
      <c r="A6611" s="5" t="s">
        <v>206</v>
      </c>
      <c r="B6611" s="5" t="s">
        <v>207</v>
      </c>
      <c r="C6611" s="6">
        <v>2004</v>
      </c>
      <c r="D6611" s="7">
        <v>34713455</v>
      </c>
    </row>
    <row r="6612" spans="1:4" x14ac:dyDescent="0.3">
      <c r="A6612" s="2" t="s">
        <v>206</v>
      </c>
      <c r="B6612" s="2" t="s">
        <v>207</v>
      </c>
      <c r="C6612" s="3">
        <v>2005</v>
      </c>
      <c r="D6612" s="4">
        <v>35796484</v>
      </c>
    </row>
    <row r="6613" spans="1:4" x14ac:dyDescent="0.3">
      <c r="A6613" s="5" t="s">
        <v>206</v>
      </c>
      <c r="B6613" s="5" t="s">
        <v>207</v>
      </c>
      <c r="C6613" s="6">
        <v>2006</v>
      </c>
      <c r="D6613" s="7">
        <v>36904008</v>
      </c>
    </row>
    <row r="6614" spans="1:4" x14ac:dyDescent="0.3">
      <c r="A6614" s="2" t="s">
        <v>206</v>
      </c>
      <c r="B6614" s="2" t="s">
        <v>207</v>
      </c>
      <c r="C6614" s="3">
        <v>2007</v>
      </c>
      <c r="D6614" s="4">
        <v>38036349</v>
      </c>
    </row>
    <row r="6615" spans="1:4" x14ac:dyDescent="0.3">
      <c r="A6615" s="5" t="s">
        <v>206</v>
      </c>
      <c r="B6615" s="5" t="s">
        <v>207</v>
      </c>
      <c r="C6615" s="6">
        <v>2008</v>
      </c>
      <c r="D6615" s="7">
        <v>39206351</v>
      </c>
    </row>
    <row r="6616" spans="1:4" x14ac:dyDescent="0.3">
      <c r="A6616" s="2" t="s">
        <v>206</v>
      </c>
      <c r="B6616" s="2" t="s">
        <v>207</v>
      </c>
      <c r="C6616" s="3">
        <v>2009</v>
      </c>
      <c r="D6616" s="4">
        <v>40408891</v>
      </c>
    </row>
    <row r="6617" spans="1:4" x14ac:dyDescent="0.3">
      <c r="A6617" s="5" t="s">
        <v>206</v>
      </c>
      <c r="B6617" s="5" t="s">
        <v>207</v>
      </c>
      <c r="C6617" s="6">
        <v>2010</v>
      </c>
      <c r="D6617" s="7">
        <v>41598567</v>
      </c>
    </row>
    <row r="6618" spans="1:4" x14ac:dyDescent="0.3">
      <c r="A6618" s="2" t="s">
        <v>206</v>
      </c>
      <c r="B6618" s="2" t="s">
        <v>207</v>
      </c>
      <c r="C6618" s="3">
        <v>2011</v>
      </c>
      <c r="D6618" s="4">
        <v>42758461</v>
      </c>
    </row>
    <row r="6619" spans="1:4" x14ac:dyDescent="0.3">
      <c r="A6619" s="5" t="s">
        <v>206</v>
      </c>
      <c r="B6619" s="5" t="s">
        <v>207</v>
      </c>
      <c r="C6619" s="6">
        <v>2012</v>
      </c>
      <c r="D6619" s="7">
        <v>43888303</v>
      </c>
    </row>
    <row r="6620" spans="1:4" x14ac:dyDescent="0.3">
      <c r="A6620" s="2" t="s">
        <v>206</v>
      </c>
      <c r="B6620" s="2" t="s">
        <v>207</v>
      </c>
      <c r="C6620" s="3">
        <v>2013</v>
      </c>
      <c r="D6620" s="4">
        <v>44986791</v>
      </c>
    </row>
    <row r="6621" spans="1:4" x14ac:dyDescent="0.3">
      <c r="A6621" s="5" t="s">
        <v>206</v>
      </c>
      <c r="B6621" s="5" t="s">
        <v>207</v>
      </c>
      <c r="C6621" s="6">
        <v>2014</v>
      </c>
      <c r="D6621" s="7">
        <v>46051440</v>
      </c>
    </row>
    <row r="6622" spans="1:4" x14ac:dyDescent="0.3">
      <c r="A6622" s="2" t="s">
        <v>206</v>
      </c>
      <c r="B6622" s="2" t="s">
        <v>207</v>
      </c>
      <c r="C6622" s="3">
        <v>2015</v>
      </c>
      <c r="D6622" s="4">
        <v>47088526</v>
      </c>
    </row>
    <row r="6623" spans="1:4" x14ac:dyDescent="0.3">
      <c r="A6623" s="5" t="s">
        <v>206</v>
      </c>
      <c r="B6623" s="5" t="s">
        <v>207</v>
      </c>
      <c r="C6623" s="6">
        <v>2016</v>
      </c>
      <c r="D6623" s="7">
        <v>48139687</v>
      </c>
    </row>
    <row r="6624" spans="1:4" x14ac:dyDescent="0.3">
      <c r="A6624" s="2" t="s">
        <v>206</v>
      </c>
      <c r="B6624" s="2" t="s">
        <v>207</v>
      </c>
      <c r="C6624" s="3">
        <v>2017</v>
      </c>
      <c r="D6624" s="4">
        <v>49197766</v>
      </c>
    </row>
    <row r="6625" spans="1:4" x14ac:dyDescent="0.3">
      <c r="A6625" s="5" t="s">
        <v>206</v>
      </c>
      <c r="B6625" s="5" t="s">
        <v>207</v>
      </c>
      <c r="C6625" s="6">
        <v>2018</v>
      </c>
      <c r="D6625" s="7">
        <v>50207107</v>
      </c>
    </row>
    <row r="6626" spans="1:4" x14ac:dyDescent="0.3">
      <c r="A6626" s="2" t="s">
        <v>206</v>
      </c>
      <c r="B6626" s="2" t="s">
        <v>207</v>
      </c>
      <c r="C6626" s="3">
        <v>2019</v>
      </c>
      <c r="D6626" s="4">
        <v>51202827</v>
      </c>
    </row>
    <row r="6627" spans="1:4" x14ac:dyDescent="0.3">
      <c r="A6627" s="5" t="s">
        <v>206</v>
      </c>
      <c r="B6627" s="5" t="s">
        <v>207</v>
      </c>
      <c r="C6627" s="6">
        <v>2020</v>
      </c>
      <c r="D6627" s="7">
        <v>52217334</v>
      </c>
    </row>
    <row r="6628" spans="1:4" x14ac:dyDescent="0.3">
      <c r="A6628" s="2" t="s">
        <v>206</v>
      </c>
      <c r="B6628" s="2" t="s">
        <v>207</v>
      </c>
      <c r="C6628" s="3">
        <v>2021</v>
      </c>
      <c r="D6628" s="4">
        <v>53219166</v>
      </c>
    </row>
    <row r="6629" spans="1:4" x14ac:dyDescent="0.3">
      <c r="A6629" s="5" t="s">
        <v>206</v>
      </c>
      <c r="B6629" s="5" t="s">
        <v>207</v>
      </c>
      <c r="C6629" s="6">
        <v>2022</v>
      </c>
      <c r="D6629" s="7">
        <v>54252461</v>
      </c>
    </row>
    <row r="6630" spans="1:4" x14ac:dyDescent="0.3">
      <c r="A6630" s="2" t="s">
        <v>206</v>
      </c>
      <c r="B6630" s="2" t="s">
        <v>207</v>
      </c>
      <c r="C6630" s="3">
        <v>2023</v>
      </c>
      <c r="D6630" s="4">
        <v>55339003</v>
      </c>
    </row>
    <row r="6631" spans="1:4" x14ac:dyDescent="0.3">
      <c r="A6631" s="5" t="s">
        <v>206</v>
      </c>
      <c r="B6631" s="5" t="s">
        <v>207</v>
      </c>
      <c r="C6631" s="6">
        <v>2024</v>
      </c>
      <c r="D6631" s="7">
        <v>56432944</v>
      </c>
    </row>
    <row r="6632" spans="1:4" x14ac:dyDescent="0.3">
      <c r="A6632" s="2" t="s">
        <v>208</v>
      </c>
      <c r="B6632" s="2" t="s">
        <v>209</v>
      </c>
      <c r="C6632" s="3">
        <v>1960</v>
      </c>
      <c r="D6632" s="4">
        <v>47157</v>
      </c>
    </row>
    <row r="6633" spans="1:4" x14ac:dyDescent="0.3">
      <c r="A6633" s="5" t="s">
        <v>208</v>
      </c>
      <c r="B6633" s="5" t="s">
        <v>209</v>
      </c>
      <c r="C6633" s="6">
        <v>1961</v>
      </c>
      <c r="D6633" s="7">
        <v>48323</v>
      </c>
    </row>
    <row r="6634" spans="1:4" x14ac:dyDescent="0.3">
      <c r="A6634" s="2" t="s">
        <v>208</v>
      </c>
      <c r="B6634" s="2" t="s">
        <v>209</v>
      </c>
      <c r="C6634" s="3">
        <v>1962</v>
      </c>
      <c r="D6634" s="4">
        <v>49538</v>
      </c>
    </row>
    <row r="6635" spans="1:4" x14ac:dyDescent="0.3">
      <c r="A6635" s="5" t="s">
        <v>208</v>
      </c>
      <c r="B6635" s="5" t="s">
        <v>209</v>
      </c>
      <c r="C6635" s="6">
        <v>1963</v>
      </c>
      <c r="D6635" s="7">
        <v>50791</v>
      </c>
    </row>
    <row r="6636" spans="1:4" x14ac:dyDescent="0.3">
      <c r="A6636" s="2" t="s">
        <v>208</v>
      </c>
      <c r="B6636" s="2" t="s">
        <v>209</v>
      </c>
      <c r="C6636" s="3">
        <v>1964</v>
      </c>
      <c r="D6636" s="4">
        <v>52088</v>
      </c>
    </row>
    <row r="6637" spans="1:4" x14ac:dyDescent="0.3">
      <c r="A6637" s="5" t="s">
        <v>208</v>
      </c>
      <c r="B6637" s="5" t="s">
        <v>209</v>
      </c>
      <c r="C6637" s="6">
        <v>1965</v>
      </c>
      <c r="D6637" s="7">
        <v>53439</v>
      </c>
    </row>
    <row r="6638" spans="1:4" x14ac:dyDescent="0.3">
      <c r="A6638" s="2" t="s">
        <v>208</v>
      </c>
      <c r="B6638" s="2" t="s">
        <v>209</v>
      </c>
      <c r="C6638" s="3">
        <v>1966</v>
      </c>
      <c r="D6638" s="4">
        <v>54425</v>
      </c>
    </row>
    <row r="6639" spans="1:4" x14ac:dyDescent="0.3">
      <c r="A6639" s="5" t="s">
        <v>208</v>
      </c>
      <c r="B6639" s="5" t="s">
        <v>209</v>
      </c>
      <c r="C6639" s="6">
        <v>1967</v>
      </c>
      <c r="D6639" s="7">
        <v>54996</v>
      </c>
    </row>
    <row r="6640" spans="1:4" x14ac:dyDescent="0.3">
      <c r="A6640" s="2" t="s">
        <v>208</v>
      </c>
      <c r="B6640" s="2" t="s">
        <v>209</v>
      </c>
      <c r="C6640" s="3">
        <v>1968</v>
      </c>
      <c r="D6640" s="4">
        <v>55529</v>
      </c>
    </row>
    <row r="6641" spans="1:4" x14ac:dyDescent="0.3">
      <c r="A6641" s="5" t="s">
        <v>208</v>
      </c>
      <c r="B6641" s="5" t="s">
        <v>209</v>
      </c>
      <c r="C6641" s="6">
        <v>1969</v>
      </c>
      <c r="D6641" s="7">
        <v>56360</v>
      </c>
    </row>
    <row r="6642" spans="1:4" x14ac:dyDescent="0.3">
      <c r="A6642" s="2" t="s">
        <v>208</v>
      </c>
      <c r="B6642" s="2" t="s">
        <v>209</v>
      </c>
      <c r="C6642" s="3">
        <v>1970</v>
      </c>
      <c r="D6642" s="4">
        <v>57510</v>
      </c>
    </row>
    <row r="6643" spans="1:4" x14ac:dyDescent="0.3">
      <c r="A6643" s="5" t="s">
        <v>208</v>
      </c>
      <c r="B6643" s="5" t="s">
        <v>209</v>
      </c>
      <c r="C6643" s="6">
        <v>1971</v>
      </c>
      <c r="D6643" s="7">
        <v>58652</v>
      </c>
    </row>
    <row r="6644" spans="1:4" x14ac:dyDescent="0.3">
      <c r="A6644" s="2" t="s">
        <v>208</v>
      </c>
      <c r="B6644" s="2" t="s">
        <v>209</v>
      </c>
      <c r="C6644" s="3">
        <v>1972</v>
      </c>
      <c r="D6644" s="4">
        <v>59778</v>
      </c>
    </row>
    <row r="6645" spans="1:4" x14ac:dyDescent="0.3">
      <c r="A6645" s="5" t="s">
        <v>208</v>
      </c>
      <c r="B6645" s="5" t="s">
        <v>209</v>
      </c>
      <c r="C6645" s="6">
        <v>1973</v>
      </c>
      <c r="D6645" s="7">
        <v>60824</v>
      </c>
    </row>
    <row r="6646" spans="1:4" x14ac:dyDescent="0.3">
      <c r="A6646" s="2" t="s">
        <v>208</v>
      </c>
      <c r="B6646" s="2" t="s">
        <v>209</v>
      </c>
      <c r="C6646" s="3">
        <v>1974</v>
      </c>
      <c r="D6646" s="4">
        <v>61219</v>
      </c>
    </row>
    <row r="6647" spans="1:4" x14ac:dyDescent="0.3">
      <c r="A6647" s="5" t="s">
        <v>208</v>
      </c>
      <c r="B6647" s="5" t="s">
        <v>209</v>
      </c>
      <c r="C6647" s="6">
        <v>1975</v>
      </c>
      <c r="D6647" s="7">
        <v>60987</v>
      </c>
    </row>
    <row r="6648" spans="1:4" x14ac:dyDescent="0.3">
      <c r="A6648" s="2" t="s">
        <v>208</v>
      </c>
      <c r="B6648" s="2" t="s">
        <v>209</v>
      </c>
      <c r="C6648" s="3">
        <v>1976</v>
      </c>
      <c r="D6648" s="4">
        <v>60661</v>
      </c>
    </row>
    <row r="6649" spans="1:4" x14ac:dyDescent="0.3">
      <c r="A6649" s="5" t="s">
        <v>208</v>
      </c>
      <c r="B6649" s="5" t="s">
        <v>209</v>
      </c>
      <c r="C6649" s="6">
        <v>1977</v>
      </c>
      <c r="D6649" s="7">
        <v>60267</v>
      </c>
    </row>
    <row r="6650" spans="1:4" x14ac:dyDescent="0.3">
      <c r="A6650" s="2" t="s">
        <v>208</v>
      </c>
      <c r="B6650" s="2" t="s">
        <v>209</v>
      </c>
      <c r="C6650" s="3">
        <v>1978</v>
      </c>
      <c r="D6650" s="4">
        <v>59864</v>
      </c>
    </row>
    <row r="6651" spans="1:4" x14ac:dyDescent="0.3">
      <c r="A6651" s="5" t="s">
        <v>208</v>
      </c>
      <c r="B6651" s="5" t="s">
        <v>209</v>
      </c>
      <c r="C6651" s="6">
        <v>1979</v>
      </c>
      <c r="D6651" s="7">
        <v>60172</v>
      </c>
    </row>
    <row r="6652" spans="1:4" x14ac:dyDescent="0.3">
      <c r="A6652" s="2" t="s">
        <v>208</v>
      </c>
      <c r="B6652" s="2" t="s">
        <v>209</v>
      </c>
      <c r="C6652" s="3">
        <v>1980</v>
      </c>
      <c r="D6652" s="4">
        <v>61148</v>
      </c>
    </row>
    <row r="6653" spans="1:4" x14ac:dyDescent="0.3">
      <c r="A6653" s="5" t="s">
        <v>208</v>
      </c>
      <c r="B6653" s="5" t="s">
        <v>209</v>
      </c>
      <c r="C6653" s="6">
        <v>1981</v>
      </c>
      <c r="D6653" s="7">
        <v>62121</v>
      </c>
    </row>
    <row r="6654" spans="1:4" x14ac:dyDescent="0.3">
      <c r="A6654" s="2" t="s">
        <v>208</v>
      </c>
      <c r="B6654" s="2" t="s">
        <v>209</v>
      </c>
      <c r="C6654" s="3">
        <v>1982</v>
      </c>
      <c r="D6654" s="4">
        <v>63134</v>
      </c>
    </row>
    <row r="6655" spans="1:4" x14ac:dyDescent="0.3">
      <c r="A6655" s="5" t="s">
        <v>208</v>
      </c>
      <c r="B6655" s="5" t="s">
        <v>209</v>
      </c>
      <c r="C6655" s="6">
        <v>1983</v>
      </c>
      <c r="D6655" s="7">
        <v>64169</v>
      </c>
    </row>
    <row r="6656" spans="1:4" x14ac:dyDescent="0.3">
      <c r="A6656" s="2" t="s">
        <v>208</v>
      </c>
      <c r="B6656" s="2" t="s">
        <v>209</v>
      </c>
      <c r="C6656" s="3">
        <v>1984</v>
      </c>
      <c r="D6656" s="4">
        <v>65228</v>
      </c>
    </row>
    <row r="6657" spans="1:4" x14ac:dyDescent="0.3">
      <c r="A6657" s="5" t="s">
        <v>208</v>
      </c>
      <c r="B6657" s="5" t="s">
        <v>209</v>
      </c>
      <c r="C6657" s="6">
        <v>1985</v>
      </c>
      <c r="D6657" s="7">
        <v>66496</v>
      </c>
    </row>
    <row r="6658" spans="1:4" x14ac:dyDescent="0.3">
      <c r="A6658" s="2" t="s">
        <v>208</v>
      </c>
      <c r="B6658" s="2" t="s">
        <v>209</v>
      </c>
      <c r="C6658" s="3">
        <v>1986</v>
      </c>
      <c r="D6658" s="4">
        <v>68059</v>
      </c>
    </row>
    <row r="6659" spans="1:4" x14ac:dyDescent="0.3">
      <c r="A6659" s="5" t="s">
        <v>208</v>
      </c>
      <c r="B6659" s="5" t="s">
        <v>209</v>
      </c>
      <c r="C6659" s="6">
        <v>1987</v>
      </c>
      <c r="D6659" s="7">
        <v>69733</v>
      </c>
    </row>
    <row r="6660" spans="1:4" x14ac:dyDescent="0.3">
      <c r="A6660" s="2" t="s">
        <v>208</v>
      </c>
      <c r="B6660" s="2" t="s">
        <v>209</v>
      </c>
      <c r="C6660" s="3">
        <v>1988</v>
      </c>
      <c r="D6660" s="4">
        <v>71427</v>
      </c>
    </row>
    <row r="6661" spans="1:4" x14ac:dyDescent="0.3">
      <c r="A6661" s="5" t="s">
        <v>208</v>
      </c>
      <c r="B6661" s="5" t="s">
        <v>209</v>
      </c>
      <c r="C6661" s="6">
        <v>1989</v>
      </c>
      <c r="D6661" s="7">
        <v>73147</v>
      </c>
    </row>
    <row r="6662" spans="1:4" x14ac:dyDescent="0.3">
      <c r="A6662" s="2" t="s">
        <v>208</v>
      </c>
      <c r="B6662" s="2" t="s">
        <v>209</v>
      </c>
      <c r="C6662" s="3">
        <v>1990</v>
      </c>
      <c r="D6662" s="4">
        <v>74855</v>
      </c>
    </row>
    <row r="6663" spans="1:4" x14ac:dyDescent="0.3">
      <c r="A6663" s="5" t="s">
        <v>208</v>
      </c>
      <c r="B6663" s="5" t="s">
        <v>209</v>
      </c>
      <c r="C6663" s="6">
        <v>1991</v>
      </c>
      <c r="D6663" s="7">
        <v>76367</v>
      </c>
    </row>
    <row r="6664" spans="1:4" x14ac:dyDescent="0.3">
      <c r="A6664" s="2" t="s">
        <v>208</v>
      </c>
      <c r="B6664" s="2" t="s">
        <v>209</v>
      </c>
      <c r="C6664" s="3">
        <v>1992</v>
      </c>
      <c r="D6664" s="4">
        <v>77641</v>
      </c>
    </row>
    <row r="6665" spans="1:4" x14ac:dyDescent="0.3">
      <c r="A6665" s="5" t="s">
        <v>208</v>
      </c>
      <c r="B6665" s="5" t="s">
        <v>209</v>
      </c>
      <c r="C6665" s="6">
        <v>1993</v>
      </c>
      <c r="D6665" s="7">
        <v>78841</v>
      </c>
    </row>
    <row r="6666" spans="1:4" x14ac:dyDescent="0.3">
      <c r="A6666" s="2" t="s">
        <v>208</v>
      </c>
      <c r="B6666" s="2" t="s">
        <v>209</v>
      </c>
      <c r="C6666" s="3">
        <v>1994</v>
      </c>
      <c r="D6666" s="4">
        <v>80021</v>
      </c>
    </row>
    <row r="6667" spans="1:4" x14ac:dyDescent="0.3">
      <c r="A6667" s="5" t="s">
        <v>208</v>
      </c>
      <c r="B6667" s="5" t="s">
        <v>209</v>
      </c>
      <c r="C6667" s="6">
        <v>1995</v>
      </c>
      <c r="D6667" s="7">
        <v>81234</v>
      </c>
    </row>
    <row r="6668" spans="1:4" x14ac:dyDescent="0.3">
      <c r="A6668" s="2" t="s">
        <v>208</v>
      </c>
      <c r="B6668" s="2" t="s">
        <v>209</v>
      </c>
      <c r="C6668" s="3">
        <v>1996</v>
      </c>
      <c r="D6668" s="4">
        <v>82623</v>
      </c>
    </row>
    <row r="6669" spans="1:4" x14ac:dyDescent="0.3">
      <c r="A6669" s="5" t="s">
        <v>208</v>
      </c>
      <c r="B6669" s="5" t="s">
        <v>209</v>
      </c>
      <c r="C6669" s="6">
        <v>1997</v>
      </c>
      <c r="D6669" s="7">
        <v>84147</v>
      </c>
    </row>
    <row r="6670" spans="1:4" x14ac:dyDescent="0.3">
      <c r="A6670" s="2" t="s">
        <v>208</v>
      </c>
      <c r="B6670" s="2" t="s">
        <v>209</v>
      </c>
      <c r="C6670" s="3">
        <v>1998</v>
      </c>
      <c r="D6670" s="4">
        <v>85657</v>
      </c>
    </row>
    <row r="6671" spans="1:4" x14ac:dyDescent="0.3">
      <c r="A6671" s="5" t="s">
        <v>208</v>
      </c>
      <c r="B6671" s="5" t="s">
        <v>209</v>
      </c>
      <c r="C6671" s="6">
        <v>1999</v>
      </c>
      <c r="D6671" s="7">
        <v>87126</v>
      </c>
    </row>
    <row r="6672" spans="1:4" x14ac:dyDescent="0.3">
      <c r="A6672" s="2" t="s">
        <v>208</v>
      </c>
      <c r="B6672" s="2" t="s">
        <v>209</v>
      </c>
      <c r="C6672" s="3">
        <v>2000</v>
      </c>
      <c r="D6672" s="4">
        <v>88613</v>
      </c>
    </row>
    <row r="6673" spans="1:4" x14ac:dyDescent="0.3">
      <c r="A6673" s="5" t="s">
        <v>208</v>
      </c>
      <c r="B6673" s="5" t="s">
        <v>209</v>
      </c>
      <c r="C6673" s="6">
        <v>2001</v>
      </c>
      <c r="D6673" s="7">
        <v>90335</v>
      </c>
    </row>
    <row r="6674" spans="1:4" x14ac:dyDescent="0.3">
      <c r="A6674" s="2" t="s">
        <v>208</v>
      </c>
      <c r="B6674" s="2" t="s">
        <v>209</v>
      </c>
      <c r="C6674" s="3">
        <v>2002</v>
      </c>
      <c r="D6674" s="4">
        <v>92264</v>
      </c>
    </row>
    <row r="6675" spans="1:4" x14ac:dyDescent="0.3">
      <c r="A6675" s="5" t="s">
        <v>208</v>
      </c>
      <c r="B6675" s="5" t="s">
        <v>209</v>
      </c>
      <c r="C6675" s="6">
        <v>2003</v>
      </c>
      <c r="D6675" s="7">
        <v>94175</v>
      </c>
    </row>
    <row r="6676" spans="1:4" x14ac:dyDescent="0.3">
      <c r="A6676" s="2" t="s">
        <v>208</v>
      </c>
      <c r="B6676" s="2" t="s">
        <v>209</v>
      </c>
      <c r="C6676" s="3">
        <v>2004</v>
      </c>
      <c r="D6676" s="4">
        <v>96085</v>
      </c>
    </row>
    <row r="6677" spans="1:4" x14ac:dyDescent="0.3">
      <c r="A6677" s="5" t="s">
        <v>208</v>
      </c>
      <c r="B6677" s="5" t="s">
        <v>209</v>
      </c>
      <c r="C6677" s="6">
        <v>2005</v>
      </c>
      <c r="D6677" s="7">
        <v>98035</v>
      </c>
    </row>
    <row r="6678" spans="1:4" x14ac:dyDescent="0.3">
      <c r="A6678" s="2" t="s">
        <v>208</v>
      </c>
      <c r="B6678" s="2" t="s">
        <v>209</v>
      </c>
      <c r="C6678" s="3">
        <v>2006</v>
      </c>
      <c r="D6678" s="4">
        <v>100017</v>
      </c>
    </row>
    <row r="6679" spans="1:4" x14ac:dyDescent="0.3">
      <c r="A6679" s="5" t="s">
        <v>208</v>
      </c>
      <c r="B6679" s="5" t="s">
        <v>209</v>
      </c>
      <c r="C6679" s="6">
        <v>2007</v>
      </c>
      <c r="D6679" s="7">
        <v>102068</v>
      </c>
    </row>
    <row r="6680" spans="1:4" x14ac:dyDescent="0.3">
      <c r="A6680" s="2" t="s">
        <v>208</v>
      </c>
      <c r="B6680" s="2" t="s">
        <v>209</v>
      </c>
      <c r="C6680" s="3">
        <v>2008</v>
      </c>
      <c r="D6680" s="4">
        <v>104222</v>
      </c>
    </row>
    <row r="6681" spans="1:4" x14ac:dyDescent="0.3">
      <c r="A6681" s="5" t="s">
        <v>208</v>
      </c>
      <c r="B6681" s="5" t="s">
        <v>209</v>
      </c>
      <c r="C6681" s="6">
        <v>2009</v>
      </c>
      <c r="D6681" s="7">
        <v>106467</v>
      </c>
    </row>
    <row r="6682" spans="1:4" x14ac:dyDescent="0.3">
      <c r="A6682" s="2" t="s">
        <v>208</v>
      </c>
      <c r="B6682" s="2" t="s">
        <v>209</v>
      </c>
      <c r="C6682" s="3">
        <v>2010</v>
      </c>
      <c r="D6682" s="4">
        <v>108704</v>
      </c>
    </row>
    <row r="6683" spans="1:4" x14ac:dyDescent="0.3">
      <c r="A6683" s="5" t="s">
        <v>208</v>
      </c>
      <c r="B6683" s="5" t="s">
        <v>209</v>
      </c>
      <c r="C6683" s="6">
        <v>2011</v>
      </c>
      <c r="D6683" s="7">
        <v>110647</v>
      </c>
    </row>
    <row r="6684" spans="1:4" x14ac:dyDescent="0.3">
      <c r="A6684" s="2" t="s">
        <v>208</v>
      </c>
      <c r="B6684" s="2" t="s">
        <v>209</v>
      </c>
      <c r="C6684" s="3">
        <v>2012</v>
      </c>
      <c r="D6684" s="4">
        <v>112284</v>
      </c>
    </row>
    <row r="6685" spans="1:4" x14ac:dyDescent="0.3">
      <c r="A6685" s="5" t="s">
        <v>208</v>
      </c>
      <c r="B6685" s="5" t="s">
        <v>209</v>
      </c>
      <c r="C6685" s="6">
        <v>2013</v>
      </c>
      <c r="D6685" s="7">
        <v>113838</v>
      </c>
    </row>
    <row r="6686" spans="1:4" x14ac:dyDescent="0.3">
      <c r="A6686" s="2" t="s">
        <v>208</v>
      </c>
      <c r="B6686" s="2" t="s">
        <v>209</v>
      </c>
      <c r="C6686" s="3">
        <v>2014</v>
      </c>
      <c r="D6686" s="4">
        <v>115326</v>
      </c>
    </row>
    <row r="6687" spans="1:4" x14ac:dyDescent="0.3">
      <c r="A6687" s="5" t="s">
        <v>208</v>
      </c>
      <c r="B6687" s="5" t="s">
        <v>209</v>
      </c>
      <c r="C6687" s="6">
        <v>2015</v>
      </c>
      <c r="D6687" s="7">
        <v>116815</v>
      </c>
    </row>
    <row r="6688" spans="1:4" x14ac:dyDescent="0.3">
      <c r="A6688" s="2" t="s">
        <v>208</v>
      </c>
      <c r="B6688" s="2" t="s">
        <v>209</v>
      </c>
      <c r="C6688" s="3">
        <v>2016</v>
      </c>
      <c r="D6688" s="4">
        <v>118478</v>
      </c>
    </row>
    <row r="6689" spans="1:4" x14ac:dyDescent="0.3">
      <c r="A6689" s="5" t="s">
        <v>208</v>
      </c>
      <c r="B6689" s="5" t="s">
        <v>209</v>
      </c>
      <c r="C6689" s="6">
        <v>2017</v>
      </c>
      <c r="D6689" s="7">
        <v>120275</v>
      </c>
    </row>
    <row r="6690" spans="1:4" x14ac:dyDescent="0.3">
      <c r="A6690" s="2" t="s">
        <v>208</v>
      </c>
      <c r="B6690" s="2" t="s">
        <v>209</v>
      </c>
      <c r="C6690" s="3">
        <v>2018</v>
      </c>
      <c r="D6690" s="4">
        <v>122084</v>
      </c>
    </row>
    <row r="6691" spans="1:4" x14ac:dyDescent="0.3">
      <c r="A6691" s="5" t="s">
        <v>208</v>
      </c>
      <c r="B6691" s="5" t="s">
        <v>209</v>
      </c>
      <c r="C6691" s="6">
        <v>2019</v>
      </c>
      <c r="D6691" s="7">
        <v>123921</v>
      </c>
    </row>
    <row r="6692" spans="1:4" x14ac:dyDescent="0.3">
      <c r="A6692" s="2" t="s">
        <v>208</v>
      </c>
      <c r="B6692" s="2" t="s">
        <v>209</v>
      </c>
      <c r="C6692" s="3">
        <v>2020</v>
      </c>
      <c r="D6692" s="4">
        <v>126099</v>
      </c>
    </row>
    <row r="6693" spans="1:4" x14ac:dyDescent="0.3">
      <c r="A6693" s="5" t="s">
        <v>208</v>
      </c>
      <c r="B6693" s="5" t="s">
        <v>209</v>
      </c>
      <c r="C6693" s="6">
        <v>2021</v>
      </c>
      <c r="D6693" s="7">
        <v>128377</v>
      </c>
    </row>
    <row r="6694" spans="1:4" x14ac:dyDescent="0.3">
      <c r="A6694" s="2" t="s">
        <v>208</v>
      </c>
      <c r="B6694" s="2" t="s">
        <v>209</v>
      </c>
      <c r="C6694" s="3">
        <v>2022</v>
      </c>
      <c r="D6694" s="4">
        <v>130469</v>
      </c>
    </row>
    <row r="6695" spans="1:4" x14ac:dyDescent="0.3">
      <c r="A6695" s="5" t="s">
        <v>208</v>
      </c>
      <c r="B6695" s="5" t="s">
        <v>209</v>
      </c>
      <c r="C6695" s="6">
        <v>2023</v>
      </c>
      <c r="D6695" s="7">
        <v>132530</v>
      </c>
    </row>
    <row r="6696" spans="1:4" x14ac:dyDescent="0.3">
      <c r="A6696" s="2" t="s">
        <v>208</v>
      </c>
      <c r="B6696" s="2" t="s">
        <v>209</v>
      </c>
      <c r="C6696" s="3">
        <v>2024</v>
      </c>
      <c r="D6696" s="4">
        <v>134518</v>
      </c>
    </row>
    <row r="6697" spans="1:4" x14ac:dyDescent="0.3">
      <c r="A6697" s="5" t="s">
        <v>210</v>
      </c>
      <c r="B6697" s="5" t="s">
        <v>211</v>
      </c>
      <c r="C6697" s="6">
        <v>1960</v>
      </c>
      <c r="D6697" s="7">
        <v>11722953</v>
      </c>
    </row>
    <row r="6698" spans="1:4" x14ac:dyDescent="0.3">
      <c r="A6698" s="2" t="s">
        <v>210</v>
      </c>
      <c r="B6698" s="2" t="s">
        <v>211</v>
      </c>
      <c r="C6698" s="3">
        <v>1961</v>
      </c>
      <c r="D6698" s="4">
        <v>11990713</v>
      </c>
    </row>
    <row r="6699" spans="1:4" x14ac:dyDescent="0.3">
      <c r="A6699" s="5" t="s">
        <v>210</v>
      </c>
      <c r="B6699" s="5" t="s">
        <v>211</v>
      </c>
      <c r="C6699" s="6">
        <v>1962</v>
      </c>
      <c r="D6699" s="7">
        <v>12262882</v>
      </c>
    </row>
    <row r="6700" spans="1:4" x14ac:dyDescent="0.3">
      <c r="A6700" s="2" t="s">
        <v>210</v>
      </c>
      <c r="B6700" s="2" t="s">
        <v>211</v>
      </c>
      <c r="C6700" s="3">
        <v>1963</v>
      </c>
      <c r="D6700" s="4">
        <v>12567057</v>
      </c>
    </row>
    <row r="6701" spans="1:4" x14ac:dyDescent="0.3">
      <c r="A6701" s="5" t="s">
        <v>210</v>
      </c>
      <c r="B6701" s="5" t="s">
        <v>211</v>
      </c>
      <c r="C6701" s="6">
        <v>1964</v>
      </c>
      <c r="D6701" s="7">
        <v>12889770</v>
      </c>
    </row>
    <row r="6702" spans="1:4" x14ac:dyDescent="0.3">
      <c r="A6702" s="2" t="s">
        <v>210</v>
      </c>
      <c r="B6702" s="2" t="s">
        <v>211</v>
      </c>
      <c r="C6702" s="3">
        <v>1965</v>
      </c>
      <c r="D6702" s="4">
        <v>13219369</v>
      </c>
    </row>
    <row r="6703" spans="1:4" x14ac:dyDescent="0.3">
      <c r="A6703" s="5" t="s">
        <v>210</v>
      </c>
      <c r="B6703" s="5" t="s">
        <v>211</v>
      </c>
      <c r="C6703" s="6">
        <v>1966</v>
      </c>
      <c r="D6703" s="7">
        <v>13569094</v>
      </c>
    </row>
    <row r="6704" spans="1:4" x14ac:dyDescent="0.3">
      <c r="A6704" s="2" t="s">
        <v>210</v>
      </c>
      <c r="B6704" s="2" t="s">
        <v>211</v>
      </c>
      <c r="C6704" s="3">
        <v>1967</v>
      </c>
      <c r="D6704" s="4">
        <v>13958350</v>
      </c>
    </row>
    <row r="6705" spans="1:4" x14ac:dyDescent="0.3">
      <c r="A6705" s="5" t="s">
        <v>210</v>
      </c>
      <c r="B6705" s="5" t="s">
        <v>211</v>
      </c>
      <c r="C6705" s="6">
        <v>1968</v>
      </c>
      <c r="D6705" s="7">
        <v>14365596</v>
      </c>
    </row>
    <row r="6706" spans="1:4" x14ac:dyDescent="0.3">
      <c r="A6706" s="2" t="s">
        <v>210</v>
      </c>
      <c r="B6706" s="2" t="s">
        <v>211</v>
      </c>
      <c r="C6706" s="3">
        <v>1969</v>
      </c>
      <c r="D6706" s="4">
        <v>14767615</v>
      </c>
    </row>
    <row r="6707" spans="1:4" x14ac:dyDescent="0.3">
      <c r="A6707" s="5" t="s">
        <v>210</v>
      </c>
      <c r="B6707" s="5" t="s">
        <v>211</v>
      </c>
      <c r="C6707" s="6">
        <v>1970</v>
      </c>
      <c r="D6707" s="7">
        <v>15172775</v>
      </c>
    </row>
    <row r="6708" spans="1:4" x14ac:dyDescent="0.3">
      <c r="A6708" s="2" t="s">
        <v>210</v>
      </c>
      <c r="B6708" s="2" t="s">
        <v>211</v>
      </c>
      <c r="C6708" s="3">
        <v>1971</v>
      </c>
      <c r="D6708" s="4">
        <v>15572457</v>
      </c>
    </row>
    <row r="6709" spans="1:4" x14ac:dyDescent="0.3">
      <c r="A6709" s="5" t="s">
        <v>210</v>
      </c>
      <c r="B6709" s="5" t="s">
        <v>211</v>
      </c>
      <c r="C6709" s="6">
        <v>1972</v>
      </c>
      <c r="D6709" s="7">
        <v>15975069</v>
      </c>
    </row>
    <row r="6710" spans="1:4" x14ac:dyDescent="0.3">
      <c r="A6710" s="2" t="s">
        <v>210</v>
      </c>
      <c r="B6710" s="2" t="s">
        <v>211</v>
      </c>
      <c r="C6710" s="3">
        <v>1973</v>
      </c>
      <c r="D6710" s="4">
        <v>16350367</v>
      </c>
    </row>
    <row r="6711" spans="1:4" x14ac:dyDescent="0.3">
      <c r="A6711" s="5" t="s">
        <v>210</v>
      </c>
      <c r="B6711" s="5" t="s">
        <v>211</v>
      </c>
      <c r="C6711" s="6">
        <v>1974</v>
      </c>
      <c r="D6711" s="7">
        <v>16673121</v>
      </c>
    </row>
    <row r="6712" spans="1:4" x14ac:dyDescent="0.3">
      <c r="A6712" s="2" t="s">
        <v>210</v>
      </c>
      <c r="B6712" s="2" t="s">
        <v>211</v>
      </c>
      <c r="C6712" s="3">
        <v>1975</v>
      </c>
      <c r="D6712" s="4">
        <v>16971055</v>
      </c>
    </row>
    <row r="6713" spans="1:4" x14ac:dyDescent="0.3">
      <c r="A6713" s="5" t="s">
        <v>210</v>
      </c>
      <c r="B6713" s="5" t="s">
        <v>211</v>
      </c>
      <c r="C6713" s="6">
        <v>1976</v>
      </c>
      <c r="D6713" s="7">
        <v>17243450</v>
      </c>
    </row>
    <row r="6714" spans="1:4" x14ac:dyDescent="0.3">
      <c r="A6714" s="2" t="s">
        <v>210</v>
      </c>
      <c r="B6714" s="2" t="s">
        <v>211</v>
      </c>
      <c r="C6714" s="3">
        <v>1977</v>
      </c>
      <c r="D6714" s="4">
        <v>17492798</v>
      </c>
    </row>
    <row r="6715" spans="1:4" x14ac:dyDescent="0.3">
      <c r="A6715" s="5" t="s">
        <v>210</v>
      </c>
      <c r="B6715" s="5" t="s">
        <v>211</v>
      </c>
      <c r="C6715" s="6">
        <v>1978</v>
      </c>
      <c r="D6715" s="7">
        <v>17735995</v>
      </c>
    </row>
    <row r="6716" spans="1:4" x14ac:dyDescent="0.3">
      <c r="A6716" s="2" t="s">
        <v>210</v>
      </c>
      <c r="B6716" s="2" t="s">
        <v>211</v>
      </c>
      <c r="C6716" s="3">
        <v>1979</v>
      </c>
      <c r="D6716" s="4">
        <v>17983470</v>
      </c>
    </row>
    <row r="6717" spans="1:4" x14ac:dyDescent="0.3">
      <c r="A6717" s="5" t="s">
        <v>210</v>
      </c>
      <c r="B6717" s="5" t="s">
        <v>211</v>
      </c>
      <c r="C6717" s="6">
        <v>1980</v>
      </c>
      <c r="D6717" s="7">
        <v>18236786</v>
      </c>
    </row>
    <row r="6718" spans="1:4" x14ac:dyDescent="0.3">
      <c r="A6718" s="2" t="s">
        <v>210</v>
      </c>
      <c r="B6718" s="2" t="s">
        <v>211</v>
      </c>
      <c r="C6718" s="3">
        <v>1981</v>
      </c>
      <c r="D6718" s="4">
        <v>18501295</v>
      </c>
    </row>
    <row r="6719" spans="1:4" x14ac:dyDescent="0.3">
      <c r="A6719" s="5" t="s">
        <v>210</v>
      </c>
      <c r="B6719" s="5" t="s">
        <v>211</v>
      </c>
      <c r="C6719" s="6">
        <v>1982</v>
      </c>
      <c r="D6719" s="7">
        <v>18776357</v>
      </c>
    </row>
    <row r="6720" spans="1:4" x14ac:dyDescent="0.3">
      <c r="A6720" s="2" t="s">
        <v>210</v>
      </c>
      <c r="B6720" s="2" t="s">
        <v>211</v>
      </c>
      <c r="C6720" s="3">
        <v>1983</v>
      </c>
      <c r="D6720" s="4">
        <v>19054034</v>
      </c>
    </row>
    <row r="6721" spans="1:4" x14ac:dyDescent="0.3">
      <c r="A6721" s="5" t="s">
        <v>210</v>
      </c>
      <c r="B6721" s="5" t="s">
        <v>211</v>
      </c>
      <c r="C6721" s="6">
        <v>1984</v>
      </c>
      <c r="D6721" s="7">
        <v>19335043</v>
      </c>
    </row>
    <row r="6722" spans="1:4" x14ac:dyDescent="0.3">
      <c r="A6722" s="2" t="s">
        <v>210</v>
      </c>
      <c r="B6722" s="2" t="s">
        <v>211</v>
      </c>
      <c r="C6722" s="3">
        <v>1985</v>
      </c>
      <c r="D6722" s="4">
        <v>19620388</v>
      </c>
    </row>
    <row r="6723" spans="1:4" x14ac:dyDescent="0.3">
      <c r="A6723" s="5" t="s">
        <v>210</v>
      </c>
      <c r="B6723" s="5" t="s">
        <v>211</v>
      </c>
      <c r="C6723" s="6">
        <v>1986</v>
      </c>
      <c r="D6723" s="7">
        <v>19910855</v>
      </c>
    </row>
    <row r="6724" spans="1:4" x14ac:dyDescent="0.3">
      <c r="A6724" s="2" t="s">
        <v>210</v>
      </c>
      <c r="B6724" s="2" t="s">
        <v>211</v>
      </c>
      <c r="C6724" s="3">
        <v>1987</v>
      </c>
      <c r="D6724" s="4">
        <v>20205483</v>
      </c>
    </row>
    <row r="6725" spans="1:4" x14ac:dyDescent="0.3">
      <c r="A6725" s="5" t="s">
        <v>210</v>
      </c>
      <c r="B6725" s="5" t="s">
        <v>211</v>
      </c>
      <c r="C6725" s="6">
        <v>1988</v>
      </c>
      <c r="D6725" s="7">
        <v>20503161</v>
      </c>
    </row>
    <row r="6726" spans="1:4" x14ac:dyDescent="0.3">
      <c r="A6726" s="2" t="s">
        <v>210</v>
      </c>
      <c r="B6726" s="2" t="s">
        <v>211</v>
      </c>
      <c r="C6726" s="3">
        <v>1989</v>
      </c>
      <c r="D6726" s="4">
        <v>20804367</v>
      </c>
    </row>
    <row r="6727" spans="1:4" x14ac:dyDescent="0.3">
      <c r="A6727" s="5" t="s">
        <v>210</v>
      </c>
      <c r="B6727" s="5" t="s">
        <v>211</v>
      </c>
      <c r="C6727" s="6">
        <v>1990</v>
      </c>
      <c r="D6727" s="7">
        <v>21112137</v>
      </c>
    </row>
    <row r="6728" spans="1:4" x14ac:dyDescent="0.3">
      <c r="A6728" s="2" t="s">
        <v>210</v>
      </c>
      <c r="B6728" s="2" t="s">
        <v>211</v>
      </c>
      <c r="C6728" s="3">
        <v>1991</v>
      </c>
      <c r="D6728" s="4">
        <v>21428638</v>
      </c>
    </row>
    <row r="6729" spans="1:4" x14ac:dyDescent="0.3">
      <c r="A6729" s="5" t="s">
        <v>210</v>
      </c>
      <c r="B6729" s="5" t="s">
        <v>211</v>
      </c>
      <c r="C6729" s="6">
        <v>1992</v>
      </c>
      <c r="D6729" s="7">
        <v>21750911</v>
      </c>
    </row>
    <row r="6730" spans="1:4" x14ac:dyDescent="0.3">
      <c r="A6730" s="2" t="s">
        <v>210</v>
      </c>
      <c r="B6730" s="2" t="s">
        <v>211</v>
      </c>
      <c r="C6730" s="3">
        <v>1993</v>
      </c>
      <c r="D6730" s="4">
        <v>22073352</v>
      </c>
    </row>
    <row r="6731" spans="1:4" x14ac:dyDescent="0.3">
      <c r="A6731" s="5" t="s">
        <v>210</v>
      </c>
      <c r="B6731" s="5" t="s">
        <v>211</v>
      </c>
      <c r="C6731" s="6">
        <v>1994</v>
      </c>
      <c r="D6731" s="7">
        <v>22393975</v>
      </c>
    </row>
    <row r="6732" spans="1:4" x14ac:dyDescent="0.3">
      <c r="A6732" s="2" t="s">
        <v>210</v>
      </c>
      <c r="B6732" s="2" t="s">
        <v>211</v>
      </c>
      <c r="C6732" s="3">
        <v>1995</v>
      </c>
      <c r="D6732" s="4">
        <v>22669304</v>
      </c>
    </row>
    <row r="6733" spans="1:4" x14ac:dyDescent="0.3">
      <c r="A6733" s="5" t="s">
        <v>210</v>
      </c>
      <c r="B6733" s="5" t="s">
        <v>211</v>
      </c>
      <c r="C6733" s="6">
        <v>1996</v>
      </c>
      <c r="D6733" s="7">
        <v>22895746</v>
      </c>
    </row>
    <row r="6734" spans="1:4" x14ac:dyDescent="0.3">
      <c r="A6734" s="2" t="s">
        <v>210</v>
      </c>
      <c r="B6734" s="2" t="s">
        <v>211</v>
      </c>
      <c r="C6734" s="3">
        <v>1997</v>
      </c>
      <c r="D6734" s="4">
        <v>23110830</v>
      </c>
    </row>
    <row r="6735" spans="1:4" x14ac:dyDescent="0.3">
      <c r="A6735" s="5" t="s">
        <v>210</v>
      </c>
      <c r="B6735" s="5" t="s">
        <v>211</v>
      </c>
      <c r="C6735" s="6">
        <v>1998</v>
      </c>
      <c r="D6735" s="7">
        <v>23311564</v>
      </c>
    </row>
    <row r="6736" spans="1:4" x14ac:dyDescent="0.3">
      <c r="A6736" s="2" t="s">
        <v>210</v>
      </c>
      <c r="B6736" s="2" t="s">
        <v>211</v>
      </c>
      <c r="C6736" s="3">
        <v>1999</v>
      </c>
      <c r="D6736" s="4">
        <v>23497599</v>
      </c>
    </row>
    <row r="6737" spans="1:4" x14ac:dyDescent="0.3">
      <c r="A6737" s="5" t="s">
        <v>210</v>
      </c>
      <c r="B6737" s="5" t="s">
        <v>211</v>
      </c>
      <c r="C6737" s="6">
        <v>2000</v>
      </c>
      <c r="D6737" s="7">
        <v>23665910</v>
      </c>
    </row>
    <row r="6738" spans="1:4" x14ac:dyDescent="0.3">
      <c r="A6738" s="2" t="s">
        <v>210</v>
      </c>
      <c r="B6738" s="2" t="s">
        <v>211</v>
      </c>
      <c r="C6738" s="3">
        <v>2001</v>
      </c>
      <c r="D6738" s="4">
        <v>23815358</v>
      </c>
    </row>
    <row r="6739" spans="1:4" x14ac:dyDescent="0.3">
      <c r="A6739" s="5" t="s">
        <v>210</v>
      </c>
      <c r="B6739" s="5" t="s">
        <v>211</v>
      </c>
      <c r="C6739" s="6">
        <v>2002</v>
      </c>
      <c r="D6739" s="7">
        <v>23943973</v>
      </c>
    </row>
    <row r="6740" spans="1:4" x14ac:dyDescent="0.3">
      <c r="A6740" s="2" t="s">
        <v>210</v>
      </c>
      <c r="B6740" s="2" t="s">
        <v>211</v>
      </c>
      <c r="C6740" s="3">
        <v>2003</v>
      </c>
      <c r="D6740" s="4">
        <v>24090380</v>
      </c>
    </row>
    <row r="6741" spans="1:4" x14ac:dyDescent="0.3">
      <c r="A6741" s="5" t="s">
        <v>210</v>
      </c>
      <c r="B6741" s="5" t="s">
        <v>211</v>
      </c>
      <c r="C6741" s="6">
        <v>2004</v>
      </c>
      <c r="D6741" s="7">
        <v>24254943</v>
      </c>
    </row>
    <row r="6742" spans="1:4" x14ac:dyDescent="0.3">
      <c r="A6742" s="2" t="s">
        <v>210</v>
      </c>
      <c r="B6742" s="2" t="s">
        <v>211</v>
      </c>
      <c r="C6742" s="3">
        <v>2005</v>
      </c>
      <c r="D6742" s="4">
        <v>24396433</v>
      </c>
    </row>
    <row r="6743" spans="1:4" x14ac:dyDescent="0.3">
      <c r="A6743" s="5" t="s">
        <v>210</v>
      </c>
      <c r="B6743" s="5" t="s">
        <v>211</v>
      </c>
      <c r="C6743" s="6">
        <v>2006</v>
      </c>
      <c r="D6743" s="7">
        <v>24524507</v>
      </c>
    </row>
    <row r="6744" spans="1:4" x14ac:dyDescent="0.3">
      <c r="A6744" s="2" t="s">
        <v>210</v>
      </c>
      <c r="B6744" s="2" t="s">
        <v>211</v>
      </c>
      <c r="C6744" s="3">
        <v>2007</v>
      </c>
      <c r="D6744" s="4">
        <v>24646383</v>
      </c>
    </row>
    <row r="6745" spans="1:4" x14ac:dyDescent="0.3">
      <c r="A6745" s="5" t="s">
        <v>210</v>
      </c>
      <c r="B6745" s="5" t="s">
        <v>211</v>
      </c>
      <c r="C6745" s="6">
        <v>2008</v>
      </c>
      <c r="D6745" s="7">
        <v>24764618</v>
      </c>
    </row>
    <row r="6746" spans="1:4" x14ac:dyDescent="0.3">
      <c r="A6746" s="2" t="s">
        <v>210</v>
      </c>
      <c r="B6746" s="2" t="s">
        <v>211</v>
      </c>
      <c r="C6746" s="3">
        <v>2009</v>
      </c>
      <c r="D6746" s="4">
        <v>24878332</v>
      </c>
    </row>
    <row r="6747" spans="1:4" x14ac:dyDescent="0.3">
      <c r="A6747" s="5" t="s">
        <v>210</v>
      </c>
      <c r="B6747" s="5" t="s">
        <v>211</v>
      </c>
      <c r="C6747" s="6">
        <v>2010</v>
      </c>
      <c r="D6747" s="7">
        <v>24987258</v>
      </c>
    </row>
    <row r="6748" spans="1:4" x14ac:dyDescent="0.3">
      <c r="A6748" s="2" t="s">
        <v>210</v>
      </c>
      <c r="B6748" s="2" t="s">
        <v>211</v>
      </c>
      <c r="C6748" s="3">
        <v>2011</v>
      </c>
      <c r="D6748" s="4">
        <v>25097874</v>
      </c>
    </row>
    <row r="6749" spans="1:4" x14ac:dyDescent="0.3">
      <c r="A6749" s="5" t="s">
        <v>210</v>
      </c>
      <c r="B6749" s="5" t="s">
        <v>211</v>
      </c>
      <c r="C6749" s="6">
        <v>2012</v>
      </c>
      <c r="D6749" s="7">
        <v>25211728</v>
      </c>
    </row>
    <row r="6750" spans="1:4" x14ac:dyDescent="0.3">
      <c r="A6750" s="2" t="s">
        <v>210</v>
      </c>
      <c r="B6750" s="2" t="s">
        <v>211</v>
      </c>
      <c r="C6750" s="3">
        <v>2013</v>
      </c>
      <c r="D6750" s="4">
        <v>25329451</v>
      </c>
    </row>
    <row r="6751" spans="1:4" x14ac:dyDescent="0.3">
      <c r="A6751" s="5" t="s">
        <v>210</v>
      </c>
      <c r="B6751" s="5" t="s">
        <v>211</v>
      </c>
      <c r="C6751" s="6">
        <v>2014</v>
      </c>
      <c r="D6751" s="7">
        <v>25451262</v>
      </c>
    </row>
    <row r="6752" spans="1:4" x14ac:dyDescent="0.3">
      <c r="A6752" s="2" t="s">
        <v>210</v>
      </c>
      <c r="B6752" s="2" t="s">
        <v>211</v>
      </c>
      <c r="C6752" s="3">
        <v>2015</v>
      </c>
      <c r="D6752" s="4">
        <v>25575350</v>
      </c>
    </row>
    <row r="6753" spans="1:4" x14ac:dyDescent="0.3">
      <c r="A6753" s="5" t="s">
        <v>210</v>
      </c>
      <c r="B6753" s="5" t="s">
        <v>211</v>
      </c>
      <c r="C6753" s="6">
        <v>2016</v>
      </c>
      <c r="D6753" s="7">
        <v>25698326</v>
      </c>
    </row>
    <row r="6754" spans="1:4" x14ac:dyDescent="0.3">
      <c r="A6754" s="2" t="s">
        <v>210</v>
      </c>
      <c r="B6754" s="2" t="s">
        <v>211</v>
      </c>
      <c r="C6754" s="3">
        <v>2017</v>
      </c>
      <c r="D6754" s="4">
        <v>25817709</v>
      </c>
    </row>
    <row r="6755" spans="1:4" x14ac:dyDescent="0.3">
      <c r="A6755" s="5" t="s">
        <v>210</v>
      </c>
      <c r="B6755" s="5" t="s">
        <v>211</v>
      </c>
      <c r="C6755" s="6">
        <v>2018</v>
      </c>
      <c r="D6755" s="7">
        <v>25931147</v>
      </c>
    </row>
    <row r="6756" spans="1:4" x14ac:dyDescent="0.3">
      <c r="A6756" s="2" t="s">
        <v>210</v>
      </c>
      <c r="B6756" s="2" t="s">
        <v>211</v>
      </c>
      <c r="C6756" s="3">
        <v>2019</v>
      </c>
      <c r="D6756" s="4">
        <v>26037632</v>
      </c>
    </row>
    <row r="6757" spans="1:4" x14ac:dyDescent="0.3">
      <c r="A6757" s="5" t="s">
        <v>210</v>
      </c>
      <c r="B6757" s="5" t="s">
        <v>211</v>
      </c>
      <c r="C6757" s="6">
        <v>2020</v>
      </c>
      <c r="D6757" s="7">
        <v>26136312</v>
      </c>
    </row>
    <row r="6758" spans="1:4" x14ac:dyDescent="0.3">
      <c r="A6758" s="2" t="s">
        <v>210</v>
      </c>
      <c r="B6758" s="2" t="s">
        <v>211</v>
      </c>
      <c r="C6758" s="3">
        <v>2021</v>
      </c>
      <c r="D6758" s="4">
        <v>26232534</v>
      </c>
    </row>
    <row r="6759" spans="1:4" x14ac:dyDescent="0.3">
      <c r="A6759" s="5" t="s">
        <v>210</v>
      </c>
      <c r="B6759" s="5" t="s">
        <v>211</v>
      </c>
      <c r="C6759" s="6">
        <v>2022</v>
      </c>
      <c r="D6759" s="7">
        <v>26328845</v>
      </c>
    </row>
    <row r="6760" spans="1:4" x14ac:dyDescent="0.3">
      <c r="A6760" s="2" t="s">
        <v>210</v>
      </c>
      <c r="B6760" s="2" t="s">
        <v>211</v>
      </c>
      <c r="C6760" s="3">
        <v>2023</v>
      </c>
      <c r="D6760" s="4">
        <v>26418204</v>
      </c>
    </row>
    <row r="6761" spans="1:4" x14ac:dyDescent="0.3">
      <c r="A6761" s="5" t="s">
        <v>210</v>
      </c>
      <c r="B6761" s="5" t="s">
        <v>211</v>
      </c>
      <c r="C6761" s="6">
        <v>2024</v>
      </c>
      <c r="D6761" s="7">
        <v>26498823</v>
      </c>
    </row>
    <row r="6762" spans="1:4" x14ac:dyDescent="0.3">
      <c r="A6762" s="2" t="s">
        <v>212</v>
      </c>
      <c r="B6762" s="2" t="s">
        <v>213</v>
      </c>
      <c r="C6762" s="3">
        <v>1960</v>
      </c>
      <c r="D6762" s="4">
        <v>25012374</v>
      </c>
    </row>
    <row r="6763" spans="1:4" x14ac:dyDescent="0.3">
      <c r="A6763" s="5" t="s">
        <v>212</v>
      </c>
      <c r="B6763" s="5" t="s">
        <v>213</v>
      </c>
      <c r="C6763" s="6">
        <v>1961</v>
      </c>
      <c r="D6763" s="7">
        <v>25765673</v>
      </c>
    </row>
    <row r="6764" spans="1:4" x14ac:dyDescent="0.3">
      <c r="A6764" s="2" t="s">
        <v>212</v>
      </c>
      <c r="B6764" s="2" t="s">
        <v>213</v>
      </c>
      <c r="C6764" s="3">
        <v>1962</v>
      </c>
      <c r="D6764" s="4">
        <v>26513030</v>
      </c>
    </row>
    <row r="6765" spans="1:4" x14ac:dyDescent="0.3">
      <c r="A6765" s="5" t="s">
        <v>212</v>
      </c>
      <c r="B6765" s="5" t="s">
        <v>213</v>
      </c>
      <c r="C6765" s="6">
        <v>1963</v>
      </c>
      <c r="D6765" s="7">
        <v>27261747</v>
      </c>
    </row>
    <row r="6766" spans="1:4" x14ac:dyDescent="0.3">
      <c r="A6766" s="2" t="s">
        <v>212</v>
      </c>
      <c r="B6766" s="2" t="s">
        <v>213</v>
      </c>
      <c r="C6766" s="3">
        <v>1964</v>
      </c>
      <c r="D6766" s="4">
        <v>27984155</v>
      </c>
    </row>
    <row r="6767" spans="1:4" x14ac:dyDescent="0.3">
      <c r="A6767" s="5" t="s">
        <v>212</v>
      </c>
      <c r="B6767" s="5" t="s">
        <v>213</v>
      </c>
      <c r="C6767" s="6">
        <v>1965</v>
      </c>
      <c r="D6767" s="7">
        <v>28704674</v>
      </c>
    </row>
    <row r="6768" spans="1:4" x14ac:dyDescent="0.3">
      <c r="A6768" s="2" t="s">
        <v>212</v>
      </c>
      <c r="B6768" s="2" t="s">
        <v>213</v>
      </c>
      <c r="C6768" s="3">
        <v>1966</v>
      </c>
      <c r="D6768" s="4">
        <v>29435571</v>
      </c>
    </row>
    <row r="6769" spans="1:4" x14ac:dyDescent="0.3">
      <c r="A6769" s="5" t="s">
        <v>212</v>
      </c>
      <c r="B6769" s="5" t="s">
        <v>213</v>
      </c>
      <c r="C6769" s="6">
        <v>1967</v>
      </c>
      <c r="D6769" s="7">
        <v>30130983</v>
      </c>
    </row>
    <row r="6770" spans="1:4" x14ac:dyDescent="0.3">
      <c r="A6770" s="2" t="s">
        <v>212</v>
      </c>
      <c r="B6770" s="2" t="s">
        <v>213</v>
      </c>
      <c r="C6770" s="3">
        <v>1968</v>
      </c>
      <c r="D6770" s="4">
        <v>30838302</v>
      </c>
    </row>
    <row r="6771" spans="1:4" x14ac:dyDescent="0.3">
      <c r="A6771" s="5" t="s">
        <v>212</v>
      </c>
      <c r="B6771" s="5" t="s">
        <v>213</v>
      </c>
      <c r="C6771" s="6">
        <v>1969</v>
      </c>
      <c r="D6771" s="7">
        <v>31544266</v>
      </c>
    </row>
    <row r="6772" spans="1:4" x14ac:dyDescent="0.3">
      <c r="A6772" s="2" t="s">
        <v>212</v>
      </c>
      <c r="B6772" s="2" t="s">
        <v>213</v>
      </c>
      <c r="C6772" s="3">
        <v>1970</v>
      </c>
      <c r="D6772" s="4">
        <v>32240827</v>
      </c>
    </row>
    <row r="6773" spans="1:4" x14ac:dyDescent="0.3">
      <c r="A6773" s="5" t="s">
        <v>212</v>
      </c>
      <c r="B6773" s="5" t="s">
        <v>213</v>
      </c>
      <c r="C6773" s="6">
        <v>1971</v>
      </c>
      <c r="D6773" s="7">
        <v>32882704</v>
      </c>
    </row>
    <row r="6774" spans="1:4" x14ac:dyDescent="0.3">
      <c r="A6774" s="2" t="s">
        <v>212</v>
      </c>
      <c r="B6774" s="2" t="s">
        <v>213</v>
      </c>
      <c r="C6774" s="3">
        <v>1972</v>
      </c>
      <c r="D6774" s="4">
        <v>33505406</v>
      </c>
    </row>
    <row r="6775" spans="1:4" x14ac:dyDescent="0.3">
      <c r="A6775" s="5" t="s">
        <v>212</v>
      </c>
      <c r="B6775" s="5" t="s">
        <v>213</v>
      </c>
      <c r="C6775" s="6">
        <v>1973</v>
      </c>
      <c r="D6775" s="7">
        <v>34103149</v>
      </c>
    </row>
    <row r="6776" spans="1:4" x14ac:dyDescent="0.3">
      <c r="A6776" s="2" t="s">
        <v>212</v>
      </c>
      <c r="B6776" s="2" t="s">
        <v>213</v>
      </c>
      <c r="C6776" s="3">
        <v>1974</v>
      </c>
      <c r="D6776" s="4">
        <v>34692266</v>
      </c>
    </row>
    <row r="6777" spans="1:4" x14ac:dyDescent="0.3">
      <c r="A6777" s="5" t="s">
        <v>212</v>
      </c>
      <c r="B6777" s="5" t="s">
        <v>213</v>
      </c>
      <c r="C6777" s="6">
        <v>1975</v>
      </c>
      <c r="D6777" s="7">
        <v>35280725</v>
      </c>
    </row>
    <row r="6778" spans="1:4" x14ac:dyDescent="0.3">
      <c r="A6778" s="2" t="s">
        <v>212</v>
      </c>
      <c r="B6778" s="2" t="s">
        <v>213</v>
      </c>
      <c r="C6778" s="3">
        <v>1976</v>
      </c>
      <c r="D6778" s="4">
        <v>35848523</v>
      </c>
    </row>
    <row r="6779" spans="1:4" x14ac:dyDescent="0.3">
      <c r="A6779" s="5" t="s">
        <v>212</v>
      </c>
      <c r="B6779" s="5" t="s">
        <v>213</v>
      </c>
      <c r="C6779" s="6">
        <v>1977</v>
      </c>
      <c r="D6779" s="7">
        <v>36411795</v>
      </c>
    </row>
    <row r="6780" spans="1:4" x14ac:dyDescent="0.3">
      <c r="A6780" s="2" t="s">
        <v>212</v>
      </c>
      <c r="B6780" s="2" t="s">
        <v>213</v>
      </c>
      <c r="C6780" s="3">
        <v>1978</v>
      </c>
      <c r="D6780" s="4">
        <v>36969185</v>
      </c>
    </row>
    <row r="6781" spans="1:4" x14ac:dyDescent="0.3">
      <c r="A6781" s="5" t="s">
        <v>212</v>
      </c>
      <c r="B6781" s="5" t="s">
        <v>213</v>
      </c>
      <c r="C6781" s="6">
        <v>1979</v>
      </c>
      <c r="D6781" s="7">
        <v>37534236</v>
      </c>
    </row>
    <row r="6782" spans="1:4" x14ac:dyDescent="0.3">
      <c r="A6782" s="2" t="s">
        <v>212</v>
      </c>
      <c r="B6782" s="2" t="s">
        <v>213</v>
      </c>
      <c r="C6782" s="3">
        <v>1980</v>
      </c>
      <c r="D6782" s="4">
        <v>38123775</v>
      </c>
    </row>
    <row r="6783" spans="1:4" x14ac:dyDescent="0.3">
      <c r="A6783" s="5" t="s">
        <v>212</v>
      </c>
      <c r="B6783" s="5" t="s">
        <v>213</v>
      </c>
      <c r="C6783" s="6">
        <v>1981</v>
      </c>
      <c r="D6783" s="7">
        <v>38723248</v>
      </c>
    </row>
    <row r="6784" spans="1:4" x14ac:dyDescent="0.3">
      <c r="A6784" s="2" t="s">
        <v>212</v>
      </c>
      <c r="B6784" s="2" t="s">
        <v>213</v>
      </c>
      <c r="C6784" s="3">
        <v>1982</v>
      </c>
      <c r="D6784" s="4">
        <v>39326352</v>
      </c>
    </row>
    <row r="6785" spans="1:4" x14ac:dyDescent="0.3">
      <c r="A6785" s="5" t="s">
        <v>212</v>
      </c>
      <c r="B6785" s="5" t="s">
        <v>213</v>
      </c>
      <c r="C6785" s="6">
        <v>1983</v>
      </c>
      <c r="D6785" s="7">
        <v>39910403</v>
      </c>
    </row>
    <row r="6786" spans="1:4" x14ac:dyDescent="0.3">
      <c r="A6786" s="2" t="s">
        <v>212</v>
      </c>
      <c r="B6786" s="2" t="s">
        <v>213</v>
      </c>
      <c r="C6786" s="3">
        <v>1984</v>
      </c>
      <c r="D6786" s="4">
        <v>40405956</v>
      </c>
    </row>
    <row r="6787" spans="1:4" x14ac:dyDescent="0.3">
      <c r="A6787" s="5" t="s">
        <v>212</v>
      </c>
      <c r="B6787" s="5" t="s">
        <v>213</v>
      </c>
      <c r="C6787" s="6">
        <v>1985</v>
      </c>
      <c r="D6787" s="7">
        <v>40805744</v>
      </c>
    </row>
    <row r="6788" spans="1:4" x14ac:dyDescent="0.3">
      <c r="A6788" s="2" t="s">
        <v>212</v>
      </c>
      <c r="B6788" s="2" t="s">
        <v>213</v>
      </c>
      <c r="C6788" s="3">
        <v>1986</v>
      </c>
      <c r="D6788" s="4">
        <v>41213674</v>
      </c>
    </row>
    <row r="6789" spans="1:4" x14ac:dyDescent="0.3">
      <c r="A6789" s="5" t="s">
        <v>212</v>
      </c>
      <c r="B6789" s="5" t="s">
        <v>213</v>
      </c>
      <c r="C6789" s="6">
        <v>1987</v>
      </c>
      <c r="D6789" s="7">
        <v>41621690</v>
      </c>
    </row>
    <row r="6790" spans="1:4" x14ac:dyDescent="0.3">
      <c r="A6790" s="2" t="s">
        <v>212</v>
      </c>
      <c r="B6790" s="2" t="s">
        <v>213</v>
      </c>
      <c r="C6790" s="3">
        <v>1988</v>
      </c>
      <c r="D6790" s="4">
        <v>42031247</v>
      </c>
    </row>
    <row r="6791" spans="1:4" x14ac:dyDescent="0.3">
      <c r="A6791" s="5" t="s">
        <v>212</v>
      </c>
      <c r="B6791" s="5" t="s">
        <v>213</v>
      </c>
      <c r="C6791" s="6">
        <v>1989</v>
      </c>
      <c r="D6791" s="7">
        <v>42449038</v>
      </c>
    </row>
    <row r="6792" spans="1:4" x14ac:dyDescent="0.3">
      <c r="A6792" s="2" t="s">
        <v>212</v>
      </c>
      <c r="B6792" s="2" t="s">
        <v>213</v>
      </c>
      <c r="C6792" s="3">
        <v>1990</v>
      </c>
      <c r="D6792" s="4">
        <v>42869283</v>
      </c>
    </row>
    <row r="6793" spans="1:4" x14ac:dyDescent="0.3">
      <c r="A6793" s="5" t="s">
        <v>212</v>
      </c>
      <c r="B6793" s="5" t="s">
        <v>213</v>
      </c>
      <c r="C6793" s="6">
        <v>1991</v>
      </c>
      <c r="D6793" s="7">
        <v>43295704</v>
      </c>
    </row>
    <row r="6794" spans="1:4" x14ac:dyDescent="0.3">
      <c r="A6794" s="2" t="s">
        <v>212</v>
      </c>
      <c r="B6794" s="2" t="s">
        <v>213</v>
      </c>
      <c r="C6794" s="3">
        <v>1992</v>
      </c>
      <c r="D6794" s="4">
        <v>43747962</v>
      </c>
    </row>
    <row r="6795" spans="1:4" x14ac:dyDescent="0.3">
      <c r="A6795" s="5" t="s">
        <v>212</v>
      </c>
      <c r="B6795" s="5" t="s">
        <v>213</v>
      </c>
      <c r="C6795" s="6">
        <v>1993</v>
      </c>
      <c r="D6795" s="7">
        <v>44194628</v>
      </c>
    </row>
    <row r="6796" spans="1:4" x14ac:dyDescent="0.3">
      <c r="A6796" s="2" t="s">
        <v>212</v>
      </c>
      <c r="B6796" s="2" t="s">
        <v>213</v>
      </c>
      <c r="C6796" s="3">
        <v>1994</v>
      </c>
      <c r="D6796" s="4">
        <v>44641540</v>
      </c>
    </row>
    <row r="6797" spans="1:4" x14ac:dyDescent="0.3">
      <c r="A6797" s="5" t="s">
        <v>212</v>
      </c>
      <c r="B6797" s="5" t="s">
        <v>213</v>
      </c>
      <c r="C6797" s="6">
        <v>1995</v>
      </c>
      <c r="D6797" s="7">
        <v>45092991</v>
      </c>
    </row>
    <row r="6798" spans="1:4" x14ac:dyDescent="0.3">
      <c r="A6798" s="2" t="s">
        <v>212</v>
      </c>
      <c r="B6798" s="2" t="s">
        <v>213</v>
      </c>
      <c r="C6798" s="3">
        <v>1996</v>
      </c>
      <c r="D6798" s="4">
        <v>45524681</v>
      </c>
    </row>
    <row r="6799" spans="1:4" x14ac:dyDescent="0.3">
      <c r="A6799" s="5" t="s">
        <v>212</v>
      </c>
      <c r="B6799" s="5" t="s">
        <v>213</v>
      </c>
      <c r="C6799" s="6">
        <v>1997</v>
      </c>
      <c r="D6799" s="7">
        <v>45953580</v>
      </c>
    </row>
    <row r="6800" spans="1:4" x14ac:dyDescent="0.3">
      <c r="A6800" s="2" t="s">
        <v>212</v>
      </c>
      <c r="B6800" s="2" t="s">
        <v>213</v>
      </c>
      <c r="C6800" s="3">
        <v>1998</v>
      </c>
      <c r="D6800" s="4">
        <v>46286503</v>
      </c>
    </row>
    <row r="6801" spans="1:4" x14ac:dyDescent="0.3">
      <c r="A6801" s="5" t="s">
        <v>212</v>
      </c>
      <c r="B6801" s="5" t="s">
        <v>213</v>
      </c>
      <c r="C6801" s="6">
        <v>1999</v>
      </c>
      <c r="D6801" s="7">
        <v>46616677</v>
      </c>
    </row>
    <row r="6802" spans="1:4" x14ac:dyDescent="0.3">
      <c r="A6802" s="2" t="s">
        <v>212</v>
      </c>
      <c r="B6802" s="2" t="s">
        <v>213</v>
      </c>
      <c r="C6802" s="3">
        <v>2000</v>
      </c>
      <c r="D6802" s="4">
        <v>47008111</v>
      </c>
    </row>
    <row r="6803" spans="1:4" x14ac:dyDescent="0.3">
      <c r="A6803" s="5" t="s">
        <v>212</v>
      </c>
      <c r="B6803" s="5" t="s">
        <v>213</v>
      </c>
      <c r="C6803" s="6">
        <v>2001</v>
      </c>
      <c r="D6803" s="7">
        <v>47370164</v>
      </c>
    </row>
    <row r="6804" spans="1:4" x14ac:dyDescent="0.3">
      <c r="A6804" s="2" t="s">
        <v>212</v>
      </c>
      <c r="B6804" s="2" t="s">
        <v>213</v>
      </c>
      <c r="C6804" s="3">
        <v>2002</v>
      </c>
      <c r="D6804" s="4">
        <v>47644736</v>
      </c>
    </row>
    <row r="6805" spans="1:4" x14ac:dyDescent="0.3">
      <c r="A6805" s="5" t="s">
        <v>212</v>
      </c>
      <c r="B6805" s="5" t="s">
        <v>213</v>
      </c>
      <c r="C6805" s="6">
        <v>2003</v>
      </c>
      <c r="D6805" s="7">
        <v>47892330</v>
      </c>
    </row>
    <row r="6806" spans="1:4" x14ac:dyDescent="0.3">
      <c r="A6806" s="2" t="s">
        <v>212</v>
      </c>
      <c r="B6806" s="2" t="s">
        <v>213</v>
      </c>
      <c r="C6806" s="3">
        <v>2004</v>
      </c>
      <c r="D6806" s="4">
        <v>48082519</v>
      </c>
    </row>
    <row r="6807" spans="1:4" x14ac:dyDescent="0.3">
      <c r="A6807" s="5" t="s">
        <v>212</v>
      </c>
      <c r="B6807" s="5" t="s">
        <v>213</v>
      </c>
      <c r="C6807" s="6">
        <v>2005</v>
      </c>
      <c r="D6807" s="7">
        <v>48184561</v>
      </c>
    </row>
    <row r="6808" spans="1:4" x14ac:dyDescent="0.3">
      <c r="A6808" s="2" t="s">
        <v>212</v>
      </c>
      <c r="B6808" s="2" t="s">
        <v>213</v>
      </c>
      <c r="C6808" s="3">
        <v>2006</v>
      </c>
      <c r="D6808" s="4">
        <v>48438292</v>
      </c>
    </row>
    <row r="6809" spans="1:4" x14ac:dyDescent="0.3">
      <c r="A6809" s="5" t="s">
        <v>212</v>
      </c>
      <c r="B6809" s="5" t="s">
        <v>213</v>
      </c>
      <c r="C6809" s="6">
        <v>2007</v>
      </c>
      <c r="D6809" s="7">
        <v>48683638</v>
      </c>
    </row>
    <row r="6810" spans="1:4" x14ac:dyDescent="0.3">
      <c r="A6810" s="2" t="s">
        <v>212</v>
      </c>
      <c r="B6810" s="2" t="s">
        <v>213</v>
      </c>
      <c r="C6810" s="3">
        <v>2008</v>
      </c>
      <c r="D6810" s="4">
        <v>49054708</v>
      </c>
    </row>
    <row r="6811" spans="1:4" x14ac:dyDescent="0.3">
      <c r="A6811" s="5" t="s">
        <v>212</v>
      </c>
      <c r="B6811" s="5" t="s">
        <v>213</v>
      </c>
      <c r="C6811" s="6">
        <v>2009</v>
      </c>
      <c r="D6811" s="7">
        <v>49307835</v>
      </c>
    </row>
    <row r="6812" spans="1:4" x14ac:dyDescent="0.3">
      <c r="A6812" s="2" t="s">
        <v>212</v>
      </c>
      <c r="B6812" s="2" t="s">
        <v>213</v>
      </c>
      <c r="C6812" s="3">
        <v>2010</v>
      </c>
      <c r="D6812" s="4">
        <v>49554112</v>
      </c>
    </row>
    <row r="6813" spans="1:4" x14ac:dyDescent="0.3">
      <c r="A6813" s="5" t="s">
        <v>212</v>
      </c>
      <c r="B6813" s="5" t="s">
        <v>213</v>
      </c>
      <c r="C6813" s="6">
        <v>2011</v>
      </c>
      <c r="D6813" s="7">
        <v>49936638</v>
      </c>
    </row>
    <row r="6814" spans="1:4" x14ac:dyDescent="0.3">
      <c r="A6814" s="2" t="s">
        <v>212</v>
      </c>
      <c r="B6814" s="2" t="s">
        <v>213</v>
      </c>
      <c r="C6814" s="3">
        <v>2012</v>
      </c>
      <c r="D6814" s="4">
        <v>50199853</v>
      </c>
    </row>
    <row r="6815" spans="1:4" x14ac:dyDescent="0.3">
      <c r="A6815" s="5" t="s">
        <v>212</v>
      </c>
      <c r="B6815" s="5" t="s">
        <v>213</v>
      </c>
      <c r="C6815" s="6">
        <v>2013</v>
      </c>
      <c r="D6815" s="7">
        <v>50428893</v>
      </c>
    </row>
    <row r="6816" spans="1:4" x14ac:dyDescent="0.3">
      <c r="A6816" s="2" t="s">
        <v>212</v>
      </c>
      <c r="B6816" s="2" t="s">
        <v>213</v>
      </c>
      <c r="C6816" s="3">
        <v>2014</v>
      </c>
      <c r="D6816" s="4">
        <v>50746659</v>
      </c>
    </row>
    <row r="6817" spans="1:4" x14ac:dyDescent="0.3">
      <c r="A6817" s="5" t="s">
        <v>212</v>
      </c>
      <c r="B6817" s="5" t="s">
        <v>213</v>
      </c>
      <c r="C6817" s="6">
        <v>2015</v>
      </c>
      <c r="D6817" s="7">
        <v>51014947</v>
      </c>
    </row>
    <row r="6818" spans="1:4" x14ac:dyDescent="0.3">
      <c r="A6818" s="2" t="s">
        <v>212</v>
      </c>
      <c r="B6818" s="2" t="s">
        <v>213</v>
      </c>
      <c r="C6818" s="3">
        <v>2016</v>
      </c>
      <c r="D6818" s="4">
        <v>51217803</v>
      </c>
    </row>
    <row r="6819" spans="1:4" x14ac:dyDescent="0.3">
      <c r="A6819" s="5" t="s">
        <v>212</v>
      </c>
      <c r="B6819" s="5" t="s">
        <v>213</v>
      </c>
      <c r="C6819" s="6">
        <v>2017</v>
      </c>
      <c r="D6819" s="7">
        <v>51361911</v>
      </c>
    </row>
    <row r="6820" spans="1:4" x14ac:dyDescent="0.3">
      <c r="A6820" s="2" t="s">
        <v>212</v>
      </c>
      <c r="B6820" s="2" t="s">
        <v>213</v>
      </c>
      <c r="C6820" s="3">
        <v>2018</v>
      </c>
      <c r="D6820" s="4">
        <v>51585058</v>
      </c>
    </row>
    <row r="6821" spans="1:4" x14ac:dyDescent="0.3">
      <c r="A6821" s="5" t="s">
        <v>212</v>
      </c>
      <c r="B6821" s="5" t="s">
        <v>213</v>
      </c>
      <c r="C6821" s="6">
        <v>2019</v>
      </c>
      <c r="D6821" s="7">
        <v>51764822</v>
      </c>
    </row>
    <row r="6822" spans="1:4" x14ac:dyDescent="0.3">
      <c r="A6822" s="2" t="s">
        <v>212</v>
      </c>
      <c r="B6822" s="2" t="s">
        <v>213</v>
      </c>
      <c r="C6822" s="3">
        <v>2020</v>
      </c>
      <c r="D6822" s="4">
        <v>51836239</v>
      </c>
    </row>
    <row r="6823" spans="1:4" x14ac:dyDescent="0.3">
      <c r="A6823" s="5" t="s">
        <v>212</v>
      </c>
      <c r="B6823" s="5" t="s">
        <v>213</v>
      </c>
      <c r="C6823" s="6">
        <v>2021</v>
      </c>
      <c r="D6823" s="7">
        <v>51769539</v>
      </c>
    </row>
    <row r="6824" spans="1:4" x14ac:dyDescent="0.3">
      <c r="A6824" s="2" t="s">
        <v>212</v>
      </c>
      <c r="B6824" s="2" t="s">
        <v>213</v>
      </c>
      <c r="C6824" s="3">
        <v>2022</v>
      </c>
      <c r="D6824" s="4">
        <v>51672569</v>
      </c>
    </row>
    <row r="6825" spans="1:4" x14ac:dyDescent="0.3">
      <c r="A6825" s="5" t="s">
        <v>212</v>
      </c>
      <c r="B6825" s="5" t="s">
        <v>213</v>
      </c>
      <c r="C6825" s="6">
        <v>2023</v>
      </c>
      <c r="D6825" s="7">
        <v>51712619</v>
      </c>
    </row>
    <row r="6826" spans="1:4" x14ac:dyDescent="0.3">
      <c r="A6826" s="2" t="s">
        <v>212</v>
      </c>
      <c r="B6826" s="2" t="s">
        <v>213</v>
      </c>
      <c r="C6826" s="3">
        <v>2024</v>
      </c>
      <c r="D6826" s="4">
        <v>51751065</v>
      </c>
    </row>
    <row r="6827" spans="1:4" x14ac:dyDescent="0.3">
      <c r="A6827" s="5" t="s">
        <v>214</v>
      </c>
      <c r="B6827" s="5" t="s">
        <v>215</v>
      </c>
      <c r="C6827" s="6">
        <v>1960</v>
      </c>
      <c r="D6827" s="7">
        <v>984846</v>
      </c>
    </row>
    <row r="6828" spans="1:4" x14ac:dyDescent="0.3">
      <c r="A6828" s="2" t="s">
        <v>214</v>
      </c>
      <c r="B6828" s="2" t="s">
        <v>215</v>
      </c>
      <c r="C6828" s="3">
        <v>1961</v>
      </c>
      <c r="D6828" s="4">
        <v>1011421</v>
      </c>
    </row>
    <row r="6829" spans="1:4" x14ac:dyDescent="0.3">
      <c r="A6829" s="5" t="s">
        <v>214</v>
      </c>
      <c r="B6829" s="5" t="s">
        <v>215</v>
      </c>
      <c r="C6829" s="6">
        <v>1962</v>
      </c>
      <c r="D6829" s="7">
        <v>1036950</v>
      </c>
    </row>
    <row r="6830" spans="1:4" x14ac:dyDescent="0.3">
      <c r="A6830" s="2" t="s">
        <v>214</v>
      </c>
      <c r="B6830" s="2" t="s">
        <v>215</v>
      </c>
      <c r="C6830" s="3">
        <v>1963</v>
      </c>
      <c r="D6830" s="4">
        <v>1062737</v>
      </c>
    </row>
    <row r="6831" spans="1:4" x14ac:dyDescent="0.3">
      <c r="A6831" s="5" t="s">
        <v>214</v>
      </c>
      <c r="B6831" s="5" t="s">
        <v>215</v>
      </c>
      <c r="C6831" s="6">
        <v>1964</v>
      </c>
      <c r="D6831" s="7">
        <v>1090270</v>
      </c>
    </row>
    <row r="6832" spans="1:4" x14ac:dyDescent="0.3">
      <c r="A6832" s="2" t="s">
        <v>214</v>
      </c>
      <c r="B6832" s="2" t="s">
        <v>215</v>
      </c>
      <c r="C6832" s="3">
        <v>1965</v>
      </c>
      <c r="D6832" s="4">
        <v>1120168</v>
      </c>
    </row>
    <row r="6833" spans="1:4" x14ac:dyDescent="0.3">
      <c r="A6833" s="5" t="s">
        <v>214</v>
      </c>
      <c r="B6833" s="5" t="s">
        <v>215</v>
      </c>
      <c r="C6833" s="6">
        <v>1966</v>
      </c>
      <c r="D6833" s="7">
        <v>1152586</v>
      </c>
    </row>
    <row r="6834" spans="1:4" x14ac:dyDescent="0.3">
      <c r="A6834" s="2" t="s">
        <v>214</v>
      </c>
      <c r="B6834" s="2" t="s">
        <v>215</v>
      </c>
      <c r="C6834" s="3">
        <v>1967</v>
      </c>
      <c r="D6834" s="4">
        <v>1187667</v>
      </c>
    </row>
    <row r="6835" spans="1:4" x14ac:dyDescent="0.3">
      <c r="A6835" s="5" t="s">
        <v>214</v>
      </c>
      <c r="B6835" s="5" t="s">
        <v>215</v>
      </c>
      <c r="C6835" s="6">
        <v>1968</v>
      </c>
      <c r="D6835" s="7">
        <v>1214208</v>
      </c>
    </row>
    <row r="6836" spans="1:4" x14ac:dyDescent="0.3">
      <c r="A6836" s="2" t="s">
        <v>214</v>
      </c>
      <c r="B6836" s="2" t="s">
        <v>215</v>
      </c>
      <c r="C6836" s="3">
        <v>1969</v>
      </c>
      <c r="D6836" s="4">
        <v>1231460</v>
      </c>
    </row>
    <row r="6837" spans="1:4" x14ac:dyDescent="0.3">
      <c r="A6837" s="5" t="s">
        <v>214</v>
      </c>
      <c r="B6837" s="5" t="s">
        <v>215</v>
      </c>
      <c r="C6837" s="6">
        <v>1970</v>
      </c>
      <c r="D6837" s="7">
        <v>1249555</v>
      </c>
    </row>
    <row r="6838" spans="1:4" x14ac:dyDescent="0.3">
      <c r="A6838" s="2" t="s">
        <v>214</v>
      </c>
      <c r="B6838" s="2" t="s">
        <v>215</v>
      </c>
      <c r="C6838" s="3">
        <v>1971</v>
      </c>
      <c r="D6838" s="4">
        <v>1273021</v>
      </c>
    </row>
    <row r="6839" spans="1:4" x14ac:dyDescent="0.3">
      <c r="A6839" s="5" t="s">
        <v>214</v>
      </c>
      <c r="B6839" s="5" t="s">
        <v>215</v>
      </c>
      <c r="C6839" s="6">
        <v>1972</v>
      </c>
      <c r="D6839" s="7">
        <v>1301579</v>
      </c>
    </row>
    <row r="6840" spans="1:4" x14ac:dyDescent="0.3">
      <c r="A6840" s="2" t="s">
        <v>214</v>
      </c>
      <c r="B6840" s="2" t="s">
        <v>215</v>
      </c>
      <c r="C6840" s="3">
        <v>1973</v>
      </c>
      <c r="D6840" s="4">
        <v>1331176</v>
      </c>
    </row>
    <row r="6841" spans="1:4" x14ac:dyDescent="0.3">
      <c r="A6841" s="5" t="s">
        <v>214</v>
      </c>
      <c r="B6841" s="5" t="s">
        <v>215</v>
      </c>
      <c r="C6841" s="6">
        <v>1974</v>
      </c>
      <c r="D6841" s="7">
        <v>1363123</v>
      </c>
    </row>
    <row r="6842" spans="1:4" x14ac:dyDescent="0.3">
      <c r="A6842" s="2" t="s">
        <v>214</v>
      </c>
      <c r="B6842" s="2" t="s">
        <v>215</v>
      </c>
      <c r="C6842" s="3">
        <v>1975</v>
      </c>
      <c r="D6842" s="4">
        <v>1397686</v>
      </c>
    </row>
    <row r="6843" spans="1:4" x14ac:dyDescent="0.3">
      <c r="A6843" s="5" t="s">
        <v>214</v>
      </c>
      <c r="B6843" s="5" t="s">
        <v>215</v>
      </c>
      <c r="C6843" s="6">
        <v>1976</v>
      </c>
      <c r="D6843" s="7">
        <v>1434880</v>
      </c>
    </row>
    <row r="6844" spans="1:4" x14ac:dyDescent="0.3">
      <c r="A6844" s="2" t="s">
        <v>214</v>
      </c>
      <c r="B6844" s="2" t="s">
        <v>215</v>
      </c>
      <c r="C6844" s="3">
        <v>1977</v>
      </c>
      <c r="D6844" s="4">
        <v>1474457</v>
      </c>
    </row>
    <row r="6845" spans="1:4" x14ac:dyDescent="0.3">
      <c r="A6845" s="5" t="s">
        <v>214</v>
      </c>
      <c r="B6845" s="5" t="s">
        <v>215</v>
      </c>
      <c r="C6845" s="6">
        <v>1978</v>
      </c>
      <c r="D6845" s="7">
        <v>1516249</v>
      </c>
    </row>
    <row r="6846" spans="1:4" x14ac:dyDescent="0.3">
      <c r="A6846" s="2" t="s">
        <v>214</v>
      </c>
      <c r="B6846" s="2" t="s">
        <v>215</v>
      </c>
      <c r="C6846" s="3">
        <v>1979</v>
      </c>
      <c r="D6846" s="4">
        <v>1559787</v>
      </c>
    </row>
    <row r="6847" spans="1:4" x14ac:dyDescent="0.3">
      <c r="A6847" s="5" t="s">
        <v>214</v>
      </c>
      <c r="B6847" s="5" t="s">
        <v>215</v>
      </c>
      <c r="C6847" s="6">
        <v>1980</v>
      </c>
      <c r="D6847" s="7">
        <v>1604818</v>
      </c>
    </row>
    <row r="6848" spans="1:4" x14ac:dyDescent="0.3">
      <c r="A6848" s="2" t="s">
        <v>214</v>
      </c>
      <c r="B6848" s="2" t="s">
        <v>215</v>
      </c>
      <c r="C6848" s="3">
        <v>1981</v>
      </c>
      <c r="D6848" s="4">
        <v>1646565</v>
      </c>
    </row>
    <row r="6849" spans="1:4" x14ac:dyDescent="0.3">
      <c r="A6849" s="5" t="s">
        <v>214</v>
      </c>
      <c r="B6849" s="5" t="s">
        <v>215</v>
      </c>
      <c r="C6849" s="6">
        <v>1982</v>
      </c>
      <c r="D6849" s="7">
        <v>1683166</v>
      </c>
    </row>
    <row r="6850" spans="1:4" x14ac:dyDescent="0.3">
      <c r="A6850" s="2" t="s">
        <v>214</v>
      </c>
      <c r="B6850" s="2" t="s">
        <v>215</v>
      </c>
      <c r="C6850" s="3">
        <v>1983</v>
      </c>
      <c r="D6850" s="4">
        <v>1719245</v>
      </c>
    </row>
    <row r="6851" spans="1:4" x14ac:dyDescent="0.3">
      <c r="A6851" s="5" t="s">
        <v>214</v>
      </c>
      <c r="B6851" s="5" t="s">
        <v>215</v>
      </c>
      <c r="C6851" s="6">
        <v>1984</v>
      </c>
      <c r="D6851" s="7">
        <v>1756818</v>
      </c>
    </row>
    <row r="6852" spans="1:4" x14ac:dyDescent="0.3">
      <c r="A6852" s="2" t="s">
        <v>214</v>
      </c>
      <c r="B6852" s="2" t="s">
        <v>215</v>
      </c>
      <c r="C6852" s="3">
        <v>1985</v>
      </c>
      <c r="D6852" s="4">
        <v>1796018</v>
      </c>
    </row>
    <row r="6853" spans="1:4" x14ac:dyDescent="0.3">
      <c r="A6853" s="5" t="s">
        <v>214</v>
      </c>
      <c r="B6853" s="5" t="s">
        <v>215</v>
      </c>
      <c r="C6853" s="6">
        <v>1986</v>
      </c>
      <c r="D6853" s="7">
        <v>1836972</v>
      </c>
    </row>
    <row r="6854" spans="1:4" x14ac:dyDescent="0.3">
      <c r="A6854" s="2" t="s">
        <v>214</v>
      </c>
      <c r="B6854" s="2" t="s">
        <v>215</v>
      </c>
      <c r="C6854" s="3">
        <v>1987</v>
      </c>
      <c r="D6854" s="4">
        <v>1880590</v>
      </c>
    </row>
    <row r="6855" spans="1:4" x14ac:dyDescent="0.3">
      <c r="A6855" s="5" t="s">
        <v>214</v>
      </c>
      <c r="B6855" s="5" t="s">
        <v>215</v>
      </c>
      <c r="C6855" s="6">
        <v>1988</v>
      </c>
      <c r="D6855" s="7">
        <v>1917882</v>
      </c>
    </row>
    <row r="6856" spans="1:4" x14ac:dyDescent="0.3">
      <c r="A6856" s="2" t="s">
        <v>214</v>
      </c>
      <c r="B6856" s="2" t="s">
        <v>215</v>
      </c>
      <c r="C6856" s="3">
        <v>1989</v>
      </c>
      <c r="D6856" s="4">
        <v>1946339</v>
      </c>
    </row>
    <row r="6857" spans="1:4" x14ac:dyDescent="0.3">
      <c r="A6857" s="5" t="s">
        <v>214</v>
      </c>
      <c r="B6857" s="5" t="s">
        <v>215</v>
      </c>
      <c r="C6857" s="6">
        <v>1990</v>
      </c>
      <c r="D6857" s="7">
        <v>1973790</v>
      </c>
    </row>
    <row r="6858" spans="1:4" x14ac:dyDescent="0.3">
      <c r="A6858" s="2" t="s">
        <v>214</v>
      </c>
      <c r="B6858" s="2" t="s">
        <v>215</v>
      </c>
      <c r="C6858" s="3">
        <v>1991</v>
      </c>
      <c r="D6858" s="4">
        <v>2005362</v>
      </c>
    </row>
    <row r="6859" spans="1:4" x14ac:dyDescent="0.3">
      <c r="A6859" s="5" t="s">
        <v>214</v>
      </c>
      <c r="B6859" s="5" t="s">
        <v>215</v>
      </c>
      <c r="C6859" s="6">
        <v>1992</v>
      </c>
      <c r="D6859" s="7">
        <v>2039723</v>
      </c>
    </row>
    <row r="6860" spans="1:4" x14ac:dyDescent="0.3">
      <c r="A6860" s="2" t="s">
        <v>214</v>
      </c>
      <c r="B6860" s="2" t="s">
        <v>215</v>
      </c>
      <c r="C6860" s="3">
        <v>1993</v>
      </c>
      <c r="D6860" s="4">
        <v>2072664</v>
      </c>
    </row>
    <row r="6861" spans="1:4" x14ac:dyDescent="0.3">
      <c r="A6861" s="5" t="s">
        <v>214</v>
      </c>
      <c r="B6861" s="5" t="s">
        <v>215</v>
      </c>
      <c r="C6861" s="6">
        <v>1994</v>
      </c>
      <c r="D6861" s="7">
        <v>2105256</v>
      </c>
    </row>
    <row r="6862" spans="1:4" x14ac:dyDescent="0.3">
      <c r="A6862" s="2" t="s">
        <v>214</v>
      </c>
      <c r="B6862" s="2" t="s">
        <v>215</v>
      </c>
      <c r="C6862" s="3">
        <v>1995</v>
      </c>
      <c r="D6862" s="4">
        <v>2137514</v>
      </c>
    </row>
    <row r="6863" spans="1:4" x14ac:dyDescent="0.3">
      <c r="A6863" s="5" t="s">
        <v>214</v>
      </c>
      <c r="B6863" s="5" t="s">
        <v>215</v>
      </c>
      <c r="C6863" s="6">
        <v>1996</v>
      </c>
      <c r="D6863" s="7">
        <v>2168753</v>
      </c>
    </row>
    <row r="6864" spans="1:4" x14ac:dyDescent="0.3">
      <c r="A6864" s="2" t="s">
        <v>214</v>
      </c>
      <c r="B6864" s="2" t="s">
        <v>215</v>
      </c>
      <c r="C6864" s="3">
        <v>1997</v>
      </c>
      <c r="D6864" s="4">
        <v>2197284</v>
      </c>
    </row>
    <row r="6865" spans="1:4" x14ac:dyDescent="0.3">
      <c r="A6865" s="5" t="s">
        <v>214</v>
      </c>
      <c r="B6865" s="5" t="s">
        <v>215</v>
      </c>
      <c r="C6865" s="6">
        <v>1998</v>
      </c>
      <c r="D6865" s="7">
        <v>2078964</v>
      </c>
    </row>
    <row r="6866" spans="1:4" x14ac:dyDescent="0.3">
      <c r="A6866" s="2" t="s">
        <v>214</v>
      </c>
      <c r="B6866" s="2" t="s">
        <v>215</v>
      </c>
      <c r="C6866" s="3">
        <v>1999</v>
      </c>
      <c r="D6866" s="4">
        <v>1871524</v>
      </c>
    </row>
    <row r="6867" spans="1:4" x14ac:dyDescent="0.3">
      <c r="A6867" s="5" t="s">
        <v>214</v>
      </c>
      <c r="B6867" s="5" t="s">
        <v>215</v>
      </c>
      <c r="C6867" s="6">
        <v>2000</v>
      </c>
      <c r="D6867" s="7">
        <v>1802493</v>
      </c>
    </row>
    <row r="6868" spans="1:4" x14ac:dyDescent="0.3">
      <c r="A6868" s="2" t="s">
        <v>214</v>
      </c>
      <c r="B6868" s="2" t="s">
        <v>215</v>
      </c>
      <c r="C6868" s="3">
        <v>2001</v>
      </c>
      <c r="D6868" s="4">
        <v>1820009</v>
      </c>
    </row>
    <row r="6869" spans="1:4" x14ac:dyDescent="0.3">
      <c r="A6869" s="5" t="s">
        <v>214</v>
      </c>
      <c r="B6869" s="5" t="s">
        <v>215</v>
      </c>
      <c r="C6869" s="6">
        <v>2002</v>
      </c>
      <c r="D6869" s="7">
        <v>1829462</v>
      </c>
    </row>
    <row r="6870" spans="1:4" x14ac:dyDescent="0.3">
      <c r="A6870" s="2" t="s">
        <v>214</v>
      </c>
      <c r="B6870" s="2" t="s">
        <v>215</v>
      </c>
      <c r="C6870" s="3">
        <v>2003</v>
      </c>
      <c r="D6870" s="4">
        <v>1826434</v>
      </c>
    </row>
    <row r="6871" spans="1:4" x14ac:dyDescent="0.3">
      <c r="A6871" s="5" t="s">
        <v>214</v>
      </c>
      <c r="B6871" s="5" t="s">
        <v>215</v>
      </c>
      <c r="C6871" s="6">
        <v>2004</v>
      </c>
      <c r="D6871" s="7">
        <v>1822773</v>
      </c>
    </row>
    <row r="6872" spans="1:4" x14ac:dyDescent="0.3">
      <c r="A6872" s="2" t="s">
        <v>214</v>
      </c>
      <c r="B6872" s="2" t="s">
        <v>215</v>
      </c>
      <c r="C6872" s="3">
        <v>2005</v>
      </c>
      <c r="D6872" s="4">
        <v>1818354</v>
      </c>
    </row>
    <row r="6873" spans="1:4" x14ac:dyDescent="0.3">
      <c r="A6873" s="5" t="s">
        <v>214</v>
      </c>
      <c r="B6873" s="5" t="s">
        <v>215</v>
      </c>
      <c r="C6873" s="6">
        <v>2006</v>
      </c>
      <c r="D6873" s="7">
        <v>1813079</v>
      </c>
    </row>
    <row r="6874" spans="1:4" x14ac:dyDescent="0.3">
      <c r="A6874" s="2" t="s">
        <v>214</v>
      </c>
      <c r="B6874" s="2" t="s">
        <v>215</v>
      </c>
      <c r="C6874" s="3">
        <v>2007</v>
      </c>
      <c r="D6874" s="4">
        <v>1807094</v>
      </c>
    </row>
    <row r="6875" spans="1:4" x14ac:dyDescent="0.3">
      <c r="A6875" s="5" t="s">
        <v>214</v>
      </c>
      <c r="B6875" s="5" t="s">
        <v>215</v>
      </c>
      <c r="C6875" s="6">
        <v>2008</v>
      </c>
      <c r="D6875" s="7">
        <v>1800858</v>
      </c>
    </row>
    <row r="6876" spans="1:4" x14ac:dyDescent="0.3">
      <c r="A6876" s="2" t="s">
        <v>214</v>
      </c>
      <c r="B6876" s="2" t="s">
        <v>215</v>
      </c>
      <c r="C6876" s="3">
        <v>2009</v>
      </c>
      <c r="D6876" s="4">
        <v>1794681</v>
      </c>
    </row>
    <row r="6877" spans="1:4" x14ac:dyDescent="0.3">
      <c r="A6877" s="5" t="s">
        <v>214</v>
      </c>
      <c r="B6877" s="5" t="s">
        <v>215</v>
      </c>
      <c r="C6877" s="6">
        <v>2010</v>
      </c>
      <c r="D6877" s="7">
        <v>1788743</v>
      </c>
    </row>
    <row r="6878" spans="1:4" x14ac:dyDescent="0.3">
      <c r="A6878" s="2" t="s">
        <v>214</v>
      </c>
      <c r="B6878" s="2" t="s">
        <v>215</v>
      </c>
      <c r="C6878" s="3">
        <v>2011</v>
      </c>
      <c r="D6878" s="4">
        <v>1791949</v>
      </c>
    </row>
    <row r="6879" spans="1:4" x14ac:dyDescent="0.3">
      <c r="A6879" s="5" t="s">
        <v>214</v>
      </c>
      <c r="B6879" s="5" t="s">
        <v>215</v>
      </c>
      <c r="C6879" s="6">
        <v>2012</v>
      </c>
      <c r="D6879" s="7">
        <v>1807126</v>
      </c>
    </row>
    <row r="6880" spans="1:4" x14ac:dyDescent="0.3">
      <c r="A6880" s="2" t="s">
        <v>214</v>
      </c>
      <c r="B6880" s="2" t="s">
        <v>215</v>
      </c>
      <c r="C6880" s="3">
        <v>2013</v>
      </c>
      <c r="D6880" s="4">
        <v>1818119</v>
      </c>
    </row>
    <row r="6881" spans="1:4" x14ac:dyDescent="0.3">
      <c r="A6881" s="5" t="s">
        <v>214</v>
      </c>
      <c r="B6881" s="5" t="s">
        <v>215</v>
      </c>
      <c r="C6881" s="6">
        <v>2014</v>
      </c>
      <c r="D6881" s="7">
        <v>1812788</v>
      </c>
    </row>
    <row r="6882" spans="1:4" x14ac:dyDescent="0.3">
      <c r="A6882" s="2" t="s">
        <v>214</v>
      </c>
      <c r="B6882" s="2" t="s">
        <v>215</v>
      </c>
      <c r="C6882" s="3">
        <v>2015</v>
      </c>
      <c r="D6882" s="4">
        <v>1788274</v>
      </c>
    </row>
    <row r="6883" spans="1:4" x14ac:dyDescent="0.3">
      <c r="A6883" s="5" t="s">
        <v>214</v>
      </c>
      <c r="B6883" s="5" t="s">
        <v>215</v>
      </c>
      <c r="C6883" s="6">
        <v>2016</v>
      </c>
      <c r="D6883" s="7">
        <v>1777568</v>
      </c>
    </row>
    <row r="6884" spans="1:4" x14ac:dyDescent="0.3">
      <c r="A6884" s="2" t="s">
        <v>214</v>
      </c>
      <c r="B6884" s="2" t="s">
        <v>215</v>
      </c>
      <c r="C6884" s="3">
        <v>2017</v>
      </c>
      <c r="D6884" s="4">
        <v>1791019</v>
      </c>
    </row>
    <row r="6885" spans="1:4" x14ac:dyDescent="0.3">
      <c r="A6885" s="5" t="s">
        <v>214</v>
      </c>
      <c r="B6885" s="5" t="s">
        <v>215</v>
      </c>
      <c r="C6885" s="6">
        <v>2018</v>
      </c>
      <c r="D6885" s="7">
        <v>1797086</v>
      </c>
    </row>
    <row r="6886" spans="1:4" x14ac:dyDescent="0.3">
      <c r="A6886" s="2" t="s">
        <v>214</v>
      </c>
      <c r="B6886" s="2" t="s">
        <v>215</v>
      </c>
      <c r="C6886" s="3">
        <v>2019</v>
      </c>
      <c r="D6886" s="4">
        <v>1788891</v>
      </c>
    </row>
    <row r="6887" spans="1:4" x14ac:dyDescent="0.3">
      <c r="A6887" s="5" t="s">
        <v>214</v>
      </c>
      <c r="B6887" s="5" t="s">
        <v>215</v>
      </c>
      <c r="C6887" s="6">
        <v>2020</v>
      </c>
      <c r="D6887" s="7">
        <v>1790151</v>
      </c>
    </row>
    <row r="6888" spans="1:4" x14ac:dyDescent="0.3">
      <c r="A6888" s="2" t="s">
        <v>214</v>
      </c>
      <c r="B6888" s="2" t="s">
        <v>215</v>
      </c>
      <c r="C6888" s="3">
        <v>2021</v>
      </c>
      <c r="D6888" s="4">
        <v>1786079</v>
      </c>
    </row>
    <row r="6889" spans="1:4" x14ac:dyDescent="0.3">
      <c r="A6889" s="5" t="s">
        <v>214</v>
      </c>
      <c r="B6889" s="5" t="s">
        <v>215</v>
      </c>
      <c r="C6889" s="6">
        <v>2022</v>
      </c>
      <c r="D6889" s="7">
        <v>1768096</v>
      </c>
    </row>
    <row r="6890" spans="1:4" x14ac:dyDescent="0.3">
      <c r="A6890" s="2" t="s">
        <v>214</v>
      </c>
      <c r="B6890" s="2" t="s">
        <v>215</v>
      </c>
      <c r="C6890" s="3">
        <v>2023</v>
      </c>
      <c r="D6890" s="4">
        <v>1682668</v>
      </c>
    </row>
    <row r="6891" spans="1:4" x14ac:dyDescent="0.3">
      <c r="A6891" s="5" t="s">
        <v>214</v>
      </c>
      <c r="B6891" s="5" t="s">
        <v>215</v>
      </c>
      <c r="C6891" s="6">
        <v>2024</v>
      </c>
      <c r="D6891" s="7">
        <v>1527324</v>
      </c>
    </row>
    <row r="6892" spans="1:4" x14ac:dyDescent="0.3">
      <c r="A6892" s="2" t="s">
        <v>216</v>
      </c>
      <c r="B6892" s="2" t="s">
        <v>217</v>
      </c>
      <c r="C6892" s="3">
        <v>1960</v>
      </c>
      <c r="D6892" s="4">
        <v>311060</v>
      </c>
    </row>
    <row r="6893" spans="1:4" x14ac:dyDescent="0.3">
      <c r="A6893" s="5" t="s">
        <v>216</v>
      </c>
      <c r="B6893" s="5" t="s">
        <v>217</v>
      </c>
      <c r="C6893" s="6">
        <v>1961</v>
      </c>
      <c r="D6893" s="7">
        <v>345945</v>
      </c>
    </row>
    <row r="6894" spans="1:4" x14ac:dyDescent="0.3">
      <c r="A6894" s="2" t="s">
        <v>216</v>
      </c>
      <c r="B6894" s="2" t="s">
        <v>217</v>
      </c>
      <c r="C6894" s="3">
        <v>1962</v>
      </c>
      <c r="D6894" s="4">
        <v>384995</v>
      </c>
    </row>
    <row r="6895" spans="1:4" x14ac:dyDescent="0.3">
      <c r="A6895" s="5" t="s">
        <v>216</v>
      </c>
      <c r="B6895" s="5" t="s">
        <v>217</v>
      </c>
      <c r="C6895" s="6">
        <v>1963</v>
      </c>
      <c r="D6895" s="7">
        <v>427694</v>
      </c>
    </row>
    <row r="6896" spans="1:4" x14ac:dyDescent="0.3">
      <c r="A6896" s="2" t="s">
        <v>216</v>
      </c>
      <c r="B6896" s="2" t="s">
        <v>217</v>
      </c>
      <c r="C6896" s="3">
        <v>1964</v>
      </c>
      <c r="D6896" s="4">
        <v>473115</v>
      </c>
    </row>
    <row r="6897" spans="1:4" x14ac:dyDescent="0.3">
      <c r="A6897" s="5" t="s">
        <v>216</v>
      </c>
      <c r="B6897" s="5" t="s">
        <v>217</v>
      </c>
      <c r="C6897" s="6">
        <v>1965</v>
      </c>
      <c r="D6897" s="7">
        <v>521174</v>
      </c>
    </row>
    <row r="6898" spans="1:4" x14ac:dyDescent="0.3">
      <c r="A6898" s="2" t="s">
        <v>216</v>
      </c>
      <c r="B6898" s="2" t="s">
        <v>217</v>
      </c>
      <c r="C6898" s="3">
        <v>1966</v>
      </c>
      <c r="D6898" s="4">
        <v>572590</v>
      </c>
    </row>
    <row r="6899" spans="1:4" x14ac:dyDescent="0.3">
      <c r="A6899" s="5" t="s">
        <v>216</v>
      </c>
      <c r="B6899" s="5" t="s">
        <v>217</v>
      </c>
      <c r="C6899" s="6">
        <v>1967</v>
      </c>
      <c r="D6899" s="7">
        <v>628089</v>
      </c>
    </row>
    <row r="6900" spans="1:4" x14ac:dyDescent="0.3">
      <c r="A6900" s="2" t="s">
        <v>216</v>
      </c>
      <c r="B6900" s="2" t="s">
        <v>217</v>
      </c>
      <c r="C6900" s="3">
        <v>1968</v>
      </c>
      <c r="D6900" s="4">
        <v>687716</v>
      </c>
    </row>
    <row r="6901" spans="1:4" x14ac:dyDescent="0.3">
      <c r="A6901" s="5" t="s">
        <v>216</v>
      </c>
      <c r="B6901" s="5" t="s">
        <v>217</v>
      </c>
      <c r="C6901" s="6">
        <v>1969</v>
      </c>
      <c r="D6901" s="7">
        <v>749452</v>
      </c>
    </row>
    <row r="6902" spans="1:4" x14ac:dyDescent="0.3">
      <c r="A6902" s="2" t="s">
        <v>216</v>
      </c>
      <c r="B6902" s="2" t="s">
        <v>217</v>
      </c>
      <c r="C6902" s="3">
        <v>1970</v>
      </c>
      <c r="D6902" s="4">
        <v>809114</v>
      </c>
    </row>
    <row r="6903" spans="1:4" x14ac:dyDescent="0.3">
      <c r="A6903" s="5" t="s">
        <v>216</v>
      </c>
      <c r="B6903" s="5" t="s">
        <v>217</v>
      </c>
      <c r="C6903" s="6">
        <v>1971</v>
      </c>
      <c r="D6903" s="7">
        <v>865076</v>
      </c>
    </row>
    <row r="6904" spans="1:4" x14ac:dyDescent="0.3">
      <c r="A6904" s="2" t="s">
        <v>216</v>
      </c>
      <c r="B6904" s="2" t="s">
        <v>217</v>
      </c>
      <c r="C6904" s="3">
        <v>1972</v>
      </c>
      <c r="D6904" s="4">
        <v>920352</v>
      </c>
    </row>
    <row r="6905" spans="1:4" x14ac:dyDescent="0.3">
      <c r="A6905" s="5" t="s">
        <v>216</v>
      </c>
      <c r="B6905" s="5" t="s">
        <v>217</v>
      </c>
      <c r="C6905" s="6">
        <v>1973</v>
      </c>
      <c r="D6905" s="7">
        <v>977654</v>
      </c>
    </row>
    <row r="6906" spans="1:4" x14ac:dyDescent="0.3">
      <c r="A6906" s="2" t="s">
        <v>216</v>
      </c>
      <c r="B6906" s="2" t="s">
        <v>217</v>
      </c>
      <c r="C6906" s="3">
        <v>1974</v>
      </c>
      <c r="D6906" s="4">
        <v>1038346</v>
      </c>
    </row>
    <row r="6907" spans="1:4" x14ac:dyDescent="0.3">
      <c r="A6907" s="5" t="s">
        <v>216</v>
      </c>
      <c r="B6907" s="5" t="s">
        <v>217</v>
      </c>
      <c r="C6907" s="6">
        <v>1975</v>
      </c>
      <c r="D6907" s="7">
        <v>1104863</v>
      </c>
    </row>
    <row r="6908" spans="1:4" x14ac:dyDescent="0.3">
      <c r="A6908" s="2" t="s">
        <v>216</v>
      </c>
      <c r="B6908" s="2" t="s">
        <v>217</v>
      </c>
      <c r="C6908" s="3">
        <v>1976</v>
      </c>
      <c r="D6908" s="4">
        <v>1178711</v>
      </c>
    </row>
    <row r="6909" spans="1:4" x14ac:dyDescent="0.3">
      <c r="A6909" s="5" t="s">
        <v>216</v>
      </c>
      <c r="B6909" s="5" t="s">
        <v>217</v>
      </c>
      <c r="C6909" s="6">
        <v>1977</v>
      </c>
      <c r="D6909" s="7">
        <v>1258023</v>
      </c>
    </row>
    <row r="6910" spans="1:4" x14ac:dyDescent="0.3">
      <c r="A6910" s="2" t="s">
        <v>216</v>
      </c>
      <c r="B6910" s="2" t="s">
        <v>217</v>
      </c>
      <c r="C6910" s="3">
        <v>1978</v>
      </c>
      <c r="D6910" s="4">
        <v>1340319</v>
      </c>
    </row>
    <row r="6911" spans="1:4" x14ac:dyDescent="0.3">
      <c r="A6911" s="5" t="s">
        <v>216</v>
      </c>
      <c r="B6911" s="5" t="s">
        <v>217</v>
      </c>
      <c r="C6911" s="6">
        <v>1979</v>
      </c>
      <c r="D6911" s="7">
        <v>1423514</v>
      </c>
    </row>
    <row r="6912" spans="1:4" x14ac:dyDescent="0.3">
      <c r="A6912" s="2" t="s">
        <v>216</v>
      </c>
      <c r="B6912" s="2" t="s">
        <v>217</v>
      </c>
      <c r="C6912" s="3">
        <v>1980</v>
      </c>
      <c r="D6912" s="4">
        <v>1504782</v>
      </c>
    </row>
    <row r="6913" spans="1:4" x14ac:dyDescent="0.3">
      <c r="A6913" s="5" t="s">
        <v>216</v>
      </c>
      <c r="B6913" s="5" t="s">
        <v>217</v>
      </c>
      <c r="C6913" s="6">
        <v>1981</v>
      </c>
      <c r="D6913" s="7">
        <v>1583426</v>
      </c>
    </row>
    <row r="6914" spans="1:4" x14ac:dyDescent="0.3">
      <c r="A6914" s="2" t="s">
        <v>216</v>
      </c>
      <c r="B6914" s="2" t="s">
        <v>217</v>
      </c>
      <c r="C6914" s="3">
        <v>1982</v>
      </c>
      <c r="D6914" s="4">
        <v>1662480</v>
      </c>
    </row>
    <row r="6915" spans="1:4" x14ac:dyDescent="0.3">
      <c r="A6915" s="5" t="s">
        <v>216</v>
      </c>
      <c r="B6915" s="5" t="s">
        <v>217</v>
      </c>
      <c r="C6915" s="6">
        <v>1983</v>
      </c>
      <c r="D6915" s="7">
        <v>1744295</v>
      </c>
    </row>
    <row r="6916" spans="1:4" x14ac:dyDescent="0.3">
      <c r="A6916" s="2" t="s">
        <v>216</v>
      </c>
      <c r="B6916" s="2" t="s">
        <v>217</v>
      </c>
      <c r="C6916" s="3">
        <v>1984</v>
      </c>
      <c r="D6916" s="4">
        <v>1820688</v>
      </c>
    </row>
    <row r="6917" spans="1:4" x14ac:dyDescent="0.3">
      <c r="A6917" s="5" t="s">
        <v>216</v>
      </c>
      <c r="B6917" s="5" t="s">
        <v>217</v>
      </c>
      <c r="C6917" s="6">
        <v>1985</v>
      </c>
      <c r="D6917" s="7">
        <v>1894242</v>
      </c>
    </row>
    <row r="6918" spans="1:4" x14ac:dyDescent="0.3">
      <c r="A6918" s="2" t="s">
        <v>216</v>
      </c>
      <c r="B6918" s="2" t="s">
        <v>217</v>
      </c>
      <c r="C6918" s="3">
        <v>1986</v>
      </c>
      <c r="D6918" s="4">
        <v>1972520</v>
      </c>
    </row>
    <row r="6919" spans="1:4" x14ac:dyDescent="0.3">
      <c r="A6919" s="5" t="s">
        <v>216</v>
      </c>
      <c r="B6919" s="5" t="s">
        <v>217</v>
      </c>
      <c r="C6919" s="6">
        <v>1987</v>
      </c>
      <c r="D6919" s="7">
        <v>2052994</v>
      </c>
    </row>
    <row r="6920" spans="1:4" x14ac:dyDescent="0.3">
      <c r="A6920" s="2" t="s">
        <v>216</v>
      </c>
      <c r="B6920" s="2" t="s">
        <v>217</v>
      </c>
      <c r="C6920" s="3">
        <v>1988</v>
      </c>
      <c r="D6920" s="4">
        <v>2134707</v>
      </c>
    </row>
    <row r="6921" spans="1:4" x14ac:dyDescent="0.3">
      <c r="A6921" s="5" t="s">
        <v>216</v>
      </c>
      <c r="B6921" s="5" t="s">
        <v>217</v>
      </c>
      <c r="C6921" s="6">
        <v>1989</v>
      </c>
      <c r="D6921" s="7">
        <v>2217468</v>
      </c>
    </row>
    <row r="6922" spans="1:4" x14ac:dyDescent="0.3">
      <c r="A6922" s="2" t="s">
        <v>216</v>
      </c>
      <c r="B6922" s="2" t="s">
        <v>217</v>
      </c>
      <c r="C6922" s="3">
        <v>1990</v>
      </c>
      <c r="D6922" s="4">
        <v>1684819</v>
      </c>
    </row>
    <row r="6923" spans="1:4" x14ac:dyDescent="0.3">
      <c r="A6923" s="5" t="s">
        <v>216</v>
      </c>
      <c r="B6923" s="5" t="s">
        <v>217</v>
      </c>
      <c r="C6923" s="6">
        <v>1991</v>
      </c>
      <c r="D6923" s="7">
        <v>1351399</v>
      </c>
    </row>
    <row r="6924" spans="1:4" x14ac:dyDescent="0.3">
      <c r="A6924" s="2" t="s">
        <v>216</v>
      </c>
      <c r="B6924" s="2" t="s">
        <v>217</v>
      </c>
      <c r="C6924" s="3">
        <v>1992</v>
      </c>
      <c r="D6924" s="4">
        <v>1634961</v>
      </c>
    </row>
    <row r="6925" spans="1:4" x14ac:dyDescent="0.3">
      <c r="A6925" s="5" t="s">
        <v>216</v>
      </c>
      <c r="B6925" s="5" t="s">
        <v>217</v>
      </c>
      <c r="C6925" s="6">
        <v>1993</v>
      </c>
      <c r="D6925" s="7">
        <v>1672151</v>
      </c>
    </row>
    <row r="6926" spans="1:4" x14ac:dyDescent="0.3">
      <c r="A6926" s="2" t="s">
        <v>216</v>
      </c>
      <c r="B6926" s="2" t="s">
        <v>217</v>
      </c>
      <c r="C6926" s="3">
        <v>1994</v>
      </c>
      <c r="D6926" s="4">
        <v>1664361</v>
      </c>
    </row>
    <row r="6927" spans="1:4" x14ac:dyDescent="0.3">
      <c r="A6927" s="5" t="s">
        <v>216</v>
      </c>
      <c r="B6927" s="5" t="s">
        <v>217</v>
      </c>
      <c r="C6927" s="6">
        <v>1995</v>
      </c>
      <c r="D6927" s="7">
        <v>1681513</v>
      </c>
    </row>
    <row r="6928" spans="1:4" x14ac:dyDescent="0.3">
      <c r="A6928" s="2" t="s">
        <v>216</v>
      </c>
      <c r="B6928" s="2" t="s">
        <v>217</v>
      </c>
      <c r="C6928" s="3">
        <v>1996</v>
      </c>
      <c r="D6928" s="4">
        <v>1730246</v>
      </c>
    </row>
    <row r="6929" spans="1:4" x14ac:dyDescent="0.3">
      <c r="A6929" s="5" t="s">
        <v>216</v>
      </c>
      <c r="B6929" s="5" t="s">
        <v>217</v>
      </c>
      <c r="C6929" s="6">
        <v>1997</v>
      </c>
      <c r="D6929" s="7">
        <v>1787683</v>
      </c>
    </row>
    <row r="6930" spans="1:4" x14ac:dyDescent="0.3">
      <c r="A6930" s="2" t="s">
        <v>216</v>
      </c>
      <c r="B6930" s="2" t="s">
        <v>217</v>
      </c>
      <c r="C6930" s="3">
        <v>1998</v>
      </c>
      <c r="D6930" s="4">
        <v>1844302</v>
      </c>
    </row>
    <row r="6931" spans="1:4" x14ac:dyDescent="0.3">
      <c r="A6931" s="5" t="s">
        <v>216</v>
      </c>
      <c r="B6931" s="5" t="s">
        <v>217</v>
      </c>
      <c r="C6931" s="6">
        <v>1999</v>
      </c>
      <c r="D6931" s="7">
        <v>1900030</v>
      </c>
    </row>
    <row r="6932" spans="1:4" x14ac:dyDescent="0.3">
      <c r="A6932" s="2" t="s">
        <v>216</v>
      </c>
      <c r="B6932" s="2" t="s">
        <v>217</v>
      </c>
      <c r="C6932" s="3">
        <v>2000</v>
      </c>
      <c r="D6932" s="4">
        <v>1954709</v>
      </c>
    </row>
    <row r="6933" spans="1:4" x14ac:dyDescent="0.3">
      <c r="A6933" s="5" t="s">
        <v>216</v>
      </c>
      <c r="B6933" s="5" t="s">
        <v>217</v>
      </c>
      <c r="C6933" s="6">
        <v>2001</v>
      </c>
      <c r="D6933" s="7">
        <v>2008121</v>
      </c>
    </row>
    <row r="6934" spans="1:4" x14ac:dyDescent="0.3">
      <c r="A6934" s="2" t="s">
        <v>216</v>
      </c>
      <c r="B6934" s="2" t="s">
        <v>217</v>
      </c>
      <c r="C6934" s="3">
        <v>2002</v>
      </c>
      <c r="D6934" s="4">
        <v>2059974</v>
      </c>
    </row>
    <row r="6935" spans="1:4" x14ac:dyDescent="0.3">
      <c r="A6935" s="5" t="s">
        <v>216</v>
      </c>
      <c r="B6935" s="5" t="s">
        <v>217</v>
      </c>
      <c r="C6935" s="6">
        <v>2003</v>
      </c>
      <c r="D6935" s="7">
        <v>2109881</v>
      </c>
    </row>
    <row r="6936" spans="1:4" x14ac:dyDescent="0.3">
      <c r="A6936" s="2" t="s">
        <v>216</v>
      </c>
      <c r="B6936" s="2" t="s">
        <v>217</v>
      </c>
      <c r="C6936" s="3">
        <v>2004</v>
      </c>
      <c r="D6936" s="4">
        <v>2157320</v>
      </c>
    </row>
    <row r="6937" spans="1:4" x14ac:dyDescent="0.3">
      <c r="A6937" s="5" t="s">
        <v>216</v>
      </c>
      <c r="B6937" s="5" t="s">
        <v>217</v>
      </c>
      <c r="C6937" s="6">
        <v>2005</v>
      </c>
      <c r="D6937" s="7">
        <v>2236788</v>
      </c>
    </row>
    <row r="6938" spans="1:4" x14ac:dyDescent="0.3">
      <c r="A6938" s="2" t="s">
        <v>216</v>
      </c>
      <c r="B6938" s="2" t="s">
        <v>217</v>
      </c>
      <c r="C6938" s="3">
        <v>2006</v>
      </c>
      <c r="D6938" s="4">
        <v>2364733</v>
      </c>
    </row>
    <row r="6939" spans="1:4" x14ac:dyDescent="0.3">
      <c r="A6939" s="5" t="s">
        <v>216</v>
      </c>
      <c r="B6939" s="5" t="s">
        <v>217</v>
      </c>
      <c r="C6939" s="6">
        <v>2007</v>
      </c>
      <c r="D6939" s="7">
        <v>2507887</v>
      </c>
    </row>
    <row r="6940" spans="1:4" x14ac:dyDescent="0.3">
      <c r="A6940" s="2" t="s">
        <v>216</v>
      </c>
      <c r="B6940" s="2" t="s">
        <v>217</v>
      </c>
      <c r="C6940" s="3">
        <v>2008</v>
      </c>
      <c r="D6940" s="4">
        <v>2651421</v>
      </c>
    </row>
    <row r="6941" spans="1:4" x14ac:dyDescent="0.3">
      <c r="A6941" s="5" t="s">
        <v>216</v>
      </c>
      <c r="B6941" s="5" t="s">
        <v>217</v>
      </c>
      <c r="C6941" s="6">
        <v>2009</v>
      </c>
      <c r="D6941" s="7">
        <v>2795484</v>
      </c>
    </row>
    <row r="6942" spans="1:4" x14ac:dyDescent="0.3">
      <c r="A6942" s="2" t="s">
        <v>216</v>
      </c>
      <c r="B6942" s="2" t="s">
        <v>217</v>
      </c>
      <c r="C6942" s="3">
        <v>2010</v>
      </c>
      <c r="D6942" s="4">
        <v>2943372</v>
      </c>
    </row>
    <row r="6943" spans="1:4" x14ac:dyDescent="0.3">
      <c r="A6943" s="5" t="s">
        <v>216</v>
      </c>
      <c r="B6943" s="5" t="s">
        <v>217</v>
      </c>
      <c r="C6943" s="6">
        <v>2011</v>
      </c>
      <c r="D6943" s="7">
        <v>3132814</v>
      </c>
    </row>
    <row r="6944" spans="1:4" x14ac:dyDescent="0.3">
      <c r="A6944" s="2" t="s">
        <v>216</v>
      </c>
      <c r="B6944" s="2" t="s">
        <v>217</v>
      </c>
      <c r="C6944" s="3">
        <v>2012</v>
      </c>
      <c r="D6944" s="4">
        <v>3337109</v>
      </c>
    </row>
    <row r="6945" spans="1:4" x14ac:dyDescent="0.3">
      <c r="A6945" s="5" t="s">
        <v>216</v>
      </c>
      <c r="B6945" s="5" t="s">
        <v>217</v>
      </c>
      <c r="C6945" s="6">
        <v>2013</v>
      </c>
      <c r="D6945" s="7">
        <v>3507844</v>
      </c>
    </row>
    <row r="6946" spans="1:4" x14ac:dyDescent="0.3">
      <c r="A6946" s="2" t="s">
        <v>216</v>
      </c>
      <c r="B6946" s="2" t="s">
        <v>217</v>
      </c>
      <c r="C6946" s="3">
        <v>2014</v>
      </c>
      <c r="D6946" s="4">
        <v>3665876</v>
      </c>
    </row>
    <row r="6947" spans="1:4" x14ac:dyDescent="0.3">
      <c r="A6947" s="5" t="s">
        <v>216</v>
      </c>
      <c r="B6947" s="5" t="s">
        <v>217</v>
      </c>
      <c r="C6947" s="6">
        <v>2015</v>
      </c>
      <c r="D6947" s="7">
        <v>3834574</v>
      </c>
    </row>
    <row r="6948" spans="1:4" x14ac:dyDescent="0.3">
      <c r="A6948" s="2" t="s">
        <v>216</v>
      </c>
      <c r="B6948" s="2" t="s">
        <v>217</v>
      </c>
      <c r="C6948" s="3">
        <v>2016</v>
      </c>
      <c r="D6948" s="4">
        <v>4004096</v>
      </c>
    </row>
    <row r="6949" spans="1:4" x14ac:dyDescent="0.3">
      <c r="A6949" s="5" t="s">
        <v>216</v>
      </c>
      <c r="B6949" s="5" t="s">
        <v>217</v>
      </c>
      <c r="C6949" s="6">
        <v>2017</v>
      </c>
      <c r="D6949" s="7">
        <v>4154812</v>
      </c>
    </row>
    <row r="6950" spans="1:4" x14ac:dyDescent="0.3">
      <c r="A6950" s="2" t="s">
        <v>216</v>
      </c>
      <c r="B6950" s="2" t="s">
        <v>217</v>
      </c>
      <c r="C6950" s="3">
        <v>2018</v>
      </c>
      <c r="D6950" s="4">
        <v>4323515</v>
      </c>
    </row>
    <row r="6951" spans="1:4" x14ac:dyDescent="0.3">
      <c r="A6951" s="5" t="s">
        <v>216</v>
      </c>
      <c r="B6951" s="5" t="s">
        <v>217</v>
      </c>
      <c r="C6951" s="6">
        <v>2019</v>
      </c>
      <c r="D6951" s="7">
        <v>4442316</v>
      </c>
    </row>
    <row r="6952" spans="1:4" x14ac:dyDescent="0.3">
      <c r="A6952" s="2" t="s">
        <v>216</v>
      </c>
      <c r="B6952" s="2" t="s">
        <v>217</v>
      </c>
      <c r="C6952" s="3">
        <v>2020</v>
      </c>
      <c r="D6952" s="4">
        <v>4400267</v>
      </c>
    </row>
    <row r="6953" spans="1:4" x14ac:dyDescent="0.3">
      <c r="A6953" s="5" t="s">
        <v>216</v>
      </c>
      <c r="B6953" s="5" t="s">
        <v>217</v>
      </c>
      <c r="C6953" s="6">
        <v>2021</v>
      </c>
      <c r="D6953" s="7">
        <v>4360865</v>
      </c>
    </row>
    <row r="6954" spans="1:4" x14ac:dyDescent="0.3">
      <c r="A6954" s="2" t="s">
        <v>216</v>
      </c>
      <c r="B6954" s="2" t="s">
        <v>217</v>
      </c>
      <c r="C6954" s="3">
        <v>2022</v>
      </c>
      <c r="D6954" s="4">
        <v>4589643</v>
      </c>
    </row>
    <row r="6955" spans="1:4" x14ac:dyDescent="0.3">
      <c r="A6955" s="5" t="s">
        <v>216</v>
      </c>
      <c r="B6955" s="5" t="s">
        <v>217</v>
      </c>
      <c r="C6955" s="6">
        <v>2023</v>
      </c>
      <c r="D6955" s="7">
        <v>4853420</v>
      </c>
    </row>
    <row r="6956" spans="1:4" x14ac:dyDescent="0.3">
      <c r="A6956" s="2" t="s">
        <v>216</v>
      </c>
      <c r="B6956" s="2" t="s">
        <v>217</v>
      </c>
      <c r="C6956" s="3">
        <v>2024</v>
      </c>
      <c r="D6956" s="4">
        <v>4973861</v>
      </c>
    </row>
    <row r="6957" spans="1:4" x14ac:dyDescent="0.3">
      <c r="A6957" s="5" t="s">
        <v>218</v>
      </c>
      <c r="B6957" s="5" t="s">
        <v>219</v>
      </c>
      <c r="C6957" s="6">
        <v>1960</v>
      </c>
      <c r="D6957" s="7">
        <v>2172300</v>
      </c>
    </row>
    <row r="6958" spans="1:4" x14ac:dyDescent="0.3">
      <c r="A6958" s="2" t="s">
        <v>218</v>
      </c>
      <c r="B6958" s="2" t="s">
        <v>219</v>
      </c>
      <c r="C6958" s="3">
        <v>1961</v>
      </c>
      <c r="D6958" s="4">
        <v>2255900</v>
      </c>
    </row>
    <row r="6959" spans="1:4" x14ac:dyDescent="0.3">
      <c r="A6959" s="5" t="s">
        <v>218</v>
      </c>
      <c r="B6959" s="5" t="s">
        <v>219</v>
      </c>
      <c r="C6959" s="6">
        <v>1962</v>
      </c>
      <c r="D6959" s="7">
        <v>2333400</v>
      </c>
    </row>
    <row r="6960" spans="1:4" x14ac:dyDescent="0.3">
      <c r="A6960" s="2" t="s">
        <v>218</v>
      </c>
      <c r="B6960" s="2" t="s">
        <v>219</v>
      </c>
      <c r="C6960" s="3">
        <v>1963</v>
      </c>
      <c r="D6960" s="4">
        <v>2413700</v>
      </c>
    </row>
    <row r="6961" spans="1:4" x14ac:dyDescent="0.3">
      <c r="A6961" s="5" t="s">
        <v>218</v>
      </c>
      <c r="B6961" s="5" t="s">
        <v>219</v>
      </c>
      <c r="C6961" s="6">
        <v>1964</v>
      </c>
      <c r="D6961" s="7">
        <v>2495300</v>
      </c>
    </row>
    <row r="6962" spans="1:4" x14ac:dyDescent="0.3">
      <c r="A6962" s="2" t="s">
        <v>218</v>
      </c>
      <c r="B6962" s="2" t="s">
        <v>219</v>
      </c>
      <c r="C6962" s="3">
        <v>1965</v>
      </c>
      <c r="D6962" s="4">
        <v>2573300</v>
      </c>
    </row>
    <row r="6963" spans="1:4" x14ac:dyDescent="0.3">
      <c r="A6963" s="5" t="s">
        <v>218</v>
      </c>
      <c r="B6963" s="5" t="s">
        <v>219</v>
      </c>
      <c r="C6963" s="6">
        <v>1966</v>
      </c>
      <c r="D6963" s="7">
        <v>2655300</v>
      </c>
    </row>
    <row r="6964" spans="1:4" x14ac:dyDescent="0.3">
      <c r="A6964" s="2" t="s">
        <v>218</v>
      </c>
      <c r="B6964" s="2" t="s">
        <v>219</v>
      </c>
      <c r="C6964" s="3">
        <v>1967</v>
      </c>
      <c r="D6964" s="4">
        <v>2736500</v>
      </c>
    </row>
    <row r="6965" spans="1:4" x14ac:dyDescent="0.3">
      <c r="A6965" s="5" t="s">
        <v>218</v>
      </c>
      <c r="B6965" s="5" t="s">
        <v>219</v>
      </c>
      <c r="C6965" s="6">
        <v>1968</v>
      </c>
      <c r="D6965" s="7">
        <v>2818300</v>
      </c>
    </row>
    <row r="6966" spans="1:4" x14ac:dyDescent="0.3">
      <c r="A6966" s="2" t="s">
        <v>218</v>
      </c>
      <c r="B6966" s="2" t="s">
        <v>219</v>
      </c>
      <c r="C6966" s="3">
        <v>1969</v>
      </c>
      <c r="D6966" s="4">
        <v>2894800</v>
      </c>
    </row>
    <row r="6967" spans="1:4" x14ac:dyDescent="0.3">
      <c r="A6967" s="5" t="s">
        <v>218</v>
      </c>
      <c r="B6967" s="5" t="s">
        <v>219</v>
      </c>
      <c r="C6967" s="6">
        <v>1970</v>
      </c>
      <c r="D6967" s="7">
        <v>2959900</v>
      </c>
    </row>
    <row r="6968" spans="1:4" x14ac:dyDescent="0.3">
      <c r="A6968" s="2" t="s">
        <v>218</v>
      </c>
      <c r="B6968" s="2" t="s">
        <v>219</v>
      </c>
      <c r="C6968" s="3">
        <v>1971</v>
      </c>
      <c r="D6968" s="4">
        <v>3022300</v>
      </c>
    </row>
    <row r="6969" spans="1:4" x14ac:dyDescent="0.3">
      <c r="A6969" s="5" t="s">
        <v>218</v>
      </c>
      <c r="B6969" s="5" t="s">
        <v>219</v>
      </c>
      <c r="C6969" s="6">
        <v>1972</v>
      </c>
      <c r="D6969" s="7">
        <v>3088200</v>
      </c>
    </row>
    <row r="6970" spans="1:4" x14ac:dyDescent="0.3">
      <c r="A6970" s="2" t="s">
        <v>218</v>
      </c>
      <c r="B6970" s="2" t="s">
        <v>219</v>
      </c>
      <c r="C6970" s="3">
        <v>1973</v>
      </c>
      <c r="D6970" s="4">
        <v>3153800</v>
      </c>
    </row>
    <row r="6971" spans="1:4" x14ac:dyDescent="0.3">
      <c r="A6971" s="5" t="s">
        <v>218</v>
      </c>
      <c r="B6971" s="5" t="s">
        <v>219</v>
      </c>
      <c r="C6971" s="6">
        <v>1974</v>
      </c>
      <c r="D6971" s="7">
        <v>3223900</v>
      </c>
    </row>
    <row r="6972" spans="1:4" x14ac:dyDescent="0.3">
      <c r="A6972" s="2" t="s">
        <v>218</v>
      </c>
      <c r="B6972" s="2" t="s">
        <v>219</v>
      </c>
      <c r="C6972" s="3">
        <v>1975</v>
      </c>
      <c r="D6972" s="4">
        <v>3292400</v>
      </c>
    </row>
    <row r="6973" spans="1:4" x14ac:dyDescent="0.3">
      <c r="A6973" s="5" t="s">
        <v>218</v>
      </c>
      <c r="B6973" s="5" t="s">
        <v>219</v>
      </c>
      <c r="C6973" s="6">
        <v>1976</v>
      </c>
      <c r="D6973" s="7">
        <v>3358700</v>
      </c>
    </row>
    <row r="6974" spans="1:4" x14ac:dyDescent="0.3">
      <c r="A6974" s="2" t="s">
        <v>218</v>
      </c>
      <c r="B6974" s="2" t="s">
        <v>219</v>
      </c>
      <c r="C6974" s="3">
        <v>1977</v>
      </c>
      <c r="D6974" s="4">
        <v>3423900</v>
      </c>
    </row>
    <row r="6975" spans="1:4" x14ac:dyDescent="0.3">
      <c r="A6975" s="5" t="s">
        <v>218</v>
      </c>
      <c r="B6975" s="5" t="s">
        <v>219</v>
      </c>
      <c r="C6975" s="6">
        <v>1978</v>
      </c>
      <c r="D6975" s="7">
        <v>3487100</v>
      </c>
    </row>
    <row r="6976" spans="1:4" x14ac:dyDescent="0.3">
      <c r="A6976" s="2" t="s">
        <v>218</v>
      </c>
      <c r="B6976" s="2" t="s">
        <v>219</v>
      </c>
      <c r="C6976" s="3">
        <v>1979</v>
      </c>
      <c r="D6976" s="4">
        <v>3552000</v>
      </c>
    </row>
    <row r="6977" spans="1:4" x14ac:dyDescent="0.3">
      <c r="A6977" s="5" t="s">
        <v>218</v>
      </c>
      <c r="B6977" s="5" t="s">
        <v>219</v>
      </c>
      <c r="C6977" s="6">
        <v>1980</v>
      </c>
      <c r="D6977" s="7">
        <v>3617400</v>
      </c>
    </row>
    <row r="6978" spans="1:4" x14ac:dyDescent="0.3">
      <c r="A6978" s="2" t="s">
        <v>218</v>
      </c>
      <c r="B6978" s="2" t="s">
        <v>219</v>
      </c>
      <c r="C6978" s="3">
        <v>1981</v>
      </c>
      <c r="D6978" s="4">
        <v>3685800</v>
      </c>
    </row>
    <row r="6979" spans="1:4" x14ac:dyDescent="0.3">
      <c r="A6979" s="5" t="s">
        <v>218</v>
      </c>
      <c r="B6979" s="5" t="s">
        <v>219</v>
      </c>
      <c r="C6979" s="6">
        <v>1982</v>
      </c>
      <c r="D6979" s="7">
        <v>3759300</v>
      </c>
    </row>
    <row r="6980" spans="1:4" x14ac:dyDescent="0.3">
      <c r="A6980" s="2" t="s">
        <v>218</v>
      </c>
      <c r="B6980" s="2" t="s">
        <v>219</v>
      </c>
      <c r="C6980" s="3">
        <v>1983</v>
      </c>
      <c r="D6980" s="4">
        <v>3838300</v>
      </c>
    </row>
    <row r="6981" spans="1:4" x14ac:dyDescent="0.3">
      <c r="A6981" s="5" t="s">
        <v>218</v>
      </c>
      <c r="B6981" s="5" t="s">
        <v>219</v>
      </c>
      <c r="C6981" s="6">
        <v>1984</v>
      </c>
      <c r="D6981" s="7">
        <v>3916400</v>
      </c>
    </row>
    <row r="6982" spans="1:4" x14ac:dyDescent="0.3">
      <c r="A6982" s="2" t="s">
        <v>218</v>
      </c>
      <c r="B6982" s="2" t="s">
        <v>219</v>
      </c>
      <c r="C6982" s="3">
        <v>1985</v>
      </c>
      <c r="D6982" s="4">
        <v>3990300</v>
      </c>
    </row>
    <row r="6983" spans="1:4" x14ac:dyDescent="0.3">
      <c r="A6983" s="5" t="s">
        <v>218</v>
      </c>
      <c r="B6983" s="5" t="s">
        <v>219</v>
      </c>
      <c r="C6983" s="6">
        <v>1986</v>
      </c>
      <c r="D6983" s="7">
        <v>4066500</v>
      </c>
    </row>
    <row r="6984" spans="1:4" x14ac:dyDescent="0.3">
      <c r="A6984" s="2" t="s">
        <v>218</v>
      </c>
      <c r="B6984" s="2" t="s">
        <v>219</v>
      </c>
      <c r="C6984" s="3">
        <v>1987</v>
      </c>
      <c r="D6984" s="4">
        <v>4144600</v>
      </c>
    </row>
    <row r="6985" spans="1:4" x14ac:dyDescent="0.3">
      <c r="A6985" s="5" t="s">
        <v>218</v>
      </c>
      <c r="B6985" s="5" t="s">
        <v>219</v>
      </c>
      <c r="C6985" s="6">
        <v>1988</v>
      </c>
      <c r="D6985" s="7">
        <v>4218400</v>
      </c>
    </row>
    <row r="6986" spans="1:4" x14ac:dyDescent="0.3">
      <c r="A6986" s="2" t="s">
        <v>218</v>
      </c>
      <c r="B6986" s="2" t="s">
        <v>219</v>
      </c>
      <c r="C6986" s="3">
        <v>1989</v>
      </c>
      <c r="D6986" s="4">
        <v>4307500</v>
      </c>
    </row>
    <row r="6987" spans="1:4" x14ac:dyDescent="0.3">
      <c r="A6987" s="5" t="s">
        <v>218</v>
      </c>
      <c r="B6987" s="5" t="s">
        <v>219</v>
      </c>
      <c r="C6987" s="6">
        <v>1990</v>
      </c>
      <c r="D6987" s="7">
        <v>4391236</v>
      </c>
    </row>
    <row r="6988" spans="1:4" x14ac:dyDescent="0.3">
      <c r="A6988" s="2" t="s">
        <v>218</v>
      </c>
      <c r="B6988" s="2" t="s">
        <v>219</v>
      </c>
      <c r="C6988" s="3">
        <v>1991</v>
      </c>
      <c r="D6988" s="4">
        <v>4463634</v>
      </c>
    </row>
    <row r="6989" spans="1:4" x14ac:dyDescent="0.3">
      <c r="A6989" s="5" t="s">
        <v>218</v>
      </c>
      <c r="B6989" s="5" t="s">
        <v>219</v>
      </c>
      <c r="C6989" s="6">
        <v>1992</v>
      </c>
      <c r="D6989" s="7">
        <v>4515400</v>
      </c>
    </row>
    <row r="6990" spans="1:4" x14ac:dyDescent="0.3">
      <c r="A6990" s="2" t="s">
        <v>218</v>
      </c>
      <c r="B6990" s="2" t="s">
        <v>219</v>
      </c>
      <c r="C6990" s="3">
        <v>1993</v>
      </c>
      <c r="D6990" s="4">
        <v>4516777</v>
      </c>
    </row>
    <row r="6991" spans="1:4" x14ac:dyDescent="0.3">
      <c r="A6991" s="5" t="s">
        <v>218</v>
      </c>
      <c r="B6991" s="5" t="s">
        <v>219</v>
      </c>
      <c r="C6991" s="6">
        <v>1994</v>
      </c>
      <c r="D6991" s="7">
        <v>4515069</v>
      </c>
    </row>
    <row r="6992" spans="1:4" x14ac:dyDescent="0.3">
      <c r="A6992" s="2" t="s">
        <v>218</v>
      </c>
      <c r="B6992" s="2" t="s">
        <v>219</v>
      </c>
      <c r="C6992" s="3">
        <v>1995</v>
      </c>
      <c r="D6992" s="4">
        <v>4560454</v>
      </c>
    </row>
    <row r="6993" spans="1:4" x14ac:dyDescent="0.3">
      <c r="A6993" s="5" t="s">
        <v>218</v>
      </c>
      <c r="B6993" s="5" t="s">
        <v>219</v>
      </c>
      <c r="C6993" s="6">
        <v>1996</v>
      </c>
      <c r="D6993" s="7">
        <v>4628438</v>
      </c>
    </row>
    <row r="6994" spans="1:4" x14ac:dyDescent="0.3">
      <c r="A6994" s="2" t="s">
        <v>218</v>
      </c>
      <c r="B6994" s="2" t="s">
        <v>219</v>
      </c>
      <c r="C6994" s="3">
        <v>1997</v>
      </c>
      <c r="D6994" s="4">
        <v>4696421</v>
      </c>
    </row>
    <row r="6995" spans="1:4" x14ac:dyDescent="0.3">
      <c r="A6995" s="5" t="s">
        <v>218</v>
      </c>
      <c r="B6995" s="5" t="s">
        <v>219</v>
      </c>
      <c r="C6995" s="6">
        <v>1998</v>
      </c>
      <c r="D6995" s="7">
        <v>4769015</v>
      </c>
    </row>
    <row r="6996" spans="1:4" x14ac:dyDescent="0.3">
      <c r="A6996" s="2" t="s">
        <v>218</v>
      </c>
      <c r="B6996" s="2" t="s">
        <v>219</v>
      </c>
      <c r="C6996" s="3">
        <v>1999</v>
      </c>
      <c r="D6996" s="4">
        <v>4840422</v>
      </c>
    </row>
    <row r="6997" spans="1:4" x14ac:dyDescent="0.3">
      <c r="A6997" s="5" t="s">
        <v>218</v>
      </c>
      <c r="B6997" s="5" t="s">
        <v>219</v>
      </c>
      <c r="C6997" s="6">
        <v>2000</v>
      </c>
      <c r="D6997" s="7">
        <v>4898362</v>
      </c>
    </row>
    <row r="6998" spans="1:4" x14ac:dyDescent="0.3">
      <c r="A6998" s="2" t="s">
        <v>218</v>
      </c>
      <c r="B6998" s="2" t="s">
        <v>219</v>
      </c>
      <c r="C6998" s="3">
        <v>2001</v>
      </c>
      <c r="D6998" s="4">
        <v>4945073</v>
      </c>
    </row>
    <row r="6999" spans="1:4" x14ac:dyDescent="0.3">
      <c r="A6999" s="5" t="s">
        <v>218</v>
      </c>
      <c r="B6999" s="5" t="s">
        <v>219</v>
      </c>
      <c r="C6999" s="6">
        <v>2002</v>
      </c>
      <c r="D6999" s="7">
        <v>4990704</v>
      </c>
    </row>
    <row r="7000" spans="1:4" x14ac:dyDescent="0.3">
      <c r="A7000" s="2" t="s">
        <v>218</v>
      </c>
      <c r="B7000" s="2" t="s">
        <v>219</v>
      </c>
      <c r="C7000" s="3">
        <v>2003</v>
      </c>
      <c r="D7000" s="4">
        <v>5043308</v>
      </c>
    </row>
    <row r="7001" spans="1:4" x14ac:dyDescent="0.3">
      <c r="A7001" s="5" t="s">
        <v>218</v>
      </c>
      <c r="B7001" s="5" t="s">
        <v>219</v>
      </c>
      <c r="C7001" s="6">
        <v>2004</v>
      </c>
      <c r="D7001" s="7">
        <v>5104713</v>
      </c>
    </row>
    <row r="7002" spans="1:4" x14ac:dyDescent="0.3">
      <c r="A7002" s="2" t="s">
        <v>218</v>
      </c>
      <c r="B7002" s="2" t="s">
        <v>219</v>
      </c>
      <c r="C7002" s="3">
        <v>2005</v>
      </c>
      <c r="D7002" s="4">
        <v>5162640</v>
      </c>
    </row>
    <row r="7003" spans="1:4" x14ac:dyDescent="0.3">
      <c r="A7003" s="5" t="s">
        <v>218</v>
      </c>
      <c r="B7003" s="5" t="s">
        <v>219</v>
      </c>
      <c r="C7003" s="6">
        <v>2006</v>
      </c>
      <c r="D7003" s="7">
        <v>5218373</v>
      </c>
    </row>
    <row r="7004" spans="1:4" x14ac:dyDescent="0.3">
      <c r="A7004" s="2" t="s">
        <v>218</v>
      </c>
      <c r="B7004" s="2" t="s">
        <v>219</v>
      </c>
      <c r="C7004" s="3">
        <v>2007</v>
      </c>
      <c r="D7004" s="4">
        <v>5268385</v>
      </c>
    </row>
    <row r="7005" spans="1:4" x14ac:dyDescent="0.3">
      <c r="A7005" s="5" t="s">
        <v>218</v>
      </c>
      <c r="B7005" s="5" t="s">
        <v>219</v>
      </c>
      <c r="C7005" s="6">
        <v>2008</v>
      </c>
      <c r="D7005" s="7">
        <v>5318729</v>
      </c>
    </row>
    <row r="7006" spans="1:4" x14ac:dyDescent="0.3">
      <c r="A7006" s="2" t="s">
        <v>218</v>
      </c>
      <c r="B7006" s="2" t="s">
        <v>219</v>
      </c>
      <c r="C7006" s="3">
        <v>2009</v>
      </c>
      <c r="D7006" s="4">
        <v>5389643</v>
      </c>
    </row>
    <row r="7007" spans="1:4" x14ac:dyDescent="0.3">
      <c r="A7007" s="5" t="s">
        <v>218</v>
      </c>
      <c r="B7007" s="5" t="s">
        <v>219</v>
      </c>
      <c r="C7007" s="6">
        <v>2010</v>
      </c>
      <c r="D7007" s="7">
        <v>5467059</v>
      </c>
    </row>
    <row r="7008" spans="1:4" x14ac:dyDescent="0.3">
      <c r="A7008" s="2" t="s">
        <v>218</v>
      </c>
      <c r="B7008" s="2" t="s">
        <v>219</v>
      </c>
      <c r="C7008" s="3">
        <v>2011</v>
      </c>
      <c r="D7008" s="4">
        <v>5546587</v>
      </c>
    </row>
    <row r="7009" spans="1:4" x14ac:dyDescent="0.3">
      <c r="A7009" s="5" t="s">
        <v>218</v>
      </c>
      <c r="B7009" s="5" t="s">
        <v>219</v>
      </c>
      <c r="C7009" s="6">
        <v>2012</v>
      </c>
      <c r="D7009" s="7">
        <v>5652076</v>
      </c>
    </row>
    <row r="7010" spans="1:4" x14ac:dyDescent="0.3">
      <c r="A7010" s="2" t="s">
        <v>218</v>
      </c>
      <c r="B7010" s="2" t="s">
        <v>219</v>
      </c>
      <c r="C7010" s="3">
        <v>2013</v>
      </c>
      <c r="D7010" s="4">
        <v>5777150</v>
      </c>
    </row>
    <row r="7011" spans="1:4" x14ac:dyDescent="0.3">
      <c r="A7011" s="5" t="s">
        <v>218</v>
      </c>
      <c r="B7011" s="5" t="s">
        <v>219</v>
      </c>
      <c r="C7011" s="6">
        <v>2014</v>
      </c>
      <c r="D7011" s="7">
        <v>5905848</v>
      </c>
    </row>
    <row r="7012" spans="1:4" x14ac:dyDescent="0.3">
      <c r="A7012" s="2" t="s">
        <v>218</v>
      </c>
      <c r="B7012" s="2" t="s">
        <v>219</v>
      </c>
      <c r="C7012" s="3">
        <v>2015</v>
      </c>
      <c r="D7012" s="4">
        <v>6040036</v>
      </c>
    </row>
    <row r="7013" spans="1:4" x14ac:dyDescent="0.3">
      <c r="A7013" s="5" t="s">
        <v>218</v>
      </c>
      <c r="B7013" s="5" t="s">
        <v>219</v>
      </c>
      <c r="C7013" s="6">
        <v>2016</v>
      </c>
      <c r="D7013" s="7">
        <v>6175338</v>
      </c>
    </row>
    <row r="7014" spans="1:4" x14ac:dyDescent="0.3">
      <c r="A7014" s="2" t="s">
        <v>218</v>
      </c>
      <c r="B7014" s="2" t="s">
        <v>219</v>
      </c>
      <c r="C7014" s="3">
        <v>2017</v>
      </c>
      <c r="D7014" s="4">
        <v>6306696</v>
      </c>
    </row>
    <row r="7015" spans="1:4" x14ac:dyDescent="0.3">
      <c r="A7015" s="5" t="s">
        <v>218</v>
      </c>
      <c r="B7015" s="5" t="s">
        <v>219</v>
      </c>
      <c r="C7015" s="6">
        <v>2018</v>
      </c>
      <c r="D7015" s="7">
        <v>6444079</v>
      </c>
    </row>
    <row r="7016" spans="1:4" x14ac:dyDescent="0.3">
      <c r="A7016" s="2" t="s">
        <v>218</v>
      </c>
      <c r="B7016" s="2" t="s">
        <v>219</v>
      </c>
      <c r="C7016" s="3">
        <v>2019</v>
      </c>
      <c r="D7016" s="4">
        <v>6590211</v>
      </c>
    </row>
    <row r="7017" spans="1:4" x14ac:dyDescent="0.3">
      <c r="A7017" s="5" t="s">
        <v>218</v>
      </c>
      <c r="B7017" s="5" t="s">
        <v>219</v>
      </c>
      <c r="C7017" s="6">
        <v>2020</v>
      </c>
      <c r="D7017" s="7">
        <v>6726596</v>
      </c>
    </row>
    <row r="7018" spans="1:4" x14ac:dyDescent="0.3">
      <c r="A7018" s="2" t="s">
        <v>218</v>
      </c>
      <c r="B7018" s="2" t="s">
        <v>219</v>
      </c>
      <c r="C7018" s="3">
        <v>2021</v>
      </c>
      <c r="D7018" s="4">
        <v>6851224</v>
      </c>
    </row>
    <row r="7019" spans="1:4" x14ac:dyDescent="0.3">
      <c r="A7019" s="5" t="s">
        <v>218</v>
      </c>
      <c r="B7019" s="5" t="s">
        <v>219</v>
      </c>
      <c r="C7019" s="6">
        <v>2022</v>
      </c>
      <c r="D7019" s="7">
        <v>6975220</v>
      </c>
    </row>
    <row r="7020" spans="1:4" x14ac:dyDescent="0.3">
      <c r="A7020" s="2" t="s">
        <v>218</v>
      </c>
      <c r="B7020" s="2" t="s">
        <v>219</v>
      </c>
      <c r="C7020" s="3">
        <v>2023</v>
      </c>
      <c r="D7020" s="4">
        <v>7099750</v>
      </c>
    </row>
    <row r="7021" spans="1:4" x14ac:dyDescent="0.3">
      <c r="A7021" s="5" t="s">
        <v>218</v>
      </c>
      <c r="B7021" s="5" t="s">
        <v>219</v>
      </c>
      <c r="C7021" s="6">
        <v>2024</v>
      </c>
      <c r="D7021" s="7">
        <v>7224614</v>
      </c>
    </row>
    <row r="7022" spans="1:4" x14ac:dyDescent="0.3">
      <c r="A7022" s="2" t="s">
        <v>220</v>
      </c>
      <c r="B7022" s="2" t="s">
        <v>221</v>
      </c>
      <c r="C7022" s="3">
        <v>1960</v>
      </c>
      <c r="D7022" s="4">
        <v>2121514</v>
      </c>
    </row>
    <row r="7023" spans="1:4" x14ac:dyDescent="0.3">
      <c r="A7023" s="5" t="s">
        <v>220</v>
      </c>
      <c r="B7023" s="5" t="s">
        <v>221</v>
      </c>
      <c r="C7023" s="6">
        <v>1961</v>
      </c>
      <c r="D7023" s="7">
        <v>2169796</v>
      </c>
    </row>
    <row r="7024" spans="1:4" x14ac:dyDescent="0.3">
      <c r="A7024" s="2" t="s">
        <v>220</v>
      </c>
      <c r="B7024" s="2" t="s">
        <v>221</v>
      </c>
      <c r="C7024" s="3">
        <v>1962</v>
      </c>
      <c r="D7024" s="4">
        <v>2219910</v>
      </c>
    </row>
    <row r="7025" spans="1:4" x14ac:dyDescent="0.3">
      <c r="A7025" s="5" t="s">
        <v>220</v>
      </c>
      <c r="B7025" s="5" t="s">
        <v>221</v>
      </c>
      <c r="C7025" s="6">
        <v>1963</v>
      </c>
      <c r="D7025" s="7">
        <v>2271061</v>
      </c>
    </row>
    <row r="7026" spans="1:4" x14ac:dyDescent="0.3">
      <c r="A7026" s="2" t="s">
        <v>220</v>
      </c>
      <c r="B7026" s="2" t="s">
        <v>221</v>
      </c>
      <c r="C7026" s="3">
        <v>1964</v>
      </c>
      <c r="D7026" s="4">
        <v>2322826</v>
      </c>
    </row>
    <row r="7027" spans="1:4" x14ac:dyDescent="0.3">
      <c r="A7027" s="5" t="s">
        <v>220</v>
      </c>
      <c r="B7027" s="5" t="s">
        <v>221</v>
      </c>
      <c r="C7027" s="6">
        <v>1965</v>
      </c>
      <c r="D7027" s="7">
        <v>2376200</v>
      </c>
    </row>
    <row r="7028" spans="1:4" x14ac:dyDescent="0.3">
      <c r="A7028" s="2" t="s">
        <v>220</v>
      </c>
      <c r="B7028" s="2" t="s">
        <v>221</v>
      </c>
      <c r="C7028" s="3">
        <v>1966</v>
      </c>
      <c r="D7028" s="4">
        <v>2431084</v>
      </c>
    </row>
    <row r="7029" spans="1:4" x14ac:dyDescent="0.3">
      <c r="A7029" s="5" t="s">
        <v>220</v>
      </c>
      <c r="B7029" s="5" t="s">
        <v>221</v>
      </c>
      <c r="C7029" s="6">
        <v>1967</v>
      </c>
      <c r="D7029" s="7">
        <v>2487715</v>
      </c>
    </row>
    <row r="7030" spans="1:4" x14ac:dyDescent="0.3">
      <c r="A7030" s="2" t="s">
        <v>220</v>
      </c>
      <c r="B7030" s="2" t="s">
        <v>221</v>
      </c>
      <c r="C7030" s="3">
        <v>1968</v>
      </c>
      <c r="D7030" s="4">
        <v>2546377</v>
      </c>
    </row>
    <row r="7031" spans="1:4" x14ac:dyDescent="0.3">
      <c r="A7031" s="5" t="s">
        <v>220</v>
      </c>
      <c r="B7031" s="5" t="s">
        <v>221</v>
      </c>
      <c r="C7031" s="6">
        <v>1969</v>
      </c>
      <c r="D7031" s="7">
        <v>2606959</v>
      </c>
    </row>
    <row r="7032" spans="1:4" x14ac:dyDescent="0.3">
      <c r="A7032" s="2" t="s">
        <v>220</v>
      </c>
      <c r="B7032" s="2" t="s">
        <v>221</v>
      </c>
      <c r="C7032" s="3">
        <v>1970</v>
      </c>
      <c r="D7032" s="4">
        <v>2669702</v>
      </c>
    </row>
    <row r="7033" spans="1:4" x14ac:dyDescent="0.3">
      <c r="A7033" s="5" t="s">
        <v>220</v>
      </c>
      <c r="B7033" s="5" t="s">
        <v>221</v>
      </c>
      <c r="C7033" s="6">
        <v>1971</v>
      </c>
      <c r="D7033" s="7">
        <v>2734628</v>
      </c>
    </row>
    <row r="7034" spans="1:4" x14ac:dyDescent="0.3">
      <c r="A7034" s="2" t="s">
        <v>220</v>
      </c>
      <c r="B7034" s="2" t="s">
        <v>221</v>
      </c>
      <c r="C7034" s="3">
        <v>1972</v>
      </c>
      <c r="D7034" s="4">
        <v>2801660</v>
      </c>
    </row>
    <row r="7035" spans="1:4" x14ac:dyDescent="0.3">
      <c r="A7035" s="5" t="s">
        <v>220</v>
      </c>
      <c r="B7035" s="5" t="s">
        <v>221</v>
      </c>
      <c r="C7035" s="6">
        <v>1973</v>
      </c>
      <c r="D7035" s="7">
        <v>2870573</v>
      </c>
    </row>
    <row r="7036" spans="1:4" x14ac:dyDescent="0.3">
      <c r="A7036" s="2" t="s">
        <v>220</v>
      </c>
      <c r="B7036" s="2" t="s">
        <v>221</v>
      </c>
      <c r="C7036" s="3">
        <v>1974</v>
      </c>
      <c r="D7036" s="4">
        <v>2939761</v>
      </c>
    </row>
    <row r="7037" spans="1:4" x14ac:dyDescent="0.3">
      <c r="A7037" s="5" t="s">
        <v>220</v>
      </c>
      <c r="B7037" s="5" t="s">
        <v>221</v>
      </c>
      <c r="C7037" s="6">
        <v>1975</v>
      </c>
      <c r="D7037" s="7">
        <v>3005521</v>
      </c>
    </row>
    <row r="7038" spans="1:4" x14ac:dyDescent="0.3">
      <c r="A7038" s="2" t="s">
        <v>220</v>
      </c>
      <c r="B7038" s="2" t="s">
        <v>221</v>
      </c>
      <c r="C7038" s="3">
        <v>1976</v>
      </c>
      <c r="D7038" s="4">
        <v>3064876</v>
      </c>
    </row>
    <row r="7039" spans="1:4" x14ac:dyDescent="0.3">
      <c r="A7039" s="5" t="s">
        <v>220</v>
      </c>
      <c r="B7039" s="5" t="s">
        <v>221</v>
      </c>
      <c r="C7039" s="6">
        <v>1977</v>
      </c>
      <c r="D7039" s="7">
        <v>3118923</v>
      </c>
    </row>
    <row r="7040" spans="1:4" x14ac:dyDescent="0.3">
      <c r="A7040" s="2" t="s">
        <v>220</v>
      </c>
      <c r="B7040" s="2" t="s">
        <v>221</v>
      </c>
      <c r="C7040" s="3">
        <v>1978</v>
      </c>
      <c r="D7040" s="4">
        <v>3171740</v>
      </c>
    </row>
    <row r="7041" spans="1:4" x14ac:dyDescent="0.3">
      <c r="A7041" s="5" t="s">
        <v>220</v>
      </c>
      <c r="B7041" s="5" t="s">
        <v>221</v>
      </c>
      <c r="C7041" s="6">
        <v>1979</v>
      </c>
      <c r="D7041" s="7">
        <v>3228202</v>
      </c>
    </row>
    <row r="7042" spans="1:4" x14ac:dyDescent="0.3">
      <c r="A7042" s="2" t="s">
        <v>220</v>
      </c>
      <c r="B7042" s="2" t="s">
        <v>221</v>
      </c>
      <c r="C7042" s="3">
        <v>1980</v>
      </c>
      <c r="D7042" s="4">
        <v>3292573</v>
      </c>
    </row>
    <row r="7043" spans="1:4" x14ac:dyDescent="0.3">
      <c r="A7043" s="5" t="s">
        <v>220</v>
      </c>
      <c r="B7043" s="5" t="s">
        <v>221</v>
      </c>
      <c r="C7043" s="6">
        <v>1981</v>
      </c>
      <c r="D7043" s="7">
        <v>3366631</v>
      </c>
    </row>
    <row r="7044" spans="1:4" x14ac:dyDescent="0.3">
      <c r="A7044" s="2" t="s">
        <v>220</v>
      </c>
      <c r="B7044" s="2" t="s">
        <v>221</v>
      </c>
      <c r="C7044" s="3">
        <v>1982</v>
      </c>
      <c r="D7044" s="4">
        <v>3450026</v>
      </c>
    </row>
    <row r="7045" spans="1:4" x14ac:dyDescent="0.3">
      <c r="A7045" s="5" t="s">
        <v>220</v>
      </c>
      <c r="B7045" s="5" t="s">
        <v>221</v>
      </c>
      <c r="C7045" s="6">
        <v>1983</v>
      </c>
      <c r="D7045" s="7">
        <v>3541001</v>
      </c>
    </row>
    <row r="7046" spans="1:4" x14ac:dyDescent="0.3">
      <c r="A7046" s="2" t="s">
        <v>220</v>
      </c>
      <c r="B7046" s="2" t="s">
        <v>221</v>
      </c>
      <c r="C7046" s="3">
        <v>1984</v>
      </c>
      <c r="D7046" s="4">
        <v>3637843</v>
      </c>
    </row>
    <row r="7047" spans="1:4" x14ac:dyDescent="0.3">
      <c r="A7047" s="5" t="s">
        <v>220</v>
      </c>
      <c r="B7047" s="5" t="s">
        <v>221</v>
      </c>
      <c r="C7047" s="6">
        <v>1985</v>
      </c>
      <c r="D7047" s="7">
        <v>3739985</v>
      </c>
    </row>
    <row r="7048" spans="1:4" x14ac:dyDescent="0.3">
      <c r="A7048" s="2" t="s">
        <v>220</v>
      </c>
      <c r="B7048" s="2" t="s">
        <v>221</v>
      </c>
      <c r="C7048" s="3">
        <v>1986</v>
      </c>
      <c r="D7048" s="4">
        <v>3846715</v>
      </c>
    </row>
    <row r="7049" spans="1:4" x14ac:dyDescent="0.3">
      <c r="A7049" s="5" t="s">
        <v>220</v>
      </c>
      <c r="B7049" s="5" t="s">
        <v>221</v>
      </c>
      <c r="C7049" s="6">
        <v>1987</v>
      </c>
      <c r="D7049" s="7">
        <v>3957612</v>
      </c>
    </row>
    <row r="7050" spans="1:4" x14ac:dyDescent="0.3">
      <c r="A7050" s="2" t="s">
        <v>220</v>
      </c>
      <c r="B7050" s="2" t="s">
        <v>221</v>
      </c>
      <c r="C7050" s="3">
        <v>1988</v>
      </c>
      <c r="D7050" s="4">
        <v>4072601</v>
      </c>
    </row>
    <row r="7051" spans="1:4" x14ac:dyDescent="0.3">
      <c r="A7051" s="5" t="s">
        <v>220</v>
      </c>
      <c r="B7051" s="5" t="s">
        <v>221</v>
      </c>
      <c r="C7051" s="6">
        <v>1989</v>
      </c>
      <c r="D7051" s="7">
        <v>4190974</v>
      </c>
    </row>
    <row r="7052" spans="1:4" x14ac:dyDescent="0.3">
      <c r="A7052" s="2" t="s">
        <v>220</v>
      </c>
      <c r="B7052" s="2" t="s">
        <v>221</v>
      </c>
      <c r="C7052" s="3">
        <v>1990</v>
      </c>
      <c r="D7052" s="4">
        <v>4311955</v>
      </c>
    </row>
    <row r="7053" spans="1:4" x14ac:dyDescent="0.3">
      <c r="A7053" s="5" t="s">
        <v>220</v>
      </c>
      <c r="B7053" s="5" t="s">
        <v>221</v>
      </c>
      <c r="C7053" s="6">
        <v>1991</v>
      </c>
      <c r="D7053" s="7">
        <v>4435118</v>
      </c>
    </row>
    <row r="7054" spans="1:4" x14ac:dyDescent="0.3">
      <c r="A7054" s="2" t="s">
        <v>220</v>
      </c>
      <c r="B7054" s="2" t="s">
        <v>221</v>
      </c>
      <c r="C7054" s="3">
        <v>1992</v>
      </c>
      <c r="D7054" s="4">
        <v>4559646</v>
      </c>
    </row>
    <row r="7055" spans="1:4" x14ac:dyDescent="0.3">
      <c r="A7055" s="5" t="s">
        <v>220</v>
      </c>
      <c r="B7055" s="5" t="s">
        <v>221</v>
      </c>
      <c r="C7055" s="6">
        <v>1993</v>
      </c>
      <c r="D7055" s="7">
        <v>4685060</v>
      </c>
    </row>
    <row r="7056" spans="1:4" x14ac:dyDescent="0.3">
      <c r="A7056" s="2" t="s">
        <v>220</v>
      </c>
      <c r="B7056" s="2" t="s">
        <v>221</v>
      </c>
      <c r="C7056" s="3">
        <v>1994</v>
      </c>
      <c r="D7056" s="4">
        <v>4809220</v>
      </c>
    </row>
    <row r="7057" spans="1:4" x14ac:dyDescent="0.3">
      <c r="A7057" s="5" t="s">
        <v>220</v>
      </c>
      <c r="B7057" s="5" t="s">
        <v>221</v>
      </c>
      <c r="C7057" s="6">
        <v>1995</v>
      </c>
      <c r="D7057" s="7">
        <v>4929409</v>
      </c>
    </row>
    <row r="7058" spans="1:4" x14ac:dyDescent="0.3">
      <c r="A7058" s="2" t="s">
        <v>220</v>
      </c>
      <c r="B7058" s="2" t="s">
        <v>221</v>
      </c>
      <c r="C7058" s="3">
        <v>1996</v>
      </c>
      <c r="D7058" s="4">
        <v>5045678</v>
      </c>
    </row>
    <row r="7059" spans="1:4" x14ac:dyDescent="0.3">
      <c r="A7059" s="5" t="s">
        <v>220</v>
      </c>
      <c r="B7059" s="5" t="s">
        <v>221</v>
      </c>
      <c r="C7059" s="6">
        <v>1997</v>
      </c>
      <c r="D7059" s="7">
        <v>5152011</v>
      </c>
    </row>
    <row r="7060" spans="1:4" x14ac:dyDescent="0.3">
      <c r="A7060" s="2" t="s">
        <v>220</v>
      </c>
      <c r="B7060" s="2" t="s">
        <v>221</v>
      </c>
      <c r="C7060" s="3">
        <v>1998</v>
      </c>
      <c r="D7060" s="4">
        <v>5248266</v>
      </c>
    </row>
    <row r="7061" spans="1:4" x14ac:dyDescent="0.3">
      <c r="A7061" s="5" t="s">
        <v>220</v>
      </c>
      <c r="B7061" s="5" t="s">
        <v>221</v>
      </c>
      <c r="C7061" s="6">
        <v>1999</v>
      </c>
      <c r="D7061" s="7">
        <v>5340784</v>
      </c>
    </row>
    <row r="7062" spans="1:4" x14ac:dyDescent="0.3">
      <c r="A7062" s="2" t="s">
        <v>220</v>
      </c>
      <c r="B7062" s="2" t="s">
        <v>221</v>
      </c>
      <c r="C7062" s="3">
        <v>2000</v>
      </c>
      <c r="D7062" s="4">
        <v>5431212</v>
      </c>
    </row>
    <row r="7063" spans="1:4" x14ac:dyDescent="0.3">
      <c r="A7063" s="5" t="s">
        <v>220</v>
      </c>
      <c r="B7063" s="5" t="s">
        <v>221</v>
      </c>
      <c r="C7063" s="6">
        <v>2001</v>
      </c>
      <c r="D7063" s="7">
        <v>5521482</v>
      </c>
    </row>
    <row r="7064" spans="1:4" x14ac:dyDescent="0.3">
      <c r="A7064" s="2" t="s">
        <v>220</v>
      </c>
      <c r="B7064" s="2" t="s">
        <v>221</v>
      </c>
      <c r="C7064" s="3">
        <v>2002</v>
      </c>
      <c r="D7064" s="4">
        <v>5610889</v>
      </c>
    </row>
    <row r="7065" spans="1:4" x14ac:dyDescent="0.3">
      <c r="A7065" s="5" t="s">
        <v>220</v>
      </c>
      <c r="B7065" s="5" t="s">
        <v>221</v>
      </c>
      <c r="C7065" s="6">
        <v>2003</v>
      </c>
      <c r="D7065" s="7">
        <v>5697945</v>
      </c>
    </row>
    <row r="7066" spans="1:4" x14ac:dyDescent="0.3">
      <c r="A7066" s="2" t="s">
        <v>220</v>
      </c>
      <c r="B7066" s="2" t="s">
        <v>221</v>
      </c>
      <c r="C7066" s="3">
        <v>2004</v>
      </c>
      <c r="D7066" s="4">
        <v>5781626</v>
      </c>
    </row>
    <row r="7067" spans="1:4" x14ac:dyDescent="0.3">
      <c r="A7067" s="5" t="s">
        <v>220</v>
      </c>
      <c r="B7067" s="5" t="s">
        <v>221</v>
      </c>
      <c r="C7067" s="6">
        <v>2005</v>
      </c>
      <c r="D7067" s="7">
        <v>5869523</v>
      </c>
    </row>
    <row r="7068" spans="1:4" x14ac:dyDescent="0.3">
      <c r="A7068" s="2" t="s">
        <v>220</v>
      </c>
      <c r="B7068" s="2" t="s">
        <v>221</v>
      </c>
      <c r="C7068" s="3">
        <v>2006</v>
      </c>
      <c r="D7068" s="4">
        <v>5963200</v>
      </c>
    </row>
    <row r="7069" spans="1:4" x14ac:dyDescent="0.3">
      <c r="A7069" s="5" t="s">
        <v>220</v>
      </c>
      <c r="B7069" s="5" t="s">
        <v>221</v>
      </c>
      <c r="C7069" s="6">
        <v>2007</v>
      </c>
      <c r="D7069" s="7">
        <v>6056236</v>
      </c>
    </row>
    <row r="7070" spans="1:4" x14ac:dyDescent="0.3">
      <c r="A7070" s="2" t="s">
        <v>220</v>
      </c>
      <c r="B7070" s="2" t="s">
        <v>221</v>
      </c>
      <c r="C7070" s="3">
        <v>2008</v>
      </c>
      <c r="D7070" s="4">
        <v>6148969</v>
      </c>
    </row>
    <row r="7071" spans="1:4" x14ac:dyDescent="0.3">
      <c r="A7071" s="5" t="s">
        <v>220</v>
      </c>
      <c r="B7071" s="5" t="s">
        <v>221</v>
      </c>
      <c r="C7071" s="6">
        <v>2009</v>
      </c>
      <c r="D7071" s="7">
        <v>6241642</v>
      </c>
    </row>
    <row r="7072" spans="1:4" x14ac:dyDescent="0.3">
      <c r="A7072" s="2" t="s">
        <v>220</v>
      </c>
      <c r="B7072" s="2" t="s">
        <v>221</v>
      </c>
      <c r="C7072" s="3">
        <v>2010</v>
      </c>
      <c r="D7072" s="4">
        <v>6334194</v>
      </c>
    </row>
    <row r="7073" spans="1:4" x14ac:dyDescent="0.3">
      <c r="A7073" s="5" t="s">
        <v>220</v>
      </c>
      <c r="B7073" s="5" t="s">
        <v>221</v>
      </c>
      <c r="C7073" s="6">
        <v>2011</v>
      </c>
      <c r="D7073" s="7">
        <v>6426590</v>
      </c>
    </row>
    <row r="7074" spans="1:4" x14ac:dyDescent="0.3">
      <c r="A7074" s="2" t="s">
        <v>220</v>
      </c>
      <c r="B7074" s="2" t="s">
        <v>221</v>
      </c>
      <c r="C7074" s="3">
        <v>2012</v>
      </c>
      <c r="D7074" s="4">
        <v>6518978</v>
      </c>
    </row>
    <row r="7075" spans="1:4" x14ac:dyDescent="0.3">
      <c r="A7075" s="5" t="s">
        <v>220</v>
      </c>
      <c r="B7075" s="5" t="s">
        <v>221</v>
      </c>
      <c r="C7075" s="6">
        <v>2013</v>
      </c>
      <c r="D7075" s="7">
        <v>6611385</v>
      </c>
    </row>
    <row r="7076" spans="1:4" x14ac:dyDescent="0.3">
      <c r="A7076" s="2" t="s">
        <v>220</v>
      </c>
      <c r="B7076" s="2" t="s">
        <v>221</v>
      </c>
      <c r="C7076" s="3">
        <v>2014</v>
      </c>
      <c r="D7076" s="4">
        <v>6703172</v>
      </c>
    </row>
    <row r="7077" spans="1:4" x14ac:dyDescent="0.3">
      <c r="A7077" s="5" t="s">
        <v>220</v>
      </c>
      <c r="B7077" s="5" t="s">
        <v>221</v>
      </c>
      <c r="C7077" s="6">
        <v>2015</v>
      </c>
      <c r="D7077" s="7">
        <v>6801645</v>
      </c>
    </row>
    <row r="7078" spans="1:4" x14ac:dyDescent="0.3">
      <c r="A7078" s="2" t="s">
        <v>220</v>
      </c>
      <c r="B7078" s="2" t="s">
        <v>221</v>
      </c>
      <c r="C7078" s="3">
        <v>2016</v>
      </c>
      <c r="D7078" s="4">
        <v>6908802</v>
      </c>
    </row>
    <row r="7079" spans="1:4" x14ac:dyDescent="0.3">
      <c r="A7079" s="5" t="s">
        <v>220</v>
      </c>
      <c r="B7079" s="5" t="s">
        <v>221</v>
      </c>
      <c r="C7079" s="6">
        <v>2017</v>
      </c>
      <c r="D7079" s="7">
        <v>7018147</v>
      </c>
    </row>
    <row r="7080" spans="1:4" x14ac:dyDescent="0.3">
      <c r="A7080" s="2" t="s">
        <v>220</v>
      </c>
      <c r="B7080" s="2" t="s">
        <v>221</v>
      </c>
      <c r="C7080" s="3">
        <v>2018</v>
      </c>
      <c r="D7080" s="4">
        <v>7128045</v>
      </c>
    </row>
    <row r="7081" spans="1:4" x14ac:dyDescent="0.3">
      <c r="A7081" s="5" t="s">
        <v>220</v>
      </c>
      <c r="B7081" s="5" t="s">
        <v>221</v>
      </c>
      <c r="C7081" s="6">
        <v>2019</v>
      </c>
      <c r="D7081" s="7">
        <v>7237636</v>
      </c>
    </row>
    <row r="7082" spans="1:4" x14ac:dyDescent="0.3">
      <c r="A7082" s="2" t="s">
        <v>220</v>
      </c>
      <c r="B7082" s="2" t="s">
        <v>221</v>
      </c>
      <c r="C7082" s="3">
        <v>2020</v>
      </c>
      <c r="D7082" s="4">
        <v>7346533</v>
      </c>
    </row>
    <row r="7083" spans="1:4" x14ac:dyDescent="0.3">
      <c r="A7083" s="5" t="s">
        <v>220</v>
      </c>
      <c r="B7083" s="5" t="s">
        <v>221</v>
      </c>
      <c r="C7083" s="6">
        <v>2021</v>
      </c>
      <c r="D7083" s="7">
        <v>7453194</v>
      </c>
    </row>
    <row r="7084" spans="1:4" x14ac:dyDescent="0.3">
      <c r="A7084" s="2" t="s">
        <v>220</v>
      </c>
      <c r="B7084" s="2" t="s">
        <v>221</v>
      </c>
      <c r="C7084" s="3">
        <v>2022</v>
      </c>
      <c r="D7084" s="4">
        <v>7559007</v>
      </c>
    </row>
    <row r="7085" spans="1:4" x14ac:dyDescent="0.3">
      <c r="A7085" s="5" t="s">
        <v>220</v>
      </c>
      <c r="B7085" s="5" t="s">
        <v>221</v>
      </c>
      <c r="C7085" s="6">
        <v>2023</v>
      </c>
      <c r="D7085" s="7">
        <v>7664993</v>
      </c>
    </row>
    <row r="7086" spans="1:4" x14ac:dyDescent="0.3">
      <c r="A7086" s="2" t="s">
        <v>220</v>
      </c>
      <c r="B7086" s="2" t="s">
        <v>221</v>
      </c>
      <c r="C7086" s="3">
        <v>2024</v>
      </c>
      <c r="D7086" s="4">
        <v>7769819</v>
      </c>
    </row>
    <row r="7087" spans="1:4" x14ac:dyDescent="0.3">
      <c r="A7087" s="5" t="s">
        <v>222</v>
      </c>
      <c r="B7087" s="5" t="s">
        <v>223</v>
      </c>
      <c r="C7087" s="6">
        <v>1960</v>
      </c>
      <c r="D7087" s="7">
        <v>2120979</v>
      </c>
    </row>
    <row r="7088" spans="1:4" x14ac:dyDescent="0.3">
      <c r="A7088" s="2" t="s">
        <v>222</v>
      </c>
      <c r="B7088" s="2" t="s">
        <v>223</v>
      </c>
      <c r="C7088" s="3">
        <v>1961</v>
      </c>
      <c r="D7088" s="4">
        <v>2152681</v>
      </c>
    </row>
    <row r="7089" spans="1:4" x14ac:dyDescent="0.3">
      <c r="A7089" s="5" t="s">
        <v>222</v>
      </c>
      <c r="B7089" s="5" t="s">
        <v>223</v>
      </c>
      <c r="C7089" s="6">
        <v>1962</v>
      </c>
      <c r="D7089" s="7">
        <v>2181586</v>
      </c>
    </row>
    <row r="7090" spans="1:4" x14ac:dyDescent="0.3">
      <c r="A7090" s="2" t="s">
        <v>222</v>
      </c>
      <c r="B7090" s="2" t="s">
        <v>223</v>
      </c>
      <c r="C7090" s="3">
        <v>1963</v>
      </c>
      <c r="D7090" s="4">
        <v>2210919</v>
      </c>
    </row>
    <row r="7091" spans="1:4" x14ac:dyDescent="0.3">
      <c r="A7091" s="5" t="s">
        <v>222</v>
      </c>
      <c r="B7091" s="5" t="s">
        <v>223</v>
      </c>
      <c r="C7091" s="6">
        <v>1964</v>
      </c>
      <c r="D7091" s="7">
        <v>2240623</v>
      </c>
    </row>
    <row r="7092" spans="1:4" x14ac:dyDescent="0.3">
      <c r="A7092" s="2" t="s">
        <v>222</v>
      </c>
      <c r="B7092" s="2" t="s">
        <v>223</v>
      </c>
      <c r="C7092" s="3">
        <v>1965</v>
      </c>
      <c r="D7092" s="4">
        <v>2265919</v>
      </c>
    </row>
    <row r="7093" spans="1:4" x14ac:dyDescent="0.3">
      <c r="A7093" s="5" t="s">
        <v>222</v>
      </c>
      <c r="B7093" s="5" t="s">
        <v>223</v>
      </c>
      <c r="C7093" s="6">
        <v>1966</v>
      </c>
      <c r="D7093" s="7">
        <v>2283217</v>
      </c>
    </row>
    <row r="7094" spans="1:4" x14ac:dyDescent="0.3">
      <c r="A7094" s="2" t="s">
        <v>222</v>
      </c>
      <c r="B7094" s="2" t="s">
        <v>223</v>
      </c>
      <c r="C7094" s="3">
        <v>1967</v>
      </c>
      <c r="D7094" s="4">
        <v>2301220</v>
      </c>
    </row>
    <row r="7095" spans="1:4" x14ac:dyDescent="0.3">
      <c r="A7095" s="5" t="s">
        <v>222</v>
      </c>
      <c r="B7095" s="5" t="s">
        <v>223</v>
      </c>
      <c r="C7095" s="6">
        <v>1968</v>
      </c>
      <c r="D7095" s="7">
        <v>2323619</v>
      </c>
    </row>
    <row r="7096" spans="1:4" x14ac:dyDescent="0.3">
      <c r="A7096" s="2" t="s">
        <v>222</v>
      </c>
      <c r="B7096" s="2" t="s">
        <v>223</v>
      </c>
      <c r="C7096" s="3">
        <v>1969</v>
      </c>
      <c r="D7096" s="4">
        <v>2343173</v>
      </c>
    </row>
    <row r="7097" spans="1:4" x14ac:dyDescent="0.3">
      <c r="A7097" s="5" t="s">
        <v>222</v>
      </c>
      <c r="B7097" s="5" t="s">
        <v>223</v>
      </c>
      <c r="C7097" s="6">
        <v>1970</v>
      </c>
      <c r="D7097" s="7">
        <v>2359164</v>
      </c>
    </row>
    <row r="7098" spans="1:4" x14ac:dyDescent="0.3">
      <c r="A7098" s="2" t="s">
        <v>222</v>
      </c>
      <c r="B7098" s="2" t="s">
        <v>223</v>
      </c>
      <c r="C7098" s="3">
        <v>1971</v>
      </c>
      <c r="D7098" s="4">
        <v>2376389</v>
      </c>
    </row>
    <row r="7099" spans="1:4" x14ac:dyDescent="0.3">
      <c r="A7099" s="5" t="s">
        <v>222</v>
      </c>
      <c r="B7099" s="5" t="s">
        <v>223</v>
      </c>
      <c r="C7099" s="6">
        <v>1972</v>
      </c>
      <c r="D7099" s="7">
        <v>2395674</v>
      </c>
    </row>
    <row r="7100" spans="1:4" x14ac:dyDescent="0.3">
      <c r="A7100" s="2" t="s">
        <v>222</v>
      </c>
      <c r="B7100" s="2" t="s">
        <v>223</v>
      </c>
      <c r="C7100" s="3">
        <v>1973</v>
      </c>
      <c r="D7100" s="4">
        <v>2415819</v>
      </c>
    </row>
    <row r="7101" spans="1:4" x14ac:dyDescent="0.3">
      <c r="A7101" s="5" t="s">
        <v>222</v>
      </c>
      <c r="B7101" s="5" t="s">
        <v>223</v>
      </c>
      <c r="C7101" s="6">
        <v>1974</v>
      </c>
      <c r="D7101" s="7">
        <v>2437186</v>
      </c>
    </row>
    <row r="7102" spans="1:4" x14ac:dyDescent="0.3">
      <c r="A7102" s="2" t="s">
        <v>222</v>
      </c>
      <c r="B7102" s="2" t="s">
        <v>223</v>
      </c>
      <c r="C7102" s="3">
        <v>1975</v>
      </c>
      <c r="D7102" s="4">
        <v>2456130</v>
      </c>
    </row>
    <row r="7103" spans="1:4" x14ac:dyDescent="0.3">
      <c r="A7103" s="5" t="s">
        <v>222</v>
      </c>
      <c r="B7103" s="5" t="s">
        <v>223</v>
      </c>
      <c r="C7103" s="6">
        <v>1976</v>
      </c>
      <c r="D7103" s="7">
        <v>2470989</v>
      </c>
    </row>
    <row r="7104" spans="1:4" x14ac:dyDescent="0.3">
      <c r="A7104" s="2" t="s">
        <v>222</v>
      </c>
      <c r="B7104" s="2" t="s">
        <v>223</v>
      </c>
      <c r="C7104" s="3">
        <v>1977</v>
      </c>
      <c r="D7104" s="4">
        <v>2485073</v>
      </c>
    </row>
    <row r="7105" spans="1:4" x14ac:dyDescent="0.3">
      <c r="A7105" s="5" t="s">
        <v>222</v>
      </c>
      <c r="B7105" s="5" t="s">
        <v>223</v>
      </c>
      <c r="C7105" s="6">
        <v>1978</v>
      </c>
      <c r="D7105" s="7">
        <v>2497921</v>
      </c>
    </row>
    <row r="7106" spans="1:4" x14ac:dyDescent="0.3">
      <c r="A7106" s="2" t="s">
        <v>222</v>
      </c>
      <c r="B7106" s="2" t="s">
        <v>223</v>
      </c>
      <c r="C7106" s="3">
        <v>1979</v>
      </c>
      <c r="D7106" s="4">
        <v>2505953</v>
      </c>
    </row>
    <row r="7107" spans="1:4" x14ac:dyDescent="0.3">
      <c r="A7107" s="5" t="s">
        <v>222</v>
      </c>
      <c r="B7107" s="5" t="s">
        <v>223</v>
      </c>
      <c r="C7107" s="6">
        <v>1980</v>
      </c>
      <c r="D7107" s="7">
        <v>2511701</v>
      </c>
    </row>
    <row r="7108" spans="1:4" x14ac:dyDescent="0.3">
      <c r="A7108" s="2" t="s">
        <v>222</v>
      </c>
      <c r="B7108" s="2" t="s">
        <v>223</v>
      </c>
      <c r="C7108" s="3">
        <v>1981</v>
      </c>
      <c r="D7108" s="4">
        <v>2519421</v>
      </c>
    </row>
    <row r="7109" spans="1:4" x14ac:dyDescent="0.3">
      <c r="A7109" s="5" t="s">
        <v>222</v>
      </c>
      <c r="B7109" s="5" t="s">
        <v>223</v>
      </c>
      <c r="C7109" s="6">
        <v>1982</v>
      </c>
      <c r="D7109" s="7">
        <v>2531080</v>
      </c>
    </row>
    <row r="7110" spans="1:4" x14ac:dyDescent="0.3">
      <c r="A7110" s="2" t="s">
        <v>222</v>
      </c>
      <c r="B7110" s="2" t="s">
        <v>223</v>
      </c>
      <c r="C7110" s="3">
        <v>1983</v>
      </c>
      <c r="D7110" s="4">
        <v>2546011</v>
      </c>
    </row>
    <row r="7111" spans="1:4" x14ac:dyDescent="0.3">
      <c r="A7111" s="5" t="s">
        <v>222</v>
      </c>
      <c r="B7111" s="5" t="s">
        <v>223</v>
      </c>
      <c r="C7111" s="6">
        <v>1984</v>
      </c>
      <c r="D7111" s="7">
        <v>2562047</v>
      </c>
    </row>
    <row r="7112" spans="1:4" x14ac:dyDescent="0.3">
      <c r="A7112" s="2" t="s">
        <v>222</v>
      </c>
      <c r="B7112" s="2" t="s">
        <v>223</v>
      </c>
      <c r="C7112" s="3">
        <v>1985</v>
      </c>
      <c r="D7112" s="4">
        <v>2578873</v>
      </c>
    </row>
    <row r="7113" spans="1:4" x14ac:dyDescent="0.3">
      <c r="A7113" s="5" t="s">
        <v>222</v>
      </c>
      <c r="B7113" s="5" t="s">
        <v>223</v>
      </c>
      <c r="C7113" s="6">
        <v>1986</v>
      </c>
      <c r="D7113" s="7">
        <v>2599892</v>
      </c>
    </row>
    <row r="7114" spans="1:4" x14ac:dyDescent="0.3">
      <c r="A7114" s="2" t="s">
        <v>222</v>
      </c>
      <c r="B7114" s="2" t="s">
        <v>223</v>
      </c>
      <c r="C7114" s="3">
        <v>1987</v>
      </c>
      <c r="D7114" s="4">
        <v>2626583</v>
      </c>
    </row>
    <row r="7115" spans="1:4" x14ac:dyDescent="0.3">
      <c r="A7115" s="5" t="s">
        <v>222</v>
      </c>
      <c r="B7115" s="5" t="s">
        <v>223</v>
      </c>
      <c r="C7115" s="6">
        <v>1988</v>
      </c>
      <c r="D7115" s="7">
        <v>2653434</v>
      </c>
    </row>
    <row r="7116" spans="1:4" x14ac:dyDescent="0.3">
      <c r="A7116" s="2" t="s">
        <v>222</v>
      </c>
      <c r="B7116" s="2" t="s">
        <v>223</v>
      </c>
      <c r="C7116" s="3">
        <v>1989</v>
      </c>
      <c r="D7116" s="4">
        <v>2666955</v>
      </c>
    </row>
    <row r="7117" spans="1:4" x14ac:dyDescent="0.3">
      <c r="A7117" s="5" t="s">
        <v>222</v>
      </c>
      <c r="B7117" s="5" t="s">
        <v>223</v>
      </c>
      <c r="C7117" s="6">
        <v>1990</v>
      </c>
      <c r="D7117" s="7">
        <v>2663151</v>
      </c>
    </row>
    <row r="7118" spans="1:4" x14ac:dyDescent="0.3">
      <c r="A7118" s="2" t="s">
        <v>222</v>
      </c>
      <c r="B7118" s="2" t="s">
        <v>223</v>
      </c>
      <c r="C7118" s="3">
        <v>1991</v>
      </c>
      <c r="D7118" s="4">
        <v>2650581</v>
      </c>
    </row>
    <row r="7119" spans="1:4" x14ac:dyDescent="0.3">
      <c r="A7119" s="5" t="s">
        <v>222</v>
      </c>
      <c r="B7119" s="5" t="s">
        <v>223</v>
      </c>
      <c r="C7119" s="6">
        <v>1992</v>
      </c>
      <c r="D7119" s="7">
        <v>2614338</v>
      </c>
    </row>
    <row r="7120" spans="1:4" x14ac:dyDescent="0.3">
      <c r="A7120" s="2" t="s">
        <v>222</v>
      </c>
      <c r="B7120" s="2" t="s">
        <v>223</v>
      </c>
      <c r="C7120" s="3">
        <v>1993</v>
      </c>
      <c r="D7120" s="4">
        <v>2563290</v>
      </c>
    </row>
    <row r="7121" spans="1:4" x14ac:dyDescent="0.3">
      <c r="A7121" s="5" t="s">
        <v>222</v>
      </c>
      <c r="B7121" s="5" t="s">
        <v>223</v>
      </c>
      <c r="C7121" s="6">
        <v>1994</v>
      </c>
      <c r="D7121" s="7">
        <v>2520742</v>
      </c>
    </row>
    <row r="7122" spans="1:4" x14ac:dyDescent="0.3">
      <c r="A7122" s="2" t="s">
        <v>222</v>
      </c>
      <c r="B7122" s="2" t="s">
        <v>223</v>
      </c>
      <c r="C7122" s="3">
        <v>1995</v>
      </c>
      <c r="D7122" s="4">
        <v>2485056</v>
      </c>
    </row>
    <row r="7123" spans="1:4" x14ac:dyDescent="0.3">
      <c r="A7123" s="5" t="s">
        <v>222</v>
      </c>
      <c r="B7123" s="5" t="s">
        <v>223</v>
      </c>
      <c r="C7123" s="6">
        <v>1996</v>
      </c>
      <c r="D7123" s="7">
        <v>2457222</v>
      </c>
    </row>
    <row r="7124" spans="1:4" x14ac:dyDescent="0.3">
      <c r="A7124" s="2" t="s">
        <v>222</v>
      </c>
      <c r="B7124" s="2" t="s">
        <v>223</v>
      </c>
      <c r="C7124" s="3">
        <v>1997</v>
      </c>
      <c r="D7124" s="4">
        <v>2432851</v>
      </c>
    </row>
    <row r="7125" spans="1:4" x14ac:dyDescent="0.3">
      <c r="A7125" s="5" t="s">
        <v>222</v>
      </c>
      <c r="B7125" s="5" t="s">
        <v>223</v>
      </c>
      <c r="C7125" s="6">
        <v>1998</v>
      </c>
      <c r="D7125" s="7">
        <v>2410019</v>
      </c>
    </row>
    <row r="7126" spans="1:4" x14ac:dyDescent="0.3">
      <c r="A7126" s="2" t="s">
        <v>222</v>
      </c>
      <c r="B7126" s="2" t="s">
        <v>223</v>
      </c>
      <c r="C7126" s="3">
        <v>1999</v>
      </c>
      <c r="D7126" s="4">
        <v>2390482</v>
      </c>
    </row>
    <row r="7127" spans="1:4" x14ac:dyDescent="0.3">
      <c r="A7127" s="5" t="s">
        <v>222</v>
      </c>
      <c r="B7127" s="5" t="s">
        <v>223</v>
      </c>
      <c r="C7127" s="6">
        <v>2000</v>
      </c>
      <c r="D7127" s="7">
        <v>2367550</v>
      </c>
    </row>
    <row r="7128" spans="1:4" x14ac:dyDescent="0.3">
      <c r="A7128" s="2" t="s">
        <v>222</v>
      </c>
      <c r="B7128" s="2" t="s">
        <v>223</v>
      </c>
      <c r="C7128" s="3">
        <v>2001</v>
      </c>
      <c r="D7128" s="4">
        <v>2337170</v>
      </c>
    </row>
    <row r="7129" spans="1:4" x14ac:dyDescent="0.3">
      <c r="A7129" s="5" t="s">
        <v>222</v>
      </c>
      <c r="B7129" s="5" t="s">
        <v>223</v>
      </c>
      <c r="C7129" s="6">
        <v>2002</v>
      </c>
      <c r="D7129" s="7">
        <v>2310173</v>
      </c>
    </row>
    <row r="7130" spans="1:4" x14ac:dyDescent="0.3">
      <c r="A7130" s="2" t="s">
        <v>222</v>
      </c>
      <c r="B7130" s="2" t="s">
        <v>223</v>
      </c>
      <c r="C7130" s="3">
        <v>2003</v>
      </c>
      <c r="D7130" s="4">
        <v>2287955</v>
      </c>
    </row>
    <row r="7131" spans="1:4" x14ac:dyDescent="0.3">
      <c r="A7131" s="5" t="s">
        <v>222</v>
      </c>
      <c r="B7131" s="5" t="s">
        <v>223</v>
      </c>
      <c r="C7131" s="6">
        <v>2004</v>
      </c>
      <c r="D7131" s="7">
        <v>2263122</v>
      </c>
    </row>
    <row r="7132" spans="1:4" x14ac:dyDescent="0.3">
      <c r="A7132" s="2" t="s">
        <v>222</v>
      </c>
      <c r="B7132" s="2" t="s">
        <v>223</v>
      </c>
      <c r="C7132" s="3">
        <v>2005</v>
      </c>
      <c r="D7132" s="4">
        <v>2238799</v>
      </c>
    </row>
    <row r="7133" spans="1:4" x14ac:dyDescent="0.3">
      <c r="A7133" s="5" t="s">
        <v>222</v>
      </c>
      <c r="B7133" s="5" t="s">
        <v>223</v>
      </c>
      <c r="C7133" s="6">
        <v>2006</v>
      </c>
      <c r="D7133" s="7">
        <v>2218357</v>
      </c>
    </row>
    <row r="7134" spans="1:4" x14ac:dyDescent="0.3">
      <c r="A7134" s="2" t="s">
        <v>222</v>
      </c>
      <c r="B7134" s="2" t="s">
        <v>223</v>
      </c>
      <c r="C7134" s="3">
        <v>2007</v>
      </c>
      <c r="D7134" s="4">
        <v>2200325</v>
      </c>
    </row>
    <row r="7135" spans="1:4" x14ac:dyDescent="0.3">
      <c r="A7135" s="5" t="s">
        <v>222</v>
      </c>
      <c r="B7135" s="5" t="s">
        <v>223</v>
      </c>
      <c r="C7135" s="6">
        <v>2008</v>
      </c>
      <c r="D7135" s="7">
        <v>2177322</v>
      </c>
    </row>
    <row r="7136" spans="1:4" x14ac:dyDescent="0.3">
      <c r="A7136" s="2" t="s">
        <v>222</v>
      </c>
      <c r="B7136" s="2" t="s">
        <v>223</v>
      </c>
      <c r="C7136" s="3">
        <v>2009</v>
      </c>
      <c r="D7136" s="4">
        <v>2141669</v>
      </c>
    </row>
    <row r="7137" spans="1:4" x14ac:dyDescent="0.3">
      <c r="A7137" s="5" t="s">
        <v>222</v>
      </c>
      <c r="B7137" s="5" t="s">
        <v>223</v>
      </c>
      <c r="C7137" s="6">
        <v>2010</v>
      </c>
      <c r="D7137" s="7">
        <v>2097555</v>
      </c>
    </row>
    <row r="7138" spans="1:4" x14ac:dyDescent="0.3">
      <c r="A7138" s="2" t="s">
        <v>222</v>
      </c>
      <c r="B7138" s="2" t="s">
        <v>223</v>
      </c>
      <c r="C7138" s="3">
        <v>2011</v>
      </c>
      <c r="D7138" s="4">
        <v>2059709</v>
      </c>
    </row>
    <row r="7139" spans="1:4" x14ac:dyDescent="0.3">
      <c r="A7139" s="5" t="s">
        <v>222</v>
      </c>
      <c r="B7139" s="5" t="s">
        <v>223</v>
      </c>
      <c r="C7139" s="6">
        <v>2012</v>
      </c>
      <c r="D7139" s="7">
        <v>2034319</v>
      </c>
    </row>
    <row r="7140" spans="1:4" x14ac:dyDescent="0.3">
      <c r="A7140" s="2" t="s">
        <v>222</v>
      </c>
      <c r="B7140" s="2" t="s">
        <v>223</v>
      </c>
      <c r="C7140" s="3">
        <v>2013</v>
      </c>
      <c r="D7140" s="4">
        <v>2012647</v>
      </c>
    </row>
    <row r="7141" spans="1:4" x14ac:dyDescent="0.3">
      <c r="A7141" s="5" t="s">
        <v>222</v>
      </c>
      <c r="B7141" s="5" t="s">
        <v>223</v>
      </c>
      <c r="C7141" s="6">
        <v>2014</v>
      </c>
      <c r="D7141" s="7">
        <v>1993782</v>
      </c>
    </row>
    <row r="7142" spans="1:4" x14ac:dyDescent="0.3">
      <c r="A7142" s="2" t="s">
        <v>222</v>
      </c>
      <c r="B7142" s="2" t="s">
        <v>223</v>
      </c>
      <c r="C7142" s="3">
        <v>2015</v>
      </c>
      <c r="D7142" s="4">
        <v>1977527</v>
      </c>
    </row>
    <row r="7143" spans="1:4" x14ac:dyDescent="0.3">
      <c r="A7143" s="5" t="s">
        <v>222</v>
      </c>
      <c r="B7143" s="5" t="s">
        <v>223</v>
      </c>
      <c r="C7143" s="6">
        <v>2016</v>
      </c>
      <c r="D7143" s="7">
        <v>1959537</v>
      </c>
    </row>
    <row r="7144" spans="1:4" x14ac:dyDescent="0.3">
      <c r="A7144" s="2" t="s">
        <v>222</v>
      </c>
      <c r="B7144" s="2" t="s">
        <v>223</v>
      </c>
      <c r="C7144" s="3">
        <v>2017</v>
      </c>
      <c r="D7144" s="4">
        <v>1942248</v>
      </c>
    </row>
    <row r="7145" spans="1:4" x14ac:dyDescent="0.3">
      <c r="A7145" s="5" t="s">
        <v>222</v>
      </c>
      <c r="B7145" s="5" t="s">
        <v>223</v>
      </c>
      <c r="C7145" s="6">
        <v>2018</v>
      </c>
      <c r="D7145" s="7">
        <v>1927174</v>
      </c>
    </row>
    <row r="7146" spans="1:4" x14ac:dyDescent="0.3">
      <c r="A7146" s="2" t="s">
        <v>222</v>
      </c>
      <c r="B7146" s="2" t="s">
        <v>223</v>
      </c>
      <c r="C7146" s="3">
        <v>2019</v>
      </c>
      <c r="D7146" s="4">
        <v>1913822</v>
      </c>
    </row>
    <row r="7147" spans="1:4" x14ac:dyDescent="0.3">
      <c r="A7147" s="5" t="s">
        <v>222</v>
      </c>
      <c r="B7147" s="5" t="s">
        <v>223</v>
      </c>
      <c r="C7147" s="6">
        <v>2020</v>
      </c>
      <c r="D7147" s="7">
        <v>1900449</v>
      </c>
    </row>
    <row r="7148" spans="1:4" x14ac:dyDescent="0.3">
      <c r="A7148" s="2" t="s">
        <v>222</v>
      </c>
      <c r="B7148" s="2" t="s">
        <v>223</v>
      </c>
      <c r="C7148" s="3">
        <v>2021</v>
      </c>
      <c r="D7148" s="4">
        <v>1884490</v>
      </c>
    </row>
    <row r="7149" spans="1:4" x14ac:dyDescent="0.3">
      <c r="A7149" s="5" t="s">
        <v>222</v>
      </c>
      <c r="B7149" s="5" t="s">
        <v>223</v>
      </c>
      <c r="C7149" s="6">
        <v>2022</v>
      </c>
      <c r="D7149" s="7">
        <v>1879383</v>
      </c>
    </row>
    <row r="7150" spans="1:4" x14ac:dyDescent="0.3">
      <c r="A7150" s="2" t="s">
        <v>222</v>
      </c>
      <c r="B7150" s="2" t="s">
        <v>223</v>
      </c>
      <c r="C7150" s="3">
        <v>2023</v>
      </c>
      <c r="D7150" s="4">
        <v>1877445</v>
      </c>
    </row>
    <row r="7151" spans="1:4" x14ac:dyDescent="0.3">
      <c r="A7151" s="5" t="s">
        <v>222</v>
      </c>
      <c r="B7151" s="5" t="s">
        <v>223</v>
      </c>
      <c r="C7151" s="6">
        <v>2024</v>
      </c>
      <c r="D7151" s="7">
        <v>1862441</v>
      </c>
    </row>
    <row r="7152" spans="1:4" x14ac:dyDescent="0.3">
      <c r="A7152" s="2" t="s">
        <v>224</v>
      </c>
      <c r="B7152" s="2" t="s">
        <v>225</v>
      </c>
      <c r="C7152" s="3">
        <v>1960</v>
      </c>
      <c r="D7152" s="4">
        <v>1794406</v>
      </c>
    </row>
    <row r="7153" spans="1:4" x14ac:dyDescent="0.3">
      <c r="A7153" s="5" t="s">
        <v>224</v>
      </c>
      <c r="B7153" s="5" t="s">
        <v>225</v>
      </c>
      <c r="C7153" s="6">
        <v>1961</v>
      </c>
      <c r="D7153" s="7">
        <v>1850084</v>
      </c>
    </row>
    <row r="7154" spans="1:4" x14ac:dyDescent="0.3">
      <c r="A7154" s="2" t="s">
        <v>224</v>
      </c>
      <c r="B7154" s="2" t="s">
        <v>225</v>
      </c>
      <c r="C7154" s="3">
        <v>1962</v>
      </c>
      <c r="D7154" s="4">
        <v>1909578</v>
      </c>
    </row>
    <row r="7155" spans="1:4" x14ac:dyDescent="0.3">
      <c r="A7155" s="5" t="s">
        <v>224</v>
      </c>
      <c r="B7155" s="5" t="s">
        <v>225</v>
      </c>
      <c r="C7155" s="6">
        <v>1963</v>
      </c>
      <c r="D7155" s="7">
        <v>1970316</v>
      </c>
    </row>
    <row r="7156" spans="1:4" x14ac:dyDescent="0.3">
      <c r="A7156" s="2" t="s">
        <v>224</v>
      </c>
      <c r="B7156" s="2" t="s">
        <v>225</v>
      </c>
      <c r="C7156" s="3">
        <v>1964</v>
      </c>
      <c r="D7156" s="4">
        <v>2030543</v>
      </c>
    </row>
    <row r="7157" spans="1:4" x14ac:dyDescent="0.3">
      <c r="A7157" s="5" t="s">
        <v>224</v>
      </c>
      <c r="B7157" s="5" t="s">
        <v>225</v>
      </c>
      <c r="C7157" s="6">
        <v>1965</v>
      </c>
      <c r="D7157" s="7">
        <v>2088831</v>
      </c>
    </row>
    <row r="7158" spans="1:4" x14ac:dyDescent="0.3">
      <c r="A7158" s="2" t="s">
        <v>224</v>
      </c>
      <c r="B7158" s="2" t="s">
        <v>225</v>
      </c>
      <c r="C7158" s="3">
        <v>1966</v>
      </c>
      <c r="D7158" s="4">
        <v>2148260</v>
      </c>
    </row>
    <row r="7159" spans="1:4" x14ac:dyDescent="0.3">
      <c r="A7159" s="5" t="s">
        <v>224</v>
      </c>
      <c r="B7159" s="5" t="s">
        <v>225</v>
      </c>
      <c r="C7159" s="6">
        <v>1967</v>
      </c>
      <c r="D7159" s="7">
        <v>2206731</v>
      </c>
    </row>
    <row r="7160" spans="1:4" x14ac:dyDescent="0.3">
      <c r="A7160" s="2" t="s">
        <v>224</v>
      </c>
      <c r="B7160" s="2" t="s">
        <v>225</v>
      </c>
      <c r="C7160" s="3">
        <v>1968</v>
      </c>
      <c r="D7160" s="4">
        <v>2266368</v>
      </c>
    </row>
    <row r="7161" spans="1:4" x14ac:dyDescent="0.3">
      <c r="A7161" s="5" t="s">
        <v>224</v>
      </c>
      <c r="B7161" s="5" t="s">
        <v>225</v>
      </c>
      <c r="C7161" s="6">
        <v>1969</v>
      </c>
      <c r="D7161" s="7">
        <v>2328159</v>
      </c>
    </row>
    <row r="7162" spans="1:4" x14ac:dyDescent="0.3">
      <c r="A7162" s="2" t="s">
        <v>224</v>
      </c>
      <c r="B7162" s="2" t="s">
        <v>225</v>
      </c>
      <c r="C7162" s="3">
        <v>1970</v>
      </c>
      <c r="D7162" s="4">
        <v>2386114</v>
      </c>
    </row>
    <row r="7163" spans="1:4" x14ac:dyDescent="0.3">
      <c r="A7163" s="5" t="s">
        <v>224</v>
      </c>
      <c r="B7163" s="5" t="s">
        <v>225</v>
      </c>
      <c r="C7163" s="6">
        <v>1971</v>
      </c>
      <c r="D7163" s="7">
        <v>2446314</v>
      </c>
    </row>
    <row r="7164" spans="1:4" x14ac:dyDescent="0.3">
      <c r="A7164" s="2" t="s">
        <v>224</v>
      </c>
      <c r="B7164" s="2" t="s">
        <v>225</v>
      </c>
      <c r="C7164" s="3">
        <v>1972</v>
      </c>
      <c r="D7164" s="4">
        <v>2509729</v>
      </c>
    </row>
    <row r="7165" spans="1:4" x14ac:dyDescent="0.3">
      <c r="A7165" s="5" t="s">
        <v>224</v>
      </c>
      <c r="B7165" s="5" t="s">
        <v>225</v>
      </c>
      <c r="C7165" s="6">
        <v>1973</v>
      </c>
      <c r="D7165" s="7">
        <v>2572935</v>
      </c>
    </row>
    <row r="7166" spans="1:4" x14ac:dyDescent="0.3">
      <c r="A7166" s="2" t="s">
        <v>224</v>
      </c>
      <c r="B7166" s="2" t="s">
        <v>225</v>
      </c>
      <c r="C7166" s="3">
        <v>1974</v>
      </c>
      <c r="D7166" s="4">
        <v>2635185</v>
      </c>
    </row>
    <row r="7167" spans="1:4" x14ac:dyDescent="0.3">
      <c r="A7167" s="5" t="s">
        <v>224</v>
      </c>
      <c r="B7167" s="5" t="s">
        <v>225</v>
      </c>
      <c r="C7167" s="6">
        <v>1975</v>
      </c>
      <c r="D7167" s="7">
        <v>2693191</v>
      </c>
    </row>
    <row r="7168" spans="1:4" x14ac:dyDescent="0.3">
      <c r="A7168" s="2" t="s">
        <v>224</v>
      </c>
      <c r="B7168" s="2" t="s">
        <v>225</v>
      </c>
      <c r="C7168" s="3">
        <v>1976</v>
      </c>
      <c r="D7168" s="4">
        <v>2726469</v>
      </c>
    </row>
    <row r="7169" spans="1:4" x14ac:dyDescent="0.3">
      <c r="A7169" s="5" t="s">
        <v>224</v>
      </c>
      <c r="B7169" s="5" t="s">
        <v>225</v>
      </c>
      <c r="C7169" s="6">
        <v>1977</v>
      </c>
      <c r="D7169" s="7">
        <v>2762155</v>
      </c>
    </row>
    <row r="7170" spans="1:4" x14ac:dyDescent="0.3">
      <c r="A7170" s="2" t="s">
        <v>224</v>
      </c>
      <c r="B7170" s="2" t="s">
        <v>225</v>
      </c>
      <c r="C7170" s="3">
        <v>1978</v>
      </c>
      <c r="D7170" s="4">
        <v>2822682</v>
      </c>
    </row>
    <row r="7171" spans="1:4" x14ac:dyDescent="0.3">
      <c r="A7171" s="5" t="s">
        <v>224</v>
      </c>
      <c r="B7171" s="5" t="s">
        <v>225</v>
      </c>
      <c r="C7171" s="6">
        <v>1979</v>
      </c>
      <c r="D7171" s="7">
        <v>2882635</v>
      </c>
    </row>
    <row r="7172" spans="1:4" x14ac:dyDescent="0.3">
      <c r="A7172" s="2" t="s">
        <v>224</v>
      </c>
      <c r="B7172" s="2" t="s">
        <v>225</v>
      </c>
      <c r="C7172" s="3">
        <v>1980</v>
      </c>
      <c r="D7172" s="4">
        <v>2944763</v>
      </c>
    </row>
    <row r="7173" spans="1:4" x14ac:dyDescent="0.3">
      <c r="A7173" s="5" t="s">
        <v>224</v>
      </c>
      <c r="B7173" s="5" t="s">
        <v>225</v>
      </c>
      <c r="C7173" s="6">
        <v>1981</v>
      </c>
      <c r="D7173" s="7">
        <v>3008981</v>
      </c>
    </row>
    <row r="7174" spans="1:4" x14ac:dyDescent="0.3">
      <c r="A7174" s="2" t="s">
        <v>224</v>
      </c>
      <c r="B7174" s="2" t="s">
        <v>225</v>
      </c>
      <c r="C7174" s="3">
        <v>1982</v>
      </c>
      <c r="D7174" s="4">
        <v>3054931</v>
      </c>
    </row>
    <row r="7175" spans="1:4" x14ac:dyDescent="0.3">
      <c r="A7175" s="5" t="s">
        <v>224</v>
      </c>
      <c r="B7175" s="5" t="s">
        <v>225</v>
      </c>
      <c r="C7175" s="6">
        <v>1983</v>
      </c>
      <c r="D7175" s="7">
        <v>3094996</v>
      </c>
    </row>
    <row r="7176" spans="1:4" x14ac:dyDescent="0.3">
      <c r="A7176" s="2" t="s">
        <v>224</v>
      </c>
      <c r="B7176" s="2" t="s">
        <v>225</v>
      </c>
      <c r="C7176" s="3">
        <v>1984</v>
      </c>
      <c r="D7176" s="4">
        <v>3152744</v>
      </c>
    </row>
    <row r="7177" spans="1:4" x14ac:dyDescent="0.3">
      <c r="A7177" s="5" t="s">
        <v>224</v>
      </c>
      <c r="B7177" s="5" t="s">
        <v>225</v>
      </c>
      <c r="C7177" s="6">
        <v>1985</v>
      </c>
      <c r="D7177" s="7">
        <v>3217376</v>
      </c>
    </row>
    <row r="7178" spans="1:4" x14ac:dyDescent="0.3">
      <c r="A7178" s="2" t="s">
        <v>224</v>
      </c>
      <c r="B7178" s="2" t="s">
        <v>225</v>
      </c>
      <c r="C7178" s="3">
        <v>1986</v>
      </c>
      <c r="D7178" s="4">
        <v>3300365</v>
      </c>
    </row>
    <row r="7179" spans="1:4" x14ac:dyDescent="0.3">
      <c r="A7179" s="5" t="s">
        <v>224</v>
      </c>
      <c r="B7179" s="5" t="s">
        <v>225</v>
      </c>
      <c r="C7179" s="6">
        <v>1987</v>
      </c>
      <c r="D7179" s="7">
        <v>3385555</v>
      </c>
    </row>
    <row r="7180" spans="1:4" x14ac:dyDescent="0.3">
      <c r="A7180" s="2" t="s">
        <v>224</v>
      </c>
      <c r="B7180" s="2" t="s">
        <v>225</v>
      </c>
      <c r="C7180" s="3">
        <v>1988</v>
      </c>
      <c r="D7180" s="4">
        <v>3454649</v>
      </c>
    </row>
    <row r="7181" spans="1:4" x14ac:dyDescent="0.3">
      <c r="A7181" s="5" t="s">
        <v>224</v>
      </c>
      <c r="B7181" s="5" t="s">
        <v>225</v>
      </c>
      <c r="C7181" s="6">
        <v>1989</v>
      </c>
      <c r="D7181" s="7">
        <v>3525285</v>
      </c>
    </row>
    <row r="7182" spans="1:4" x14ac:dyDescent="0.3">
      <c r="A7182" s="2" t="s">
        <v>224</v>
      </c>
      <c r="B7182" s="2" t="s">
        <v>225</v>
      </c>
      <c r="C7182" s="3">
        <v>1990</v>
      </c>
      <c r="D7182" s="4">
        <v>3595175</v>
      </c>
    </row>
    <row r="7183" spans="1:4" x14ac:dyDescent="0.3">
      <c r="A7183" s="5" t="s">
        <v>224</v>
      </c>
      <c r="B7183" s="5" t="s">
        <v>225</v>
      </c>
      <c r="C7183" s="6">
        <v>1991</v>
      </c>
      <c r="D7183" s="7">
        <v>3668912</v>
      </c>
    </row>
    <row r="7184" spans="1:4" x14ac:dyDescent="0.3">
      <c r="A7184" s="2" t="s">
        <v>224</v>
      </c>
      <c r="B7184" s="2" t="s">
        <v>225</v>
      </c>
      <c r="C7184" s="3">
        <v>1992</v>
      </c>
      <c r="D7184" s="4">
        <v>3747371</v>
      </c>
    </row>
    <row r="7185" spans="1:4" x14ac:dyDescent="0.3">
      <c r="A7185" s="5" t="s">
        <v>224</v>
      </c>
      <c r="B7185" s="5" t="s">
        <v>225</v>
      </c>
      <c r="C7185" s="6">
        <v>1993</v>
      </c>
      <c r="D7185" s="7">
        <v>3820647</v>
      </c>
    </row>
    <row r="7186" spans="1:4" x14ac:dyDescent="0.3">
      <c r="A7186" s="2" t="s">
        <v>224</v>
      </c>
      <c r="B7186" s="2" t="s">
        <v>225</v>
      </c>
      <c r="C7186" s="3">
        <v>1994</v>
      </c>
      <c r="D7186" s="4">
        <v>3889799</v>
      </c>
    </row>
    <row r="7187" spans="1:4" x14ac:dyDescent="0.3">
      <c r="A7187" s="5" t="s">
        <v>224</v>
      </c>
      <c r="B7187" s="5" t="s">
        <v>225</v>
      </c>
      <c r="C7187" s="6">
        <v>1995</v>
      </c>
      <c r="D7187" s="7">
        <v>3960735</v>
      </c>
    </row>
    <row r="7188" spans="1:4" x14ac:dyDescent="0.3">
      <c r="A7188" s="2" t="s">
        <v>224</v>
      </c>
      <c r="B7188" s="2" t="s">
        <v>225</v>
      </c>
      <c r="C7188" s="3">
        <v>1996</v>
      </c>
      <c r="D7188" s="4">
        <v>4034781</v>
      </c>
    </row>
    <row r="7189" spans="1:4" x14ac:dyDescent="0.3">
      <c r="A7189" s="5" t="s">
        <v>224</v>
      </c>
      <c r="B7189" s="5" t="s">
        <v>225</v>
      </c>
      <c r="C7189" s="6">
        <v>1997</v>
      </c>
      <c r="D7189" s="7">
        <v>4108405</v>
      </c>
    </row>
    <row r="7190" spans="1:4" x14ac:dyDescent="0.3">
      <c r="A7190" s="2" t="s">
        <v>224</v>
      </c>
      <c r="B7190" s="2" t="s">
        <v>225</v>
      </c>
      <c r="C7190" s="3">
        <v>1998</v>
      </c>
      <c r="D7190" s="4">
        <v>4181281</v>
      </c>
    </row>
    <row r="7191" spans="1:4" x14ac:dyDescent="0.3">
      <c r="A7191" s="5" t="s">
        <v>224</v>
      </c>
      <c r="B7191" s="5" t="s">
        <v>225</v>
      </c>
      <c r="C7191" s="6">
        <v>1999</v>
      </c>
      <c r="D7191" s="7">
        <v>4255277</v>
      </c>
    </row>
    <row r="7192" spans="1:4" x14ac:dyDescent="0.3">
      <c r="A7192" s="2" t="s">
        <v>224</v>
      </c>
      <c r="B7192" s="2" t="s">
        <v>225</v>
      </c>
      <c r="C7192" s="3">
        <v>2000</v>
      </c>
      <c r="D7192" s="4">
        <v>4329340</v>
      </c>
    </row>
    <row r="7193" spans="1:4" x14ac:dyDescent="0.3">
      <c r="A7193" s="5" t="s">
        <v>224</v>
      </c>
      <c r="B7193" s="5" t="s">
        <v>225</v>
      </c>
      <c r="C7193" s="6">
        <v>2001</v>
      </c>
      <c r="D7193" s="7">
        <v>4401918</v>
      </c>
    </row>
    <row r="7194" spans="1:4" x14ac:dyDescent="0.3">
      <c r="A7194" s="2" t="s">
        <v>224</v>
      </c>
      <c r="B7194" s="2" t="s">
        <v>225</v>
      </c>
      <c r="C7194" s="3">
        <v>2002</v>
      </c>
      <c r="D7194" s="4">
        <v>4463504</v>
      </c>
    </row>
    <row r="7195" spans="1:4" x14ac:dyDescent="0.3">
      <c r="A7195" s="5" t="s">
        <v>224</v>
      </c>
      <c r="B7195" s="5" t="s">
        <v>225</v>
      </c>
      <c r="C7195" s="6">
        <v>2003</v>
      </c>
      <c r="D7195" s="7">
        <v>4525508</v>
      </c>
    </row>
    <row r="7196" spans="1:4" x14ac:dyDescent="0.3">
      <c r="A7196" s="2" t="s">
        <v>224</v>
      </c>
      <c r="B7196" s="2" t="s">
        <v>225</v>
      </c>
      <c r="C7196" s="3">
        <v>2004</v>
      </c>
      <c r="D7196" s="4">
        <v>4599279</v>
      </c>
    </row>
    <row r="7197" spans="1:4" x14ac:dyDescent="0.3">
      <c r="A7197" s="5" t="s">
        <v>224</v>
      </c>
      <c r="B7197" s="5" t="s">
        <v>225</v>
      </c>
      <c r="C7197" s="6">
        <v>2005</v>
      </c>
      <c r="D7197" s="7">
        <v>4671102</v>
      </c>
    </row>
    <row r="7198" spans="1:4" x14ac:dyDescent="0.3">
      <c r="A7198" s="2" t="s">
        <v>224</v>
      </c>
      <c r="B7198" s="2" t="s">
        <v>225</v>
      </c>
      <c r="C7198" s="3">
        <v>2006</v>
      </c>
      <c r="D7198" s="4">
        <v>4751136</v>
      </c>
    </row>
    <row r="7199" spans="1:4" x14ac:dyDescent="0.3">
      <c r="A7199" s="5" t="s">
        <v>224</v>
      </c>
      <c r="B7199" s="5" t="s">
        <v>225</v>
      </c>
      <c r="C7199" s="6">
        <v>2007</v>
      </c>
      <c r="D7199" s="7">
        <v>4844118</v>
      </c>
    </row>
    <row r="7200" spans="1:4" x14ac:dyDescent="0.3">
      <c r="A7200" s="2" t="s">
        <v>224</v>
      </c>
      <c r="B7200" s="2" t="s">
        <v>225</v>
      </c>
      <c r="C7200" s="3">
        <v>2008</v>
      </c>
      <c r="D7200" s="4">
        <v>4925354</v>
      </c>
    </row>
    <row r="7201" spans="1:4" x14ac:dyDescent="0.3">
      <c r="A7201" s="5" t="s">
        <v>224</v>
      </c>
      <c r="B7201" s="5" t="s">
        <v>225</v>
      </c>
      <c r="C7201" s="6">
        <v>2009</v>
      </c>
      <c r="D7201" s="7">
        <v>4992287</v>
      </c>
    </row>
    <row r="7202" spans="1:4" x14ac:dyDescent="0.3">
      <c r="A7202" s="2" t="s">
        <v>224</v>
      </c>
      <c r="B7202" s="2" t="s">
        <v>225</v>
      </c>
      <c r="C7202" s="3">
        <v>2010</v>
      </c>
      <c r="D7202" s="4">
        <v>5041288</v>
      </c>
    </row>
    <row r="7203" spans="1:4" x14ac:dyDescent="0.3">
      <c r="A7203" s="5" t="s">
        <v>224</v>
      </c>
      <c r="B7203" s="5" t="s">
        <v>225</v>
      </c>
      <c r="C7203" s="6">
        <v>2011</v>
      </c>
      <c r="D7203" s="7">
        <v>5096020</v>
      </c>
    </row>
    <row r="7204" spans="1:4" x14ac:dyDescent="0.3">
      <c r="A7204" s="2" t="s">
        <v>224</v>
      </c>
      <c r="B7204" s="2" t="s">
        <v>225</v>
      </c>
      <c r="C7204" s="3">
        <v>2012</v>
      </c>
      <c r="D7204" s="4">
        <v>5235742</v>
      </c>
    </row>
    <row r="7205" spans="1:4" x14ac:dyDescent="0.3">
      <c r="A7205" s="5" t="s">
        <v>224</v>
      </c>
      <c r="B7205" s="5" t="s">
        <v>225</v>
      </c>
      <c r="C7205" s="6">
        <v>2013</v>
      </c>
      <c r="D7205" s="7">
        <v>5743436</v>
      </c>
    </row>
    <row r="7206" spans="1:4" x14ac:dyDescent="0.3">
      <c r="A7206" s="2" t="s">
        <v>224</v>
      </c>
      <c r="B7206" s="2" t="s">
        <v>225</v>
      </c>
      <c r="C7206" s="3">
        <v>2014</v>
      </c>
      <c r="D7206" s="4">
        <v>6346990</v>
      </c>
    </row>
    <row r="7207" spans="1:4" x14ac:dyDescent="0.3">
      <c r="A7207" s="5" t="s">
        <v>224</v>
      </c>
      <c r="B7207" s="5" t="s">
        <v>225</v>
      </c>
      <c r="C7207" s="6">
        <v>2015</v>
      </c>
      <c r="D7207" s="7">
        <v>6472469</v>
      </c>
    </row>
    <row r="7208" spans="1:4" x14ac:dyDescent="0.3">
      <c r="A7208" s="2" t="s">
        <v>224</v>
      </c>
      <c r="B7208" s="2" t="s">
        <v>225</v>
      </c>
      <c r="C7208" s="3">
        <v>2016</v>
      </c>
      <c r="D7208" s="4">
        <v>6323060</v>
      </c>
    </row>
    <row r="7209" spans="1:4" x14ac:dyDescent="0.3">
      <c r="A7209" s="5" t="s">
        <v>224</v>
      </c>
      <c r="B7209" s="5" t="s">
        <v>225</v>
      </c>
      <c r="C7209" s="6">
        <v>2017</v>
      </c>
      <c r="D7209" s="7">
        <v>6160128</v>
      </c>
    </row>
    <row r="7210" spans="1:4" x14ac:dyDescent="0.3">
      <c r="A7210" s="2" t="s">
        <v>224</v>
      </c>
      <c r="B7210" s="2" t="s">
        <v>225</v>
      </c>
      <c r="C7210" s="3">
        <v>2018</v>
      </c>
      <c r="D7210" s="4">
        <v>5984119</v>
      </c>
    </row>
    <row r="7211" spans="1:4" x14ac:dyDescent="0.3">
      <c r="A7211" s="5" t="s">
        <v>224</v>
      </c>
      <c r="B7211" s="5" t="s">
        <v>225</v>
      </c>
      <c r="C7211" s="6">
        <v>2019</v>
      </c>
      <c r="D7211" s="7">
        <v>5794594</v>
      </c>
    </row>
    <row r="7212" spans="1:4" x14ac:dyDescent="0.3">
      <c r="A7212" s="2" t="s">
        <v>224</v>
      </c>
      <c r="B7212" s="2" t="s">
        <v>225</v>
      </c>
      <c r="C7212" s="3">
        <v>2020</v>
      </c>
      <c r="D7212" s="4">
        <v>5702398</v>
      </c>
    </row>
    <row r="7213" spans="1:4" x14ac:dyDescent="0.3">
      <c r="A7213" s="5" t="s">
        <v>224</v>
      </c>
      <c r="B7213" s="5" t="s">
        <v>225</v>
      </c>
      <c r="C7213" s="6">
        <v>2021</v>
      </c>
      <c r="D7213" s="7">
        <v>5718122</v>
      </c>
    </row>
    <row r="7214" spans="1:4" x14ac:dyDescent="0.3">
      <c r="A7214" s="2" t="s">
        <v>224</v>
      </c>
      <c r="B7214" s="2" t="s">
        <v>225</v>
      </c>
      <c r="C7214" s="3">
        <v>2022</v>
      </c>
      <c r="D7214" s="4">
        <v>5744489</v>
      </c>
    </row>
    <row r="7215" spans="1:4" x14ac:dyDescent="0.3">
      <c r="A7215" s="5" t="s">
        <v>224</v>
      </c>
      <c r="B7215" s="5" t="s">
        <v>225</v>
      </c>
      <c r="C7215" s="6">
        <v>2023</v>
      </c>
      <c r="D7215" s="7">
        <v>5773493</v>
      </c>
    </row>
    <row r="7216" spans="1:4" x14ac:dyDescent="0.3">
      <c r="A7216" s="2" t="s">
        <v>224</v>
      </c>
      <c r="B7216" s="2" t="s">
        <v>225</v>
      </c>
      <c r="C7216" s="3">
        <v>2024</v>
      </c>
      <c r="D7216" s="4">
        <v>5805962</v>
      </c>
    </row>
    <row r="7217" spans="1:4" x14ac:dyDescent="0.3">
      <c r="A7217" s="5" t="s">
        <v>226</v>
      </c>
      <c r="B7217" s="5" t="s">
        <v>227</v>
      </c>
      <c r="C7217" s="6">
        <v>1960</v>
      </c>
      <c r="D7217" s="7">
        <v>736500</v>
      </c>
    </row>
    <row r="7218" spans="1:4" x14ac:dyDescent="0.3">
      <c r="A7218" s="2" t="s">
        <v>226</v>
      </c>
      <c r="B7218" s="2" t="s">
        <v>227</v>
      </c>
      <c r="C7218" s="3">
        <v>1961</v>
      </c>
      <c r="D7218" s="4">
        <v>758824</v>
      </c>
    </row>
    <row r="7219" spans="1:4" x14ac:dyDescent="0.3">
      <c r="A7219" s="5" t="s">
        <v>226</v>
      </c>
      <c r="B7219" s="5" t="s">
        <v>227</v>
      </c>
      <c r="C7219" s="6">
        <v>1962</v>
      </c>
      <c r="D7219" s="7">
        <v>781814</v>
      </c>
    </row>
    <row r="7220" spans="1:4" x14ac:dyDescent="0.3">
      <c r="A7220" s="2" t="s">
        <v>226</v>
      </c>
      <c r="B7220" s="2" t="s">
        <v>227</v>
      </c>
      <c r="C7220" s="3">
        <v>1963</v>
      </c>
      <c r="D7220" s="4">
        <v>805373</v>
      </c>
    </row>
    <row r="7221" spans="1:4" x14ac:dyDescent="0.3">
      <c r="A7221" s="5" t="s">
        <v>226</v>
      </c>
      <c r="B7221" s="5" t="s">
        <v>227</v>
      </c>
      <c r="C7221" s="6">
        <v>1964</v>
      </c>
      <c r="D7221" s="7">
        <v>829437</v>
      </c>
    </row>
    <row r="7222" spans="1:4" x14ac:dyDescent="0.3">
      <c r="A7222" s="2" t="s">
        <v>226</v>
      </c>
      <c r="B7222" s="2" t="s">
        <v>227</v>
      </c>
      <c r="C7222" s="3">
        <v>1965</v>
      </c>
      <c r="D7222" s="4">
        <v>854090</v>
      </c>
    </row>
    <row r="7223" spans="1:4" x14ac:dyDescent="0.3">
      <c r="A7223" s="5" t="s">
        <v>226</v>
      </c>
      <c r="B7223" s="5" t="s">
        <v>227</v>
      </c>
      <c r="C7223" s="6">
        <v>1966</v>
      </c>
      <c r="D7223" s="7">
        <v>881870</v>
      </c>
    </row>
    <row r="7224" spans="1:4" x14ac:dyDescent="0.3">
      <c r="A7224" s="2" t="s">
        <v>226</v>
      </c>
      <c r="B7224" s="2" t="s">
        <v>227</v>
      </c>
      <c r="C7224" s="3">
        <v>1967</v>
      </c>
      <c r="D7224" s="4">
        <v>913982</v>
      </c>
    </row>
    <row r="7225" spans="1:4" x14ac:dyDescent="0.3">
      <c r="A7225" s="5" t="s">
        <v>226</v>
      </c>
      <c r="B7225" s="5" t="s">
        <v>227</v>
      </c>
      <c r="C7225" s="6">
        <v>1968</v>
      </c>
      <c r="D7225" s="7">
        <v>948105</v>
      </c>
    </row>
    <row r="7226" spans="1:4" x14ac:dyDescent="0.3">
      <c r="A7226" s="2" t="s">
        <v>226</v>
      </c>
      <c r="B7226" s="2" t="s">
        <v>227</v>
      </c>
      <c r="C7226" s="3">
        <v>1969</v>
      </c>
      <c r="D7226" s="4">
        <v>983202</v>
      </c>
    </row>
    <row r="7227" spans="1:4" x14ac:dyDescent="0.3">
      <c r="A7227" s="5" t="s">
        <v>226</v>
      </c>
      <c r="B7227" s="5" t="s">
        <v>227</v>
      </c>
      <c r="C7227" s="6">
        <v>1970</v>
      </c>
      <c r="D7227" s="7">
        <v>1019273</v>
      </c>
    </row>
    <row r="7228" spans="1:4" x14ac:dyDescent="0.3">
      <c r="A7228" s="2" t="s">
        <v>226</v>
      </c>
      <c r="B7228" s="2" t="s">
        <v>227</v>
      </c>
      <c r="C7228" s="3">
        <v>1971</v>
      </c>
      <c r="D7228" s="4">
        <v>1056246</v>
      </c>
    </row>
    <row r="7229" spans="1:4" x14ac:dyDescent="0.3">
      <c r="A7229" s="5" t="s">
        <v>226</v>
      </c>
      <c r="B7229" s="5" t="s">
        <v>227</v>
      </c>
      <c r="C7229" s="6">
        <v>1972</v>
      </c>
      <c r="D7229" s="7">
        <v>1094063</v>
      </c>
    </row>
    <row r="7230" spans="1:4" x14ac:dyDescent="0.3">
      <c r="A7230" s="2" t="s">
        <v>226</v>
      </c>
      <c r="B7230" s="2" t="s">
        <v>227</v>
      </c>
      <c r="C7230" s="3">
        <v>1973</v>
      </c>
      <c r="D7230" s="4">
        <v>1132697</v>
      </c>
    </row>
    <row r="7231" spans="1:4" x14ac:dyDescent="0.3">
      <c r="A7231" s="5" t="s">
        <v>226</v>
      </c>
      <c r="B7231" s="5" t="s">
        <v>227</v>
      </c>
      <c r="C7231" s="6">
        <v>1974</v>
      </c>
      <c r="D7231" s="7">
        <v>1172420</v>
      </c>
    </row>
    <row r="7232" spans="1:4" x14ac:dyDescent="0.3">
      <c r="A7232" s="2" t="s">
        <v>226</v>
      </c>
      <c r="B7232" s="2" t="s">
        <v>227</v>
      </c>
      <c r="C7232" s="3">
        <v>1975</v>
      </c>
      <c r="D7232" s="4">
        <v>1213643</v>
      </c>
    </row>
    <row r="7233" spans="1:4" x14ac:dyDescent="0.3">
      <c r="A7233" s="5" t="s">
        <v>226</v>
      </c>
      <c r="B7233" s="5" t="s">
        <v>227</v>
      </c>
      <c r="C7233" s="6">
        <v>1976</v>
      </c>
      <c r="D7233" s="7">
        <v>1253214</v>
      </c>
    </row>
    <row r="7234" spans="1:4" x14ac:dyDescent="0.3">
      <c r="A7234" s="2" t="s">
        <v>226</v>
      </c>
      <c r="B7234" s="2" t="s">
        <v>227</v>
      </c>
      <c r="C7234" s="3">
        <v>1977</v>
      </c>
      <c r="D7234" s="4">
        <v>1289967</v>
      </c>
    </row>
    <row r="7235" spans="1:4" x14ac:dyDescent="0.3">
      <c r="A7235" s="5" t="s">
        <v>226</v>
      </c>
      <c r="B7235" s="5" t="s">
        <v>227</v>
      </c>
      <c r="C7235" s="6">
        <v>1978</v>
      </c>
      <c r="D7235" s="7">
        <v>1327240</v>
      </c>
    </row>
    <row r="7236" spans="1:4" x14ac:dyDescent="0.3">
      <c r="A7236" s="2" t="s">
        <v>226</v>
      </c>
      <c r="B7236" s="2" t="s">
        <v>227</v>
      </c>
      <c r="C7236" s="3">
        <v>1979</v>
      </c>
      <c r="D7236" s="4">
        <v>1366169</v>
      </c>
    </row>
    <row r="7237" spans="1:4" x14ac:dyDescent="0.3">
      <c r="A7237" s="5" t="s">
        <v>226</v>
      </c>
      <c r="B7237" s="5" t="s">
        <v>227</v>
      </c>
      <c r="C7237" s="6">
        <v>1980</v>
      </c>
      <c r="D7237" s="7">
        <v>1406521</v>
      </c>
    </row>
    <row r="7238" spans="1:4" x14ac:dyDescent="0.3">
      <c r="A7238" s="2" t="s">
        <v>226</v>
      </c>
      <c r="B7238" s="2" t="s">
        <v>227</v>
      </c>
      <c r="C7238" s="3">
        <v>1981</v>
      </c>
      <c r="D7238" s="4">
        <v>1448069</v>
      </c>
    </row>
    <row r="7239" spans="1:4" x14ac:dyDescent="0.3">
      <c r="A7239" s="5" t="s">
        <v>226</v>
      </c>
      <c r="B7239" s="5" t="s">
        <v>227</v>
      </c>
      <c r="C7239" s="6">
        <v>1982</v>
      </c>
      <c r="D7239" s="7">
        <v>1490732</v>
      </c>
    </row>
    <row r="7240" spans="1:4" x14ac:dyDescent="0.3">
      <c r="A7240" s="2" t="s">
        <v>226</v>
      </c>
      <c r="B7240" s="2" t="s">
        <v>227</v>
      </c>
      <c r="C7240" s="3">
        <v>1983</v>
      </c>
      <c r="D7240" s="4">
        <v>1534413</v>
      </c>
    </row>
    <row r="7241" spans="1:4" x14ac:dyDescent="0.3">
      <c r="A7241" s="5" t="s">
        <v>226</v>
      </c>
      <c r="B7241" s="5" t="s">
        <v>227</v>
      </c>
      <c r="C7241" s="6">
        <v>1984</v>
      </c>
      <c r="D7241" s="7">
        <v>1578986</v>
      </c>
    </row>
    <row r="7242" spans="1:4" x14ac:dyDescent="0.3">
      <c r="A7242" s="2" t="s">
        <v>226</v>
      </c>
      <c r="B7242" s="2" t="s">
        <v>227</v>
      </c>
      <c r="C7242" s="3">
        <v>1985</v>
      </c>
      <c r="D7242" s="4">
        <v>1624379</v>
      </c>
    </row>
    <row r="7243" spans="1:4" x14ac:dyDescent="0.3">
      <c r="A7243" s="5" t="s">
        <v>226</v>
      </c>
      <c r="B7243" s="5" t="s">
        <v>227</v>
      </c>
      <c r="C7243" s="6">
        <v>1986</v>
      </c>
      <c r="D7243" s="7">
        <v>1666138</v>
      </c>
    </row>
    <row r="7244" spans="1:4" x14ac:dyDescent="0.3">
      <c r="A7244" s="2" t="s">
        <v>226</v>
      </c>
      <c r="B7244" s="2" t="s">
        <v>227</v>
      </c>
      <c r="C7244" s="3">
        <v>1987</v>
      </c>
      <c r="D7244" s="4">
        <v>1703390</v>
      </c>
    </row>
    <row r="7245" spans="1:4" x14ac:dyDescent="0.3">
      <c r="A7245" s="5" t="s">
        <v>226</v>
      </c>
      <c r="B7245" s="5" t="s">
        <v>227</v>
      </c>
      <c r="C7245" s="6">
        <v>1988</v>
      </c>
      <c r="D7245" s="7">
        <v>1739841</v>
      </c>
    </row>
    <row r="7246" spans="1:4" x14ac:dyDescent="0.3">
      <c r="A7246" s="2" t="s">
        <v>226</v>
      </c>
      <c r="B7246" s="2" t="s">
        <v>227</v>
      </c>
      <c r="C7246" s="3">
        <v>1989</v>
      </c>
      <c r="D7246" s="4">
        <v>1775436</v>
      </c>
    </row>
    <row r="7247" spans="1:4" x14ac:dyDescent="0.3">
      <c r="A7247" s="5" t="s">
        <v>226</v>
      </c>
      <c r="B7247" s="5" t="s">
        <v>227</v>
      </c>
      <c r="C7247" s="6">
        <v>1990</v>
      </c>
      <c r="D7247" s="7">
        <v>1809696</v>
      </c>
    </row>
    <row r="7248" spans="1:4" x14ac:dyDescent="0.3">
      <c r="A7248" s="2" t="s">
        <v>226</v>
      </c>
      <c r="B7248" s="2" t="s">
        <v>227</v>
      </c>
      <c r="C7248" s="3">
        <v>1991</v>
      </c>
      <c r="D7248" s="4">
        <v>1842379</v>
      </c>
    </row>
    <row r="7249" spans="1:4" x14ac:dyDescent="0.3">
      <c r="A7249" s="5" t="s">
        <v>226</v>
      </c>
      <c r="B7249" s="5" t="s">
        <v>227</v>
      </c>
      <c r="C7249" s="6">
        <v>1992</v>
      </c>
      <c r="D7249" s="7">
        <v>1873274</v>
      </c>
    </row>
    <row r="7250" spans="1:4" x14ac:dyDescent="0.3">
      <c r="A7250" s="2" t="s">
        <v>226</v>
      </c>
      <c r="B7250" s="2" t="s">
        <v>227</v>
      </c>
      <c r="C7250" s="3">
        <v>1993</v>
      </c>
      <c r="D7250" s="4">
        <v>1901793</v>
      </c>
    </row>
    <row r="7251" spans="1:4" x14ac:dyDescent="0.3">
      <c r="A7251" s="5" t="s">
        <v>226</v>
      </c>
      <c r="B7251" s="5" t="s">
        <v>227</v>
      </c>
      <c r="C7251" s="6">
        <v>1994</v>
      </c>
      <c r="D7251" s="7">
        <v>1927707</v>
      </c>
    </row>
    <row r="7252" spans="1:4" x14ac:dyDescent="0.3">
      <c r="A7252" s="2" t="s">
        <v>226</v>
      </c>
      <c r="B7252" s="2" t="s">
        <v>227</v>
      </c>
      <c r="C7252" s="3">
        <v>1995</v>
      </c>
      <c r="D7252" s="4">
        <v>1951437</v>
      </c>
    </row>
    <row r="7253" spans="1:4" x14ac:dyDescent="0.3">
      <c r="A7253" s="5" t="s">
        <v>226</v>
      </c>
      <c r="B7253" s="5" t="s">
        <v>227</v>
      </c>
      <c r="C7253" s="6">
        <v>1996</v>
      </c>
      <c r="D7253" s="7">
        <v>1972418</v>
      </c>
    </row>
    <row r="7254" spans="1:4" x14ac:dyDescent="0.3">
      <c r="A7254" s="2" t="s">
        <v>226</v>
      </c>
      <c r="B7254" s="2" t="s">
        <v>227</v>
      </c>
      <c r="C7254" s="3">
        <v>1997</v>
      </c>
      <c r="D7254" s="4">
        <v>1988130</v>
      </c>
    </row>
    <row r="7255" spans="1:4" x14ac:dyDescent="0.3">
      <c r="A7255" s="5" t="s">
        <v>226</v>
      </c>
      <c r="B7255" s="5" t="s">
        <v>227</v>
      </c>
      <c r="C7255" s="6">
        <v>1998</v>
      </c>
      <c r="D7255" s="7">
        <v>1998049</v>
      </c>
    </row>
    <row r="7256" spans="1:4" x14ac:dyDescent="0.3">
      <c r="A7256" s="2" t="s">
        <v>226</v>
      </c>
      <c r="B7256" s="2" t="s">
        <v>227</v>
      </c>
      <c r="C7256" s="3">
        <v>1999</v>
      </c>
      <c r="D7256" s="4">
        <v>2003234</v>
      </c>
    </row>
    <row r="7257" spans="1:4" x14ac:dyDescent="0.3">
      <c r="A7257" s="5" t="s">
        <v>226</v>
      </c>
      <c r="B7257" s="5" t="s">
        <v>227</v>
      </c>
      <c r="C7257" s="6">
        <v>2000</v>
      </c>
      <c r="D7257" s="7">
        <v>2003913</v>
      </c>
    </row>
    <row r="7258" spans="1:4" x14ac:dyDescent="0.3">
      <c r="A7258" s="2" t="s">
        <v>226</v>
      </c>
      <c r="B7258" s="2" t="s">
        <v>227</v>
      </c>
      <c r="C7258" s="3">
        <v>2001</v>
      </c>
      <c r="D7258" s="4">
        <v>2000853</v>
      </c>
    </row>
    <row r="7259" spans="1:4" x14ac:dyDescent="0.3">
      <c r="A7259" s="5" t="s">
        <v>226</v>
      </c>
      <c r="B7259" s="5" t="s">
        <v>227</v>
      </c>
      <c r="C7259" s="6">
        <v>2002</v>
      </c>
      <c r="D7259" s="7">
        <v>1994679</v>
      </c>
    </row>
    <row r="7260" spans="1:4" x14ac:dyDescent="0.3">
      <c r="A7260" s="2" t="s">
        <v>226</v>
      </c>
      <c r="B7260" s="2" t="s">
        <v>227</v>
      </c>
      <c r="C7260" s="3">
        <v>2003</v>
      </c>
      <c r="D7260" s="4">
        <v>1985059</v>
      </c>
    </row>
    <row r="7261" spans="1:4" x14ac:dyDescent="0.3">
      <c r="A7261" s="5" t="s">
        <v>226</v>
      </c>
      <c r="B7261" s="5" t="s">
        <v>227</v>
      </c>
      <c r="C7261" s="6">
        <v>2004</v>
      </c>
      <c r="D7261" s="7">
        <v>1971129</v>
      </c>
    </row>
    <row r="7262" spans="1:4" x14ac:dyDescent="0.3">
      <c r="A7262" s="2" t="s">
        <v>226</v>
      </c>
      <c r="B7262" s="2" t="s">
        <v>227</v>
      </c>
      <c r="C7262" s="3">
        <v>2005</v>
      </c>
      <c r="D7262" s="4">
        <v>1953076</v>
      </c>
    </row>
    <row r="7263" spans="1:4" x14ac:dyDescent="0.3">
      <c r="A7263" s="5" t="s">
        <v>226</v>
      </c>
      <c r="B7263" s="5" t="s">
        <v>227</v>
      </c>
      <c r="C7263" s="6">
        <v>2006</v>
      </c>
      <c r="D7263" s="7">
        <v>1945063</v>
      </c>
    </row>
    <row r="7264" spans="1:4" x14ac:dyDescent="0.3">
      <c r="A7264" s="2" t="s">
        <v>226</v>
      </c>
      <c r="B7264" s="2" t="s">
        <v>227</v>
      </c>
      <c r="C7264" s="3">
        <v>2007</v>
      </c>
      <c r="D7264" s="4">
        <v>1953268</v>
      </c>
    </row>
    <row r="7265" spans="1:4" x14ac:dyDescent="0.3">
      <c r="A7265" s="5" t="s">
        <v>226</v>
      </c>
      <c r="B7265" s="5" t="s">
        <v>227</v>
      </c>
      <c r="C7265" s="6">
        <v>2008</v>
      </c>
      <c r="D7265" s="7">
        <v>1966541</v>
      </c>
    </row>
    <row r="7266" spans="1:4" x14ac:dyDescent="0.3">
      <c r="A7266" s="2" t="s">
        <v>226</v>
      </c>
      <c r="B7266" s="2" t="s">
        <v>227</v>
      </c>
      <c r="C7266" s="3">
        <v>2009</v>
      </c>
      <c r="D7266" s="4">
        <v>1980883</v>
      </c>
    </row>
    <row r="7267" spans="1:4" x14ac:dyDescent="0.3">
      <c r="A7267" s="5" t="s">
        <v>226</v>
      </c>
      <c r="B7267" s="5" t="s">
        <v>227</v>
      </c>
      <c r="C7267" s="6">
        <v>2010</v>
      </c>
      <c r="D7267" s="7">
        <v>1996251</v>
      </c>
    </row>
    <row r="7268" spans="1:4" x14ac:dyDescent="0.3">
      <c r="A7268" s="2" t="s">
        <v>226</v>
      </c>
      <c r="B7268" s="2" t="s">
        <v>227</v>
      </c>
      <c r="C7268" s="3">
        <v>2011</v>
      </c>
      <c r="D7268" s="4">
        <v>2014009</v>
      </c>
    </row>
    <row r="7269" spans="1:4" x14ac:dyDescent="0.3">
      <c r="A7269" s="5" t="s">
        <v>226</v>
      </c>
      <c r="B7269" s="5" t="s">
        <v>227</v>
      </c>
      <c r="C7269" s="6">
        <v>2012</v>
      </c>
      <c r="D7269" s="7">
        <v>2034354</v>
      </c>
    </row>
    <row r="7270" spans="1:4" x14ac:dyDescent="0.3">
      <c r="A7270" s="2" t="s">
        <v>226</v>
      </c>
      <c r="B7270" s="2" t="s">
        <v>227</v>
      </c>
      <c r="C7270" s="3">
        <v>2013</v>
      </c>
      <c r="D7270" s="4">
        <v>2056504</v>
      </c>
    </row>
    <row r="7271" spans="1:4" x14ac:dyDescent="0.3">
      <c r="A7271" s="5" t="s">
        <v>226</v>
      </c>
      <c r="B7271" s="5" t="s">
        <v>227</v>
      </c>
      <c r="C7271" s="6">
        <v>2014</v>
      </c>
      <c r="D7271" s="7">
        <v>2080089</v>
      </c>
    </row>
    <row r="7272" spans="1:4" x14ac:dyDescent="0.3">
      <c r="A7272" s="2" t="s">
        <v>226</v>
      </c>
      <c r="B7272" s="2" t="s">
        <v>227</v>
      </c>
      <c r="C7272" s="3">
        <v>2015</v>
      </c>
      <c r="D7272" s="4">
        <v>2104611</v>
      </c>
    </row>
    <row r="7273" spans="1:4" x14ac:dyDescent="0.3">
      <c r="A7273" s="5" t="s">
        <v>226</v>
      </c>
      <c r="B7273" s="5" t="s">
        <v>227</v>
      </c>
      <c r="C7273" s="6">
        <v>2016</v>
      </c>
      <c r="D7273" s="7">
        <v>2130422</v>
      </c>
    </row>
    <row r="7274" spans="1:4" x14ac:dyDescent="0.3">
      <c r="A7274" s="2" t="s">
        <v>226</v>
      </c>
      <c r="B7274" s="2" t="s">
        <v>227</v>
      </c>
      <c r="C7274" s="3">
        <v>2017</v>
      </c>
      <c r="D7274" s="4">
        <v>2157110</v>
      </c>
    </row>
    <row r="7275" spans="1:4" x14ac:dyDescent="0.3">
      <c r="A7275" s="5" t="s">
        <v>226</v>
      </c>
      <c r="B7275" s="5" t="s">
        <v>227</v>
      </c>
      <c r="C7275" s="6">
        <v>2018</v>
      </c>
      <c r="D7275" s="7">
        <v>2183603</v>
      </c>
    </row>
    <row r="7276" spans="1:4" x14ac:dyDescent="0.3">
      <c r="A7276" s="2" t="s">
        <v>226</v>
      </c>
      <c r="B7276" s="2" t="s">
        <v>227</v>
      </c>
      <c r="C7276" s="3">
        <v>2019</v>
      </c>
      <c r="D7276" s="4">
        <v>2209405</v>
      </c>
    </row>
    <row r="7277" spans="1:4" x14ac:dyDescent="0.3">
      <c r="A7277" s="5" t="s">
        <v>226</v>
      </c>
      <c r="B7277" s="5" t="s">
        <v>227</v>
      </c>
      <c r="C7277" s="6">
        <v>2020</v>
      </c>
      <c r="D7277" s="7">
        <v>2235727</v>
      </c>
    </row>
    <row r="7278" spans="1:4" x14ac:dyDescent="0.3">
      <c r="A7278" s="2" t="s">
        <v>226</v>
      </c>
      <c r="B7278" s="2" t="s">
        <v>227</v>
      </c>
      <c r="C7278" s="3">
        <v>2021</v>
      </c>
      <c r="D7278" s="4">
        <v>2261542</v>
      </c>
    </row>
    <row r="7279" spans="1:4" x14ac:dyDescent="0.3">
      <c r="A7279" s="5" t="s">
        <v>226</v>
      </c>
      <c r="B7279" s="5" t="s">
        <v>227</v>
      </c>
      <c r="C7279" s="6">
        <v>2022</v>
      </c>
      <c r="D7279" s="7">
        <v>2286110</v>
      </c>
    </row>
    <row r="7280" spans="1:4" x14ac:dyDescent="0.3">
      <c r="A7280" s="2" t="s">
        <v>226</v>
      </c>
      <c r="B7280" s="2" t="s">
        <v>227</v>
      </c>
      <c r="C7280" s="3">
        <v>2023</v>
      </c>
      <c r="D7280" s="4">
        <v>2311472</v>
      </c>
    </row>
    <row r="7281" spans="1:4" x14ac:dyDescent="0.3">
      <c r="A7281" s="5" t="s">
        <v>226</v>
      </c>
      <c r="B7281" s="5" t="s">
        <v>227</v>
      </c>
      <c r="C7281" s="6">
        <v>2024</v>
      </c>
      <c r="D7281" s="7">
        <v>2337423</v>
      </c>
    </row>
    <row r="7282" spans="1:4" x14ac:dyDescent="0.3">
      <c r="A7282" s="2" t="s">
        <v>228</v>
      </c>
      <c r="B7282" s="2" t="s">
        <v>229</v>
      </c>
      <c r="C7282" s="3">
        <v>1960</v>
      </c>
      <c r="D7282" s="4">
        <v>1139522</v>
      </c>
    </row>
    <row r="7283" spans="1:4" x14ac:dyDescent="0.3">
      <c r="A7283" s="5" t="s">
        <v>228</v>
      </c>
      <c r="B7283" s="5" t="s">
        <v>229</v>
      </c>
      <c r="C7283" s="6">
        <v>1961</v>
      </c>
      <c r="D7283" s="7">
        <v>1167717</v>
      </c>
    </row>
    <row r="7284" spans="1:4" x14ac:dyDescent="0.3">
      <c r="A7284" s="2" t="s">
        <v>228</v>
      </c>
      <c r="B7284" s="2" t="s">
        <v>229</v>
      </c>
      <c r="C7284" s="3">
        <v>1962</v>
      </c>
      <c r="D7284" s="4">
        <v>1197039</v>
      </c>
    </row>
    <row r="7285" spans="1:4" x14ac:dyDescent="0.3">
      <c r="A7285" s="5" t="s">
        <v>228</v>
      </c>
      <c r="B7285" s="5" t="s">
        <v>229</v>
      </c>
      <c r="C7285" s="6">
        <v>1963</v>
      </c>
      <c r="D7285" s="7">
        <v>1227414</v>
      </c>
    </row>
    <row r="7286" spans="1:4" x14ac:dyDescent="0.3">
      <c r="A7286" s="2" t="s">
        <v>228</v>
      </c>
      <c r="B7286" s="2" t="s">
        <v>229</v>
      </c>
      <c r="C7286" s="3">
        <v>1964</v>
      </c>
      <c r="D7286" s="4">
        <v>1258745</v>
      </c>
    </row>
    <row r="7287" spans="1:4" x14ac:dyDescent="0.3">
      <c r="A7287" s="5" t="s">
        <v>228</v>
      </c>
      <c r="B7287" s="5" t="s">
        <v>229</v>
      </c>
      <c r="C7287" s="6">
        <v>1965</v>
      </c>
      <c r="D7287" s="7">
        <v>1291156</v>
      </c>
    </row>
    <row r="7288" spans="1:4" x14ac:dyDescent="0.3">
      <c r="A7288" s="2" t="s">
        <v>228</v>
      </c>
      <c r="B7288" s="2" t="s">
        <v>229</v>
      </c>
      <c r="C7288" s="3">
        <v>1966</v>
      </c>
      <c r="D7288" s="4">
        <v>1324383</v>
      </c>
    </row>
    <row r="7289" spans="1:4" x14ac:dyDescent="0.3">
      <c r="A7289" s="5" t="s">
        <v>228</v>
      </c>
      <c r="B7289" s="5" t="s">
        <v>229</v>
      </c>
      <c r="C7289" s="6">
        <v>1967</v>
      </c>
      <c r="D7289" s="7">
        <v>1358435</v>
      </c>
    </row>
    <row r="7290" spans="1:4" x14ac:dyDescent="0.3">
      <c r="A7290" s="2" t="s">
        <v>228</v>
      </c>
      <c r="B7290" s="2" t="s">
        <v>229</v>
      </c>
      <c r="C7290" s="3">
        <v>1968</v>
      </c>
      <c r="D7290" s="4">
        <v>1393530</v>
      </c>
    </row>
    <row r="7291" spans="1:4" x14ac:dyDescent="0.3">
      <c r="A7291" s="5" t="s">
        <v>228</v>
      </c>
      <c r="B7291" s="5" t="s">
        <v>229</v>
      </c>
      <c r="C7291" s="6">
        <v>1969</v>
      </c>
      <c r="D7291" s="7">
        <v>1429605</v>
      </c>
    </row>
    <row r="7292" spans="1:4" x14ac:dyDescent="0.3">
      <c r="A7292" s="2" t="s">
        <v>228</v>
      </c>
      <c r="B7292" s="2" t="s">
        <v>229</v>
      </c>
      <c r="C7292" s="3">
        <v>1970</v>
      </c>
      <c r="D7292" s="4">
        <v>1466676</v>
      </c>
    </row>
    <row r="7293" spans="1:4" x14ac:dyDescent="0.3">
      <c r="A7293" s="5" t="s">
        <v>228</v>
      </c>
      <c r="B7293" s="5" t="s">
        <v>229</v>
      </c>
      <c r="C7293" s="6">
        <v>1971</v>
      </c>
      <c r="D7293" s="7">
        <v>1504077</v>
      </c>
    </row>
    <row r="7294" spans="1:4" x14ac:dyDescent="0.3">
      <c r="A7294" s="2" t="s">
        <v>228</v>
      </c>
      <c r="B7294" s="2" t="s">
        <v>229</v>
      </c>
      <c r="C7294" s="3">
        <v>1972</v>
      </c>
      <c r="D7294" s="4">
        <v>1542670</v>
      </c>
    </row>
    <row r="7295" spans="1:4" x14ac:dyDescent="0.3">
      <c r="A7295" s="5" t="s">
        <v>228</v>
      </c>
      <c r="B7295" s="5" t="s">
        <v>229</v>
      </c>
      <c r="C7295" s="6">
        <v>1973</v>
      </c>
      <c r="D7295" s="7">
        <v>1583588</v>
      </c>
    </row>
    <row r="7296" spans="1:4" x14ac:dyDescent="0.3">
      <c r="A7296" s="2" t="s">
        <v>228</v>
      </c>
      <c r="B7296" s="2" t="s">
        <v>229</v>
      </c>
      <c r="C7296" s="3">
        <v>1974</v>
      </c>
      <c r="D7296" s="4">
        <v>1626362</v>
      </c>
    </row>
    <row r="7297" spans="1:4" x14ac:dyDescent="0.3">
      <c r="A7297" s="5" t="s">
        <v>228</v>
      </c>
      <c r="B7297" s="5" t="s">
        <v>229</v>
      </c>
      <c r="C7297" s="6">
        <v>1975</v>
      </c>
      <c r="D7297" s="7">
        <v>1670913</v>
      </c>
    </row>
    <row r="7298" spans="1:4" x14ac:dyDescent="0.3">
      <c r="A7298" s="2" t="s">
        <v>228</v>
      </c>
      <c r="B7298" s="2" t="s">
        <v>229</v>
      </c>
      <c r="C7298" s="3">
        <v>1976</v>
      </c>
      <c r="D7298" s="4">
        <v>1717060</v>
      </c>
    </row>
    <row r="7299" spans="1:4" x14ac:dyDescent="0.3">
      <c r="A7299" s="5" t="s">
        <v>228</v>
      </c>
      <c r="B7299" s="5" t="s">
        <v>229</v>
      </c>
      <c r="C7299" s="6">
        <v>1977</v>
      </c>
      <c r="D7299" s="7">
        <v>1766019</v>
      </c>
    </row>
    <row r="7300" spans="1:4" x14ac:dyDescent="0.3">
      <c r="A7300" s="2" t="s">
        <v>228</v>
      </c>
      <c r="B7300" s="2" t="s">
        <v>229</v>
      </c>
      <c r="C7300" s="3">
        <v>1978</v>
      </c>
      <c r="D7300" s="4">
        <v>1818247</v>
      </c>
    </row>
    <row r="7301" spans="1:4" x14ac:dyDescent="0.3">
      <c r="A7301" s="5" t="s">
        <v>228</v>
      </c>
      <c r="B7301" s="5" t="s">
        <v>229</v>
      </c>
      <c r="C7301" s="6">
        <v>1979</v>
      </c>
      <c r="D7301" s="7">
        <v>1872713</v>
      </c>
    </row>
    <row r="7302" spans="1:4" x14ac:dyDescent="0.3">
      <c r="A7302" s="2" t="s">
        <v>228</v>
      </c>
      <c r="B7302" s="2" t="s">
        <v>229</v>
      </c>
      <c r="C7302" s="3">
        <v>1980</v>
      </c>
      <c r="D7302" s="4">
        <v>1929253</v>
      </c>
    </row>
    <row r="7303" spans="1:4" x14ac:dyDescent="0.3">
      <c r="A7303" s="5" t="s">
        <v>228</v>
      </c>
      <c r="B7303" s="5" t="s">
        <v>229</v>
      </c>
      <c r="C7303" s="6">
        <v>1981</v>
      </c>
      <c r="D7303" s="7">
        <v>1986867</v>
      </c>
    </row>
    <row r="7304" spans="1:4" x14ac:dyDescent="0.3">
      <c r="A7304" s="2" t="s">
        <v>228</v>
      </c>
      <c r="B7304" s="2" t="s">
        <v>229</v>
      </c>
      <c r="C7304" s="3">
        <v>1982</v>
      </c>
      <c r="D7304" s="4">
        <v>2045073</v>
      </c>
    </row>
    <row r="7305" spans="1:4" x14ac:dyDescent="0.3">
      <c r="A7305" s="5" t="s">
        <v>228</v>
      </c>
      <c r="B7305" s="5" t="s">
        <v>229</v>
      </c>
      <c r="C7305" s="6">
        <v>1983</v>
      </c>
      <c r="D7305" s="7">
        <v>2107113</v>
      </c>
    </row>
    <row r="7306" spans="1:4" x14ac:dyDescent="0.3">
      <c r="A7306" s="2" t="s">
        <v>228</v>
      </c>
      <c r="B7306" s="2" t="s">
        <v>229</v>
      </c>
      <c r="C7306" s="3">
        <v>1984</v>
      </c>
      <c r="D7306" s="4">
        <v>2173312</v>
      </c>
    </row>
    <row r="7307" spans="1:4" x14ac:dyDescent="0.3">
      <c r="A7307" s="5" t="s">
        <v>228</v>
      </c>
      <c r="B7307" s="5" t="s">
        <v>229</v>
      </c>
      <c r="C7307" s="6">
        <v>1985</v>
      </c>
      <c r="D7307" s="7">
        <v>2240539</v>
      </c>
    </row>
    <row r="7308" spans="1:4" x14ac:dyDescent="0.3">
      <c r="A7308" s="2" t="s">
        <v>228</v>
      </c>
      <c r="B7308" s="2" t="s">
        <v>229</v>
      </c>
      <c r="C7308" s="3">
        <v>1986</v>
      </c>
      <c r="D7308" s="4">
        <v>2308511</v>
      </c>
    </row>
    <row r="7309" spans="1:4" x14ac:dyDescent="0.3">
      <c r="A7309" s="5" t="s">
        <v>228</v>
      </c>
      <c r="B7309" s="5" t="s">
        <v>229</v>
      </c>
      <c r="C7309" s="6">
        <v>1987</v>
      </c>
      <c r="D7309" s="7">
        <v>2377229</v>
      </c>
    </row>
    <row r="7310" spans="1:4" x14ac:dyDescent="0.3">
      <c r="A7310" s="2" t="s">
        <v>228</v>
      </c>
      <c r="B7310" s="2" t="s">
        <v>229</v>
      </c>
      <c r="C7310" s="3">
        <v>1988</v>
      </c>
      <c r="D7310" s="4">
        <v>2446941</v>
      </c>
    </row>
    <row r="7311" spans="1:4" x14ac:dyDescent="0.3">
      <c r="A7311" s="5" t="s">
        <v>228</v>
      </c>
      <c r="B7311" s="5" t="s">
        <v>229</v>
      </c>
      <c r="C7311" s="6">
        <v>1989</v>
      </c>
      <c r="D7311" s="7">
        <v>2517858</v>
      </c>
    </row>
    <row r="7312" spans="1:4" x14ac:dyDescent="0.3">
      <c r="A7312" s="2" t="s">
        <v>228</v>
      </c>
      <c r="B7312" s="2" t="s">
        <v>229</v>
      </c>
      <c r="C7312" s="3">
        <v>1990</v>
      </c>
      <c r="D7312" s="4">
        <v>2223667</v>
      </c>
    </row>
    <row r="7313" spans="1:4" x14ac:dyDescent="0.3">
      <c r="A7313" s="5" t="s">
        <v>228</v>
      </c>
      <c r="B7313" s="5" t="s">
        <v>229</v>
      </c>
      <c r="C7313" s="6">
        <v>1991</v>
      </c>
      <c r="D7313" s="7">
        <v>1956518</v>
      </c>
    </row>
    <row r="7314" spans="1:4" x14ac:dyDescent="0.3">
      <c r="A7314" s="2" t="s">
        <v>228</v>
      </c>
      <c r="B7314" s="2" t="s">
        <v>229</v>
      </c>
      <c r="C7314" s="3">
        <v>1992</v>
      </c>
      <c r="D7314" s="4">
        <v>2072461</v>
      </c>
    </row>
    <row r="7315" spans="1:4" x14ac:dyDescent="0.3">
      <c r="A7315" s="5" t="s">
        <v>228</v>
      </c>
      <c r="B7315" s="5" t="s">
        <v>229</v>
      </c>
      <c r="C7315" s="6">
        <v>1993</v>
      </c>
      <c r="D7315" s="7">
        <v>2155126</v>
      </c>
    </row>
    <row r="7316" spans="1:4" x14ac:dyDescent="0.3">
      <c r="A7316" s="2" t="s">
        <v>228</v>
      </c>
      <c r="B7316" s="2" t="s">
        <v>229</v>
      </c>
      <c r="C7316" s="3">
        <v>1994</v>
      </c>
      <c r="D7316" s="4">
        <v>2149928</v>
      </c>
    </row>
    <row r="7317" spans="1:4" x14ac:dyDescent="0.3">
      <c r="A7317" s="5" t="s">
        <v>228</v>
      </c>
      <c r="B7317" s="5" t="s">
        <v>229</v>
      </c>
      <c r="C7317" s="6">
        <v>1995</v>
      </c>
      <c r="D7317" s="7">
        <v>2169162</v>
      </c>
    </row>
    <row r="7318" spans="1:4" x14ac:dyDescent="0.3">
      <c r="A7318" s="2" t="s">
        <v>228</v>
      </c>
      <c r="B7318" s="2" t="s">
        <v>229</v>
      </c>
      <c r="C7318" s="3">
        <v>1996</v>
      </c>
      <c r="D7318" s="4">
        <v>2232289</v>
      </c>
    </row>
    <row r="7319" spans="1:4" x14ac:dyDescent="0.3">
      <c r="A7319" s="5" t="s">
        <v>228</v>
      </c>
      <c r="B7319" s="5" t="s">
        <v>229</v>
      </c>
      <c r="C7319" s="6">
        <v>1997</v>
      </c>
      <c r="D7319" s="7">
        <v>2412989</v>
      </c>
    </row>
    <row r="7320" spans="1:4" x14ac:dyDescent="0.3">
      <c r="A7320" s="2" t="s">
        <v>228</v>
      </c>
      <c r="B7320" s="2" t="s">
        <v>229</v>
      </c>
      <c r="C7320" s="3">
        <v>1998</v>
      </c>
      <c r="D7320" s="4">
        <v>2670124</v>
      </c>
    </row>
    <row r="7321" spans="1:4" x14ac:dyDescent="0.3">
      <c r="A7321" s="5" t="s">
        <v>228</v>
      </c>
      <c r="B7321" s="5" t="s">
        <v>229</v>
      </c>
      <c r="C7321" s="6">
        <v>1999</v>
      </c>
      <c r="D7321" s="7">
        <v>2821684</v>
      </c>
    </row>
    <row r="7322" spans="1:4" x14ac:dyDescent="0.3">
      <c r="A7322" s="2" t="s">
        <v>228</v>
      </c>
      <c r="B7322" s="2" t="s">
        <v>229</v>
      </c>
      <c r="C7322" s="3">
        <v>2000</v>
      </c>
      <c r="D7322" s="4">
        <v>2928117</v>
      </c>
    </row>
    <row r="7323" spans="1:4" x14ac:dyDescent="0.3">
      <c r="A7323" s="5" t="s">
        <v>228</v>
      </c>
      <c r="B7323" s="5" t="s">
        <v>229</v>
      </c>
      <c r="C7323" s="6">
        <v>2001</v>
      </c>
      <c r="D7323" s="7">
        <v>3015338</v>
      </c>
    </row>
    <row r="7324" spans="1:4" x14ac:dyDescent="0.3">
      <c r="A7324" s="2" t="s">
        <v>228</v>
      </c>
      <c r="B7324" s="2" t="s">
        <v>229</v>
      </c>
      <c r="C7324" s="3">
        <v>2002</v>
      </c>
      <c r="D7324" s="4">
        <v>3094782</v>
      </c>
    </row>
    <row r="7325" spans="1:4" x14ac:dyDescent="0.3">
      <c r="A7325" s="5" t="s">
        <v>228</v>
      </c>
      <c r="B7325" s="5" t="s">
        <v>229</v>
      </c>
      <c r="C7325" s="6">
        <v>2003</v>
      </c>
      <c r="D7325" s="7">
        <v>3119532</v>
      </c>
    </row>
    <row r="7326" spans="1:4" x14ac:dyDescent="0.3">
      <c r="A7326" s="2" t="s">
        <v>228</v>
      </c>
      <c r="B7326" s="2" t="s">
        <v>229</v>
      </c>
      <c r="C7326" s="3">
        <v>2004</v>
      </c>
      <c r="D7326" s="4">
        <v>3156892</v>
      </c>
    </row>
    <row r="7327" spans="1:4" x14ac:dyDescent="0.3">
      <c r="A7327" s="5" t="s">
        <v>228</v>
      </c>
      <c r="B7327" s="5" t="s">
        <v>229</v>
      </c>
      <c r="C7327" s="6">
        <v>2005</v>
      </c>
      <c r="D7327" s="7">
        <v>3301015</v>
      </c>
    </row>
    <row r="7328" spans="1:4" x14ac:dyDescent="0.3">
      <c r="A7328" s="2" t="s">
        <v>228</v>
      </c>
      <c r="B7328" s="2" t="s">
        <v>229</v>
      </c>
      <c r="C7328" s="3">
        <v>2006</v>
      </c>
      <c r="D7328" s="4">
        <v>3490787</v>
      </c>
    </row>
    <row r="7329" spans="1:4" x14ac:dyDescent="0.3">
      <c r="A7329" s="5" t="s">
        <v>228</v>
      </c>
      <c r="B7329" s="5" t="s">
        <v>229</v>
      </c>
      <c r="C7329" s="6">
        <v>2007</v>
      </c>
      <c r="D7329" s="7">
        <v>3669050</v>
      </c>
    </row>
    <row r="7330" spans="1:4" x14ac:dyDescent="0.3">
      <c r="A7330" s="2" t="s">
        <v>228</v>
      </c>
      <c r="B7330" s="2" t="s">
        <v>229</v>
      </c>
      <c r="C7330" s="3">
        <v>2008</v>
      </c>
      <c r="D7330" s="4">
        <v>3821003</v>
      </c>
    </row>
    <row r="7331" spans="1:4" x14ac:dyDescent="0.3">
      <c r="A7331" s="5" t="s">
        <v>228</v>
      </c>
      <c r="B7331" s="5" t="s">
        <v>229</v>
      </c>
      <c r="C7331" s="6">
        <v>2009</v>
      </c>
      <c r="D7331" s="7">
        <v>3943028</v>
      </c>
    </row>
    <row r="7332" spans="1:4" x14ac:dyDescent="0.3">
      <c r="A7332" s="2" t="s">
        <v>228</v>
      </c>
      <c r="B7332" s="2" t="s">
        <v>229</v>
      </c>
      <c r="C7332" s="3">
        <v>2010</v>
      </c>
      <c r="D7332" s="4">
        <v>4058890</v>
      </c>
    </row>
    <row r="7333" spans="1:4" x14ac:dyDescent="0.3">
      <c r="A7333" s="5" t="s">
        <v>228</v>
      </c>
      <c r="B7333" s="5" t="s">
        <v>229</v>
      </c>
      <c r="C7333" s="6">
        <v>2011</v>
      </c>
      <c r="D7333" s="7">
        <v>4221178</v>
      </c>
    </row>
    <row r="7334" spans="1:4" x14ac:dyDescent="0.3">
      <c r="A7334" s="2" t="s">
        <v>228</v>
      </c>
      <c r="B7334" s="2" t="s">
        <v>229</v>
      </c>
      <c r="C7334" s="3">
        <v>2012</v>
      </c>
      <c r="D7334" s="4">
        <v>4373043</v>
      </c>
    </row>
    <row r="7335" spans="1:4" x14ac:dyDescent="0.3">
      <c r="A7335" s="5" t="s">
        <v>228</v>
      </c>
      <c r="B7335" s="5" t="s">
        <v>229</v>
      </c>
      <c r="C7335" s="6">
        <v>2013</v>
      </c>
      <c r="D7335" s="7">
        <v>4470239</v>
      </c>
    </row>
    <row r="7336" spans="1:4" x14ac:dyDescent="0.3">
      <c r="A7336" s="2" t="s">
        <v>228</v>
      </c>
      <c r="B7336" s="2" t="s">
        <v>229</v>
      </c>
      <c r="C7336" s="3">
        <v>2014</v>
      </c>
      <c r="D7336" s="4">
        <v>4564293</v>
      </c>
    </row>
    <row r="7337" spans="1:4" x14ac:dyDescent="0.3">
      <c r="A7337" s="5" t="s">
        <v>228</v>
      </c>
      <c r="B7337" s="5" t="s">
        <v>229</v>
      </c>
      <c r="C7337" s="6">
        <v>2015</v>
      </c>
      <c r="D7337" s="7">
        <v>4659431</v>
      </c>
    </row>
    <row r="7338" spans="1:4" x14ac:dyDescent="0.3">
      <c r="A7338" s="2" t="s">
        <v>228</v>
      </c>
      <c r="B7338" s="2" t="s">
        <v>229</v>
      </c>
      <c r="C7338" s="3">
        <v>2016</v>
      </c>
      <c r="D7338" s="4">
        <v>4755608</v>
      </c>
    </row>
    <row r="7339" spans="1:4" x14ac:dyDescent="0.3">
      <c r="A7339" s="5" t="s">
        <v>228</v>
      </c>
      <c r="B7339" s="5" t="s">
        <v>229</v>
      </c>
      <c r="C7339" s="6">
        <v>2017</v>
      </c>
      <c r="D7339" s="7">
        <v>4848925</v>
      </c>
    </row>
    <row r="7340" spans="1:4" x14ac:dyDescent="0.3">
      <c r="A7340" s="2" t="s">
        <v>228</v>
      </c>
      <c r="B7340" s="2" t="s">
        <v>229</v>
      </c>
      <c r="C7340" s="3">
        <v>2018</v>
      </c>
      <c r="D7340" s="4">
        <v>4944726</v>
      </c>
    </row>
    <row r="7341" spans="1:4" x14ac:dyDescent="0.3">
      <c r="A7341" s="5" t="s">
        <v>228</v>
      </c>
      <c r="B7341" s="5" t="s">
        <v>229</v>
      </c>
      <c r="C7341" s="6">
        <v>2019</v>
      </c>
      <c r="D7341" s="7">
        <v>5043721</v>
      </c>
    </row>
    <row r="7342" spans="1:4" x14ac:dyDescent="0.3">
      <c r="A7342" s="2" t="s">
        <v>228</v>
      </c>
      <c r="B7342" s="2" t="s">
        <v>229</v>
      </c>
      <c r="C7342" s="3">
        <v>2020</v>
      </c>
      <c r="D7342" s="4">
        <v>5149463</v>
      </c>
    </row>
    <row r="7343" spans="1:4" x14ac:dyDescent="0.3">
      <c r="A7343" s="5" t="s">
        <v>228</v>
      </c>
      <c r="B7343" s="5" t="s">
        <v>229</v>
      </c>
      <c r="C7343" s="6">
        <v>2021</v>
      </c>
      <c r="D7343" s="7">
        <v>5259323</v>
      </c>
    </row>
    <row r="7344" spans="1:4" x14ac:dyDescent="0.3">
      <c r="A7344" s="2" t="s">
        <v>228</v>
      </c>
      <c r="B7344" s="2" t="s">
        <v>229</v>
      </c>
      <c r="C7344" s="3">
        <v>2022</v>
      </c>
      <c r="D7344" s="4">
        <v>5373294</v>
      </c>
    </row>
    <row r="7345" spans="1:4" x14ac:dyDescent="0.3">
      <c r="A7345" s="5" t="s">
        <v>228</v>
      </c>
      <c r="B7345" s="5" t="s">
        <v>229</v>
      </c>
      <c r="C7345" s="6">
        <v>2023</v>
      </c>
      <c r="D7345" s="7">
        <v>5493031</v>
      </c>
    </row>
    <row r="7346" spans="1:4" x14ac:dyDescent="0.3">
      <c r="A7346" s="2" t="s">
        <v>228</v>
      </c>
      <c r="B7346" s="2" t="s">
        <v>229</v>
      </c>
      <c r="C7346" s="3">
        <v>2024</v>
      </c>
      <c r="D7346" s="4">
        <v>5612817</v>
      </c>
    </row>
    <row r="7347" spans="1:4" x14ac:dyDescent="0.3">
      <c r="A7347" s="5" t="s">
        <v>230</v>
      </c>
      <c r="B7347" s="5" t="s">
        <v>231</v>
      </c>
      <c r="C7347" s="6">
        <v>1960</v>
      </c>
      <c r="D7347" s="7">
        <v>1492890</v>
      </c>
    </row>
    <row r="7348" spans="1:4" x14ac:dyDescent="0.3">
      <c r="A7348" s="2" t="s">
        <v>230</v>
      </c>
      <c r="B7348" s="2" t="s">
        <v>231</v>
      </c>
      <c r="C7348" s="3">
        <v>1961</v>
      </c>
      <c r="D7348" s="4">
        <v>1555699</v>
      </c>
    </row>
    <row r="7349" spans="1:4" x14ac:dyDescent="0.3">
      <c r="A7349" s="5" t="s">
        <v>230</v>
      </c>
      <c r="B7349" s="5" t="s">
        <v>231</v>
      </c>
      <c r="C7349" s="6">
        <v>1962</v>
      </c>
      <c r="D7349" s="7">
        <v>1621960</v>
      </c>
    </row>
    <row r="7350" spans="1:4" x14ac:dyDescent="0.3">
      <c r="A7350" s="2" t="s">
        <v>230</v>
      </c>
      <c r="B7350" s="2" t="s">
        <v>231</v>
      </c>
      <c r="C7350" s="3">
        <v>1963</v>
      </c>
      <c r="D7350" s="4">
        <v>1690457</v>
      </c>
    </row>
    <row r="7351" spans="1:4" x14ac:dyDescent="0.3">
      <c r="A7351" s="5" t="s">
        <v>230</v>
      </c>
      <c r="B7351" s="5" t="s">
        <v>231</v>
      </c>
      <c r="C7351" s="6">
        <v>1964</v>
      </c>
      <c r="D7351" s="7">
        <v>1753691</v>
      </c>
    </row>
    <row r="7352" spans="1:4" x14ac:dyDescent="0.3">
      <c r="A7352" s="2" t="s">
        <v>230</v>
      </c>
      <c r="B7352" s="2" t="s">
        <v>231</v>
      </c>
      <c r="C7352" s="3">
        <v>1965</v>
      </c>
      <c r="D7352" s="4">
        <v>1804015</v>
      </c>
    </row>
    <row r="7353" spans="1:4" x14ac:dyDescent="0.3">
      <c r="A7353" s="5" t="s">
        <v>230</v>
      </c>
      <c r="B7353" s="5" t="s">
        <v>231</v>
      </c>
      <c r="C7353" s="6">
        <v>1966</v>
      </c>
      <c r="D7353" s="7">
        <v>1849063</v>
      </c>
    </row>
    <row r="7354" spans="1:4" x14ac:dyDescent="0.3">
      <c r="A7354" s="2" t="s">
        <v>230</v>
      </c>
      <c r="B7354" s="2" t="s">
        <v>231</v>
      </c>
      <c r="C7354" s="3">
        <v>1967</v>
      </c>
      <c r="D7354" s="4">
        <v>1898199</v>
      </c>
    </row>
    <row r="7355" spans="1:4" x14ac:dyDescent="0.3">
      <c r="A7355" s="5" t="s">
        <v>230</v>
      </c>
      <c r="B7355" s="5" t="s">
        <v>231</v>
      </c>
      <c r="C7355" s="6">
        <v>1968</v>
      </c>
      <c r="D7355" s="7">
        <v>1952781</v>
      </c>
    </row>
    <row r="7356" spans="1:4" x14ac:dyDescent="0.3">
      <c r="A7356" s="2" t="s">
        <v>230</v>
      </c>
      <c r="B7356" s="2" t="s">
        <v>231</v>
      </c>
      <c r="C7356" s="3">
        <v>1969</v>
      </c>
      <c r="D7356" s="4">
        <v>2014293</v>
      </c>
    </row>
    <row r="7357" spans="1:4" x14ac:dyDescent="0.3">
      <c r="A7357" s="5" t="s">
        <v>230</v>
      </c>
      <c r="B7357" s="5" t="s">
        <v>231</v>
      </c>
      <c r="C7357" s="6">
        <v>1970</v>
      </c>
      <c r="D7357" s="7">
        <v>2082589</v>
      </c>
    </row>
    <row r="7358" spans="1:4" x14ac:dyDescent="0.3">
      <c r="A7358" s="2" t="s">
        <v>230</v>
      </c>
      <c r="B7358" s="2" t="s">
        <v>231</v>
      </c>
      <c r="C7358" s="3">
        <v>1971</v>
      </c>
      <c r="D7358" s="4">
        <v>2153534</v>
      </c>
    </row>
    <row r="7359" spans="1:4" x14ac:dyDescent="0.3">
      <c r="A7359" s="5" t="s">
        <v>230</v>
      </c>
      <c r="B7359" s="5" t="s">
        <v>231</v>
      </c>
      <c r="C7359" s="6">
        <v>1972</v>
      </c>
      <c r="D7359" s="7">
        <v>2226091</v>
      </c>
    </row>
    <row r="7360" spans="1:4" x14ac:dyDescent="0.3">
      <c r="A7360" s="2" t="s">
        <v>230</v>
      </c>
      <c r="B7360" s="2" t="s">
        <v>231</v>
      </c>
      <c r="C7360" s="3">
        <v>1973</v>
      </c>
      <c r="D7360" s="4">
        <v>2314193</v>
      </c>
    </row>
    <row r="7361" spans="1:4" x14ac:dyDescent="0.3">
      <c r="A7361" s="5" t="s">
        <v>230</v>
      </c>
      <c r="B7361" s="5" t="s">
        <v>231</v>
      </c>
      <c r="C7361" s="6">
        <v>1974</v>
      </c>
      <c r="D7361" s="7">
        <v>2432211</v>
      </c>
    </row>
    <row r="7362" spans="1:4" x14ac:dyDescent="0.3">
      <c r="A7362" s="2" t="s">
        <v>230</v>
      </c>
      <c r="B7362" s="2" t="s">
        <v>231</v>
      </c>
      <c r="C7362" s="3">
        <v>1975</v>
      </c>
      <c r="D7362" s="4">
        <v>2571556</v>
      </c>
    </row>
    <row r="7363" spans="1:4" x14ac:dyDescent="0.3">
      <c r="A7363" s="5" t="s">
        <v>230</v>
      </c>
      <c r="B7363" s="5" t="s">
        <v>231</v>
      </c>
      <c r="C7363" s="6">
        <v>1976</v>
      </c>
      <c r="D7363" s="7">
        <v>2721237</v>
      </c>
    </row>
    <row r="7364" spans="1:4" x14ac:dyDescent="0.3">
      <c r="A7364" s="2" t="s">
        <v>230</v>
      </c>
      <c r="B7364" s="2" t="s">
        <v>231</v>
      </c>
      <c r="C7364" s="3">
        <v>1977</v>
      </c>
      <c r="D7364" s="4">
        <v>2881533</v>
      </c>
    </row>
    <row r="7365" spans="1:4" x14ac:dyDescent="0.3">
      <c r="A7365" s="5" t="s">
        <v>230</v>
      </c>
      <c r="B7365" s="5" t="s">
        <v>231</v>
      </c>
      <c r="C7365" s="6">
        <v>1978</v>
      </c>
      <c r="D7365" s="7">
        <v>3052526</v>
      </c>
    </row>
    <row r="7366" spans="1:4" x14ac:dyDescent="0.3">
      <c r="A7366" s="2" t="s">
        <v>230</v>
      </c>
      <c r="B7366" s="2" t="s">
        <v>231</v>
      </c>
      <c r="C7366" s="3">
        <v>1979</v>
      </c>
      <c r="D7366" s="4">
        <v>3233846</v>
      </c>
    </row>
    <row r="7367" spans="1:4" x14ac:dyDescent="0.3">
      <c r="A7367" s="5" t="s">
        <v>230</v>
      </c>
      <c r="B7367" s="5" t="s">
        <v>231</v>
      </c>
      <c r="C7367" s="6">
        <v>1980</v>
      </c>
      <c r="D7367" s="7">
        <v>3424378</v>
      </c>
    </row>
    <row r="7368" spans="1:4" x14ac:dyDescent="0.3">
      <c r="A7368" s="2" t="s">
        <v>230</v>
      </c>
      <c r="B7368" s="2" t="s">
        <v>231</v>
      </c>
      <c r="C7368" s="3">
        <v>1981</v>
      </c>
      <c r="D7368" s="4">
        <v>3621486</v>
      </c>
    </row>
    <row r="7369" spans="1:4" x14ac:dyDescent="0.3">
      <c r="A7369" s="5" t="s">
        <v>230</v>
      </c>
      <c r="B7369" s="5" t="s">
        <v>231</v>
      </c>
      <c r="C7369" s="6">
        <v>1982</v>
      </c>
      <c r="D7369" s="7">
        <v>3724765</v>
      </c>
    </row>
    <row r="7370" spans="1:4" x14ac:dyDescent="0.3">
      <c r="A7370" s="2" t="s">
        <v>230</v>
      </c>
      <c r="B7370" s="2" t="s">
        <v>231</v>
      </c>
      <c r="C7370" s="3">
        <v>1983</v>
      </c>
      <c r="D7370" s="4">
        <v>3718961</v>
      </c>
    </row>
    <row r="7371" spans="1:4" x14ac:dyDescent="0.3">
      <c r="A7371" s="5" t="s">
        <v>230</v>
      </c>
      <c r="B7371" s="5" t="s">
        <v>231</v>
      </c>
      <c r="C7371" s="6">
        <v>1984</v>
      </c>
      <c r="D7371" s="7">
        <v>3773633</v>
      </c>
    </row>
    <row r="7372" spans="1:4" x14ac:dyDescent="0.3">
      <c r="A7372" s="2" t="s">
        <v>230</v>
      </c>
      <c r="B7372" s="2" t="s">
        <v>231</v>
      </c>
      <c r="C7372" s="3">
        <v>1985</v>
      </c>
      <c r="D7372" s="4">
        <v>3898745</v>
      </c>
    </row>
    <row r="7373" spans="1:4" x14ac:dyDescent="0.3">
      <c r="A7373" s="5" t="s">
        <v>230</v>
      </c>
      <c r="B7373" s="5" t="s">
        <v>231</v>
      </c>
      <c r="C7373" s="6">
        <v>1986</v>
      </c>
      <c r="D7373" s="7">
        <v>4017403</v>
      </c>
    </row>
    <row r="7374" spans="1:4" x14ac:dyDescent="0.3">
      <c r="A7374" s="2" t="s">
        <v>230</v>
      </c>
      <c r="B7374" s="2" t="s">
        <v>231</v>
      </c>
      <c r="C7374" s="3">
        <v>1987</v>
      </c>
      <c r="D7374" s="4">
        <v>4129739</v>
      </c>
    </row>
    <row r="7375" spans="1:4" x14ac:dyDescent="0.3">
      <c r="A7375" s="5" t="s">
        <v>230</v>
      </c>
      <c r="B7375" s="5" t="s">
        <v>231</v>
      </c>
      <c r="C7375" s="6">
        <v>1988</v>
      </c>
      <c r="D7375" s="7">
        <v>4237755</v>
      </c>
    </row>
    <row r="7376" spans="1:4" x14ac:dyDescent="0.3">
      <c r="A7376" s="2" t="s">
        <v>230</v>
      </c>
      <c r="B7376" s="2" t="s">
        <v>231</v>
      </c>
      <c r="C7376" s="3">
        <v>1989</v>
      </c>
      <c r="D7376" s="4">
        <v>4342920</v>
      </c>
    </row>
    <row r="7377" spans="1:4" x14ac:dyDescent="0.3">
      <c r="A7377" s="5" t="s">
        <v>230</v>
      </c>
      <c r="B7377" s="5" t="s">
        <v>231</v>
      </c>
      <c r="C7377" s="6">
        <v>1990</v>
      </c>
      <c r="D7377" s="7">
        <v>4445239</v>
      </c>
    </row>
    <row r="7378" spans="1:4" x14ac:dyDescent="0.3">
      <c r="A7378" s="2" t="s">
        <v>230</v>
      </c>
      <c r="B7378" s="2" t="s">
        <v>231</v>
      </c>
      <c r="C7378" s="3">
        <v>1991</v>
      </c>
      <c r="D7378" s="4">
        <v>4544400</v>
      </c>
    </row>
    <row r="7379" spans="1:4" x14ac:dyDescent="0.3">
      <c r="A7379" s="5" t="s">
        <v>230</v>
      </c>
      <c r="B7379" s="5" t="s">
        <v>231</v>
      </c>
      <c r="C7379" s="6">
        <v>1992</v>
      </c>
      <c r="D7379" s="7">
        <v>4640352</v>
      </c>
    </row>
    <row r="7380" spans="1:4" x14ac:dyDescent="0.3">
      <c r="A7380" s="2" t="s">
        <v>230</v>
      </c>
      <c r="B7380" s="2" t="s">
        <v>231</v>
      </c>
      <c r="C7380" s="3">
        <v>1993</v>
      </c>
      <c r="D7380" s="4">
        <v>4733045</v>
      </c>
    </row>
    <row r="7381" spans="1:4" x14ac:dyDescent="0.3">
      <c r="A7381" s="5" t="s">
        <v>230</v>
      </c>
      <c r="B7381" s="5" t="s">
        <v>231</v>
      </c>
      <c r="C7381" s="6">
        <v>1994</v>
      </c>
      <c r="D7381" s="7">
        <v>4822037</v>
      </c>
    </row>
    <row r="7382" spans="1:4" x14ac:dyDescent="0.3">
      <c r="A7382" s="2" t="s">
        <v>230</v>
      </c>
      <c r="B7382" s="2" t="s">
        <v>231</v>
      </c>
      <c r="C7382" s="3">
        <v>1995</v>
      </c>
      <c r="D7382" s="4">
        <v>4906843</v>
      </c>
    </row>
    <row r="7383" spans="1:4" x14ac:dyDescent="0.3">
      <c r="A7383" s="5" t="s">
        <v>230</v>
      </c>
      <c r="B7383" s="5" t="s">
        <v>231</v>
      </c>
      <c r="C7383" s="6">
        <v>1996</v>
      </c>
      <c r="D7383" s="7">
        <v>4987393</v>
      </c>
    </row>
    <row r="7384" spans="1:4" x14ac:dyDescent="0.3">
      <c r="A7384" s="2" t="s">
        <v>230</v>
      </c>
      <c r="B7384" s="2" t="s">
        <v>231</v>
      </c>
      <c r="C7384" s="3">
        <v>1997</v>
      </c>
      <c r="D7384" s="4">
        <v>5064639</v>
      </c>
    </row>
    <row r="7385" spans="1:4" x14ac:dyDescent="0.3">
      <c r="A7385" s="5" t="s">
        <v>230</v>
      </c>
      <c r="B7385" s="5" t="s">
        <v>231</v>
      </c>
      <c r="C7385" s="6">
        <v>1998</v>
      </c>
      <c r="D7385" s="7">
        <v>5140704</v>
      </c>
    </row>
    <row r="7386" spans="1:4" x14ac:dyDescent="0.3">
      <c r="A7386" s="2" t="s">
        <v>230</v>
      </c>
      <c r="B7386" s="2" t="s">
        <v>231</v>
      </c>
      <c r="C7386" s="3">
        <v>1999</v>
      </c>
      <c r="D7386" s="4">
        <v>5218038</v>
      </c>
    </row>
    <row r="7387" spans="1:4" x14ac:dyDescent="0.3">
      <c r="A7387" s="5" t="s">
        <v>230</v>
      </c>
      <c r="B7387" s="5" t="s">
        <v>231</v>
      </c>
      <c r="C7387" s="6">
        <v>2000</v>
      </c>
      <c r="D7387" s="7">
        <v>5305021</v>
      </c>
    </row>
    <row r="7388" spans="1:4" x14ac:dyDescent="0.3">
      <c r="A7388" s="2" t="s">
        <v>230</v>
      </c>
      <c r="B7388" s="2" t="s">
        <v>231</v>
      </c>
      <c r="C7388" s="3">
        <v>2001</v>
      </c>
      <c r="D7388" s="4">
        <v>5403639</v>
      </c>
    </row>
    <row r="7389" spans="1:4" x14ac:dyDescent="0.3">
      <c r="A7389" s="5" t="s">
        <v>230</v>
      </c>
      <c r="B7389" s="5" t="s">
        <v>231</v>
      </c>
      <c r="C7389" s="6">
        <v>2002</v>
      </c>
      <c r="D7389" s="7">
        <v>5508410</v>
      </c>
    </row>
    <row r="7390" spans="1:4" x14ac:dyDescent="0.3">
      <c r="A7390" s="2" t="s">
        <v>230</v>
      </c>
      <c r="B7390" s="2" t="s">
        <v>231</v>
      </c>
      <c r="C7390" s="3">
        <v>2003</v>
      </c>
      <c r="D7390" s="4">
        <v>5619398</v>
      </c>
    </row>
    <row r="7391" spans="1:4" x14ac:dyDescent="0.3">
      <c r="A7391" s="5" t="s">
        <v>230</v>
      </c>
      <c r="B7391" s="5" t="s">
        <v>231</v>
      </c>
      <c r="C7391" s="6">
        <v>2004</v>
      </c>
      <c r="D7391" s="7">
        <v>5736693</v>
      </c>
    </row>
    <row r="7392" spans="1:4" x14ac:dyDescent="0.3">
      <c r="A7392" s="2" t="s">
        <v>230</v>
      </c>
      <c r="B7392" s="2" t="s">
        <v>231</v>
      </c>
      <c r="C7392" s="3">
        <v>2005</v>
      </c>
      <c r="D7392" s="4">
        <v>5858798</v>
      </c>
    </row>
    <row r="7393" spans="1:4" x14ac:dyDescent="0.3">
      <c r="A7393" s="5" t="s">
        <v>230</v>
      </c>
      <c r="B7393" s="5" t="s">
        <v>231</v>
      </c>
      <c r="C7393" s="6">
        <v>2006</v>
      </c>
      <c r="D7393" s="7">
        <v>5980211</v>
      </c>
    </row>
    <row r="7394" spans="1:4" x14ac:dyDescent="0.3">
      <c r="A7394" s="2" t="s">
        <v>230</v>
      </c>
      <c r="B7394" s="2" t="s">
        <v>231</v>
      </c>
      <c r="C7394" s="3">
        <v>2007</v>
      </c>
      <c r="D7394" s="4">
        <v>6104380</v>
      </c>
    </row>
    <row r="7395" spans="1:4" x14ac:dyDescent="0.3">
      <c r="A7395" s="5" t="s">
        <v>230</v>
      </c>
      <c r="B7395" s="5" t="s">
        <v>231</v>
      </c>
      <c r="C7395" s="6">
        <v>2008</v>
      </c>
      <c r="D7395" s="7">
        <v>6235430</v>
      </c>
    </row>
    <row r="7396" spans="1:4" x14ac:dyDescent="0.3">
      <c r="A7396" s="2" t="s">
        <v>230</v>
      </c>
      <c r="B7396" s="2" t="s">
        <v>231</v>
      </c>
      <c r="C7396" s="3">
        <v>2009</v>
      </c>
      <c r="D7396" s="4">
        <v>6366686</v>
      </c>
    </row>
    <row r="7397" spans="1:4" x14ac:dyDescent="0.3">
      <c r="A7397" s="5" t="s">
        <v>230</v>
      </c>
      <c r="B7397" s="5" t="s">
        <v>231</v>
      </c>
      <c r="C7397" s="6">
        <v>2010</v>
      </c>
      <c r="D7397" s="7">
        <v>6497839</v>
      </c>
    </row>
    <row r="7398" spans="1:4" x14ac:dyDescent="0.3">
      <c r="A7398" s="2" t="s">
        <v>230</v>
      </c>
      <c r="B7398" s="2" t="s">
        <v>231</v>
      </c>
      <c r="C7398" s="3">
        <v>2011</v>
      </c>
      <c r="D7398" s="4">
        <v>6343203</v>
      </c>
    </row>
    <row r="7399" spans="1:4" x14ac:dyDescent="0.3">
      <c r="A7399" s="5" t="s">
        <v>230</v>
      </c>
      <c r="B7399" s="5" t="s">
        <v>231</v>
      </c>
      <c r="C7399" s="6">
        <v>2012</v>
      </c>
      <c r="D7399" s="7">
        <v>6179328</v>
      </c>
    </row>
    <row r="7400" spans="1:4" x14ac:dyDescent="0.3">
      <c r="A7400" s="2" t="s">
        <v>230</v>
      </c>
      <c r="B7400" s="2" t="s">
        <v>231</v>
      </c>
      <c r="C7400" s="3">
        <v>2013</v>
      </c>
      <c r="D7400" s="4">
        <v>6304628</v>
      </c>
    </row>
    <row r="7401" spans="1:4" x14ac:dyDescent="0.3">
      <c r="A7401" s="5" t="s">
        <v>230</v>
      </c>
      <c r="B7401" s="5" t="s">
        <v>231</v>
      </c>
      <c r="C7401" s="6">
        <v>2014</v>
      </c>
      <c r="D7401" s="7">
        <v>6427252</v>
      </c>
    </row>
    <row r="7402" spans="1:4" x14ac:dyDescent="0.3">
      <c r="A7402" s="2" t="s">
        <v>230</v>
      </c>
      <c r="B7402" s="2" t="s">
        <v>231</v>
      </c>
      <c r="C7402" s="3">
        <v>2015</v>
      </c>
      <c r="D7402" s="4">
        <v>6531819</v>
      </c>
    </row>
    <row r="7403" spans="1:4" x14ac:dyDescent="0.3">
      <c r="A7403" s="5" t="s">
        <v>230</v>
      </c>
      <c r="B7403" s="5" t="s">
        <v>231</v>
      </c>
      <c r="C7403" s="6">
        <v>2016</v>
      </c>
      <c r="D7403" s="7">
        <v>6632126</v>
      </c>
    </row>
    <row r="7404" spans="1:4" x14ac:dyDescent="0.3">
      <c r="A7404" s="2" t="s">
        <v>230</v>
      </c>
      <c r="B7404" s="2" t="s">
        <v>231</v>
      </c>
      <c r="C7404" s="3">
        <v>2017</v>
      </c>
      <c r="D7404" s="4">
        <v>6738770</v>
      </c>
    </row>
    <row r="7405" spans="1:4" x14ac:dyDescent="0.3">
      <c r="A7405" s="5" t="s">
        <v>230</v>
      </c>
      <c r="B7405" s="5" t="s">
        <v>231</v>
      </c>
      <c r="C7405" s="6">
        <v>2018</v>
      </c>
      <c r="D7405" s="7">
        <v>6849055</v>
      </c>
    </row>
    <row r="7406" spans="1:4" x14ac:dyDescent="0.3">
      <c r="A7406" s="2" t="s">
        <v>230</v>
      </c>
      <c r="B7406" s="2" t="s">
        <v>231</v>
      </c>
      <c r="C7406" s="3">
        <v>2019</v>
      </c>
      <c r="D7406" s="4">
        <v>6951033</v>
      </c>
    </row>
    <row r="7407" spans="1:4" x14ac:dyDescent="0.3">
      <c r="A7407" s="5" t="s">
        <v>230</v>
      </c>
      <c r="B7407" s="5" t="s">
        <v>231</v>
      </c>
      <c r="C7407" s="6">
        <v>2020</v>
      </c>
      <c r="D7407" s="7">
        <v>7045399</v>
      </c>
    </row>
    <row r="7408" spans="1:4" x14ac:dyDescent="0.3">
      <c r="A7408" s="2" t="s">
        <v>230</v>
      </c>
      <c r="B7408" s="2" t="s">
        <v>231</v>
      </c>
      <c r="C7408" s="3">
        <v>2021</v>
      </c>
      <c r="D7408" s="4">
        <v>7135175</v>
      </c>
    </row>
    <row r="7409" spans="1:4" x14ac:dyDescent="0.3">
      <c r="A7409" s="5" t="s">
        <v>230</v>
      </c>
      <c r="B7409" s="5" t="s">
        <v>231</v>
      </c>
      <c r="C7409" s="6">
        <v>2022</v>
      </c>
      <c r="D7409" s="7">
        <v>7223805</v>
      </c>
    </row>
    <row r="7410" spans="1:4" x14ac:dyDescent="0.3">
      <c r="A7410" s="2" t="s">
        <v>230</v>
      </c>
      <c r="B7410" s="2" t="s">
        <v>231</v>
      </c>
      <c r="C7410" s="3">
        <v>2023</v>
      </c>
      <c r="D7410" s="4">
        <v>7305659</v>
      </c>
    </row>
    <row r="7411" spans="1:4" x14ac:dyDescent="0.3">
      <c r="A7411" s="5" t="s">
        <v>230</v>
      </c>
      <c r="B7411" s="5" t="s">
        <v>231</v>
      </c>
      <c r="C7411" s="6">
        <v>2024</v>
      </c>
      <c r="D7411" s="7">
        <v>7381023</v>
      </c>
    </row>
    <row r="7412" spans="1:4" x14ac:dyDescent="0.3">
      <c r="A7412" s="2" t="s">
        <v>232</v>
      </c>
      <c r="B7412" s="2" t="s">
        <v>233</v>
      </c>
      <c r="C7412" s="3">
        <v>1960</v>
      </c>
      <c r="D7412" s="4">
        <v>16451</v>
      </c>
    </row>
    <row r="7413" spans="1:4" x14ac:dyDescent="0.3">
      <c r="A7413" s="5" t="s">
        <v>232</v>
      </c>
      <c r="B7413" s="5" t="s">
        <v>233</v>
      </c>
      <c r="C7413" s="6">
        <v>1961</v>
      </c>
      <c r="D7413" s="7">
        <v>16877</v>
      </c>
    </row>
    <row r="7414" spans="1:4" x14ac:dyDescent="0.3">
      <c r="A7414" s="2" t="s">
        <v>232</v>
      </c>
      <c r="B7414" s="2" t="s">
        <v>233</v>
      </c>
      <c r="C7414" s="3">
        <v>1962</v>
      </c>
      <c r="D7414" s="4">
        <v>17443</v>
      </c>
    </row>
    <row r="7415" spans="1:4" x14ac:dyDescent="0.3">
      <c r="A7415" s="5" t="s">
        <v>232</v>
      </c>
      <c r="B7415" s="5" t="s">
        <v>233</v>
      </c>
      <c r="C7415" s="6">
        <v>1963</v>
      </c>
      <c r="D7415" s="7">
        <v>18093</v>
      </c>
    </row>
    <row r="7416" spans="1:4" x14ac:dyDescent="0.3">
      <c r="A7416" s="2" t="s">
        <v>232</v>
      </c>
      <c r="B7416" s="2" t="s">
        <v>233</v>
      </c>
      <c r="C7416" s="3">
        <v>1964</v>
      </c>
      <c r="D7416" s="4">
        <v>18755</v>
      </c>
    </row>
    <row r="7417" spans="1:4" x14ac:dyDescent="0.3">
      <c r="A7417" s="5" t="s">
        <v>232</v>
      </c>
      <c r="B7417" s="5" t="s">
        <v>233</v>
      </c>
      <c r="C7417" s="6">
        <v>1965</v>
      </c>
      <c r="D7417" s="7">
        <v>19195</v>
      </c>
    </row>
    <row r="7418" spans="1:4" x14ac:dyDescent="0.3">
      <c r="A7418" s="2" t="s">
        <v>232</v>
      </c>
      <c r="B7418" s="2" t="s">
        <v>233</v>
      </c>
      <c r="C7418" s="3">
        <v>1966</v>
      </c>
      <c r="D7418" s="4">
        <v>19610</v>
      </c>
    </row>
    <row r="7419" spans="1:4" x14ac:dyDescent="0.3">
      <c r="A7419" s="5" t="s">
        <v>232</v>
      </c>
      <c r="B7419" s="5" t="s">
        <v>233</v>
      </c>
      <c r="C7419" s="6">
        <v>1967</v>
      </c>
      <c r="D7419" s="7">
        <v>20175</v>
      </c>
    </row>
    <row r="7420" spans="1:4" x14ac:dyDescent="0.3">
      <c r="A7420" s="2" t="s">
        <v>232</v>
      </c>
      <c r="B7420" s="2" t="s">
        <v>233</v>
      </c>
      <c r="C7420" s="3">
        <v>1968</v>
      </c>
      <c r="D7420" s="4">
        <v>20835</v>
      </c>
    </row>
    <row r="7421" spans="1:4" x14ac:dyDescent="0.3">
      <c r="A7421" s="5" t="s">
        <v>232</v>
      </c>
      <c r="B7421" s="5" t="s">
        <v>233</v>
      </c>
      <c r="C7421" s="6">
        <v>1969</v>
      </c>
      <c r="D7421" s="7">
        <v>21084</v>
      </c>
    </row>
    <row r="7422" spans="1:4" x14ac:dyDescent="0.3">
      <c r="A7422" s="2" t="s">
        <v>232</v>
      </c>
      <c r="B7422" s="2" t="s">
        <v>233</v>
      </c>
      <c r="C7422" s="3">
        <v>1970</v>
      </c>
      <c r="D7422" s="4">
        <v>21140</v>
      </c>
    </row>
    <row r="7423" spans="1:4" x14ac:dyDescent="0.3">
      <c r="A7423" s="5" t="s">
        <v>232</v>
      </c>
      <c r="B7423" s="5" t="s">
        <v>233</v>
      </c>
      <c r="C7423" s="6">
        <v>1971</v>
      </c>
      <c r="D7423" s="7">
        <v>21600</v>
      </c>
    </row>
    <row r="7424" spans="1:4" x14ac:dyDescent="0.3">
      <c r="A7424" s="2" t="s">
        <v>232</v>
      </c>
      <c r="B7424" s="2" t="s">
        <v>233</v>
      </c>
      <c r="C7424" s="3">
        <v>1972</v>
      </c>
      <c r="D7424" s="4">
        <v>22132</v>
      </c>
    </row>
    <row r="7425" spans="1:4" x14ac:dyDescent="0.3">
      <c r="A7425" s="5" t="s">
        <v>232</v>
      </c>
      <c r="B7425" s="5" t="s">
        <v>233</v>
      </c>
      <c r="C7425" s="6">
        <v>1973</v>
      </c>
      <c r="D7425" s="7">
        <v>22785</v>
      </c>
    </row>
    <row r="7426" spans="1:4" x14ac:dyDescent="0.3">
      <c r="A7426" s="2" t="s">
        <v>232</v>
      </c>
      <c r="B7426" s="2" t="s">
        <v>233</v>
      </c>
      <c r="C7426" s="3">
        <v>1974</v>
      </c>
      <c r="D7426" s="4">
        <v>23451</v>
      </c>
    </row>
    <row r="7427" spans="1:4" x14ac:dyDescent="0.3">
      <c r="A7427" s="5" t="s">
        <v>232</v>
      </c>
      <c r="B7427" s="5" t="s">
        <v>233</v>
      </c>
      <c r="C7427" s="6">
        <v>1975</v>
      </c>
      <c r="D7427" s="7">
        <v>23846</v>
      </c>
    </row>
    <row r="7428" spans="1:4" x14ac:dyDescent="0.3">
      <c r="A7428" s="2" t="s">
        <v>232</v>
      </c>
      <c r="B7428" s="2" t="s">
        <v>233</v>
      </c>
      <c r="C7428" s="3">
        <v>1976</v>
      </c>
      <c r="D7428" s="4">
        <v>24058</v>
      </c>
    </row>
    <row r="7429" spans="1:4" x14ac:dyDescent="0.3">
      <c r="A7429" s="5" t="s">
        <v>232</v>
      </c>
      <c r="B7429" s="5" t="s">
        <v>233</v>
      </c>
      <c r="C7429" s="6">
        <v>1977</v>
      </c>
      <c r="D7429" s="7">
        <v>24442</v>
      </c>
    </row>
    <row r="7430" spans="1:4" x14ac:dyDescent="0.3">
      <c r="A7430" s="2" t="s">
        <v>232</v>
      </c>
      <c r="B7430" s="2" t="s">
        <v>233</v>
      </c>
      <c r="C7430" s="3">
        <v>1978</v>
      </c>
      <c r="D7430" s="4">
        <v>25028</v>
      </c>
    </row>
    <row r="7431" spans="1:4" x14ac:dyDescent="0.3">
      <c r="A7431" s="5" t="s">
        <v>232</v>
      </c>
      <c r="B7431" s="5" t="s">
        <v>233</v>
      </c>
      <c r="C7431" s="6">
        <v>1979</v>
      </c>
      <c r="D7431" s="7">
        <v>25575</v>
      </c>
    </row>
    <row r="7432" spans="1:4" x14ac:dyDescent="0.3">
      <c r="A7432" s="2" t="s">
        <v>232</v>
      </c>
      <c r="B7432" s="2" t="s">
        <v>233</v>
      </c>
      <c r="C7432" s="3">
        <v>1980</v>
      </c>
      <c r="D7432" s="4">
        <v>25512</v>
      </c>
    </row>
    <row r="7433" spans="1:4" x14ac:dyDescent="0.3">
      <c r="A7433" s="5" t="s">
        <v>232</v>
      </c>
      <c r="B7433" s="5" t="s">
        <v>233</v>
      </c>
      <c r="C7433" s="6">
        <v>1981</v>
      </c>
      <c r="D7433" s="7">
        <v>25673</v>
      </c>
    </row>
    <row r="7434" spans="1:4" x14ac:dyDescent="0.3">
      <c r="A7434" s="2" t="s">
        <v>232</v>
      </c>
      <c r="B7434" s="2" t="s">
        <v>233</v>
      </c>
      <c r="C7434" s="3">
        <v>1982</v>
      </c>
      <c r="D7434" s="4">
        <v>26255</v>
      </c>
    </row>
    <row r="7435" spans="1:4" x14ac:dyDescent="0.3">
      <c r="A7435" s="5" t="s">
        <v>232</v>
      </c>
      <c r="B7435" s="5" t="s">
        <v>233</v>
      </c>
      <c r="C7435" s="6">
        <v>1983</v>
      </c>
      <c r="D7435" s="7">
        <v>26446</v>
      </c>
    </row>
    <row r="7436" spans="1:4" x14ac:dyDescent="0.3">
      <c r="A7436" s="2" t="s">
        <v>232</v>
      </c>
      <c r="B7436" s="2" t="s">
        <v>233</v>
      </c>
      <c r="C7436" s="3">
        <v>1984</v>
      </c>
      <c r="D7436" s="4">
        <v>26596</v>
      </c>
    </row>
    <row r="7437" spans="1:4" x14ac:dyDescent="0.3">
      <c r="A7437" s="5" t="s">
        <v>232</v>
      </c>
      <c r="B7437" s="5" t="s">
        <v>233</v>
      </c>
      <c r="C7437" s="6">
        <v>1985</v>
      </c>
      <c r="D7437" s="7">
        <v>26878</v>
      </c>
    </row>
    <row r="7438" spans="1:4" x14ac:dyDescent="0.3">
      <c r="A7438" s="2" t="s">
        <v>232</v>
      </c>
      <c r="B7438" s="2" t="s">
        <v>233</v>
      </c>
      <c r="C7438" s="3">
        <v>1986</v>
      </c>
      <c r="D7438" s="4">
        <v>27238</v>
      </c>
    </row>
    <row r="7439" spans="1:4" x14ac:dyDescent="0.3">
      <c r="A7439" s="5" t="s">
        <v>232</v>
      </c>
      <c r="B7439" s="5" t="s">
        <v>233</v>
      </c>
      <c r="C7439" s="6">
        <v>1987</v>
      </c>
      <c r="D7439" s="7">
        <v>27557</v>
      </c>
    </row>
    <row r="7440" spans="1:4" x14ac:dyDescent="0.3">
      <c r="A7440" s="2" t="s">
        <v>232</v>
      </c>
      <c r="B7440" s="2" t="s">
        <v>233</v>
      </c>
      <c r="C7440" s="3">
        <v>1988</v>
      </c>
      <c r="D7440" s="4">
        <v>27948</v>
      </c>
    </row>
    <row r="7441" spans="1:4" x14ac:dyDescent="0.3">
      <c r="A7441" s="5" t="s">
        <v>232</v>
      </c>
      <c r="B7441" s="5" t="s">
        <v>233</v>
      </c>
      <c r="C7441" s="6">
        <v>1989</v>
      </c>
      <c r="D7441" s="7">
        <v>28317</v>
      </c>
    </row>
    <row r="7442" spans="1:4" x14ac:dyDescent="0.3">
      <c r="A7442" s="2" t="s">
        <v>232</v>
      </c>
      <c r="B7442" s="2" t="s">
        <v>233</v>
      </c>
      <c r="C7442" s="3">
        <v>1990</v>
      </c>
      <c r="D7442" s="4">
        <v>28742</v>
      </c>
    </row>
    <row r="7443" spans="1:4" x14ac:dyDescent="0.3">
      <c r="A7443" s="5" t="s">
        <v>232</v>
      </c>
      <c r="B7443" s="5" t="s">
        <v>233</v>
      </c>
      <c r="C7443" s="6">
        <v>1991</v>
      </c>
      <c r="D7443" s="7">
        <v>29209</v>
      </c>
    </row>
    <row r="7444" spans="1:4" x14ac:dyDescent="0.3">
      <c r="A7444" s="2" t="s">
        <v>232</v>
      </c>
      <c r="B7444" s="2" t="s">
        <v>233</v>
      </c>
      <c r="C7444" s="3">
        <v>1992</v>
      </c>
      <c r="D7444" s="4">
        <v>29627</v>
      </c>
    </row>
    <row r="7445" spans="1:4" x14ac:dyDescent="0.3">
      <c r="A7445" s="5" t="s">
        <v>232</v>
      </c>
      <c r="B7445" s="5" t="s">
        <v>233</v>
      </c>
      <c r="C7445" s="6">
        <v>1993</v>
      </c>
      <c r="D7445" s="7">
        <v>30089</v>
      </c>
    </row>
    <row r="7446" spans="1:4" x14ac:dyDescent="0.3">
      <c r="A7446" s="2" t="s">
        <v>232</v>
      </c>
      <c r="B7446" s="2" t="s">
        <v>233</v>
      </c>
      <c r="C7446" s="3">
        <v>1994</v>
      </c>
      <c r="D7446" s="4">
        <v>30470</v>
      </c>
    </row>
    <row r="7447" spans="1:4" x14ac:dyDescent="0.3">
      <c r="A7447" s="5" t="s">
        <v>232</v>
      </c>
      <c r="B7447" s="5" t="s">
        <v>233</v>
      </c>
      <c r="C7447" s="6">
        <v>1995</v>
      </c>
      <c r="D7447" s="7">
        <v>30776</v>
      </c>
    </row>
    <row r="7448" spans="1:4" x14ac:dyDescent="0.3">
      <c r="A7448" s="2" t="s">
        <v>232</v>
      </c>
      <c r="B7448" s="2" t="s">
        <v>233</v>
      </c>
      <c r="C7448" s="3">
        <v>1996</v>
      </c>
      <c r="D7448" s="4">
        <v>31033</v>
      </c>
    </row>
    <row r="7449" spans="1:4" x14ac:dyDescent="0.3">
      <c r="A7449" s="5" t="s">
        <v>232</v>
      </c>
      <c r="B7449" s="5" t="s">
        <v>233</v>
      </c>
      <c r="C7449" s="6">
        <v>1997</v>
      </c>
      <c r="D7449" s="7">
        <v>31232</v>
      </c>
    </row>
    <row r="7450" spans="1:4" x14ac:dyDescent="0.3">
      <c r="A7450" s="2" t="s">
        <v>232</v>
      </c>
      <c r="B7450" s="2" t="s">
        <v>233</v>
      </c>
      <c r="C7450" s="3">
        <v>1998</v>
      </c>
      <c r="D7450" s="4">
        <v>31668</v>
      </c>
    </row>
    <row r="7451" spans="1:4" x14ac:dyDescent="0.3">
      <c r="A7451" s="5" t="s">
        <v>232</v>
      </c>
      <c r="B7451" s="5" t="s">
        <v>233</v>
      </c>
      <c r="C7451" s="6">
        <v>1999</v>
      </c>
      <c r="D7451" s="7">
        <v>32221</v>
      </c>
    </row>
    <row r="7452" spans="1:4" x14ac:dyDescent="0.3">
      <c r="A7452" s="2" t="s">
        <v>232</v>
      </c>
      <c r="B7452" s="2" t="s">
        <v>233</v>
      </c>
      <c r="C7452" s="3">
        <v>2000</v>
      </c>
      <c r="D7452" s="4">
        <v>32645</v>
      </c>
    </row>
    <row r="7453" spans="1:4" x14ac:dyDescent="0.3">
      <c r="A7453" s="5" t="s">
        <v>232</v>
      </c>
      <c r="B7453" s="5" t="s">
        <v>233</v>
      </c>
      <c r="C7453" s="6">
        <v>2001</v>
      </c>
      <c r="D7453" s="7">
        <v>33194</v>
      </c>
    </row>
    <row r="7454" spans="1:4" x14ac:dyDescent="0.3">
      <c r="A7454" s="2" t="s">
        <v>232</v>
      </c>
      <c r="B7454" s="2" t="s">
        <v>233</v>
      </c>
      <c r="C7454" s="3">
        <v>2002</v>
      </c>
      <c r="D7454" s="4">
        <v>33694</v>
      </c>
    </row>
    <row r="7455" spans="1:4" x14ac:dyDescent="0.3">
      <c r="A7455" s="5" t="s">
        <v>232</v>
      </c>
      <c r="B7455" s="5" t="s">
        <v>233</v>
      </c>
      <c r="C7455" s="6">
        <v>2003</v>
      </c>
      <c r="D7455" s="7">
        <v>34079</v>
      </c>
    </row>
    <row r="7456" spans="1:4" x14ac:dyDescent="0.3">
      <c r="A7456" s="2" t="s">
        <v>232</v>
      </c>
      <c r="B7456" s="2" t="s">
        <v>233</v>
      </c>
      <c r="C7456" s="3">
        <v>2004</v>
      </c>
      <c r="D7456" s="4">
        <v>34447</v>
      </c>
    </row>
    <row r="7457" spans="1:4" x14ac:dyDescent="0.3">
      <c r="A7457" s="5" t="s">
        <v>232</v>
      </c>
      <c r="B7457" s="5" t="s">
        <v>233</v>
      </c>
      <c r="C7457" s="6">
        <v>2005</v>
      </c>
      <c r="D7457" s="7">
        <v>34753</v>
      </c>
    </row>
    <row r="7458" spans="1:4" x14ac:dyDescent="0.3">
      <c r="A7458" s="2" t="s">
        <v>232</v>
      </c>
      <c r="B7458" s="2" t="s">
        <v>233</v>
      </c>
      <c r="C7458" s="3">
        <v>2006</v>
      </c>
      <c r="D7458" s="4">
        <v>35037</v>
      </c>
    </row>
    <row r="7459" spans="1:4" x14ac:dyDescent="0.3">
      <c r="A7459" s="5" t="s">
        <v>232</v>
      </c>
      <c r="B7459" s="5" t="s">
        <v>233</v>
      </c>
      <c r="C7459" s="6">
        <v>2007</v>
      </c>
      <c r="D7459" s="7">
        <v>35262</v>
      </c>
    </row>
    <row r="7460" spans="1:4" x14ac:dyDescent="0.3">
      <c r="A7460" s="2" t="s">
        <v>232</v>
      </c>
      <c r="B7460" s="2" t="s">
        <v>233</v>
      </c>
      <c r="C7460" s="3">
        <v>2008</v>
      </c>
      <c r="D7460" s="4">
        <v>35473</v>
      </c>
    </row>
    <row r="7461" spans="1:4" x14ac:dyDescent="0.3">
      <c r="A7461" s="5" t="s">
        <v>232</v>
      </c>
      <c r="B7461" s="5" t="s">
        <v>233</v>
      </c>
      <c r="C7461" s="6">
        <v>2009</v>
      </c>
      <c r="D7461" s="7">
        <v>35742</v>
      </c>
    </row>
    <row r="7462" spans="1:4" x14ac:dyDescent="0.3">
      <c r="A7462" s="2" t="s">
        <v>232</v>
      </c>
      <c r="B7462" s="2" t="s">
        <v>233</v>
      </c>
      <c r="C7462" s="3">
        <v>2010</v>
      </c>
      <c r="D7462" s="4">
        <v>36022</v>
      </c>
    </row>
    <row r="7463" spans="1:4" x14ac:dyDescent="0.3">
      <c r="A7463" s="5" t="s">
        <v>232</v>
      </c>
      <c r="B7463" s="5" t="s">
        <v>233</v>
      </c>
      <c r="C7463" s="6">
        <v>2011</v>
      </c>
      <c r="D7463" s="7">
        <v>36312</v>
      </c>
    </row>
    <row r="7464" spans="1:4" x14ac:dyDescent="0.3">
      <c r="A7464" s="2" t="s">
        <v>232</v>
      </c>
      <c r="B7464" s="2" t="s">
        <v>233</v>
      </c>
      <c r="C7464" s="3">
        <v>2012</v>
      </c>
      <c r="D7464" s="4">
        <v>36657</v>
      </c>
    </row>
    <row r="7465" spans="1:4" x14ac:dyDescent="0.3">
      <c r="A7465" s="5" t="s">
        <v>232</v>
      </c>
      <c r="B7465" s="5" t="s">
        <v>233</v>
      </c>
      <c r="C7465" s="6">
        <v>2013</v>
      </c>
      <c r="D7465" s="7">
        <v>36984</v>
      </c>
    </row>
    <row r="7466" spans="1:4" x14ac:dyDescent="0.3">
      <c r="A7466" s="2" t="s">
        <v>232</v>
      </c>
      <c r="B7466" s="2" t="s">
        <v>233</v>
      </c>
      <c r="C7466" s="3">
        <v>2014</v>
      </c>
      <c r="D7466" s="4">
        <v>37248</v>
      </c>
    </row>
    <row r="7467" spans="1:4" x14ac:dyDescent="0.3">
      <c r="A7467" s="5" t="s">
        <v>232</v>
      </c>
      <c r="B7467" s="5" t="s">
        <v>233</v>
      </c>
      <c r="C7467" s="6">
        <v>2015</v>
      </c>
      <c r="D7467" s="7">
        <v>37494</v>
      </c>
    </row>
    <row r="7468" spans="1:4" x14ac:dyDescent="0.3">
      <c r="A7468" s="2" t="s">
        <v>232</v>
      </c>
      <c r="B7468" s="2" t="s">
        <v>233</v>
      </c>
      <c r="C7468" s="3">
        <v>2016</v>
      </c>
      <c r="D7468" s="4">
        <v>37716</v>
      </c>
    </row>
    <row r="7469" spans="1:4" x14ac:dyDescent="0.3">
      <c r="A7469" s="5" t="s">
        <v>232</v>
      </c>
      <c r="B7469" s="5" t="s">
        <v>233</v>
      </c>
      <c r="C7469" s="6">
        <v>2017</v>
      </c>
      <c r="D7469" s="7">
        <v>37962</v>
      </c>
    </row>
    <row r="7470" spans="1:4" x14ac:dyDescent="0.3">
      <c r="A7470" s="2" t="s">
        <v>232</v>
      </c>
      <c r="B7470" s="2" t="s">
        <v>233</v>
      </c>
      <c r="C7470" s="3">
        <v>2018</v>
      </c>
      <c r="D7470" s="4">
        <v>38246</v>
      </c>
    </row>
    <row r="7471" spans="1:4" x14ac:dyDescent="0.3">
      <c r="A7471" s="5" t="s">
        <v>232</v>
      </c>
      <c r="B7471" s="5" t="s">
        <v>233</v>
      </c>
      <c r="C7471" s="6">
        <v>2019</v>
      </c>
      <c r="D7471" s="7">
        <v>38563</v>
      </c>
    </row>
    <row r="7472" spans="1:4" x14ac:dyDescent="0.3">
      <c r="A7472" s="2" t="s">
        <v>232</v>
      </c>
      <c r="B7472" s="2" t="s">
        <v>233</v>
      </c>
      <c r="C7472" s="3">
        <v>2020</v>
      </c>
      <c r="D7472" s="4">
        <v>38901</v>
      </c>
    </row>
    <row r="7473" spans="1:4" x14ac:dyDescent="0.3">
      <c r="A7473" s="5" t="s">
        <v>232</v>
      </c>
      <c r="B7473" s="5" t="s">
        <v>233</v>
      </c>
      <c r="C7473" s="6">
        <v>2021</v>
      </c>
      <c r="D7473" s="7">
        <v>39182</v>
      </c>
    </row>
    <row r="7474" spans="1:4" x14ac:dyDescent="0.3">
      <c r="A7474" s="2" t="s">
        <v>232</v>
      </c>
      <c r="B7474" s="2" t="s">
        <v>233</v>
      </c>
      <c r="C7474" s="3">
        <v>2022</v>
      </c>
      <c r="D7474" s="4">
        <v>39493</v>
      </c>
    </row>
    <row r="7475" spans="1:4" x14ac:dyDescent="0.3">
      <c r="A7475" s="5" t="s">
        <v>232</v>
      </c>
      <c r="B7475" s="5" t="s">
        <v>233</v>
      </c>
      <c r="C7475" s="6">
        <v>2023</v>
      </c>
      <c r="D7475" s="7">
        <v>39850</v>
      </c>
    </row>
    <row r="7476" spans="1:4" x14ac:dyDescent="0.3">
      <c r="A7476" s="2" t="s">
        <v>232</v>
      </c>
      <c r="B7476" s="2" t="s">
        <v>233</v>
      </c>
      <c r="C7476" s="3">
        <v>2024</v>
      </c>
      <c r="D7476" s="4">
        <v>40197</v>
      </c>
    </row>
    <row r="7477" spans="1:4" x14ac:dyDescent="0.3">
      <c r="A7477" s="5" t="s">
        <v>234</v>
      </c>
      <c r="B7477" s="5" t="s">
        <v>235</v>
      </c>
      <c r="C7477" s="6">
        <v>1960</v>
      </c>
      <c r="D7477" s="7">
        <v>2778550</v>
      </c>
    </row>
    <row r="7478" spans="1:4" x14ac:dyDescent="0.3">
      <c r="A7478" s="2" t="s">
        <v>234</v>
      </c>
      <c r="B7478" s="2" t="s">
        <v>235</v>
      </c>
      <c r="C7478" s="3">
        <v>1961</v>
      </c>
      <c r="D7478" s="4">
        <v>2823550</v>
      </c>
    </row>
    <row r="7479" spans="1:4" x14ac:dyDescent="0.3">
      <c r="A7479" s="5" t="s">
        <v>234</v>
      </c>
      <c r="B7479" s="5" t="s">
        <v>235</v>
      </c>
      <c r="C7479" s="6">
        <v>1962</v>
      </c>
      <c r="D7479" s="7">
        <v>2863350</v>
      </c>
    </row>
    <row r="7480" spans="1:4" x14ac:dyDescent="0.3">
      <c r="A7480" s="2" t="s">
        <v>234</v>
      </c>
      <c r="B7480" s="2" t="s">
        <v>235</v>
      </c>
      <c r="C7480" s="3">
        <v>1963</v>
      </c>
      <c r="D7480" s="4">
        <v>2898950</v>
      </c>
    </row>
    <row r="7481" spans="1:4" x14ac:dyDescent="0.3">
      <c r="A7481" s="5" t="s">
        <v>234</v>
      </c>
      <c r="B7481" s="5" t="s">
        <v>235</v>
      </c>
      <c r="C7481" s="6">
        <v>1964</v>
      </c>
      <c r="D7481" s="7">
        <v>2935200</v>
      </c>
    </row>
    <row r="7482" spans="1:4" x14ac:dyDescent="0.3">
      <c r="A7482" s="2" t="s">
        <v>234</v>
      </c>
      <c r="B7482" s="2" t="s">
        <v>235</v>
      </c>
      <c r="C7482" s="3">
        <v>1965</v>
      </c>
      <c r="D7482" s="4">
        <v>2971450</v>
      </c>
    </row>
    <row r="7483" spans="1:4" x14ac:dyDescent="0.3">
      <c r="A7483" s="5" t="s">
        <v>234</v>
      </c>
      <c r="B7483" s="5" t="s">
        <v>235</v>
      </c>
      <c r="C7483" s="6">
        <v>1966</v>
      </c>
      <c r="D7483" s="7">
        <v>3008050</v>
      </c>
    </row>
    <row r="7484" spans="1:4" x14ac:dyDescent="0.3">
      <c r="A7484" s="2" t="s">
        <v>234</v>
      </c>
      <c r="B7484" s="2" t="s">
        <v>235</v>
      </c>
      <c r="C7484" s="3">
        <v>1967</v>
      </c>
      <c r="D7484" s="4">
        <v>3044400</v>
      </c>
    </row>
    <row r="7485" spans="1:4" x14ac:dyDescent="0.3">
      <c r="A7485" s="5" t="s">
        <v>234</v>
      </c>
      <c r="B7485" s="5" t="s">
        <v>235</v>
      </c>
      <c r="C7485" s="6">
        <v>1968</v>
      </c>
      <c r="D7485" s="7">
        <v>3078850</v>
      </c>
    </row>
    <row r="7486" spans="1:4" x14ac:dyDescent="0.3">
      <c r="A7486" s="2" t="s">
        <v>234</v>
      </c>
      <c r="B7486" s="2" t="s">
        <v>235</v>
      </c>
      <c r="C7486" s="3">
        <v>1969</v>
      </c>
      <c r="D7486" s="4">
        <v>3107321</v>
      </c>
    </row>
    <row r="7487" spans="1:4" x14ac:dyDescent="0.3">
      <c r="A7487" s="5" t="s">
        <v>234</v>
      </c>
      <c r="B7487" s="5" t="s">
        <v>235</v>
      </c>
      <c r="C7487" s="6">
        <v>1970</v>
      </c>
      <c r="D7487" s="7">
        <v>3139689</v>
      </c>
    </row>
    <row r="7488" spans="1:4" x14ac:dyDescent="0.3">
      <c r="A7488" s="2" t="s">
        <v>234</v>
      </c>
      <c r="B7488" s="2" t="s">
        <v>235</v>
      </c>
      <c r="C7488" s="3">
        <v>1971</v>
      </c>
      <c r="D7488" s="4">
        <v>3179041</v>
      </c>
    </row>
    <row r="7489" spans="1:4" x14ac:dyDescent="0.3">
      <c r="A7489" s="5" t="s">
        <v>234</v>
      </c>
      <c r="B7489" s="5" t="s">
        <v>235</v>
      </c>
      <c r="C7489" s="6">
        <v>1972</v>
      </c>
      <c r="D7489" s="7">
        <v>3213622</v>
      </c>
    </row>
    <row r="7490" spans="1:4" x14ac:dyDescent="0.3">
      <c r="A7490" s="2" t="s">
        <v>234</v>
      </c>
      <c r="B7490" s="2" t="s">
        <v>235</v>
      </c>
      <c r="C7490" s="3">
        <v>1973</v>
      </c>
      <c r="D7490" s="4">
        <v>3244438</v>
      </c>
    </row>
    <row r="7491" spans="1:4" x14ac:dyDescent="0.3">
      <c r="A7491" s="5" t="s">
        <v>234</v>
      </c>
      <c r="B7491" s="5" t="s">
        <v>235</v>
      </c>
      <c r="C7491" s="6">
        <v>1974</v>
      </c>
      <c r="D7491" s="7">
        <v>3273894</v>
      </c>
    </row>
    <row r="7492" spans="1:4" x14ac:dyDescent="0.3">
      <c r="A7492" s="2" t="s">
        <v>234</v>
      </c>
      <c r="B7492" s="2" t="s">
        <v>235</v>
      </c>
      <c r="C7492" s="3">
        <v>1975</v>
      </c>
      <c r="D7492" s="4">
        <v>3301652</v>
      </c>
    </row>
    <row r="7493" spans="1:4" x14ac:dyDescent="0.3">
      <c r="A7493" s="5" t="s">
        <v>234</v>
      </c>
      <c r="B7493" s="5" t="s">
        <v>235</v>
      </c>
      <c r="C7493" s="6">
        <v>1976</v>
      </c>
      <c r="D7493" s="7">
        <v>3328664</v>
      </c>
    </row>
    <row r="7494" spans="1:4" x14ac:dyDescent="0.3">
      <c r="A7494" s="2" t="s">
        <v>234</v>
      </c>
      <c r="B7494" s="2" t="s">
        <v>235</v>
      </c>
      <c r="C7494" s="3">
        <v>1977</v>
      </c>
      <c r="D7494" s="4">
        <v>3355036</v>
      </c>
    </row>
    <row r="7495" spans="1:4" x14ac:dyDescent="0.3">
      <c r="A7495" s="5" t="s">
        <v>234</v>
      </c>
      <c r="B7495" s="5" t="s">
        <v>235</v>
      </c>
      <c r="C7495" s="6">
        <v>1978</v>
      </c>
      <c r="D7495" s="7">
        <v>3379514</v>
      </c>
    </row>
    <row r="7496" spans="1:4" x14ac:dyDescent="0.3">
      <c r="A7496" s="2" t="s">
        <v>234</v>
      </c>
      <c r="B7496" s="2" t="s">
        <v>235</v>
      </c>
      <c r="C7496" s="3">
        <v>1979</v>
      </c>
      <c r="D7496" s="4">
        <v>3397842</v>
      </c>
    </row>
    <row r="7497" spans="1:4" x14ac:dyDescent="0.3">
      <c r="A7497" s="5" t="s">
        <v>234</v>
      </c>
      <c r="B7497" s="5" t="s">
        <v>235</v>
      </c>
      <c r="C7497" s="6">
        <v>1980</v>
      </c>
      <c r="D7497" s="7">
        <v>3413202</v>
      </c>
    </row>
    <row r="7498" spans="1:4" x14ac:dyDescent="0.3">
      <c r="A7498" s="2" t="s">
        <v>234</v>
      </c>
      <c r="B7498" s="2" t="s">
        <v>235</v>
      </c>
      <c r="C7498" s="3">
        <v>1981</v>
      </c>
      <c r="D7498" s="4">
        <v>3432947</v>
      </c>
    </row>
    <row r="7499" spans="1:4" x14ac:dyDescent="0.3">
      <c r="A7499" s="5" t="s">
        <v>234</v>
      </c>
      <c r="B7499" s="5" t="s">
        <v>235</v>
      </c>
      <c r="C7499" s="6">
        <v>1982</v>
      </c>
      <c r="D7499" s="7">
        <v>3457179</v>
      </c>
    </row>
    <row r="7500" spans="1:4" x14ac:dyDescent="0.3">
      <c r="A7500" s="2" t="s">
        <v>234</v>
      </c>
      <c r="B7500" s="2" t="s">
        <v>235</v>
      </c>
      <c r="C7500" s="3">
        <v>1983</v>
      </c>
      <c r="D7500" s="4">
        <v>3485192</v>
      </c>
    </row>
    <row r="7501" spans="1:4" x14ac:dyDescent="0.3">
      <c r="A7501" s="5" t="s">
        <v>234</v>
      </c>
      <c r="B7501" s="5" t="s">
        <v>235</v>
      </c>
      <c r="C7501" s="6">
        <v>1984</v>
      </c>
      <c r="D7501" s="7">
        <v>3514205</v>
      </c>
    </row>
    <row r="7502" spans="1:4" x14ac:dyDescent="0.3">
      <c r="A7502" s="2" t="s">
        <v>234</v>
      </c>
      <c r="B7502" s="2" t="s">
        <v>235</v>
      </c>
      <c r="C7502" s="3">
        <v>1985</v>
      </c>
      <c r="D7502" s="4">
        <v>3544543</v>
      </c>
    </row>
    <row r="7503" spans="1:4" x14ac:dyDescent="0.3">
      <c r="A7503" s="5" t="s">
        <v>234</v>
      </c>
      <c r="B7503" s="5" t="s">
        <v>235</v>
      </c>
      <c r="C7503" s="6">
        <v>1986</v>
      </c>
      <c r="D7503" s="7">
        <v>3578914</v>
      </c>
    </row>
    <row r="7504" spans="1:4" x14ac:dyDescent="0.3">
      <c r="A7504" s="2" t="s">
        <v>234</v>
      </c>
      <c r="B7504" s="2" t="s">
        <v>235</v>
      </c>
      <c r="C7504" s="3">
        <v>1987</v>
      </c>
      <c r="D7504" s="4">
        <v>3616367</v>
      </c>
    </row>
    <row r="7505" spans="1:4" x14ac:dyDescent="0.3">
      <c r="A7505" s="5" t="s">
        <v>234</v>
      </c>
      <c r="B7505" s="5" t="s">
        <v>235</v>
      </c>
      <c r="C7505" s="6">
        <v>1988</v>
      </c>
      <c r="D7505" s="7">
        <v>3655049</v>
      </c>
    </row>
    <row r="7506" spans="1:4" x14ac:dyDescent="0.3">
      <c r="A7506" s="2" t="s">
        <v>234</v>
      </c>
      <c r="B7506" s="2" t="s">
        <v>235</v>
      </c>
      <c r="C7506" s="3">
        <v>1989</v>
      </c>
      <c r="D7506" s="4">
        <v>3684255</v>
      </c>
    </row>
    <row r="7507" spans="1:4" x14ac:dyDescent="0.3">
      <c r="A7507" s="5" t="s">
        <v>234</v>
      </c>
      <c r="B7507" s="5" t="s">
        <v>235</v>
      </c>
      <c r="C7507" s="6">
        <v>1990</v>
      </c>
      <c r="D7507" s="7">
        <v>3697838</v>
      </c>
    </row>
    <row r="7508" spans="1:4" x14ac:dyDescent="0.3">
      <c r="A7508" s="2" t="s">
        <v>234</v>
      </c>
      <c r="B7508" s="2" t="s">
        <v>235</v>
      </c>
      <c r="C7508" s="3">
        <v>1991</v>
      </c>
      <c r="D7508" s="4">
        <v>3704134</v>
      </c>
    </row>
    <row r="7509" spans="1:4" x14ac:dyDescent="0.3">
      <c r="A7509" s="5" t="s">
        <v>234</v>
      </c>
      <c r="B7509" s="5" t="s">
        <v>235</v>
      </c>
      <c r="C7509" s="6">
        <v>1992</v>
      </c>
      <c r="D7509" s="7">
        <v>3700114</v>
      </c>
    </row>
    <row r="7510" spans="1:4" x14ac:dyDescent="0.3">
      <c r="A7510" s="2" t="s">
        <v>234</v>
      </c>
      <c r="B7510" s="2" t="s">
        <v>235</v>
      </c>
      <c r="C7510" s="3">
        <v>1993</v>
      </c>
      <c r="D7510" s="4">
        <v>3682613</v>
      </c>
    </row>
    <row r="7511" spans="1:4" x14ac:dyDescent="0.3">
      <c r="A7511" s="5" t="s">
        <v>234</v>
      </c>
      <c r="B7511" s="5" t="s">
        <v>235</v>
      </c>
      <c r="C7511" s="6">
        <v>1994</v>
      </c>
      <c r="D7511" s="7">
        <v>3657144</v>
      </c>
    </row>
    <row r="7512" spans="1:4" x14ac:dyDescent="0.3">
      <c r="A7512" s="2" t="s">
        <v>234</v>
      </c>
      <c r="B7512" s="2" t="s">
        <v>235</v>
      </c>
      <c r="C7512" s="3">
        <v>1995</v>
      </c>
      <c r="D7512" s="4">
        <v>3629102</v>
      </c>
    </row>
    <row r="7513" spans="1:4" x14ac:dyDescent="0.3">
      <c r="A7513" s="5" t="s">
        <v>234</v>
      </c>
      <c r="B7513" s="5" t="s">
        <v>235</v>
      </c>
      <c r="C7513" s="6">
        <v>1996</v>
      </c>
      <c r="D7513" s="7">
        <v>3601613</v>
      </c>
    </row>
    <row r="7514" spans="1:4" x14ac:dyDescent="0.3">
      <c r="A7514" s="2" t="s">
        <v>234</v>
      </c>
      <c r="B7514" s="2" t="s">
        <v>235</v>
      </c>
      <c r="C7514" s="3">
        <v>1997</v>
      </c>
      <c r="D7514" s="4">
        <v>3575137</v>
      </c>
    </row>
    <row r="7515" spans="1:4" x14ac:dyDescent="0.3">
      <c r="A7515" s="5" t="s">
        <v>234</v>
      </c>
      <c r="B7515" s="5" t="s">
        <v>235</v>
      </c>
      <c r="C7515" s="6">
        <v>1998</v>
      </c>
      <c r="D7515" s="7">
        <v>3549331</v>
      </c>
    </row>
    <row r="7516" spans="1:4" x14ac:dyDescent="0.3">
      <c r="A7516" s="2" t="s">
        <v>234</v>
      </c>
      <c r="B7516" s="2" t="s">
        <v>235</v>
      </c>
      <c r="C7516" s="3">
        <v>1999</v>
      </c>
      <c r="D7516" s="4">
        <v>3524238</v>
      </c>
    </row>
    <row r="7517" spans="1:4" x14ac:dyDescent="0.3">
      <c r="A7517" s="5" t="s">
        <v>234</v>
      </c>
      <c r="B7517" s="5" t="s">
        <v>235</v>
      </c>
      <c r="C7517" s="6">
        <v>2000</v>
      </c>
      <c r="D7517" s="7">
        <v>3499536</v>
      </c>
    </row>
    <row r="7518" spans="1:4" x14ac:dyDescent="0.3">
      <c r="A7518" s="2" t="s">
        <v>234</v>
      </c>
      <c r="B7518" s="2" t="s">
        <v>235</v>
      </c>
      <c r="C7518" s="3">
        <v>2001</v>
      </c>
      <c r="D7518" s="4">
        <v>3470818</v>
      </c>
    </row>
    <row r="7519" spans="1:4" x14ac:dyDescent="0.3">
      <c r="A7519" s="5" t="s">
        <v>234</v>
      </c>
      <c r="B7519" s="5" t="s">
        <v>235</v>
      </c>
      <c r="C7519" s="6">
        <v>2002</v>
      </c>
      <c r="D7519" s="7">
        <v>3443067</v>
      </c>
    </row>
    <row r="7520" spans="1:4" x14ac:dyDescent="0.3">
      <c r="A7520" s="2" t="s">
        <v>234</v>
      </c>
      <c r="B7520" s="2" t="s">
        <v>235</v>
      </c>
      <c r="C7520" s="3">
        <v>2003</v>
      </c>
      <c r="D7520" s="4">
        <v>3415213</v>
      </c>
    </row>
    <row r="7521" spans="1:4" x14ac:dyDescent="0.3">
      <c r="A7521" s="5" t="s">
        <v>234</v>
      </c>
      <c r="B7521" s="5" t="s">
        <v>235</v>
      </c>
      <c r="C7521" s="6">
        <v>2004</v>
      </c>
      <c r="D7521" s="7">
        <v>3377075</v>
      </c>
    </row>
    <row r="7522" spans="1:4" x14ac:dyDescent="0.3">
      <c r="A7522" s="2" t="s">
        <v>234</v>
      </c>
      <c r="B7522" s="2" t="s">
        <v>235</v>
      </c>
      <c r="C7522" s="3">
        <v>2005</v>
      </c>
      <c r="D7522" s="4">
        <v>3322528</v>
      </c>
    </row>
    <row r="7523" spans="1:4" x14ac:dyDescent="0.3">
      <c r="A7523" s="5" t="s">
        <v>234</v>
      </c>
      <c r="B7523" s="5" t="s">
        <v>235</v>
      </c>
      <c r="C7523" s="6">
        <v>2006</v>
      </c>
      <c r="D7523" s="7">
        <v>3269909</v>
      </c>
    </row>
    <row r="7524" spans="1:4" x14ac:dyDescent="0.3">
      <c r="A7524" s="2" t="s">
        <v>234</v>
      </c>
      <c r="B7524" s="2" t="s">
        <v>235</v>
      </c>
      <c r="C7524" s="3">
        <v>2007</v>
      </c>
      <c r="D7524" s="4">
        <v>3231294</v>
      </c>
    </row>
    <row r="7525" spans="1:4" x14ac:dyDescent="0.3">
      <c r="A7525" s="5" t="s">
        <v>234</v>
      </c>
      <c r="B7525" s="5" t="s">
        <v>235</v>
      </c>
      <c r="C7525" s="6">
        <v>2008</v>
      </c>
      <c r="D7525" s="7">
        <v>3198231</v>
      </c>
    </row>
    <row r="7526" spans="1:4" x14ac:dyDescent="0.3">
      <c r="A7526" s="2" t="s">
        <v>234</v>
      </c>
      <c r="B7526" s="2" t="s">
        <v>235</v>
      </c>
      <c r="C7526" s="3">
        <v>2009</v>
      </c>
      <c r="D7526" s="4">
        <v>3162916</v>
      </c>
    </row>
    <row r="7527" spans="1:4" x14ac:dyDescent="0.3">
      <c r="A7527" s="5" t="s">
        <v>234</v>
      </c>
      <c r="B7527" s="5" t="s">
        <v>235</v>
      </c>
      <c r="C7527" s="6">
        <v>2010</v>
      </c>
      <c r="D7527" s="7">
        <v>3097282</v>
      </c>
    </row>
    <row r="7528" spans="1:4" x14ac:dyDescent="0.3">
      <c r="A7528" s="2" t="s">
        <v>234</v>
      </c>
      <c r="B7528" s="2" t="s">
        <v>235</v>
      </c>
      <c r="C7528" s="3">
        <v>2011</v>
      </c>
      <c r="D7528" s="4">
        <v>3028115</v>
      </c>
    </row>
    <row r="7529" spans="1:4" x14ac:dyDescent="0.3">
      <c r="A7529" s="5" t="s">
        <v>234</v>
      </c>
      <c r="B7529" s="5" t="s">
        <v>235</v>
      </c>
      <c r="C7529" s="6">
        <v>2012</v>
      </c>
      <c r="D7529" s="7">
        <v>2989139</v>
      </c>
    </row>
    <row r="7530" spans="1:4" x14ac:dyDescent="0.3">
      <c r="A7530" s="2" t="s">
        <v>234</v>
      </c>
      <c r="B7530" s="2" t="s">
        <v>235</v>
      </c>
      <c r="C7530" s="3">
        <v>2013</v>
      </c>
      <c r="D7530" s="4">
        <v>2961250</v>
      </c>
    </row>
    <row r="7531" spans="1:4" x14ac:dyDescent="0.3">
      <c r="A7531" s="5" t="s">
        <v>234</v>
      </c>
      <c r="B7531" s="5" t="s">
        <v>235</v>
      </c>
      <c r="C7531" s="6">
        <v>2014</v>
      </c>
      <c r="D7531" s="7">
        <v>2937253</v>
      </c>
    </row>
    <row r="7532" spans="1:4" x14ac:dyDescent="0.3">
      <c r="A7532" s="2" t="s">
        <v>234</v>
      </c>
      <c r="B7532" s="2" t="s">
        <v>235</v>
      </c>
      <c r="C7532" s="3">
        <v>2015</v>
      </c>
      <c r="D7532" s="4">
        <v>2911109</v>
      </c>
    </row>
    <row r="7533" spans="1:4" x14ac:dyDescent="0.3">
      <c r="A7533" s="5" t="s">
        <v>234</v>
      </c>
      <c r="B7533" s="5" t="s">
        <v>235</v>
      </c>
      <c r="C7533" s="6">
        <v>2016</v>
      </c>
      <c r="D7533" s="7">
        <v>2877325</v>
      </c>
    </row>
    <row r="7534" spans="1:4" x14ac:dyDescent="0.3">
      <c r="A7534" s="2" t="s">
        <v>234</v>
      </c>
      <c r="B7534" s="2" t="s">
        <v>235</v>
      </c>
      <c r="C7534" s="3">
        <v>2017</v>
      </c>
      <c r="D7534" s="4">
        <v>2842639</v>
      </c>
    </row>
    <row r="7535" spans="1:4" x14ac:dyDescent="0.3">
      <c r="A7535" s="5" t="s">
        <v>234</v>
      </c>
      <c r="B7535" s="5" t="s">
        <v>235</v>
      </c>
      <c r="C7535" s="6">
        <v>2018</v>
      </c>
      <c r="D7535" s="7">
        <v>2819200</v>
      </c>
    </row>
    <row r="7536" spans="1:4" x14ac:dyDescent="0.3">
      <c r="A7536" s="2" t="s">
        <v>234</v>
      </c>
      <c r="B7536" s="2" t="s">
        <v>235</v>
      </c>
      <c r="C7536" s="3">
        <v>2019</v>
      </c>
      <c r="D7536" s="4">
        <v>2811089</v>
      </c>
    </row>
    <row r="7537" spans="1:4" x14ac:dyDescent="0.3">
      <c r="A7537" s="5" t="s">
        <v>234</v>
      </c>
      <c r="B7537" s="5" t="s">
        <v>235</v>
      </c>
      <c r="C7537" s="6">
        <v>2020</v>
      </c>
      <c r="D7537" s="7">
        <v>2810369</v>
      </c>
    </row>
    <row r="7538" spans="1:4" x14ac:dyDescent="0.3">
      <c r="A7538" s="2" t="s">
        <v>234</v>
      </c>
      <c r="B7538" s="2" t="s">
        <v>235</v>
      </c>
      <c r="C7538" s="3">
        <v>2021</v>
      </c>
      <c r="D7538" s="4">
        <v>2808380</v>
      </c>
    </row>
    <row r="7539" spans="1:4" x14ac:dyDescent="0.3">
      <c r="A7539" s="5" t="s">
        <v>234</v>
      </c>
      <c r="B7539" s="5" t="s">
        <v>235</v>
      </c>
      <c r="C7539" s="6">
        <v>2022</v>
      </c>
      <c r="D7539" s="7">
        <v>2831639</v>
      </c>
    </row>
    <row r="7540" spans="1:4" x14ac:dyDescent="0.3">
      <c r="A7540" s="2" t="s">
        <v>234</v>
      </c>
      <c r="B7540" s="2" t="s">
        <v>235</v>
      </c>
      <c r="C7540" s="3">
        <v>2023</v>
      </c>
      <c r="D7540" s="4">
        <v>2871585</v>
      </c>
    </row>
    <row r="7541" spans="1:4" x14ac:dyDescent="0.3">
      <c r="A7541" s="5" t="s">
        <v>234</v>
      </c>
      <c r="B7541" s="5" t="s">
        <v>235</v>
      </c>
      <c r="C7541" s="6">
        <v>2024</v>
      </c>
      <c r="D7541" s="7">
        <v>2888055</v>
      </c>
    </row>
    <row r="7542" spans="1:4" x14ac:dyDescent="0.3">
      <c r="A7542" s="2" t="s">
        <v>236</v>
      </c>
      <c r="B7542" s="2" t="s">
        <v>237</v>
      </c>
      <c r="C7542" s="3">
        <v>1960</v>
      </c>
      <c r="D7542" s="4">
        <v>313970</v>
      </c>
    </row>
    <row r="7543" spans="1:4" x14ac:dyDescent="0.3">
      <c r="A7543" s="5" t="s">
        <v>236</v>
      </c>
      <c r="B7543" s="5" t="s">
        <v>237</v>
      </c>
      <c r="C7543" s="6">
        <v>1961</v>
      </c>
      <c r="D7543" s="7">
        <v>316845</v>
      </c>
    </row>
    <row r="7544" spans="1:4" x14ac:dyDescent="0.3">
      <c r="A7544" s="2" t="s">
        <v>236</v>
      </c>
      <c r="B7544" s="2" t="s">
        <v>237</v>
      </c>
      <c r="C7544" s="3">
        <v>1962</v>
      </c>
      <c r="D7544" s="4">
        <v>320750</v>
      </c>
    </row>
    <row r="7545" spans="1:4" x14ac:dyDescent="0.3">
      <c r="A7545" s="5" t="s">
        <v>236</v>
      </c>
      <c r="B7545" s="5" t="s">
        <v>237</v>
      </c>
      <c r="C7545" s="6">
        <v>1963</v>
      </c>
      <c r="D7545" s="7">
        <v>324100</v>
      </c>
    </row>
    <row r="7546" spans="1:4" x14ac:dyDescent="0.3">
      <c r="A7546" s="2" t="s">
        <v>236</v>
      </c>
      <c r="B7546" s="2" t="s">
        <v>237</v>
      </c>
      <c r="C7546" s="3">
        <v>1964</v>
      </c>
      <c r="D7546" s="4">
        <v>327750</v>
      </c>
    </row>
    <row r="7547" spans="1:4" x14ac:dyDescent="0.3">
      <c r="A7547" s="5" t="s">
        <v>236</v>
      </c>
      <c r="B7547" s="5" t="s">
        <v>237</v>
      </c>
      <c r="C7547" s="6">
        <v>1965</v>
      </c>
      <c r="D7547" s="7">
        <v>331500</v>
      </c>
    </row>
    <row r="7548" spans="1:4" x14ac:dyDescent="0.3">
      <c r="A7548" s="2" t="s">
        <v>236</v>
      </c>
      <c r="B7548" s="2" t="s">
        <v>237</v>
      </c>
      <c r="C7548" s="3">
        <v>1966</v>
      </c>
      <c r="D7548" s="4">
        <v>333895</v>
      </c>
    </row>
    <row r="7549" spans="1:4" x14ac:dyDescent="0.3">
      <c r="A7549" s="5" t="s">
        <v>236</v>
      </c>
      <c r="B7549" s="5" t="s">
        <v>237</v>
      </c>
      <c r="C7549" s="6">
        <v>1967</v>
      </c>
      <c r="D7549" s="7">
        <v>334995</v>
      </c>
    </row>
    <row r="7550" spans="1:4" x14ac:dyDescent="0.3">
      <c r="A7550" s="2" t="s">
        <v>236</v>
      </c>
      <c r="B7550" s="2" t="s">
        <v>237</v>
      </c>
      <c r="C7550" s="3">
        <v>1968</v>
      </c>
      <c r="D7550" s="4">
        <v>335850</v>
      </c>
    </row>
    <row r="7551" spans="1:4" x14ac:dyDescent="0.3">
      <c r="A7551" s="5" t="s">
        <v>236</v>
      </c>
      <c r="B7551" s="5" t="s">
        <v>237</v>
      </c>
      <c r="C7551" s="6">
        <v>1969</v>
      </c>
      <c r="D7551" s="7">
        <v>337500</v>
      </c>
    </row>
    <row r="7552" spans="1:4" x14ac:dyDescent="0.3">
      <c r="A7552" s="2" t="s">
        <v>236</v>
      </c>
      <c r="B7552" s="2" t="s">
        <v>237</v>
      </c>
      <c r="C7552" s="3">
        <v>1970</v>
      </c>
      <c r="D7552" s="4">
        <v>339171</v>
      </c>
    </row>
    <row r="7553" spans="1:4" x14ac:dyDescent="0.3">
      <c r="A7553" s="5" t="s">
        <v>236</v>
      </c>
      <c r="B7553" s="5" t="s">
        <v>237</v>
      </c>
      <c r="C7553" s="6">
        <v>1971</v>
      </c>
      <c r="D7553" s="7">
        <v>342421</v>
      </c>
    </row>
    <row r="7554" spans="1:4" x14ac:dyDescent="0.3">
      <c r="A7554" s="2" t="s">
        <v>236</v>
      </c>
      <c r="B7554" s="2" t="s">
        <v>237</v>
      </c>
      <c r="C7554" s="3">
        <v>1972</v>
      </c>
      <c r="D7554" s="4">
        <v>346600</v>
      </c>
    </row>
    <row r="7555" spans="1:4" x14ac:dyDescent="0.3">
      <c r="A7555" s="5" t="s">
        <v>236</v>
      </c>
      <c r="B7555" s="5" t="s">
        <v>237</v>
      </c>
      <c r="C7555" s="6">
        <v>1973</v>
      </c>
      <c r="D7555" s="7">
        <v>350450</v>
      </c>
    </row>
    <row r="7556" spans="1:4" x14ac:dyDescent="0.3">
      <c r="A7556" s="2" t="s">
        <v>236</v>
      </c>
      <c r="B7556" s="2" t="s">
        <v>237</v>
      </c>
      <c r="C7556" s="3">
        <v>1974</v>
      </c>
      <c r="D7556" s="4">
        <v>355050</v>
      </c>
    </row>
    <row r="7557" spans="1:4" x14ac:dyDescent="0.3">
      <c r="A7557" s="5" t="s">
        <v>236</v>
      </c>
      <c r="B7557" s="5" t="s">
        <v>237</v>
      </c>
      <c r="C7557" s="6">
        <v>1975</v>
      </c>
      <c r="D7557" s="7">
        <v>358950</v>
      </c>
    </row>
    <row r="7558" spans="1:4" x14ac:dyDescent="0.3">
      <c r="A7558" s="2" t="s">
        <v>236</v>
      </c>
      <c r="B7558" s="2" t="s">
        <v>237</v>
      </c>
      <c r="C7558" s="3">
        <v>1976</v>
      </c>
      <c r="D7558" s="4">
        <v>360731</v>
      </c>
    </row>
    <row r="7559" spans="1:4" x14ac:dyDescent="0.3">
      <c r="A7559" s="5" t="s">
        <v>236</v>
      </c>
      <c r="B7559" s="5" t="s">
        <v>237</v>
      </c>
      <c r="C7559" s="6">
        <v>1977</v>
      </c>
      <c r="D7559" s="7">
        <v>361358</v>
      </c>
    </row>
    <row r="7560" spans="1:4" x14ac:dyDescent="0.3">
      <c r="A7560" s="2" t="s">
        <v>236</v>
      </c>
      <c r="B7560" s="2" t="s">
        <v>237</v>
      </c>
      <c r="C7560" s="3">
        <v>1978</v>
      </c>
      <c r="D7560" s="4">
        <v>362007</v>
      </c>
    </row>
    <row r="7561" spans="1:4" x14ac:dyDescent="0.3">
      <c r="A7561" s="5" t="s">
        <v>236</v>
      </c>
      <c r="B7561" s="5" t="s">
        <v>237</v>
      </c>
      <c r="C7561" s="6">
        <v>1979</v>
      </c>
      <c r="D7561" s="7">
        <v>362856</v>
      </c>
    </row>
    <row r="7562" spans="1:4" x14ac:dyDescent="0.3">
      <c r="A7562" s="2" t="s">
        <v>236</v>
      </c>
      <c r="B7562" s="2" t="s">
        <v>237</v>
      </c>
      <c r="C7562" s="3">
        <v>1980</v>
      </c>
      <c r="D7562" s="4">
        <v>364150</v>
      </c>
    </row>
    <row r="7563" spans="1:4" x14ac:dyDescent="0.3">
      <c r="A7563" s="5" t="s">
        <v>236</v>
      </c>
      <c r="B7563" s="5" t="s">
        <v>237</v>
      </c>
      <c r="C7563" s="6">
        <v>1981</v>
      </c>
      <c r="D7563" s="7">
        <v>365225</v>
      </c>
    </row>
    <row r="7564" spans="1:4" x14ac:dyDescent="0.3">
      <c r="A7564" s="2" t="s">
        <v>236</v>
      </c>
      <c r="B7564" s="2" t="s">
        <v>237</v>
      </c>
      <c r="C7564" s="3">
        <v>1982</v>
      </c>
      <c r="D7564" s="4">
        <v>365525</v>
      </c>
    </row>
    <row r="7565" spans="1:4" x14ac:dyDescent="0.3">
      <c r="A7565" s="5" t="s">
        <v>236</v>
      </c>
      <c r="B7565" s="5" t="s">
        <v>237</v>
      </c>
      <c r="C7565" s="6">
        <v>1983</v>
      </c>
      <c r="D7565" s="7">
        <v>365622</v>
      </c>
    </row>
    <row r="7566" spans="1:4" x14ac:dyDescent="0.3">
      <c r="A7566" s="2" t="s">
        <v>236</v>
      </c>
      <c r="B7566" s="2" t="s">
        <v>237</v>
      </c>
      <c r="C7566" s="3">
        <v>1984</v>
      </c>
      <c r="D7566" s="4">
        <v>365998</v>
      </c>
    </row>
    <row r="7567" spans="1:4" x14ac:dyDescent="0.3">
      <c r="A7567" s="5" t="s">
        <v>236</v>
      </c>
      <c r="B7567" s="5" t="s">
        <v>237</v>
      </c>
      <c r="C7567" s="6">
        <v>1985</v>
      </c>
      <c r="D7567" s="7">
        <v>366706</v>
      </c>
    </row>
    <row r="7568" spans="1:4" x14ac:dyDescent="0.3">
      <c r="A7568" s="2" t="s">
        <v>236</v>
      </c>
      <c r="B7568" s="2" t="s">
        <v>237</v>
      </c>
      <c r="C7568" s="3">
        <v>1986</v>
      </c>
      <c r="D7568" s="4">
        <v>368355</v>
      </c>
    </row>
    <row r="7569" spans="1:4" x14ac:dyDescent="0.3">
      <c r="A7569" s="5" t="s">
        <v>236</v>
      </c>
      <c r="B7569" s="5" t="s">
        <v>237</v>
      </c>
      <c r="C7569" s="6">
        <v>1987</v>
      </c>
      <c r="D7569" s="7">
        <v>370750</v>
      </c>
    </row>
    <row r="7570" spans="1:4" x14ac:dyDescent="0.3">
      <c r="A7570" s="2" t="s">
        <v>236</v>
      </c>
      <c r="B7570" s="2" t="s">
        <v>237</v>
      </c>
      <c r="C7570" s="3">
        <v>1988</v>
      </c>
      <c r="D7570" s="4">
        <v>373450</v>
      </c>
    </row>
    <row r="7571" spans="1:4" x14ac:dyDescent="0.3">
      <c r="A7571" s="5" t="s">
        <v>236</v>
      </c>
      <c r="B7571" s="5" t="s">
        <v>237</v>
      </c>
      <c r="C7571" s="6">
        <v>1989</v>
      </c>
      <c r="D7571" s="7">
        <v>377100</v>
      </c>
    </row>
    <row r="7572" spans="1:4" x14ac:dyDescent="0.3">
      <c r="A7572" s="2" t="s">
        <v>236</v>
      </c>
      <c r="B7572" s="2" t="s">
        <v>237</v>
      </c>
      <c r="C7572" s="3">
        <v>1990</v>
      </c>
      <c r="D7572" s="4">
        <v>381850</v>
      </c>
    </row>
    <row r="7573" spans="1:4" x14ac:dyDescent="0.3">
      <c r="A7573" s="5" t="s">
        <v>236</v>
      </c>
      <c r="B7573" s="5" t="s">
        <v>237</v>
      </c>
      <c r="C7573" s="6">
        <v>1991</v>
      </c>
      <c r="D7573" s="7">
        <v>387000</v>
      </c>
    </row>
    <row r="7574" spans="1:4" x14ac:dyDescent="0.3">
      <c r="A7574" s="2" t="s">
        <v>236</v>
      </c>
      <c r="B7574" s="2" t="s">
        <v>237</v>
      </c>
      <c r="C7574" s="3">
        <v>1992</v>
      </c>
      <c r="D7574" s="4">
        <v>392175</v>
      </c>
    </row>
    <row r="7575" spans="1:4" x14ac:dyDescent="0.3">
      <c r="A7575" s="5" t="s">
        <v>236</v>
      </c>
      <c r="B7575" s="5" t="s">
        <v>237</v>
      </c>
      <c r="C7575" s="6">
        <v>1993</v>
      </c>
      <c r="D7575" s="7">
        <v>397475</v>
      </c>
    </row>
    <row r="7576" spans="1:4" x14ac:dyDescent="0.3">
      <c r="A7576" s="2" t="s">
        <v>236</v>
      </c>
      <c r="B7576" s="2" t="s">
        <v>237</v>
      </c>
      <c r="C7576" s="3">
        <v>1994</v>
      </c>
      <c r="D7576" s="4">
        <v>402925</v>
      </c>
    </row>
    <row r="7577" spans="1:4" x14ac:dyDescent="0.3">
      <c r="A7577" s="5" t="s">
        <v>236</v>
      </c>
      <c r="B7577" s="5" t="s">
        <v>237</v>
      </c>
      <c r="C7577" s="6">
        <v>1995</v>
      </c>
      <c r="D7577" s="7">
        <v>408625</v>
      </c>
    </row>
    <row r="7578" spans="1:4" x14ac:dyDescent="0.3">
      <c r="A7578" s="2" t="s">
        <v>236</v>
      </c>
      <c r="B7578" s="2" t="s">
        <v>237</v>
      </c>
      <c r="C7578" s="3">
        <v>1996</v>
      </c>
      <c r="D7578" s="4">
        <v>414225</v>
      </c>
    </row>
    <row r="7579" spans="1:4" x14ac:dyDescent="0.3">
      <c r="A7579" s="5" t="s">
        <v>236</v>
      </c>
      <c r="B7579" s="5" t="s">
        <v>237</v>
      </c>
      <c r="C7579" s="6">
        <v>1997</v>
      </c>
      <c r="D7579" s="7">
        <v>419450</v>
      </c>
    </row>
    <row r="7580" spans="1:4" x14ac:dyDescent="0.3">
      <c r="A7580" s="2" t="s">
        <v>236</v>
      </c>
      <c r="B7580" s="2" t="s">
        <v>237</v>
      </c>
      <c r="C7580" s="3">
        <v>1998</v>
      </c>
      <c r="D7580" s="4">
        <v>424700</v>
      </c>
    </row>
    <row r="7581" spans="1:4" x14ac:dyDescent="0.3">
      <c r="A7581" s="5" t="s">
        <v>236</v>
      </c>
      <c r="B7581" s="5" t="s">
        <v>237</v>
      </c>
      <c r="C7581" s="6">
        <v>1999</v>
      </c>
      <c r="D7581" s="7">
        <v>430475</v>
      </c>
    </row>
    <row r="7582" spans="1:4" x14ac:dyDescent="0.3">
      <c r="A7582" s="2" t="s">
        <v>236</v>
      </c>
      <c r="B7582" s="2" t="s">
        <v>237</v>
      </c>
      <c r="C7582" s="3">
        <v>2000</v>
      </c>
      <c r="D7582" s="4">
        <v>436300</v>
      </c>
    </row>
    <row r="7583" spans="1:4" x14ac:dyDescent="0.3">
      <c r="A7583" s="5" t="s">
        <v>236</v>
      </c>
      <c r="B7583" s="5" t="s">
        <v>237</v>
      </c>
      <c r="C7583" s="6">
        <v>2001</v>
      </c>
      <c r="D7583" s="7">
        <v>441525</v>
      </c>
    </row>
    <row r="7584" spans="1:4" x14ac:dyDescent="0.3">
      <c r="A7584" s="2" t="s">
        <v>236</v>
      </c>
      <c r="B7584" s="2" t="s">
        <v>237</v>
      </c>
      <c r="C7584" s="3">
        <v>2002</v>
      </c>
      <c r="D7584" s="4">
        <v>446175</v>
      </c>
    </row>
    <row r="7585" spans="1:4" x14ac:dyDescent="0.3">
      <c r="A7585" s="5" t="s">
        <v>236</v>
      </c>
      <c r="B7585" s="5" t="s">
        <v>237</v>
      </c>
      <c r="C7585" s="6">
        <v>2003</v>
      </c>
      <c r="D7585" s="7">
        <v>451630</v>
      </c>
    </row>
    <row r="7586" spans="1:4" x14ac:dyDescent="0.3">
      <c r="A7586" s="2" t="s">
        <v>236</v>
      </c>
      <c r="B7586" s="2" t="s">
        <v>237</v>
      </c>
      <c r="C7586" s="3">
        <v>2004</v>
      </c>
      <c r="D7586" s="4">
        <v>458095</v>
      </c>
    </row>
    <row r="7587" spans="1:4" x14ac:dyDescent="0.3">
      <c r="A7587" s="5" t="s">
        <v>236</v>
      </c>
      <c r="B7587" s="5" t="s">
        <v>237</v>
      </c>
      <c r="C7587" s="6">
        <v>2005</v>
      </c>
      <c r="D7587" s="7">
        <v>465158</v>
      </c>
    </row>
    <row r="7588" spans="1:4" x14ac:dyDescent="0.3">
      <c r="A7588" s="2" t="s">
        <v>236</v>
      </c>
      <c r="B7588" s="2" t="s">
        <v>237</v>
      </c>
      <c r="C7588" s="3">
        <v>2006</v>
      </c>
      <c r="D7588" s="4">
        <v>472637</v>
      </c>
    </row>
    <row r="7589" spans="1:4" x14ac:dyDescent="0.3">
      <c r="A7589" s="5" t="s">
        <v>236</v>
      </c>
      <c r="B7589" s="5" t="s">
        <v>237</v>
      </c>
      <c r="C7589" s="6">
        <v>2007</v>
      </c>
      <c r="D7589" s="7">
        <v>479993</v>
      </c>
    </row>
    <row r="7590" spans="1:4" x14ac:dyDescent="0.3">
      <c r="A7590" s="2" t="s">
        <v>236</v>
      </c>
      <c r="B7590" s="2" t="s">
        <v>237</v>
      </c>
      <c r="C7590" s="3">
        <v>2008</v>
      </c>
      <c r="D7590" s="4">
        <v>488650</v>
      </c>
    </row>
    <row r="7591" spans="1:4" x14ac:dyDescent="0.3">
      <c r="A7591" s="5" t="s">
        <v>236</v>
      </c>
      <c r="B7591" s="5" t="s">
        <v>237</v>
      </c>
      <c r="C7591" s="6">
        <v>2009</v>
      </c>
      <c r="D7591" s="7">
        <v>497783</v>
      </c>
    </row>
    <row r="7592" spans="1:4" x14ac:dyDescent="0.3">
      <c r="A7592" s="2" t="s">
        <v>236</v>
      </c>
      <c r="B7592" s="2" t="s">
        <v>237</v>
      </c>
      <c r="C7592" s="3">
        <v>2010</v>
      </c>
      <c r="D7592" s="4">
        <v>506953</v>
      </c>
    </row>
    <row r="7593" spans="1:4" x14ac:dyDescent="0.3">
      <c r="A7593" s="5" t="s">
        <v>236</v>
      </c>
      <c r="B7593" s="5" t="s">
        <v>237</v>
      </c>
      <c r="C7593" s="6">
        <v>2011</v>
      </c>
      <c r="D7593" s="7">
        <v>518347</v>
      </c>
    </row>
    <row r="7594" spans="1:4" x14ac:dyDescent="0.3">
      <c r="A7594" s="2" t="s">
        <v>236</v>
      </c>
      <c r="B7594" s="2" t="s">
        <v>237</v>
      </c>
      <c r="C7594" s="3">
        <v>2012</v>
      </c>
      <c r="D7594" s="4">
        <v>530946</v>
      </c>
    </row>
    <row r="7595" spans="1:4" x14ac:dyDescent="0.3">
      <c r="A7595" s="5" t="s">
        <v>236</v>
      </c>
      <c r="B7595" s="5" t="s">
        <v>237</v>
      </c>
      <c r="C7595" s="6">
        <v>2013</v>
      </c>
      <c r="D7595" s="7">
        <v>543360</v>
      </c>
    </row>
    <row r="7596" spans="1:4" x14ac:dyDescent="0.3">
      <c r="A7596" s="2" t="s">
        <v>236</v>
      </c>
      <c r="B7596" s="2" t="s">
        <v>237</v>
      </c>
      <c r="C7596" s="3">
        <v>2014</v>
      </c>
      <c r="D7596" s="4">
        <v>556319</v>
      </c>
    </row>
    <row r="7597" spans="1:4" x14ac:dyDescent="0.3">
      <c r="A7597" s="5" t="s">
        <v>236</v>
      </c>
      <c r="B7597" s="5" t="s">
        <v>237</v>
      </c>
      <c r="C7597" s="6">
        <v>2015</v>
      </c>
      <c r="D7597" s="7">
        <v>569604</v>
      </c>
    </row>
    <row r="7598" spans="1:4" x14ac:dyDescent="0.3">
      <c r="A7598" s="2" t="s">
        <v>236</v>
      </c>
      <c r="B7598" s="2" t="s">
        <v>237</v>
      </c>
      <c r="C7598" s="3">
        <v>2016</v>
      </c>
      <c r="D7598" s="4">
        <v>582014</v>
      </c>
    </row>
    <row r="7599" spans="1:4" x14ac:dyDescent="0.3">
      <c r="A7599" s="5" t="s">
        <v>236</v>
      </c>
      <c r="B7599" s="5" t="s">
        <v>237</v>
      </c>
      <c r="C7599" s="6">
        <v>2017</v>
      </c>
      <c r="D7599" s="7">
        <v>596336</v>
      </c>
    </row>
    <row r="7600" spans="1:4" x14ac:dyDescent="0.3">
      <c r="A7600" s="2" t="s">
        <v>236</v>
      </c>
      <c r="B7600" s="2" t="s">
        <v>237</v>
      </c>
      <c r="C7600" s="3">
        <v>2018</v>
      </c>
      <c r="D7600" s="4">
        <v>607950</v>
      </c>
    </row>
    <row r="7601" spans="1:4" x14ac:dyDescent="0.3">
      <c r="A7601" s="5" t="s">
        <v>236</v>
      </c>
      <c r="B7601" s="5" t="s">
        <v>237</v>
      </c>
      <c r="C7601" s="6">
        <v>2019</v>
      </c>
      <c r="D7601" s="7">
        <v>620001</v>
      </c>
    </row>
    <row r="7602" spans="1:4" x14ac:dyDescent="0.3">
      <c r="A7602" s="2" t="s">
        <v>236</v>
      </c>
      <c r="B7602" s="2" t="s">
        <v>237</v>
      </c>
      <c r="C7602" s="3">
        <v>2020</v>
      </c>
      <c r="D7602" s="4">
        <v>630419</v>
      </c>
    </row>
    <row r="7603" spans="1:4" x14ac:dyDescent="0.3">
      <c r="A7603" s="5" t="s">
        <v>236</v>
      </c>
      <c r="B7603" s="5" t="s">
        <v>237</v>
      </c>
      <c r="C7603" s="6">
        <v>2021</v>
      </c>
      <c r="D7603" s="7">
        <v>640064</v>
      </c>
    </row>
    <row r="7604" spans="1:4" x14ac:dyDescent="0.3">
      <c r="A7604" s="2" t="s">
        <v>236</v>
      </c>
      <c r="B7604" s="2" t="s">
        <v>237</v>
      </c>
      <c r="C7604" s="3">
        <v>2022</v>
      </c>
      <c r="D7604" s="4">
        <v>653103</v>
      </c>
    </row>
    <row r="7605" spans="1:4" x14ac:dyDescent="0.3">
      <c r="A7605" s="5" t="s">
        <v>236</v>
      </c>
      <c r="B7605" s="5" t="s">
        <v>237</v>
      </c>
      <c r="C7605" s="6">
        <v>2023</v>
      </c>
      <c r="D7605" s="7">
        <v>666430</v>
      </c>
    </row>
    <row r="7606" spans="1:4" x14ac:dyDescent="0.3">
      <c r="A7606" s="2" t="s">
        <v>236</v>
      </c>
      <c r="B7606" s="2" t="s">
        <v>237</v>
      </c>
      <c r="C7606" s="3">
        <v>2024</v>
      </c>
      <c r="D7606" s="4">
        <v>677717</v>
      </c>
    </row>
    <row r="7607" spans="1:4" x14ac:dyDescent="0.3">
      <c r="A7607" s="5" t="s">
        <v>238</v>
      </c>
      <c r="B7607" s="5" t="s">
        <v>239</v>
      </c>
      <c r="C7607" s="6">
        <v>1960</v>
      </c>
      <c r="D7607" s="7">
        <v>173315</v>
      </c>
    </row>
    <row r="7608" spans="1:4" x14ac:dyDescent="0.3">
      <c r="A7608" s="2" t="s">
        <v>238</v>
      </c>
      <c r="B7608" s="2" t="s">
        <v>239</v>
      </c>
      <c r="C7608" s="3">
        <v>1961</v>
      </c>
      <c r="D7608" s="4">
        <v>173323</v>
      </c>
    </row>
    <row r="7609" spans="1:4" x14ac:dyDescent="0.3">
      <c r="A7609" s="5" t="s">
        <v>238</v>
      </c>
      <c r="B7609" s="5" t="s">
        <v>239</v>
      </c>
      <c r="C7609" s="6">
        <v>1962</v>
      </c>
      <c r="D7609" s="7">
        <v>177810</v>
      </c>
    </row>
    <row r="7610" spans="1:4" x14ac:dyDescent="0.3">
      <c r="A7610" s="2" t="s">
        <v>238</v>
      </c>
      <c r="B7610" s="2" t="s">
        <v>239</v>
      </c>
      <c r="C7610" s="3">
        <v>1963</v>
      </c>
      <c r="D7610" s="4">
        <v>182135</v>
      </c>
    </row>
    <row r="7611" spans="1:4" x14ac:dyDescent="0.3">
      <c r="A7611" s="5" t="s">
        <v>238</v>
      </c>
      <c r="B7611" s="5" t="s">
        <v>239</v>
      </c>
      <c r="C7611" s="6">
        <v>1964</v>
      </c>
      <c r="D7611" s="7">
        <v>225655</v>
      </c>
    </row>
    <row r="7612" spans="1:4" x14ac:dyDescent="0.3">
      <c r="A7612" s="2" t="s">
        <v>238</v>
      </c>
      <c r="B7612" s="2" t="s">
        <v>239</v>
      </c>
      <c r="C7612" s="3">
        <v>1965</v>
      </c>
      <c r="D7612" s="4">
        <v>265631</v>
      </c>
    </row>
    <row r="7613" spans="1:4" x14ac:dyDescent="0.3">
      <c r="A7613" s="5" t="s">
        <v>238</v>
      </c>
      <c r="B7613" s="5" t="s">
        <v>239</v>
      </c>
      <c r="C7613" s="6">
        <v>1966</v>
      </c>
      <c r="D7613" s="7">
        <v>262942</v>
      </c>
    </row>
    <row r="7614" spans="1:4" x14ac:dyDescent="0.3">
      <c r="A7614" s="2" t="s">
        <v>238</v>
      </c>
      <c r="B7614" s="2" t="s">
        <v>239</v>
      </c>
      <c r="C7614" s="3">
        <v>1967</v>
      </c>
      <c r="D7614" s="4">
        <v>260423</v>
      </c>
    </row>
    <row r="7615" spans="1:4" x14ac:dyDescent="0.3">
      <c r="A7615" s="5" t="s">
        <v>238</v>
      </c>
      <c r="B7615" s="5" t="s">
        <v>239</v>
      </c>
      <c r="C7615" s="6">
        <v>1968</v>
      </c>
      <c r="D7615" s="7">
        <v>257933</v>
      </c>
    </row>
    <row r="7616" spans="1:4" x14ac:dyDescent="0.3">
      <c r="A7616" s="2" t="s">
        <v>238</v>
      </c>
      <c r="B7616" s="2" t="s">
        <v>239</v>
      </c>
      <c r="C7616" s="3">
        <v>1969</v>
      </c>
      <c r="D7616" s="4">
        <v>255306</v>
      </c>
    </row>
    <row r="7617" spans="1:4" x14ac:dyDescent="0.3">
      <c r="A7617" s="5" t="s">
        <v>238</v>
      </c>
      <c r="B7617" s="5" t="s">
        <v>239</v>
      </c>
      <c r="C7617" s="6">
        <v>1970</v>
      </c>
      <c r="D7617" s="7">
        <v>257396</v>
      </c>
    </row>
    <row r="7618" spans="1:4" x14ac:dyDescent="0.3">
      <c r="A7618" s="2" t="s">
        <v>238</v>
      </c>
      <c r="B7618" s="2" t="s">
        <v>239</v>
      </c>
      <c r="C7618" s="3">
        <v>1971</v>
      </c>
      <c r="D7618" s="4">
        <v>247400</v>
      </c>
    </row>
    <row r="7619" spans="1:4" x14ac:dyDescent="0.3">
      <c r="A7619" s="5" t="s">
        <v>238</v>
      </c>
      <c r="B7619" s="5" t="s">
        <v>239</v>
      </c>
      <c r="C7619" s="6">
        <v>1972</v>
      </c>
      <c r="D7619" s="7">
        <v>245050</v>
      </c>
    </row>
    <row r="7620" spans="1:4" x14ac:dyDescent="0.3">
      <c r="A7620" s="2" t="s">
        <v>238</v>
      </c>
      <c r="B7620" s="2" t="s">
        <v>239</v>
      </c>
      <c r="C7620" s="3">
        <v>1973</v>
      </c>
      <c r="D7620" s="4">
        <v>242800</v>
      </c>
    </row>
    <row r="7621" spans="1:4" x14ac:dyDescent="0.3">
      <c r="A7621" s="5" t="s">
        <v>238</v>
      </c>
      <c r="B7621" s="5" t="s">
        <v>239</v>
      </c>
      <c r="C7621" s="6">
        <v>1974</v>
      </c>
      <c r="D7621" s="7">
        <v>240550</v>
      </c>
    </row>
    <row r="7622" spans="1:4" x14ac:dyDescent="0.3">
      <c r="A7622" s="2" t="s">
        <v>238</v>
      </c>
      <c r="B7622" s="2" t="s">
        <v>239</v>
      </c>
      <c r="C7622" s="3">
        <v>1975</v>
      </c>
      <c r="D7622" s="4">
        <v>238200</v>
      </c>
    </row>
    <row r="7623" spans="1:4" x14ac:dyDescent="0.3">
      <c r="A7623" s="5" t="s">
        <v>238</v>
      </c>
      <c r="B7623" s="5" t="s">
        <v>239</v>
      </c>
      <c r="C7623" s="6">
        <v>1976</v>
      </c>
      <c r="D7623" s="7">
        <v>235600</v>
      </c>
    </row>
    <row r="7624" spans="1:4" x14ac:dyDescent="0.3">
      <c r="A7624" s="2" t="s">
        <v>238</v>
      </c>
      <c r="B7624" s="2" t="s">
        <v>239</v>
      </c>
      <c r="C7624" s="3">
        <v>1977</v>
      </c>
      <c r="D7624" s="4">
        <v>232950</v>
      </c>
    </row>
    <row r="7625" spans="1:4" x14ac:dyDescent="0.3">
      <c r="A7625" s="5" t="s">
        <v>238</v>
      </c>
      <c r="B7625" s="5" t="s">
        <v>239</v>
      </c>
      <c r="C7625" s="6">
        <v>1978</v>
      </c>
      <c r="D7625" s="7">
        <v>232400</v>
      </c>
    </row>
    <row r="7626" spans="1:4" x14ac:dyDescent="0.3">
      <c r="A7626" s="2" t="s">
        <v>238</v>
      </c>
      <c r="B7626" s="2" t="s">
        <v>239</v>
      </c>
      <c r="C7626" s="3">
        <v>1979</v>
      </c>
      <c r="D7626" s="4">
        <v>235200</v>
      </c>
    </row>
    <row r="7627" spans="1:4" x14ac:dyDescent="0.3">
      <c r="A7627" s="5" t="s">
        <v>238</v>
      </c>
      <c r="B7627" s="5" t="s">
        <v>239</v>
      </c>
      <c r="C7627" s="6">
        <v>1980</v>
      </c>
      <c r="D7627" s="7">
        <v>239650</v>
      </c>
    </row>
    <row r="7628" spans="1:4" x14ac:dyDescent="0.3">
      <c r="A7628" s="2" t="s">
        <v>238</v>
      </c>
      <c r="B7628" s="2" t="s">
        <v>239</v>
      </c>
      <c r="C7628" s="3">
        <v>1981</v>
      </c>
      <c r="D7628" s="4">
        <v>244800</v>
      </c>
    </row>
    <row r="7629" spans="1:4" x14ac:dyDescent="0.3">
      <c r="A7629" s="5" t="s">
        <v>238</v>
      </c>
      <c r="B7629" s="5" t="s">
        <v>239</v>
      </c>
      <c r="C7629" s="6">
        <v>1982</v>
      </c>
      <c r="D7629" s="7">
        <v>254650</v>
      </c>
    </row>
    <row r="7630" spans="1:4" x14ac:dyDescent="0.3">
      <c r="A7630" s="2" t="s">
        <v>238</v>
      </c>
      <c r="B7630" s="2" t="s">
        <v>239</v>
      </c>
      <c r="C7630" s="3">
        <v>1983</v>
      </c>
      <c r="D7630" s="4">
        <v>269300</v>
      </c>
    </row>
    <row r="7631" spans="1:4" x14ac:dyDescent="0.3">
      <c r="A7631" s="5" t="s">
        <v>238</v>
      </c>
      <c r="B7631" s="5" t="s">
        <v>239</v>
      </c>
      <c r="C7631" s="6">
        <v>1984</v>
      </c>
      <c r="D7631" s="7">
        <v>282850</v>
      </c>
    </row>
    <row r="7632" spans="1:4" x14ac:dyDescent="0.3">
      <c r="A7632" s="2" t="s">
        <v>238</v>
      </c>
      <c r="B7632" s="2" t="s">
        <v>239</v>
      </c>
      <c r="C7632" s="3">
        <v>1985</v>
      </c>
      <c r="D7632" s="4">
        <v>289700</v>
      </c>
    </row>
    <row r="7633" spans="1:4" x14ac:dyDescent="0.3">
      <c r="A7633" s="5" t="s">
        <v>238</v>
      </c>
      <c r="B7633" s="5" t="s">
        <v>239</v>
      </c>
      <c r="C7633" s="6">
        <v>1986</v>
      </c>
      <c r="D7633" s="7">
        <v>296050</v>
      </c>
    </row>
    <row r="7634" spans="1:4" x14ac:dyDescent="0.3">
      <c r="A7634" s="2" t="s">
        <v>238</v>
      </c>
      <c r="B7634" s="2" t="s">
        <v>239</v>
      </c>
      <c r="C7634" s="3">
        <v>1987</v>
      </c>
      <c r="D7634" s="4">
        <v>306850</v>
      </c>
    </row>
    <row r="7635" spans="1:4" x14ac:dyDescent="0.3">
      <c r="A7635" s="5" t="s">
        <v>238</v>
      </c>
      <c r="B7635" s="5" t="s">
        <v>239</v>
      </c>
      <c r="C7635" s="6">
        <v>1988</v>
      </c>
      <c r="D7635" s="7">
        <v>316000</v>
      </c>
    </row>
    <row r="7636" spans="1:4" x14ac:dyDescent="0.3">
      <c r="A7636" s="2" t="s">
        <v>238</v>
      </c>
      <c r="B7636" s="2" t="s">
        <v>239</v>
      </c>
      <c r="C7636" s="3">
        <v>1989</v>
      </c>
      <c r="D7636" s="4">
        <v>325100</v>
      </c>
    </row>
    <row r="7637" spans="1:4" x14ac:dyDescent="0.3">
      <c r="A7637" s="5" t="s">
        <v>238</v>
      </c>
      <c r="B7637" s="5" t="s">
        <v>239</v>
      </c>
      <c r="C7637" s="6">
        <v>1990</v>
      </c>
      <c r="D7637" s="7">
        <v>334950</v>
      </c>
    </row>
    <row r="7638" spans="1:4" x14ac:dyDescent="0.3">
      <c r="A7638" s="2" t="s">
        <v>238</v>
      </c>
      <c r="B7638" s="2" t="s">
        <v>239</v>
      </c>
      <c r="C7638" s="3">
        <v>1991</v>
      </c>
      <c r="D7638" s="4">
        <v>351650</v>
      </c>
    </row>
    <row r="7639" spans="1:4" x14ac:dyDescent="0.3">
      <c r="A7639" s="5" t="s">
        <v>238</v>
      </c>
      <c r="B7639" s="5" t="s">
        <v>239</v>
      </c>
      <c r="C7639" s="6">
        <v>1992</v>
      </c>
      <c r="D7639" s="7">
        <v>370900</v>
      </c>
    </row>
    <row r="7640" spans="1:4" x14ac:dyDescent="0.3">
      <c r="A7640" s="2" t="s">
        <v>238</v>
      </c>
      <c r="B7640" s="2" t="s">
        <v>239</v>
      </c>
      <c r="C7640" s="3">
        <v>1993</v>
      </c>
      <c r="D7640" s="4">
        <v>384000</v>
      </c>
    </row>
    <row r="7641" spans="1:4" x14ac:dyDescent="0.3">
      <c r="A7641" s="5" t="s">
        <v>238</v>
      </c>
      <c r="B7641" s="5" t="s">
        <v>239</v>
      </c>
      <c r="C7641" s="6">
        <v>1994</v>
      </c>
      <c r="D7641" s="7">
        <v>396800</v>
      </c>
    </row>
    <row r="7642" spans="1:4" x14ac:dyDescent="0.3">
      <c r="A7642" s="2" t="s">
        <v>238</v>
      </c>
      <c r="B7642" s="2" t="s">
        <v>239</v>
      </c>
      <c r="C7642" s="3">
        <v>1995</v>
      </c>
      <c r="D7642" s="4">
        <v>409300</v>
      </c>
    </row>
    <row r="7643" spans="1:4" x14ac:dyDescent="0.3">
      <c r="A7643" s="5" t="s">
        <v>238</v>
      </c>
      <c r="B7643" s="5" t="s">
        <v>239</v>
      </c>
      <c r="C7643" s="6">
        <v>1996</v>
      </c>
      <c r="D7643" s="7">
        <v>415100</v>
      </c>
    </row>
    <row r="7644" spans="1:4" x14ac:dyDescent="0.3">
      <c r="A7644" s="2" t="s">
        <v>238</v>
      </c>
      <c r="B7644" s="2" t="s">
        <v>239</v>
      </c>
      <c r="C7644" s="3">
        <v>1997</v>
      </c>
      <c r="D7644" s="4">
        <v>417300</v>
      </c>
    </row>
    <row r="7645" spans="1:4" x14ac:dyDescent="0.3">
      <c r="A7645" s="5" t="s">
        <v>238</v>
      </c>
      <c r="B7645" s="5" t="s">
        <v>239</v>
      </c>
      <c r="C7645" s="6">
        <v>1998</v>
      </c>
      <c r="D7645" s="7">
        <v>422300</v>
      </c>
    </row>
    <row r="7646" spans="1:4" x14ac:dyDescent="0.3">
      <c r="A7646" s="2" t="s">
        <v>238</v>
      </c>
      <c r="B7646" s="2" t="s">
        <v>239</v>
      </c>
      <c r="C7646" s="3">
        <v>1999</v>
      </c>
      <c r="D7646" s="4">
        <v>427400</v>
      </c>
    </row>
    <row r="7647" spans="1:4" x14ac:dyDescent="0.3">
      <c r="A7647" s="5" t="s">
        <v>238</v>
      </c>
      <c r="B7647" s="5" t="s">
        <v>239</v>
      </c>
      <c r="C7647" s="6">
        <v>2000</v>
      </c>
      <c r="D7647" s="7">
        <v>430600</v>
      </c>
    </row>
    <row r="7648" spans="1:4" x14ac:dyDescent="0.3">
      <c r="A7648" s="2" t="s">
        <v>238</v>
      </c>
      <c r="B7648" s="2" t="s">
        <v>239</v>
      </c>
      <c r="C7648" s="3">
        <v>2001</v>
      </c>
      <c r="D7648" s="4">
        <v>433900</v>
      </c>
    </row>
    <row r="7649" spans="1:4" x14ac:dyDescent="0.3">
      <c r="A7649" s="5" t="s">
        <v>238</v>
      </c>
      <c r="B7649" s="5" t="s">
        <v>239</v>
      </c>
      <c r="C7649" s="6">
        <v>2002</v>
      </c>
      <c r="D7649" s="7">
        <v>438400</v>
      </c>
    </row>
    <row r="7650" spans="1:4" x14ac:dyDescent="0.3">
      <c r="A7650" s="2" t="s">
        <v>238</v>
      </c>
      <c r="B7650" s="2" t="s">
        <v>239</v>
      </c>
      <c r="C7650" s="3">
        <v>2003</v>
      </c>
      <c r="D7650" s="4">
        <v>443600</v>
      </c>
    </row>
    <row r="7651" spans="1:4" x14ac:dyDescent="0.3">
      <c r="A7651" s="5" t="s">
        <v>238</v>
      </c>
      <c r="B7651" s="5" t="s">
        <v>239</v>
      </c>
      <c r="C7651" s="6">
        <v>2004</v>
      </c>
      <c r="D7651" s="7">
        <v>454700</v>
      </c>
    </row>
    <row r="7652" spans="1:4" x14ac:dyDescent="0.3">
      <c r="A7652" s="2" t="s">
        <v>238</v>
      </c>
      <c r="B7652" s="2" t="s">
        <v>239</v>
      </c>
      <c r="C7652" s="3">
        <v>2005</v>
      </c>
      <c r="D7652" s="4">
        <v>473500</v>
      </c>
    </row>
    <row r="7653" spans="1:4" x14ac:dyDescent="0.3">
      <c r="A7653" s="5" t="s">
        <v>238</v>
      </c>
      <c r="B7653" s="5" t="s">
        <v>239</v>
      </c>
      <c r="C7653" s="6">
        <v>2006</v>
      </c>
      <c r="D7653" s="7">
        <v>498900</v>
      </c>
    </row>
    <row r="7654" spans="1:4" x14ac:dyDescent="0.3">
      <c r="A7654" s="2" t="s">
        <v>238</v>
      </c>
      <c r="B7654" s="2" t="s">
        <v>239</v>
      </c>
      <c r="C7654" s="3">
        <v>2007</v>
      </c>
      <c r="D7654" s="4">
        <v>520900</v>
      </c>
    </row>
    <row r="7655" spans="1:4" x14ac:dyDescent="0.3">
      <c r="A7655" s="5" t="s">
        <v>238</v>
      </c>
      <c r="B7655" s="5" t="s">
        <v>239</v>
      </c>
      <c r="C7655" s="6">
        <v>2008</v>
      </c>
      <c r="D7655" s="7">
        <v>540700</v>
      </c>
    </row>
    <row r="7656" spans="1:4" x14ac:dyDescent="0.3">
      <c r="A7656" s="2" t="s">
        <v>238</v>
      </c>
      <c r="B7656" s="2" t="s">
        <v>239</v>
      </c>
      <c r="C7656" s="3">
        <v>2009</v>
      </c>
      <c r="D7656" s="4">
        <v>535000</v>
      </c>
    </row>
    <row r="7657" spans="1:4" x14ac:dyDescent="0.3">
      <c r="A7657" s="5" t="s">
        <v>238</v>
      </c>
      <c r="B7657" s="5" t="s">
        <v>239</v>
      </c>
      <c r="C7657" s="6">
        <v>2010</v>
      </c>
      <c r="D7657" s="7">
        <v>537000</v>
      </c>
    </row>
    <row r="7658" spans="1:4" x14ac:dyDescent="0.3">
      <c r="A7658" s="2" t="s">
        <v>238</v>
      </c>
      <c r="B7658" s="2" t="s">
        <v>239</v>
      </c>
      <c r="C7658" s="3">
        <v>2011</v>
      </c>
      <c r="D7658" s="4">
        <v>549600</v>
      </c>
    </row>
    <row r="7659" spans="1:4" x14ac:dyDescent="0.3">
      <c r="A7659" s="5" t="s">
        <v>238</v>
      </c>
      <c r="B7659" s="5" t="s">
        <v>239</v>
      </c>
      <c r="C7659" s="6">
        <v>2012</v>
      </c>
      <c r="D7659" s="7">
        <v>567900</v>
      </c>
    </row>
    <row r="7660" spans="1:4" x14ac:dyDescent="0.3">
      <c r="A7660" s="2" t="s">
        <v>238</v>
      </c>
      <c r="B7660" s="2" t="s">
        <v>239</v>
      </c>
      <c r="C7660" s="3">
        <v>2013</v>
      </c>
      <c r="D7660" s="4">
        <v>591900</v>
      </c>
    </row>
    <row r="7661" spans="1:4" x14ac:dyDescent="0.3">
      <c r="A7661" s="5" t="s">
        <v>238</v>
      </c>
      <c r="B7661" s="5" t="s">
        <v>239</v>
      </c>
      <c r="C7661" s="6">
        <v>2014</v>
      </c>
      <c r="D7661" s="7">
        <v>621700</v>
      </c>
    </row>
    <row r="7662" spans="1:4" x14ac:dyDescent="0.3">
      <c r="A7662" s="2" t="s">
        <v>238</v>
      </c>
      <c r="B7662" s="2" t="s">
        <v>239</v>
      </c>
      <c r="C7662" s="3">
        <v>2015</v>
      </c>
      <c r="D7662" s="4">
        <v>642900</v>
      </c>
    </row>
    <row r="7663" spans="1:4" x14ac:dyDescent="0.3">
      <c r="A7663" s="5" t="s">
        <v>238</v>
      </c>
      <c r="B7663" s="5" t="s">
        <v>239</v>
      </c>
      <c r="C7663" s="6">
        <v>2016</v>
      </c>
      <c r="D7663" s="7">
        <v>652500</v>
      </c>
    </row>
    <row r="7664" spans="1:4" x14ac:dyDescent="0.3">
      <c r="A7664" s="2" t="s">
        <v>238</v>
      </c>
      <c r="B7664" s="2" t="s">
        <v>239</v>
      </c>
      <c r="C7664" s="3">
        <v>2017</v>
      </c>
      <c r="D7664" s="4">
        <v>648400</v>
      </c>
    </row>
    <row r="7665" spans="1:4" x14ac:dyDescent="0.3">
      <c r="A7665" s="5" t="s">
        <v>238</v>
      </c>
      <c r="B7665" s="5" t="s">
        <v>239</v>
      </c>
      <c r="C7665" s="6">
        <v>2018</v>
      </c>
      <c r="D7665" s="7">
        <v>658900</v>
      </c>
    </row>
    <row r="7666" spans="1:4" x14ac:dyDescent="0.3">
      <c r="A7666" s="2" t="s">
        <v>238</v>
      </c>
      <c r="B7666" s="2" t="s">
        <v>239</v>
      </c>
      <c r="C7666" s="3">
        <v>2019</v>
      </c>
      <c r="D7666" s="4">
        <v>672000</v>
      </c>
    </row>
    <row r="7667" spans="1:4" x14ac:dyDescent="0.3">
      <c r="A7667" s="5" t="s">
        <v>238</v>
      </c>
      <c r="B7667" s="5" t="s">
        <v>239</v>
      </c>
      <c r="C7667" s="6">
        <v>2020</v>
      </c>
      <c r="D7667" s="7">
        <v>685400</v>
      </c>
    </row>
    <row r="7668" spans="1:4" x14ac:dyDescent="0.3">
      <c r="A7668" s="2" t="s">
        <v>238</v>
      </c>
      <c r="B7668" s="2" t="s">
        <v>239</v>
      </c>
      <c r="C7668" s="3">
        <v>2021</v>
      </c>
      <c r="D7668" s="4">
        <v>682500</v>
      </c>
    </row>
    <row r="7669" spans="1:4" x14ac:dyDescent="0.3">
      <c r="A7669" s="5" t="s">
        <v>238</v>
      </c>
      <c r="B7669" s="5" t="s">
        <v>239</v>
      </c>
      <c r="C7669" s="6">
        <v>2022</v>
      </c>
      <c r="D7669" s="7">
        <v>677300</v>
      </c>
    </row>
    <row r="7670" spans="1:4" x14ac:dyDescent="0.3">
      <c r="A7670" s="2" t="s">
        <v>238</v>
      </c>
      <c r="B7670" s="2" t="s">
        <v>239</v>
      </c>
      <c r="C7670" s="3">
        <v>2023</v>
      </c>
      <c r="D7670" s="4">
        <v>678800</v>
      </c>
    </row>
    <row r="7671" spans="1:4" x14ac:dyDescent="0.3">
      <c r="A7671" s="5" t="s">
        <v>238</v>
      </c>
      <c r="B7671" s="5" t="s">
        <v>239</v>
      </c>
      <c r="C7671" s="6">
        <v>2024</v>
      </c>
      <c r="D7671" s="7">
        <v>687000</v>
      </c>
    </row>
    <row r="7672" spans="1:4" x14ac:dyDescent="0.3">
      <c r="A7672" s="2" t="s">
        <v>240</v>
      </c>
      <c r="B7672" s="2" t="s">
        <v>241</v>
      </c>
      <c r="C7672" s="3">
        <v>1960</v>
      </c>
      <c r="D7672" s="4">
        <v>5111029</v>
      </c>
    </row>
    <row r="7673" spans="1:4" x14ac:dyDescent="0.3">
      <c r="A7673" s="5" t="s">
        <v>240</v>
      </c>
      <c r="B7673" s="5" t="s">
        <v>241</v>
      </c>
      <c r="C7673" s="6">
        <v>1961</v>
      </c>
      <c r="D7673" s="7">
        <v>5246158</v>
      </c>
    </row>
    <row r="7674" spans="1:4" x14ac:dyDescent="0.3">
      <c r="A7674" s="2" t="s">
        <v>240</v>
      </c>
      <c r="B7674" s="2" t="s">
        <v>241</v>
      </c>
      <c r="C7674" s="3">
        <v>1962</v>
      </c>
      <c r="D7674" s="4">
        <v>5384150</v>
      </c>
    </row>
    <row r="7675" spans="1:4" x14ac:dyDescent="0.3">
      <c r="A7675" s="5" t="s">
        <v>240</v>
      </c>
      <c r="B7675" s="5" t="s">
        <v>241</v>
      </c>
      <c r="C7675" s="6">
        <v>1963</v>
      </c>
      <c r="D7675" s="7">
        <v>5525185</v>
      </c>
    </row>
    <row r="7676" spans="1:4" x14ac:dyDescent="0.3">
      <c r="A7676" s="2" t="s">
        <v>240</v>
      </c>
      <c r="B7676" s="2" t="s">
        <v>241</v>
      </c>
      <c r="C7676" s="3">
        <v>1964</v>
      </c>
      <c r="D7676" s="4">
        <v>5669863</v>
      </c>
    </row>
    <row r="7677" spans="1:4" x14ac:dyDescent="0.3">
      <c r="A7677" s="5" t="s">
        <v>240</v>
      </c>
      <c r="B7677" s="5" t="s">
        <v>241</v>
      </c>
      <c r="C7677" s="6">
        <v>1965</v>
      </c>
      <c r="D7677" s="7">
        <v>5819116</v>
      </c>
    </row>
    <row r="7678" spans="1:4" x14ac:dyDescent="0.3">
      <c r="A7678" s="2" t="s">
        <v>240</v>
      </c>
      <c r="B7678" s="2" t="s">
        <v>241</v>
      </c>
      <c r="C7678" s="3">
        <v>1966</v>
      </c>
      <c r="D7678" s="4">
        <v>5974279</v>
      </c>
    </row>
    <row r="7679" spans="1:4" x14ac:dyDescent="0.3">
      <c r="A7679" s="5" t="s">
        <v>240</v>
      </c>
      <c r="B7679" s="5" t="s">
        <v>241</v>
      </c>
      <c r="C7679" s="6">
        <v>1967</v>
      </c>
      <c r="D7679" s="7">
        <v>6136486</v>
      </c>
    </row>
    <row r="7680" spans="1:4" x14ac:dyDescent="0.3">
      <c r="A7680" s="2" t="s">
        <v>240</v>
      </c>
      <c r="B7680" s="2" t="s">
        <v>241</v>
      </c>
      <c r="C7680" s="3">
        <v>1968</v>
      </c>
      <c r="D7680" s="4">
        <v>6306493</v>
      </c>
    </row>
    <row r="7681" spans="1:4" x14ac:dyDescent="0.3">
      <c r="A7681" s="5" t="s">
        <v>240</v>
      </c>
      <c r="B7681" s="5" t="s">
        <v>241</v>
      </c>
      <c r="C7681" s="6">
        <v>1969</v>
      </c>
      <c r="D7681" s="7">
        <v>6484716</v>
      </c>
    </row>
    <row r="7682" spans="1:4" x14ac:dyDescent="0.3">
      <c r="A7682" s="2" t="s">
        <v>240</v>
      </c>
      <c r="B7682" s="2" t="s">
        <v>241</v>
      </c>
      <c r="C7682" s="3">
        <v>1970</v>
      </c>
      <c r="D7682" s="4">
        <v>6672003</v>
      </c>
    </row>
    <row r="7683" spans="1:4" x14ac:dyDescent="0.3">
      <c r="A7683" s="5" t="s">
        <v>240</v>
      </c>
      <c r="B7683" s="5" t="s">
        <v>241</v>
      </c>
      <c r="C7683" s="6">
        <v>1971</v>
      </c>
      <c r="D7683" s="7">
        <v>6868868</v>
      </c>
    </row>
    <row r="7684" spans="1:4" x14ac:dyDescent="0.3">
      <c r="A7684" s="2" t="s">
        <v>240</v>
      </c>
      <c r="B7684" s="2" t="s">
        <v>241</v>
      </c>
      <c r="C7684" s="3">
        <v>1972</v>
      </c>
      <c r="D7684" s="4">
        <v>7074398</v>
      </c>
    </row>
    <row r="7685" spans="1:4" x14ac:dyDescent="0.3">
      <c r="A7685" s="5" t="s">
        <v>240</v>
      </c>
      <c r="B7685" s="5" t="s">
        <v>241</v>
      </c>
      <c r="C7685" s="6">
        <v>1973</v>
      </c>
      <c r="D7685" s="7">
        <v>7288048</v>
      </c>
    </row>
    <row r="7686" spans="1:4" x14ac:dyDescent="0.3">
      <c r="A7686" s="2" t="s">
        <v>240</v>
      </c>
      <c r="B7686" s="2" t="s">
        <v>241</v>
      </c>
      <c r="C7686" s="3">
        <v>1974</v>
      </c>
      <c r="D7686" s="4">
        <v>7509726</v>
      </c>
    </row>
    <row r="7687" spans="1:4" x14ac:dyDescent="0.3">
      <c r="A7687" s="5" t="s">
        <v>240</v>
      </c>
      <c r="B7687" s="5" t="s">
        <v>241</v>
      </c>
      <c r="C7687" s="6">
        <v>1975</v>
      </c>
      <c r="D7687" s="7">
        <v>7739336</v>
      </c>
    </row>
    <row r="7688" spans="1:4" x14ac:dyDescent="0.3">
      <c r="A7688" s="2" t="s">
        <v>240</v>
      </c>
      <c r="B7688" s="2" t="s">
        <v>241</v>
      </c>
      <c r="C7688" s="3">
        <v>1976</v>
      </c>
      <c r="D7688" s="4">
        <v>7976831</v>
      </c>
    </row>
    <row r="7689" spans="1:4" x14ac:dyDescent="0.3">
      <c r="A7689" s="5" t="s">
        <v>240</v>
      </c>
      <c r="B7689" s="5" t="s">
        <v>241</v>
      </c>
      <c r="C7689" s="6">
        <v>1977</v>
      </c>
      <c r="D7689" s="7">
        <v>8222240</v>
      </c>
    </row>
    <row r="7690" spans="1:4" x14ac:dyDescent="0.3">
      <c r="A7690" s="2" t="s">
        <v>240</v>
      </c>
      <c r="B7690" s="2" t="s">
        <v>241</v>
      </c>
      <c r="C7690" s="3">
        <v>1978</v>
      </c>
      <c r="D7690" s="4">
        <v>8475864</v>
      </c>
    </row>
    <row r="7691" spans="1:4" x14ac:dyDescent="0.3">
      <c r="A7691" s="5" t="s">
        <v>240</v>
      </c>
      <c r="B7691" s="5" t="s">
        <v>241</v>
      </c>
      <c r="C7691" s="6">
        <v>1979</v>
      </c>
      <c r="D7691" s="7">
        <v>8737581</v>
      </c>
    </row>
    <row r="7692" spans="1:4" x14ac:dyDescent="0.3">
      <c r="A7692" s="2" t="s">
        <v>240</v>
      </c>
      <c r="B7692" s="2" t="s">
        <v>241</v>
      </c>
      <c r="C7692" s="3">
        <v>1980</v>
      </c>
      <c r="D7692" s="4">
        <v>9006032</v>
      </c>
    </row>
    <row r="7693" spans="1:4" x14ac:dyDescent="0.3">
      <c r="A7693" s="5" t="s">
        <v>240</v>
      </c>
      <c r="B7693" s="5" t="s">
        <v>241</v>
      </c>
      <c r="C7693" s="6">
        <v>1981</v>
      </c>
      <c r="D7693" s="7">
        <v>9279011</v>
      </c>
    </row>
    <row r="7694" spans="1:4" x14ac:dyDescent="0.3">
      <c r="A7694" s="2" t="s">
        <v>240</v>
      </c>
      <c r="B7694" s="2" t="s">
        <v>241</v>
      </c>
      <c r="C7694" s="3">
        <v>1982</v>
      </c>
      <c r="D7694" s="4">
        <v>9557671</v>
      </c>
    </row>
    <row r="7695" spans="1:4" x14ac:dyDescent="0.3">
      <c r="A7695" s="5" t="s">
        <v>240</v>
      </c>
      <c r="B7695" s="5" t="s">
        <v>241</v>
      </c>
      <c r="C7695" s="6">
        <v>1983</v>
      </c>
      <c r="D7695" s="7">
        <v>9843044</v>
      </c>
    </row>
    <row r="7696" spans="1:4" x14ac:dyDescent="0.3">
      <c r="A7696" s="2" t="s">
        <v>240</v>
      </c>
      <c r="B7696" s="2" t="s">
        <v>241</v>
      </c>
      <c r="C7696" s="3">
        <v>1984</v>
      </c>
      <c r="D7696" s="4">
        <v>10134550</v>
      </c>
    </row>
    <row r="7697" spans="1:4" x14ac:dyDescent="0.3">
      <c r="A7697" s="5" t="s">
        <v>240</v>
      </c>
      <c r="B7697" s="5" t="s">
        <v>241</v>
      </c>
      <c r="C7697" s="6">
        <v>1985</v>
      </c>
      <c r="D7697" s="7">
        <v>10433142</v>
      </c>
    </row>
    <row r="7698" spans="1:4" x14ac:dyDescent="0.3">
      <c r="A7698" s="2" t="s">
        <v>240</v>
      </c>
      <c r="B7698" s="2" t="s">
        <v>241</v>
      </c>
      <c r="C7698" s="3">
        <v>1986</v>
      </c>
      <c r="D7698" s="4">
        <v>10736857</v>
      </c>
    </row>
    <row r="7699" spans="1:4" x14ac:dyDescent="0.3">
      <c r="A7699" s="5" t="s">
        <v>240</v>
      </c>
      <c r="B7699" s="5" t="s">
        <v>241</v>
      </c>
      <c r="C7699" s="6">
        <v>1987</v>
      </c>
      <c r="D7699" s="7">
        <v>11047291</v>
      </c>
    </row>
    <row r="7700" spans="1:4" x14ac:dyDescent="0.3">
      <c r="A7700" s="2" t="s">
        <v>240</v>
      </c>
      <c r="B7700" s="2" t="s">
        <v>241</v>
      </c>
      <c r="C7700" s="3">
        <v>1988</v>
      </c>
      <c r="D7700" s="4">
        <v>11369462</v>
      </c>
    </row>
    <row r="7701" spans="1:4" x14ac:dyDescent="0.3">
      <c r="A7701" s="5" t="s">
        <v>240</v>
      </c>
      <c r="B7701" s="5" t="s">
        <v>241</v>
      </c>
      <c r="C7701" s="6">
        <v>1989</v>
      </c>
      <c r="D7701" s="7">
        <v>11704998</v>
      </c>
    </row>
    <row r="7702" spans="1:4" x14ac:dyDescent="0.3">
      <c r="A7702" s="2" t="s">
        <v>240</v>
      </c>
      <c r="B7702" s="2" t="s">
        <v>241</v>
      </c>
      <c r="C7702" s="3">
        <v>1990</v>
      </c>
      <c r="D7702" s="4">
        <v>12055639</v>
      </c>
    </row>
    <row r="7703" spans="1:4" x14ac:dyDescent="0.3">
      <c r="A7703" s="5" t="s">
        <v>240</v>
      </c>
      <c r="B7703" s="5" t="s">
        <v>241</v>
      </c>
      <c r="C7703" s="6">
        <v>1991</v>
      </c>
      <c r="D7703" s="7">
        <v>12421412</v>
      </c>
    </row>
    <row r="7704" spans="1:4" x14ac:dyDescent="0.3">
      <c r="A7704" s="2" t="s">
        <v>240</v>
      </c>
      <c r="B7704" s="2" t="s">
        <v>241</v>
      </c>
      <c r="C7704" s="3">
        <v>1992</v>
      </c>
      <c r="D7704" s="4">
        <v>12800870</v>
      </c>
    </row>
    <row r="7705" spans="1:4" x14ac:dyDescent="0.3">
      <c r="A7705" s="5" t="s">
        <v>240</v>
      </c>
      <c r="B7705" s="5" t="s">
        <v>241</v>
      </c>
      <c r="C7705" s="6">
        <v>1993</v>
      </c>
      <c r="D7705" s="7">
        <v>13197345</v>
      </c>
    </row>
    <row r="7706" spans="1:4" x14ac:dyDescent="0.3">
      <c r="A7706" s="2" t="s">
        <v>240</v>
      </c>
      <c r="B7706" s="2" t="s">
        <v>241</v>
      </c>
      <c r="C7706" s="3">
        <v>1994</v>
      </c>
      <c r="D7706" s="4">
        <v>13613850</v>
      </c>
    </row>
    <row r="7707" spans="1:4" x14ac:dyDescent="0.3">
      <c r="A7707" s="5" t="s">
        <v>240</v>
      </c>
      <c r="B7707" s="5" t="s">
        <v>241</v>
      </c>
      <c r="C7707" s="6">
        <v>1995</v>
      </c>
      <c r="D7707" s="7">
        <v>14051275</v>
      </c>
    </row>
    <row r="7708" spans="1:4" x14ac:dyDescent="0.3">
      <c r="A7708" s="2" t="s">
        <v>240</v>
      </c>
      <c r="B7708" s="2" t="s">
        <v>241</v>
      </c>
      <c r="C7708" s="3">
        <v>1996</v>
      </c>
      <c r="D7708" s="4">
        <v>14510711</v>
      </c>
    </row>
    <row r="7709" spans="1:4" x14ac:dyDescent="0.3">
      <c r="A7709" s="5" t="s">
        <v>240</v>
      </c>
      <c r="B7709" s="5" t="s">
        <v>241</v>
      </c>
      <c r="C7709" s="6">
        <v>1997</v>
      </c>
      <c r="D7709" s="7">
        <v>14990814</v>
      </c>
    </row>
    <row r="7710" spans="1:4" x14ac:dyDescent="0.3">
      <c r="A7710" s="2" t="s">
        <v>240</v>
      </c>
      <c r="B7710" s="2" t="s">
        <v>241</v>
      </c>
      <c r="C7710" s="3">
        <v>1998</v>
      </c>
      <c r="D7710" s="4">
        <v>15489364</v>
      </c>
    </row>
    <row r="7711" spans="1:4" x14ac:dyDescent="0.3">
      <c r="A7711" s="5" t="s">
        <v>240</v>
      </c>
      <c r="B7711" s="5" t="s">
        <v>241</v>
      </c>
      <c r="C7711" s="6">
        <v>1999</v>
      </c>
      <c r="D7711" s="7">
        <v>16000506</v>
      </c>
    </row>
    <row r="7712" spans="1:4" x14ac:dyDescent="0.3">
      <c r="A7712" s="2" t="s">
        <v>240</v>
      </c>
      <c r="B7712" s="2" t="s">
        <v>241</v>
      </c>
      <c r="C7712" s="3">
        <v>2000</v>
      </c>
      <c r="D7712" s="4">
        <v>16516338</v>
      </c>
    </row>
    <row r="7713" spans="1:4" x14ac:dyDescent="0.3">
      <c r="A7713" s="5" t="s">
        <v>240</v>
      </c>
      <c r="B7713" s="5" t="s">
        <v>241</v>
      </c>
      <c r="C7713" s="6">
        <v>2001</v>
      </c>
      <c r="D7713" s="7">
        <v>17032939</v>
      </c>
    </row>
    <row r="7714" spans="1:4" x14ac:dyDescent="0.3">
      <c r="A7714" s="2" t="s">
        <v>240</v>
      </c>
      <c r="B7714" s="2" t="s">
        <v>241</v>
      </c>
      <c r="C7714" s="3">
        <v>2002</v>
      </c>
      <c r="D7714" s="4">
        <v>17549913</v>
      </c>
    </row>
    <row r="7715" spans="1:4" x14ac:dyDescent="0.3">
      <c r="A7715" s="5" t="s">
        <v>240</v>
      </c>
      <c r="B7715" s="5" t="s">
        <v>241</v>
      </c>
      <c r="C7715" s="6">
        <v>2003</v>
      </c>
      <c r="D7715" s="7">
        <v>18071854</v>
      </c>
    </row>
    <row r="7716" spans="1:4" x14ac:dyDescent="0.3">
      <c r="A7716" s="2" t="s">
        <v>240</v>
      </c>
      <c r="B7716" s="2" t="s">
        <v>241</v>
      </c>
      <c r="C7716" s="3">
        <v>2004</v>
      </c>
      <c r="D7716" s="4">
        <v>18606608</v>
      </c>
    </row>
    <row r="7717" spans="1:4" x14ac:dyDescent="0.3">
      <c r="A7717" s="5" t="s">
        <v>240</v>
      </c>
      <c r="B7717" s="5" t="s">
        <v>241</v>
      </c>
      <c r="C7717" s="6">
        <v>2005</v>
      </c>
      <c r="D7717" s="7">
        <v>19159707</v>
      </c>
    </row>
    <row r="7718" spans="1:4" x14ac:dyDescent="0.3">
      <c r="A7718" s="2" t="s">
        <v>240</v>
      </c>
      <c r="B7718" s="2" t="s">
        <v>241</v>
      </c>
      <c r="C7718" s="3">
        <v>2006</v>
      </c>
      <c r="D7718" s="4">
        <v>19730909</v>
      </c>
    </row>
    <row r="7719" spans="1:4" x14ac:dyDescent="0.3">
      <c r="A7719" s="5" t="s">
        <v>240</v>
      </c>
      <c r="B7719" s="5" t="s">
        <v>241</v>
      </c>
      <c r="C7719" s="6">
        <v>2007</v>
      </c>
      <c r="D7719" s="7">
        <v>20318583</v>
      </c>
    </row>
    <row r="7720" spans="1:4" x14ac:dyDescent="0.3">
      <c r="A7720" s="2" t="s">
        <v>240</v>
      </c>
      <c r="B7720" s="2" t="s">
        <v>241</v>
      </c>
      <c r="C7720" s="3">
        <v>2008</v>
      </c>
      <c r="D7720" s="4">
        <v>20923840</v>
      </c>
    </row>
    <row r="7721" spans="1:4" x14ac:dyDescent="0.3">
      <c r="A7721" s="5" t="s">
        <v>240</v>
      </c>
      <c r="B7721" s="5" t="s">
        <v>241</v>
      </c>
      <c r="C7721" s="6">
        <v>2009</v>
      </c>
      <c r="D7721" s="7">
        <v>21547280</v>
      </c>
    </row>
    <row r="7722" spans="1:4" x14ac:dyDescent="0.3">
      <c r="A7722" s="2" t="s">
        <v>240</v>
      </c>
      <c r="B7722" s="2" t="s">
        <v>241</v>
      </c>
      <c r="C7722" s="3">
        <v>2010</v>
      </c>
      <c r="D7722" s="4">
        <v>22183340</v>
      </c>
    </row>
    <row r="7723" spans="1:4" x14ac:dyDescent="0.3">
      <c r="A7723" s="5" t="s">
        <v>240</v>
      </c>
      <c r="B7723" s="5" t="s">
        <v>241</v>
      </c>
      <c r="C7723" s="6">
        <v>2011</v>
      </c>
      <c r="D7723" s="7">
        <v>22822300</v>
      </c>
    </row>
    <row r="7724" spans="1:4" x14ac:dyDescent="0.3">
      <c r="A7724" s="2" t="s">
        <v>240</v>
      </c>
      <c r="B7724" s="2" t="s">
        <v>241</v>
      </c>
      <c r="C7724" s="3">
        <v>2012</v>
      </c>
      <c r="D7724" s="4">
        <v>23462438</v>
      </c>
    </row>
    <row r="7725" spans="1:4" x14ac:dyDescent="0.3">
      <c r="A7725" s="5" t="s">
        <v>240</v>
      </c>
      <c r="B7725" s="5" t="s">
        <v>241</v>
      </c>
      <c r="C7725" s="6">
        <v>2013</v>
      </c>
      <c r="D7725" s="7">
        <v>24109290</v>
      </c>
    </row>
    <row r="7726" spans="1:4" x14ac:dyDescent="0.3">
      <c r="A7726" s="2" t="s">
        <v>240</v>
      </c>
      <c r="B7726" s="2" t="s">
        <v>241</v>
      </c>
      <c r="C7726" s="3">
        <v>2014</v>
      </c>
      <c r="D7726" s="4">
        <v>24764348</v>
      </c>
    </row>
    <row r="7727" spans="1:4" x14ac:dyDescent="0.3">
      <c r="A7727" s="5" t="s">
        <v>240</v>
      </c>
      <c r="B7727" s="5" t="s">
        <v>241</v>
      </c>
      <c r="C7727" s="6">
        <v>2015</v>
      </c>
      <c r="D7727" s="7">
        <v>25426702</v>
      </c>
    </row>
    <row r="7728" spans="1:4" x14ac:dyDescent="0.3">
      <c r="A7728" s="2" t="s">
        <v>240</v>
      </c>
      <c r="B7728" s="2" t="s">
        <v>241</v>
      </c>
      <c r="C7728" s="3">
        <v>2016</v>
      </c>
      <c r="D7728" s="4">
        <v>26099952</v>
      </c>
    </row>
    <row r="7729" spans="1:4" x14ac:dyDescent="0.3">
      <c r="A7729" s="5" t="s">
        <v>240</v>
      </c>
      <c r="B7729" s="5" t="s">
        <v>241</v>
      </c>
      <c r="C7729" s="6">
        <v>2017</v>
      </c>
      <c r="D7729" s="7">
        <v>26788375</v>
      </c>
    </row>
    <row r="7730" spans="1:4" x14ac:dyDescent="0.3">
      <c r="A7730" s="2" t="s">
        <v>240</v>
      </c>
      <c r="B7730" s="2" t="s">
        <v>241</v>
      </c>
      <c r="C7730" s="3">
        <v>2018</v>
      </c>
      <c r="D7730" s="4">
        <v>27494926</v>
      </c>
    </row>
    <row r="7731" spans="1:4" x14ac:dyDescent="0.3">
      <c r="A7731" s="5" t="s">
        <v>240</v>
      </c>
      <c r="B7731" s="5" t="s">
        <v>241</v>
      </c>
      <c r="C7731" s="6">
        <v>2019</v>
      </c>
      <c r="D7731" s="7">
        <v>28219554</v>
      </c>
    </row>
    <row r="7732" spans="1:4" x14ac:dyDescent="0.3">
      <c r="A7732" s="2" t="s">
        <v>240</v>
      </c>
      <c r="B7732" s="2" t="s">
        <v>241</v>
      </c>
      <c r="C7732" s="3">
        <v>2020</v>
      </c>
      <c r="D7732" s="4">
        <v>28953556</v>
      </c>
    </row>
    <row r="7733" spans="1:4" x14ac:dyDescent="0.3">
      <c r="A7733" s="5" t="s">
        <v>240</v>
      </c>
      <c r="B7733" s="5" t="s">
        <v>241</v>
      </c>
      <c r="C7733" s="6">
        <v>2021</v>
      </c>
      <c r="D7733" s="7">
        <v>29691083</v>
      </c>
    </row>
    <row r="7734" spans="1:4" x14ac:dyDescent="0.3">
      <c r="A7734" s="2" t="s">
        <v>240</v>
      </c>
      <c r="B7734" s="2" t="s">
        <v>241</v>
      </c>
      <c r="C7734" s="3">
        <v>2022</v>
      </c>
      <c r="D7734" s="4">
        <v>30437261</v>
      </c>
    </row>
    <row r="7735" spans="1:4" x14ac:dyDescent="0.3">
      <c r="A7735" s="5" t="s">
        <v>240</v>
      </c>
      <c r="B7735" s="5" t="s">
        <v>241</v>
      </c>
      <c r="C7735" s="6">
        <v>2023</v>
      </c>
      <c r="D7735" s="7">
        <v>31195932</v>
      </c>
    </row>
    <row r="7736" spans="1:4" x14ac:dyDescent="0.3">
      <c r="A7736" s="2" t="s">
        <v>240</v>
      </c>
      <c r="B7736" s="2" t="s">
        <v>241</v>
      </c>
      <c r="C7736" s="3">
        <v>2024</v>
      </c>
      <c r="D7736" s="4">
        <v>31964956</v>
      </c>
    </row>
    <row r="7737" spans="1:4" x14ac:dyDescent="0.3">
      <c r="A7737" s="5" t="s">
        <v>242</v>
      </c>
      <c r="B7737" s="5" t="s">
        <v>243</v>
      </c>
      <c r="C7737" s="6">
        <v>1960</v>
      </c>
      <c r="D7737" s="7">
        <v>3628134</v>
      </c>
    </row>
    <row r="7738" spans="1:4" x14ac:dyDescent="0.3">
      <c r="A7738" s="2" t="s">
        <v>242</v>
      </c>
      <c r="B7738" s="2" t="s">
        <v>243</v>
      </c>
      <c r="C7738" s="3">
        <v>1961</v>
      </c>
      <c r="D7738" s="4">
        <v>3715534</v>
      </c>
    </row>
    <row r="7739" spans="1:4" x14ac:dyDescent="0.3">
      <c r="A7739" s="5" t="s">
        <v>242</v>
      </c>
      <c r="B7739" s="5" t="s">
        <v>243</v>
      </c>
      <c r="C7739" s="6">
        <v>1962</v>
      </c>
      <c r="D7739" s="7">
        <v>3806307</v>
      </c>
    </row>
    <row r="7740" spans="1:4" x14ac:dyDescent="0.3">
      <c r="A7740" s="2" t="s">
        <v>242</v>
      </c>
      <c r="B7740" s="2" t="s">
        <v>243</v>
      </c>
      <c r="C7740" s="3">
        <v>1963</v>
      </c>
      <c r="D7740" s="4">
        <v>3900506</v>
      </c>
    </row>
    <row r="7741" spans="1:4" x14ac:dyDescent="0.3">
      <c r="A7741" s="5" t="s">
        <v>242</v>
      </c>
      <c r="B7741" s="5" t="s">
        <v>243</v>
      </c>
      <c r="C7741" s="6">
        <v>1964</v>
      </c>
      <c r="D7741" s="7">
        <v>3997305</v>
      </c>
    </row>
    <row r="7742" spans="1:4" x14ac:dyDescent="0.3">
      <c r="A7742" s="2" t="s">
        <v>242</v>
      </c>
      <c r="B7742" s="2" t="s">
        <v>243</v>
      </c>
      <c r="C7742" s="3">
        <v>1965</v>
      </c>
      <c r="D7742" s="4">
        <v>4096157</v>
      </c>
    </row>
    <row r="7743" spans="1:4" x14ac:dyDescent="0.3">
      <c r="A7743" s="5" t="s">
        <v>242</v>
      </c>
      <c r="B7743" s="5" t="s">
        <v>243</v>
      </c>
      <c r="C7743" s="6">
        <v>1966</v>
      </c>
      <c r="D7743" s="7">
        <v>4197926</v>
      </c>
    </row>
    <row r="7744" spans="1:4" x14ac:dyDescent="0.3">
      <c r="A7744" s="2" t="s">
        <v>242</v>
      </c>
      <c r="B7744" s="2" t="s">
        <v>243</v>
      </c>
      <c r="C7744" s="3">
        <v>1967</v>
      </c>
      <c r="D7744" s="4">
        <v>4303012</v>
      </c>
    </row>
    <row r="7745" spans="1:4" x14ac:dyDescent="0.3">
      <c r="A7745" s="5" t="s">
        <v>242</v>
      </c>
      <c r="B7745" s="5" t="s">
        <v>243</v>
      </c>
      <c r="C7745" s="6">
        <v>1968</v>
      </c>
      <c r="D7745" s="7">
        <v>4411054</v>
      </c>
    </row>
    <row r="7746" spans="1:4" x14ac:dyDescent="0.3">
      <c r="A7746" s="2" t="s">
        <v>242</v>
      </c>
      <c r="B7746" s="2" t="s">
        <v>243</v>
      </c>
      <c r="C7746" s="3">
        <v>1969</v>
      </c>
      <c r="D7746" s="4">
        <v>4521184</v>
      </c>
    </row>
    <row r="7747" spans="1:4" x14ac:dyDescent="0.3">
      <c r="A7747" s="5" t="s">
        <v>242</v>
      </c>
      <c r="B7747" s="5" t="s">
        <v>243</v>
      </c>
      <c r="C7747" s="6">
        <v>1970</v>
      </c>
      <c r="D7747" s="7">
        <v>4633944</v>
      </c>
    </row>
    <row r="7748" spans="1:4" x14ac:dyDescent="0.3">
      <c r="A7748" s="2" t="s">
        <v>242</v>
      </c>
      <c r="B7748" s="2" t="s">
        <v>243</v>
      </c>
      <c r="C7748" s="3">
        <v>1971</v>
      </c>
      <c r="D7748" s="4">
        <v>4751434</v>
      </c>
    </row>
    <row r="7749" spans="1:4" x14ac:dyDescent="0.3">
      <c r="A7749" s="5" t="s">
        <v>242</v>
      </c>
      <c r="B7749" s="5" t="s">
        <v>243</v>
      </c>
      <c r="C7749" s="6">
        <v>1972</v>
      </c>
      <c r="D7749" s="7">
        <v>4874475</v>
      </c>
    </row>
    <row r="7750" spans="1:4" x14ac:dyDescent="0.3">
      <c r="A7750" s="2" t="s">
        <v>242</v>
      </c>
      <c r="B7750" s="2" t="s">
        <v>243</v>
      </c>
      <c r="C7750" s="3">
        <v>1973</v>
      </c>
      <c r="D7750" s="4">
        <v>5003938</v>
      </c>
    </row>
    <row r="7751" spans="1:4" x14ac:dyDescent="0.3">
      <c r="A7751" s="5" t="s">
        <v>242</v>
      </c>
      <c r="B7751" s="5" t="s">
        <v>243</v>
      </c>
      <c r="C7751" s="6">
        <v>1974</v>
      </c>
      <c r="D7751" s="7">
        <v>5141337</v>
      </c>
    </row>
    <row r="7752" spans="1:4" x14ac:dyDescent="0.3">
      <c r="A7752" s="2" t="s">
        <v>242</v>
      </c>
      <c r="B7752" s="2" t="s">
        <v>243</v>
      </c>
      <c r="C7752" s="3">
        <v>1975</v>
      </c>
      <c r="D7752" s="4">
        <v>5287367</v>
      </c>
    </row>
    <row r="7753" spans="1:4" x14ac:dyDescent="0.3">
      <c r="A7753" s="5" t="s">
        <v>242</v>
      </c>
      <c r="B7753" s="5" t="s">
        <v>243</v>
      </c>
      <c r="C7753" s="6">
        <v>1976</v>
      </c>
      <c r="D7753" s="7">
        <v>5443384</v>
      </c>
    </row>
    <row r="7754" spans="1:4" x14ac:dyDescent="0.3">
      <c r="A7754" s="2" t="s">
        <v>242</v>
      </c>
      <c r="B7754" s="2" t="s">
        <v>243</v>
      </c>
      <c r="C7754" s="3">
        <v>1977</v>
      </c>
      <c r="D7754" s="4">
        <v>5614983</v>
      </c>
    </row>
    <row r="7755" spans="1:4" x14ac:dyDescent="0.3">
      <c r="A7755" s="5" t="s">
        <v>242</v>
      </c>
      <c r="B7755" s="5" t="s">
        <v>243</v>
      </c>
      <c r="C7755" s="6">
        <v>1978</v>
      </c>
      <c r="D7755" s="7">
        <v>5810132</v>
      </c>
    </row>
    <row r="7756" spans="1:4" x14ac:dyDescent="0.3">
      <c r="A7756" s="2" t="s">
        <v>242</v>
      </c>
      <c r="B7756" s="2" t="s">
        <v>243</v>
      </c>
      <c r="C7756" s="3">
        <v>1979</v>
      </c>
      <c r="D7756" s="4">
        <v>6028749</v>
      </c>
    </row>
    <row r="7757" spans="1:4" x14ac:dyDescent="0.3">
      <c r="A7757" s="5" t="s">
        <v>242</v>
      </c>
      <c r="B7757" s="5" t="s">
        <v>243</v>
      </c>
      <c r="C7757" s="6">
        <v>1980</v>
      </c>
      <c r="D7757" s="7">
        <v>6265529</v>
      </c>
    </row>
    <row r="7758" spans="1:4" x14ac:dyDescent="0.3">
      <c r="A7758" s="2" t="s">
        <v>242</v>
      </c>
      <c r="B7758" s="2" t="s">
        <v>243</v>
      </c>
      <c r="C7758" s="3">
        <v>1981</v>
      </c>
      <c r="D7758" s="4">
        <v>6516454</v>
      </c>
    </row>
    <row r="7759" spans="1:4" x14ac:dyDescent="0.3">
      <c r="A7759" s="5" t="s">
        <v>242</v>
      </c>
      <c r="B7759" s="5" t="s">
        <v>243</v>
      </c>
      <c r="C7759" s="6">
        <v>1982</v>
      </c>
      <c r="D7759" s="7">
        <v>6778879</v>
      </c>
    </row>
    <row r="7760" spans="1:4" x14ac:dyDescent="0.3">
      <c r="A7760" s="2" t="s">
        <v>242</v>
      </c>
      <c r="B7760" s="2" t="s">
        <v>243</v>
      </c>
      <c r="C7760" s="3">
        <v>1983</v>
      </c>
      <c r="D7760" s="4">
        <v>7051709</v>
      </c>
    </row>
    <row r="7761" spans="1:4" x14ac:dyDescent="0.3">
      <c r="A7761" s="5" t="s">
        <v>242</v>
      </c>
      <c r="B7761" s="5" t="s">
        <v>243</v>
      </c>
      <c r="C7761" s="6">
        <v>1984</v>
      </c>
      <c r="D7761" s="7">
        <v>7332810</v>
      </c>
    </row>
    <row r="7762" spans="1:4" x14ac:dyDescent="0.3">
      <c r="A7762" s="2" t="s">
        <v>242</v>
      </c>
      <c r="B7762" s="2" t="s">
        <v>243</v>
      </c>
      <c r="C7762" s="3">
        <v>1985</v>
      </c>
      <c r="D7762" s="4">
        <v>7620508</v>
      </c>
    </row>
    <row r="7763" spans="1:4" x14ac:dyDescent="0.3">
      <c r="A7763" s="5" t="s">
        <v>242</v>
      </c>
      <c r="B7763" s="5" t="s">
        <v>243</v>
      </c>
      <c r="C7763" s="6">
        <v>1986</v>
      </c>
      <c r="D7763" s="7">
        <v>7906480</v>
      </c>
    </row>
    <row r="7764" spans="1:4" x14ac:dyDescent="0.3">
      <c r="A7764" s="2" t="s">
        <v>242</v>
      </c>
      <c r="B7764" s="2" t="s">
        <v>243</v>
      </c>
      <c r="C7764" s="3">
        <v>1987</v>
      </c>
      <c r="D7764" s="4">
        <v>8293174</v>
      </c>
    </row>
    <row r="7765" spans="1:4" x14ac:dyDescent="0.3">
      <c r="A7765" s="5" t="s">
        <v>242</v>
      </c>
      <c r="B7765" s="5" t="s">
        <v>243</v>
      </c>
      <c r="C7765" s="6">
        <v>1988</v>
      </c>
      <c r="D7765" s="7">
        <v>8753262</v>
      </c>
    </row>
    <row r="7766" spans="1:4" x14ac:dyDescent="0.3">
      <c r="A7766" s="2" t="s">
        <v>242</v>
      </c>
      <c r="B7766" s="2" t="s">
        <v>243</v>
      </c>
      <c r="C7766" s="3">
        <v>1989</v>
      </c>
      <c r="D7766" s="4">
        <v>9176220</v>
      </c>
    </row>
    <row r="7767" spans="1:4" x14ac:dyDescent="0.3">
      <c r="A7767" s="5" t="s">
        <v>242</v>
      </c>
      <c r="B7767" s="5" t="s">
        <v>243</v>
      </c>
      <c r="C7767" s="6">
        <v>1990</v>
      </c>
      <c r="D7767" s="7">
        <v>9545852</v>
      </c>
    </row>
    <row r="7768" spans="1:4" x14ac:dyDescent="0.3">
      <c r="A7768" s="2" t="s">
        <v>242</v>
      </c>
      <c r="B7768" s="2" t="s">
        <v>243</v>
      </c>
      <c r="C7768" s="3">
        <v>1991</v>
      </c>
      <c r="D7768" s="4">
        <v>9844227</v>
      </c>
    </row>
    <row r="7769" spans="1:4" x14ac:dyDescent="0.3">
      <c r="A7769" s="5" t="s">
        <v>242</v>
      </c>
      <c r="B7769" s="5" t="s">
        <v>243</v>
      </c>
      <c r="C7769" s="6">
        <v>1992</v>
      </c>
      <c r="D7769" s="7">
        <v>10135079</v>
      </c>
    </row>
    <row r="7770" spans="1:4" x14ac:dyDescent="0.3">
      <c r="A7770" s="2" t="s">
        <v>242</v>
      </c>
      <c r="B7770" s="2" t="s">
        <v>243</v>
      </c>
      <c r="C7770" s="3">
        <v>1993</v>
      </c>
      <c r="D7770" s="4">
        <v>10284024</v>
      </c>
    </row>
    <row r="7771" spans="1:4" x14ac:dyDescent="0.3">
      <c r="A7771" s="5" t="s">
        <v>242</v>
      </c>
      <c r="B7771" s="5" t="s">
        <v>243</v>
      </c>
      <c r="C7771" s="6">
        <v>1994</v>
      </c>
      <c r="D7771" s="7">
        <v>10164894</v>
      </c>
    </row>
    <row r="7772" spans="1:4" x14ac:dyDescent="0.3">
      <c r="A7772" s="2" t="s">
        <v>242</v>
      </c>
      <c r="B7772" s="2" t="s">
        <v>243</v>
      </c>
      <c r="C7772" s="3">
        <v>1995</v>
      </c>
      <c r="D7772" s="4">
        <v>10150117</v>
      </c>
    </row>
    <row r="7773" spans="1:4" x14ac:dyDescent="0.3">
      <c r="A7773" s="5" t="s">
        <v>242</v>
      </c>
      <c r="B7773" s="5" t="s">
        <v>243</v>
      </c>
      <c r="C7773" s="6">
        <v>1996</v>
      </c>
      <c r="D7773" s="7">
        <v>10352228</v>
      </c>
    </row>
    <row r="7774" spans="1:4" x14ac:dyDescent="0.3">
      <c r="A7774" s="2" t="s">
        <v>242</v>
      </c>
      <c r="B7774" s="2" t="s">
        <v>243</v>
      </c>
      <c r="C7774" s="3">
        <v>1997</v>
      </c>
      <c r="D7774" s="4">
        <v>10562035</v>
      </c>
    </row>
    <row r="7775" spans="1:4" x14ac:dyDescent="0.3">
      <c r="A7775" s="5" t="s">
        <v>242</v>
      </c>
      <c r="B7775" s="5" t="s">
        <v>243</v>
      </c>
      <c r="C7775" s="6">
        <v>1998</v>
      </c>
      <c r="D7775" s="7">
        <v>10792876</v>
      </c>
    </row>
    <row r="7776" spans="1:4" x14ac:dyDescent="0.3">
      <c r="A7776" s="2" t="s">
        <v>242</v>
      </c>
      <c r="B7776" s="2" t="s">
        <v>243</v>
      </c>
      <c r="C7776" s="3">
        <v>1999</v>
      </c>
      <c r="D7776" s="4">
        <v>11047804</v>
      </c>
    </row>
    <row r="7777" spans="1:4" x14ac:dyDescent="0.3">
      <c r="A7777" s="5" t="s">
        <v>242</v>
      </c>
      <c r="B7777" s="5" t="s">
        <v>243</v>
      </c>
      <c r="C7777" s="6">
        <v>2000</v>
      </c>
      <c r="D7777" s="7">
        <v>11315942</v>
      </c>
    </row>
    <row r="7778" spans="1:4" x14ac:dyDescent="0.3">
      <c r="A7778" s="2" t="s">
        <v>242</v>
      </c>
      <c r="B7778" s="2" t="s">
        <v>243</v>
      </c>
      <c r="C7778" s="3">
        <v>2001</v>
      </c>
      <c r="D7778" s="4">
        <v>11593058</v>
      </c>
    </row>
    <row r="7779" spans="1:4" x14ac:dyDescent="0.3">
      <c r="A7779" s="5" t="s">
        <v>242</v>
      </c>
      <c r="B7779" s="5" t="s">
        <v>243</v>
      </c>
      <c r="C7779" s="6">
        <v>2002</v>
      </c>
      <c r="D7779" s="7">
        <v>11880440</v>
      </c>
    </row>
    <row r="7780" spans="1:4" x14ac:dyDescent="0.3">
      <c r="A7780" s="2" t="s">
        <v>242</v>
      </c>
      <c r="B7780" s="2" t="s">
        <v>243</v>
      </c>
      <c r="C7780" s="3">
        <v>2003</v>
      </c>
      <c r="D7780" s="4">
        <v>12181574</v>
      </c>
    </row>
    <row r="7781" spans="1:4" x14ac:dyDescent="0.3">
      <c r="A7781" s="5" t="s">
        <v>242</v>
      </c>
      <c r="B7781" s="5" t="s">
        <v>243</v>
      </c>
      <c r="C7781" s="6">
        <v>2004</v>
      </c>
      <c r="D7781" s="7">
        <v>12500737</v>
      </c>
    </row>
    <row r="7782" spans="1:4" x14ac:dyDescent="0.3">
      <c r="A7782" s="2" t="s">
        <v>242</v>
      </c>
      <c r="B7782" s="2" t="s">
        <v>243</v>
      </c>
      <c r="C7782" s="3">
        <v>2005</v>
      </c>
      <c r="D7782" s="4">
        <v>12840031</v>
      </c>
    </row>
    <row r="7783" spans="1:4" x14ac:dyDescent="0.3">
      <c r="A7783" s="5" t="s">
        <v>242</v>
      </c>
      <c r="B7783" s="5" t="s">
        <v>243</v>
      </c>
      <c r="C7783" s="6">
        <v>2006</v>
      </c>
      <c r="D7783" s="7">
        <v>13198701</v>
      </c>
    </row>
    <row r="7784" spans="1:4" x14ac:dyDescent="0.3">
      <c r="A7784" s="2" t="s">
        <v>242</v>
      </c>
      <c r="B7784" s="2" t="s">
        <v>243</v>
      </c>
      <c r="C7784" s="3">
        <v>2007</v>
      </c>
      <c r="D7784" s="4">
        <v>13576343</v>
      </c>
    </row>
    <row r="7785" spans="1:4" x14ac:dyDescent="0.3">
      <c r="A7785" s="5" t="s">
        <v>242</v>
      </c>
      <c r="B7785" s="5" t="s">
        <v>243</v>
      </c>
      <c r="C7785" s="6">
        <v>2008</v>
      </c>
      <c r="D7785" s="7">
        <v>13976417</v>
      </c>
    </row>
    <row r="7786" spans="1:4" x14ac:dyDescent="0.3">
      <c r="A7786" s="2" t="s">
        <v>242</v>
      </c>
      <c r="B7786" s="2" t="s">
        <v>243</v>
      </c>
      <c r="C7786" s="3">
        <v>2009</v>
      </c>
      <c r="D7786" s="4">
        <v>14395788</v>
      </c>
    </row>
    <row r="7787" spans="1:4" x14ac:dyDescent="0.3">
      <c r="A7787" s="5" t="s">
        <v>242</v>
      </c>
      <c r="B7787" s="5" t="s">
        <v>243</v>
      </c>
      <c r="C7787" s="6">
        <v>2010</v>
      </c>
      <c r="D7787" s="7">
        <v>14826463</v>
      </c>
    </row>
    <row r="7788" spans="1:4" x14ac:dyDescent="0.3">
      <c r="A7788" s="2" t="s">
        <v>242</v>
      </c>
      <c r="B7788" s="2" t="s">
        <v>243</v>
      </c>
      <c r="C7788" s="3">
        <v>2011</v>
      </c>
      <c r="D7788" s="4">
        <v>15265022</v>
      </c>
    </row>
    <row r="7789" spans="1:4" x14ac:dyDescent="0.3">
      <c r="A7789" s="5" t="s">
        <v>242</v>
      </c>
      <c r="B7789" s="5" t="s">
        <v>243</v>
      </c>
      <c r="C7789" s="6">
        <v>2012</v>
      </c>
      <c r="D7789" s="7">
        <v>15709577</v>
      </c>
    </row>
    <row r="7790" spans="1:4" x14ac:dyDescent="0.3">
      <c r="A7790" s="2" t="s">
        <v>242</v>
      </c>
      <c r="B7790" s="2" t="s">
        <v>243</v>
      </c>
      <c r="C7790" s="3">
        <v>2013</v>
      </c>
      <c r="D7790" s="4">
        <v>16161816</v>
      </c>
    </row>
    <row r="7791" spans="1:4" x14ac:dyDescent="0.3">
      <c r="A7791" s="5" t="s">
        <v>242</v>
      </c>
      <c r="B7791" s="5" t="s">
        <v>243</v>
      </c>
      <c r="C7791" s="6">
        <v>2014</v>
      </c>
      <c r="D7791" s="7">
        <v>16621538</v>
      </c>
    </row>
    <row r="7792" spans="1:4" x14ac:dyDescent="0.3">
      <c r="A7792" s="2" t="s">
        <v>242</v>
      </c>
      <c r="B7792" s="2" t="s">
        <v>243</v>
      </c>
      <c r="C7792" s="3">
        <v>2015</v>
      </c>
      <c r="D7792" s="4">
        <v>17085587</v>
      </c>
    </row>
    <row r="7793" spans="1:4" x14ac:dyDescent="0.3">
      <c r="A7793" s="5" t="s">
        <v>242</v>
      </c>
      <c r="B7793" s="5" t="s">
        <v>243</v>
      </c>
      <c r="C7793" s="6">
        <v>2016</v>
      </c>
      <c r="D7793" s="7">
        <v>17557739</v>
      </c>
    </row>
    <row r="7794" spans="1:4" x14ac:dyDescent="0.3">
      <c r="A7794" s="2" t="s">
        <v>242</v>
      </c>
      <c r="B7794" s="2" t="s">
        <v>243</v>
      </c>
      <c r="C7794" s="3">
        <v>2017</v>
      </c>
      <c r="D7794" s="4">
        <v>18039715</v>
      </c>
    </row>
    <row r="7795" spans="1:4" x14ac:dyDescent="0.3">
      <c r="A7795" s="5" t="s">
        <v>242</v>
      </c>
      <c r="B7795" s="5" t="s">
        <v>243</v>
      </c>
      <c r="C7795" s="6">
        <v>2018</v>
      </c>
      <c r="D7795" s="7">
        <v>18528081</v>
      </c>
    </row>
    <row r="7796" spans="1:4" x14ac:dyDescent="0.3">
      <c r="A7796" s="2" t="s">
        <v>242</v>
      </c>
      <c r="B7796" s="2" t="s">
        <v>243</v>
      </c>
      <c r="C7796" s="3">
        <v>2019</v>
      </c>
      <c r="D7796" s="4">
        <v>19025752</v>
      </c>
    </row>
    <row r="7797" spans="1:4" x14ac:dyDescent="0.3">
      <c r="A7797" s="5" t="s">
        <v>242</v>
      </c>
      <c r="B7797" s="5" t="s">
        <v>243</v>
      </c>
      <c r="C7797" s="6">
        <v>2020</v>
      </c>
      <c r="D7797" s="7">
        <v>19533888</v>
      </c>
    </row>
    <row r="7798" spans="1:4" x14ac:dyDescent="0.3">
      <c r="A7798" s="2" t="s">
        <v>242</v>
      </c>
      <c r="B7798" s="2" t="s">
        <v>243</v>
      </c>
      <c r="C7798" s="3">
        <v>2021</v>
      </c>
      <c r="D7798" s="4">
        <v>20047258</v>
      </c>
    </row>
    <row r="7799" spans="1:4" x14ac:dyDescent="0.3">
      <c r="A7799" s="5" t="s">
        <v>242</v>
      </c>
      <c r="B7799" s="5" t="s">
        <v>243</v>
      </c>
      <c r="C7799" s="6">
        <v>2022</v>
      </c>
      <c r="D7799" s="7">
        <v>20568728</v>
      </c>
    </row>
    <row r="7800" spans="1:4" x14ac:dyDescent="0.3">
      <c r="A7800" s="2" t="s">
        <v>242</v>
      </c>
      <c r="B7800" s="2" t="s">
        <v>243</v>
      </c>
      <c r="C7800" s="3">
        <v>2023</v>
      </c>
      <c r="D7800" s="4">
        <v>21104482</v>
      </c>
    </row>
    <row r="7801" spans="1:4" x14ac:dyDescent="0.3">
      <c r="A7801" s="5" t="s">
        <v>242</v>
      </c>
      <c r="B7801" s="5" t="s">
        <v>243</v>
      </c>
      <c r="C7801" s="6">
        <v>2024</v>
      </c>
      <c r="D7801" s="7">
        <v>21655286</v>
      </c>
    </row>
    <row r="7802" spans="1:4" x14ac:dyDescent="0.3">
      <c r="A7802" s="2" t="s">
        <v>244</v>
      </c>
      <c r="B7802" s="2" t="s">
        <v>245</v>
      </c>
      <c r="C7802" s="3">
        <v>1960</v>
      </c>
      <c r="D7802" s="4">
        <v>7956197</v>
      </c>
    </row>
    <row r="7803" spans="1:4" x14ac:dyDescent="0.3">
      <c r="A7803" s="5" t="s">
        <v>244</v>
      </c>
      <c r="B7803" s="5" t="s">
        <v>245</v>
      </c>
      <c r="C7803" s="6">
        <v>1961</v>
      </c>
      <c r="D7803" s="7">
        <v>8164443</v>
      </c>
    </row>
    <row r="7804" spans="1:4" x14ac:dyDescent="0.3">
      <c r="A7804" s="2" t="s">
        <v>244</v>
      </c>
      <c r="B7804" s="2" t="s">
        <v>245</v>
      </c>
      <c r="C7804" s="3">
        <v>1962</v>
      </c>
      <c r="D7804" s="4">
        <v>8380172</v>
      </c>
    </row>
    <row r="7805" spans="1:4" x14ac:dyDescent="0.3">
      <c r="A7805" s="5" t="s">
        <v>244</v>
      </c>
      <c r="B7805" s="5" t="s">
        <v>245</v>
      </c>
      <c r="C7805" s="6">
        <v>1963</v>
      </c>
      <c r="D7805" s="7">
        <v>8602160</v>
      </c>
    </row>
    <row r="7806" spans="1:4" x14ac:dyDescent="0.3">
      <c r="A7806" s="2" t="s">
        <v>244</v>
      </c>
      <c r="B7806" s="2" t="s">
        <v>245</v>
      </c>
      <c r="C7806" s="3">
        <v>1964</v>
      </c>
      <c r="D7806" s="4">
        <v>8828406</v>
      </c>
    </row>
    <row r="7807" spans="1:4" x14ac:dyDescent="0.3">
      <c r="A7807" s="5" t="s">
        <v>244</v>
      </c>
      <c r="B7807" s="5" t="s">
        <v>245</v>
      </c>
      <c r="C7807" s="6">
        <v>1965</v>
      </c>
      <c r="D7807" s="7">
        <v>9056408</v>
      </c>
    </row>
    <row r="7808" spans="1:4" x14ac:dyDescent="0.3">
      <c r="A7808" s="2" t="s">
        <v>244</v>
      </c>
      <c r="B7808" s="2" t="s">
        <v>245</v>
      </c>
      <c r="C7808" s="3">
        <v>1966</v>
      </c>
      <c r="D7808" s="4">
        <v>9284688</v>
      </c>
    </row>
    <row r="7809" spans="1:4" x14ac:dyDescent="0.3">
      <c r="A7809" s="5" t="s">
        <v>244</v>
      </c>
      <c r="B7809" s="5" t="s">
        <v>245</v>
      </c>
      <c r="C7809" s="6">
        <v>1967</v>
      </c>
      <c r="D7809" s="7">
        <v>9507099</v>
      </c>
    </row>
    <row r="7810" spans="1:4" x14ac:dyDescent="0.3">
      <c r="A7810" s="2" t="s">
        <v>244</v>
      </c>
      <c r="B7810" s="2" t="s">
        <v>245</v>
      </c>
      <c r="C7810" s="3">
        <v>1968</v>
      </c>
      <c r="D7810" s="4">
        <v>9725281</v>
      </c>
    </row>
    <row r="7811" spans="1:4" x14ac:dyDescent="0.3">
      <c r="A7811" s="5" t="s">
        <v>244</v>
      </c>
      <c r="B7811" s="5" t="s">
        <v>245</v>
      </c>
      <c r="C7811" s="6">
        <v>1969</v>
      </c>
      <c r="D7811" s="7">
        <v>9947597</v>
      </c>
    </row>
    <row r="7812" spans="1:4" x14ac:dyDescent="0.3">
      <c r="A7812" s="2" t="s">
        <v>244</v>
      </c>
      <c r="B7812" s="2" t="s">
        <v>245</v>
      </c>
      <c r="C7812" s="3">
        <v>1970</v>
      </c>
      <c r="D7812" s="4">
        <v>10178802</v>
      </c>
    </row>
    <row r="7813" spans="1:4" x14ac:dyDescent="0.3">
      <c r="A7813" s="5" t="s">
        <v>244</v>
      </c>
      <c r="B7813" s="5" t="s">
        <v>245</v>
      </c>
      <c r="C7813" s="6">
        <v>1971</v>
      </c>
      <c r="D7813" s="7">
        <v>10423453</v>
      </c>
    </row>
    <row r="7814" spans="1:4" x14ac:dyDescent="0.3">
      <c r="A7814" s="2" t="s">
        <v>244</v>
      </c>
      <c r="B7814" s="2" t="s">
        <v>245</v>
      </c>
      <c r="C7814" s="3">
        <v>1972</v>
      </c>
      <c r="D7814" s="4">
        <v>10676835</v>
      </c>
    </row>
    <row r="7815" spans="1:4" x14ac:dyDescent="0.3">
      <c r="A7815" s="5" t="s">
        <v>244</v>
      </c>
      <c r="B7815" s="5" t="s">
        <v>245</v>
      </c>
      <c r="C7815" s="6">
        <v>1973</v>
      </c>
      <c r="D7815" s="7">
        <v>10935621</v>
      </c>
    </row>
    <row r="7816" spans="1:4" x14ac:dyDescent="0.3">
      <c r="A7816" s="2" t="s">
        <v>244</v>
      </c>
      <c r="B7816" s="2" t="s">
        <v>245</v>
      </c>
      <c r="C7816" s="3">
        <v>1974</v>
      </c>
      <c r="D7816" s="4">
        <v>11200906</v>
      </c>
    </row>
    <row r="7817" spans="1:4" x14ac:dyDescent="0.3">
      <c r="A7817" s="5" t="s">
        <v>244</v>
      </c>
      <c r="B7817" s="5" t="s">
        <v>245</v>
      </c>
      <c r="C7817" s="6">
        <v>1975</v>
      </c>
      <c r="D7817" s="7">
        <v>11471914</v>
      </c>
    </row>
    <row r="7818" spans="1:4" x14ac:dyDescent="0.3">
      <c r="A7818" s="2" t="s">
        <v>244</v>
      </c>
      <c r="B7818" s="2" t="s">
        <v>245</v>
      </c>
      <c r="C7818" s="3">
        <v>1976</v>
      </c>
      <c r="D7818" s="4">
        <v>11750097</v>
      </c>
    </row>
    <row r="7819" spans="1:4" x14ac:dyDescent="0.3">
      <c r="A7819" s="5" t="s">
        <v>244</v>
      </c>
      <c r="B7819" s="5" t="s">
        <v>245</v>
      </c>
      <c r="C7819" s="6">
        <v>1977</v>
      </c>
      <c r="D7819" s="7">
        <v>12035713</v>
      </c>
    </row>
    <row r="7820" spans="1:4" x14ac:dyDescent="0.3">
      <c r="A7820" s="2" t="s">
        <v>244</v>
      </c>
      <c r="B7820" s="2" t="s">
        <v>245</v>
      </c>
      <c r="C7820" s="3">
        <v>1978</v>
      </c>
      <c r="D7820" s="4">
        <v>12328157</v>
      </c>
    </row>
    <row r="7821" spans="1:4" x14ac:dyDescent="0.3">
      <c r="A7821" s="5" t="s">
        <v>244</v>
      </c>
      <c r="B7821" s="5" t="s">
        <v>245</v>
      </c>
      <c r="C7821" s="6">
        <v>1979</v>
      </c>
      <c r="D7821" s="7">
        <v>12627862</v>
      </c>
    </row>
    <row r="7822" spans="1:4" x14ac:dyDescent="0.3">
      <c r="A7822" s="2" t="s">
        <v>244</v>
      </c>
      <c r="B7822" s="2" t="s">
        <v>245</v>
      </c>
      <c r="C7822" s="3">
        <v>1980</v>
      </c>
      <c r="D7822" s="4">
        <v>12983363</v>
      </c>
    </row>
    <row r="7823" spans="1:4" x14ac:dyDescent="0.3">
      <c r="A7823" s="5" t="s">
        <v>244</v>
      </c>
      <c r="B7823" s="5" t="s">
        <v>245</v>
      </c>
      <c r="C7823" s="6">
        <v>1981</v>
      </c>
      <c r="D7823" s="7">
        <v>13399203</v>
      </c>
    </row>
    <row r="7824" spans="1:4" x14ac:dyDescent="0.3">
      <c r="A7824" s="2" t="s">
        <v>244</v>
      </c>
      <c r="B7824" s="2" t="s">
        <v>245</v>
      </c>
      <c r="C7824" s="3">
        <v>1982</v>
      </c>
      <c r="D7824" s="4">
        <v>13832798</v>
      </c>
    </row>
    <row r="7825" spans="1:4" x14ac:dyDescent="0.3">
      <c r="A7825" s="5" t="s">
        <v>244</v>
      </c>
      <c r="B7825" s="5" t="s">
        <v>245</v>
      </c>
      <c r="C7825" s="6">
        <v>1983</v>
      </c>
      <c r="D7825" s="7">
        <v>14285907</v>
      </c>
    </row>
    <row r="7826" spans="1:4" x14ac:dyDescent="0.3">
      <c r="A7826" s="2" t="s">
        <v>244</v>
      </c>
      <c r="B7826" s="2" t="s">
        <v>245</v>
      </c>
      <c r="C7826" s="3">
        <v>1984</v>
      </c>
      <c r="D7826" s="4">
        <v>14759009</v>
      </c>
    </row>
    <row r="7827" spans="1:4" x14ac:dyDescent="0.3">
      <c r="A7827" s="5" t="s">
        <v>244</v>
      </c>
      <c r="B7827" s="5" t="s">
        <v>245</v>
      </c>
      <c r="C7827" s="6">
        <v>1985</v>
      </c>
      <c r="D7827" s="7">
        <v>15252258</v>
      </c>
    </row>
    <row r="7828" spans="1:4" x14ac:dyDescent="0.3">
      <c r="A7828" s="2" t="s">
        <v>244</v>
      </c>
      <c r="B7828" s="2" t="s">
        <v>245</v>
      </c>
      <c r="C7828" s="3">
        <v>1986</v>
      </c>
      <c r="D7828" s="4">
        <v>15760419</v>
      </c>
    </row>
    <row r="7829" spans="1:4" x14ac:dyDescent="0.3">
      <c r="A7829" s="5" t="s">
        <v>244</v>
      </c>
      <c r="B7829" s="5" t="s">
        <v>245</v>
      </c>
      <c r="C7829" s="6">
        <v>1987</v>
      </c>
      <c r="D7829" s="7">
        <v>16276737</v>
      </c>
    </row>
    <row r="7830" spans="1:4" x14ac:dyDescent="0.3">
      <c r="A7830" s="2" t="s">
        <v>244</v>
      </c>
      <c r="B7830" s="2" t="s">
        <v>245</v>
      </c>
      <c r="C7830" s="3">
        <v>1988</v>
      </c>
      <c r="D7830" s="4">
        <v>16796605</v>
      </c>
    </row>
    <row r="7831" spans="1:4" x14ac:dyDescent="0.3">
      <c r="A7831" s="5" t="s">
        <v>244</v>
      </c>
      <c r="B7831" s="5" t="s">
        <v>245</v>
      </c>
      <c r="C7831" s="6">
        <v>1989</v>
      </c>
      <c r="D7831" s="7">
        <v>17314997</v>
      </c>
    </row>
    <row r="7832" spans="1:4" x14ac:dyDescent="0.3">
      <c r="A7832" s="2" t="s">
        <v>244</v>
      </c>
      <c r="B7832" s="2" t="s">
        <v>245</v>
      </c>
      <c r="C7832" s="3">
        <v>1990</v>
      </c>
      <c r="D7832" s="4">
        <v>17833171</v>
      </c>
    </row>
    <row r="7833" spans="1:4" x14ac:dyDescent="0.3">
      <c r="A7833" s="5" t="s">
        <v>244</v>
      </c>
      <c r="B7833" s="5" t="s">
        <v>245</v>
      </c>
      <c r="C7833" s="6">
        <v>1991</v>
      </c>
      <c r="D7833" s="7">
        <v>18342464</v>
      </c>
    </row>
    <row r="7834" spans="1:4" x14ac:dyDescent="0.3">
      <c r="A7834" s="2" t="s">
        <v>244</v>
      </c>
      <c r="B7834" s="2" t="s">
        <v>245</v>
      </c>
      <c r="C7834" s="3">
        <v>1992</v>
      </c>
      <c r="D7834" s="4">
        <v>18834572</v>
      </c>
    </row>
    <row r="7835" spans="1:4" x14ac:dyDescent="0.3">
      <c r="A7835" s="5" t="s">
        <v>244</v>
      </c>
      <c r="B7835" s="5" t="s">
        <v>245</v>
      </c>
      <c r="C7835" s="6">
        <v>1993</v>
      </c>
      <c r="D7835" s="7">
        <v>19322664</v>
      </c>
    </row>
    <row r="7836" spans="1:4" x14ac:dyDescent="0.3">
      <c r="A7836" s="2" t="s">
        <v>244</v>
      </c>
      <c r="B7836" s="2" t="s">
        <v>245</v>
      </c>
      <c r="C7836" s="3">
        <v>1994</v>
      </c>
      <c r="D7836" s="4">
        <v>19820446</v>
      </c>
    </row>
    <row r="7837" spans="1:4" x14ac:dyDescent="0.3">
      <c r="A7837" s="5" t="s">
        <v>244</v>
      </c>
      <c r="B7837" s="5" t="s">
        <v>245</v>
      </c>
      <c r="C7837" s="6">
        <v>1995</v>
      </c>
      <c r="D7837" s="7">
        <v>20330599</v>
      </c>
    </row>
    <row r="7838" spans="1:4" x14ac:dyDescent="0.3">
      <c r="A7838" s="2" t="s">
        <v>244</v>
      </c>
      <c r="B7838" s="2" t="s">
        <v>245</v>
      </c>
      <c r="C7838" s="3">
        <v>1996</v>
      </c>
      <c r="D7838" s="4">
        <v>20850087</v>
      </c>
    </row>
    <row r="7839" spans="1:4" x14ac:dyDescent="0.3">
      <c r="A7839" s="5" t="s">
        <v>244</v>
      </c>
      <c r="B7839" s="5" t="s">
        <v>245</v>
      </c>
      <c r="C7839" s="6">
        <v>1997</v>
      </c>
      <c r="D7839" s="7">
        <v>21375218</v>
      </c>
    </row>
    <row r="7840" spans="1:4" x14ac:dyDescent="0.3">
      <c r="A7840" s="2" t="s">
        <v>244</v>
      </c>
      <c r="B7840" s="2" t="s">
        <v>245</v>
      </c>
      <c r="C7840" s="3">
        <v>1998</v>
      </c>
      <c r="D7840" s="4">
        <v>21906713</v>
      </c>
    </row>
    <row r="7841" spans="1:4" x14ac:dyDescent="0.3">
      <c r="A7841" s="5" t="s">
        <v>244</v>
      </c>
      <c r="B7841" s="5" t="s">
        <v>245</v>
      </c>
      <c r="C7841" s="6">
        <v>1999</v>
      </c>
      <c r="D7841" s="7">
        <v>22435531</v>
      </c>
    </row>
    <row r="7842" spans="1:4" x14ac:dyDescent="0.3">
      <c r="A7842" s="2" t="s">
        <v>244</v>
      </c>
      <c r="B7842" s="2" t="s">
        <v>245</v>
      </c>
      <c r="C7842" s="3">
        <v>2000</v>
      </c>
      <c r="D7842" s="4">
        <v>22967816</v>
      </c>
    </row>
    <row r="7843" spans="1:4" x14ac:dyDescent="0.3">
      <c r="A7843" s="5" t="s">
        <v>244</v>
      </c>
      <c r="B7843" s="5" t="s">
        <v>245</v>
      </c>
      <c r="C7843" s="6">
        <v>2001</v>
      </c>
      <c r="D7843" s="7">
        <v>23526538</v>
      </c>
    </row>
    <row r="7844" spans="1:4" x14ac:dyDescent="0.3">
      <c r="A7844" s="2" t="s">
        <v>244</v>
      </c>
      <c r="B7844" s="2" t="s">
        <v>245</v>
      </c>
      <c r="C7844" s="3">
        <v>2002</v>
      </c>
      <c r="D7844" s="4">
        <v>24102477</v>
      </c>
    </row>
    <row r="7845" spans="1:4" x14ac:dyDescent="0.3">
      <c r="A7845" s="5" t="s">
        <v>244</v>
      </c>
      <c r="B7845" s="5" t="s">
        <v>245</v>
      </c>
      <c r="C7845" s="6">
        <v>2003</v>
      </c>
      <c r="D7845" s="7">
        <v>24679602</v>
      </c>
    </row>
    <row r="7846" spans="1:4" x14ac:dyDescent="0.3">
      <c r="A7846" s="2" t="s">
        <v>244</v>
      </c>
      <c r="B7846" s="2" t="s">
        <v>245</v>
      </c>
      <c r="C7846" s="3">
        <v>2004</v>
      </c>
      <c r="D7846" s="4">
        <v>25256772</v>
      </c>
    </row>
    <row r="7847" spans="1:4" x14ac:dyDescent="0.3">
      <c r="A7847" s="5" t="s">
        <v>244</v>
      </c>
      <c r="B7847" s="5" t="s">
        <v>245</v>
      </c>
      <c r="C7847" s="6">
        <v>2005</v>
      </c>
      <c r="D7847" s="7">
        <v>25836071</v>
      </c>
    </row>
    <row r="7848" spans="1:4" x14ac:dyDescent="0.3">
      <c r="A7848" s="2" t="s">
        <v>244</v>
      </c>
      <c r="B7848" s="2" t="s">
        <v>245</v>
      </c>
      <c r="C7848" s="3">
        <v>2006</v>
      </c>
      <c r="D7848" s="4">
        <v>26417909</v>
      </c>
    </row>
    <row r="7849" spans="1:4" x14ac:dyDescent="0.3">
      <c r="A7849" s="5" t="s">
        <v>244</v>
      </c>
      <c r="B7849" s="5" t="s">
        <v>245</v>
      </c>
      <c r="C7849" s="6">
        <v>2007</v>
      </c>
      <c r="D7849" s="7">
        <v>26998389</v>
      </c>
    </row>
    <row r="7850" spans="1:4" x14ac:dyDescent="0.3">
      <c r="A7850" s="2" t="s">
        <v>244</v>
      </c>
      <c r="B7850" s="2" t="s">
        <v>245</v>
      </c>
      <c r="C7850" s="3">
        <v>2008</v>
      </c>
      <c r="D7850" s="4">
        <v>27570059</v>
      </c>
    </row>
    <row r="7851" spans="1:4" x14ac:dyDescent="0.3">
      <c r="A7851" s="5" t="s">
        <v>244</v>
      </c>
      <c r="B7851" s="5" t="s">
        <v>245</v>
      </c>
      <c r="C7851" s="6">
        <v>2009</v>
      </c>
      <c r="D7851" s="7">
        <v>28124778</v>
      </c>
    </row>
    <row r="7852" spans="1:4" x14ac:dyDescent="0.3">
      <c r="A7852" s="2" t="s">
        <v>244</v>
      </c>
      <c r="B7852" s="2" t="s">
        <v>245</v>
      </c>
      <c r="C7852" s="3">
        <v>2010</v>
      </c>
      <c r="D7852" s="4">
        <v>28655776</v>
      </c>
    </row>
    <row r="7853" spans="1:4" x14ac:dyDescent="0.3">
      <c r="A7853" s="5" t="s">
        <v>244</v>
      </c>
      <c r="B7853" s="5" t="s">
        <v>245</v>
      </c>
      <c r="C7853" s="6">
        <v>2011</v>
      </c>
      <c r="D7853" s="7">
        <v>29162039</v>
      </c>
    </row>
    <row r="7854" spans="1:4" x14ac:dyDescent="0.3">
      <c r="A7854" s="2" t="s">
        <v>244</v>
      </c>
      <c r="B7854" s="2" t="s">
        <v>245</v>
      </c>
      <c r="C7854" s="3">
        <v>2012</v>
      </c>
      <c r="D7854" s="4">
        <v>29662831</v>
      </c>
    </row>
    <row r="7855" spans="1:4" x14ac:dyDescent="0.3">
      <c r="A7855" s="5" t="s">
        <v>244</v>
      </c>
      <c r="B7855" s="5" t="s">
        <v>245</v>
      </c>
      <c r="C7855" s="6">
        <v>2013</v>
      </c>
      <c r="D7855" s="7">
        <v>30174265</v>
      </c>
    </row>
    <row r="7856" spans="1:4" x14ac:dyDescent="0.3">
      <c r="A7856" s="2" t="s">
        <v>244</v>
      </c>
      <c r="B7856" s="2" t="s">
        <v>245</v>
      </c>
      <c r="C7856" s="3">
        <v>2014</v>
      </c>
      <c r="D7856" s="4">
        <v>30696137</v>
      </c>
    </row>
    <row r="7857" spans="1:4" x14ac:dyDescent="0.3">
      <c r="A7857" s="5" t="s">
        <v>244</v>
      </c>
      <c r="B7857" s="5" t="s">
        <v>245</v>
      </c>
      <c r="C7857" s="6">
        <v>2015</v>
      </c>
      <c r="D7857" s="7">
        <v>31232798</v>
      </c>
    </row>
    <row r="7858" spans="1:4" x14ac:dyDescent="0.3">
      <c r="A7858" s="2" t="s">
        <v>244</v>
      </c>
      <c r="B7858" s="2" t="s">
        <v>245</v>
      </c>
      <c r="C7858" s="3">
        <v>2016</v>
      </c>
      <c r="D7858" s="4">
        <v>31789685</v>
      </c>
    </row>
    <row r="7859" spans="1:4" x14ac:dyDescent="0.3">
      <c r="A7859" s="5" t="s">
        <v>244</v>
      </c>
      <c r="B7859" s="5" t="s">
        <v>245</v>
      </c>
      <c r="C7859" s="6">
        <v>2017</v>
      </c>
      <c r="D7859" s="7">
        <v>32355644</v>
      </c>
    </row>
    <row r="7860" spans="1:4" x14ac:dyDescent="0.3">
      <c r="A7860" s="2" t="s">
        <v>244</v>
      </c>
      <c r="B7860" s="2" t="s">
        <v>245</v>
      </c>
      <c r="C7860" s="3">
        <v>2018</v>
      </c>
      <c r="D7860" s="4">
        <v>32910967</v>
      </c>
    </row>
    <row r="7861" spans="1:4" x14ac:dyDescent="0.3">
      <c r="A7861" s="5" t="s">
        <v>244</v>
      </c>
      <c r="B7861" s="5" t="s">
        <v>245</v>
      </c>
      <c r="C7861" s="6">
        <v>2019</v>
      </c>
      <c r="D7861" s="7">
        <v>33440596</v>
      </c>
    </row>
    <row r="7862" spans="1:4" x14ac:dyDescent="0.3">
      <c r="A7862" s="2" t="s">
        <v>244</v>
      </c>
      <c r="B7862" s="2" t="s">
        <v>245</v>
      </c>
      <c r="C7862" s="3">
        <v>2020</v>
      </c>
      <c r="D7862" s="4">
        <v>33889558</v>
      </c>
    </row>
    <row r="7863" spans="1:4" x14ac:dyDescent="0.3">
      <c r="A7863" s="5" t="s">
        <v>244</v>
      </c>
      <c r="B7863" s="5" t="s">
        <v>245</v>
      </c>
      <c r="C7863" s="6">
        <v>2021</v>
      </c>
      <c r="D7863" s="7">
        <v>34282399</v>
      </c>
    </row>
    <row r="7864" spans="1:4" x14ac:dyDescent="0.3">
      <c r="A7864" s="2" t="s">
        <v>244</v>
      </c>
      <c r="B7864" s="2" t="s">
        <v>245</v>
      </c>
      <c r="C7864" s="3">
        <v>2022</v>
      </c>
      <c r="D7864" s="4">
        <v>34695493</v>
      </c>
    </row>
    <row r="7865" spans="1:4" x14ac:dyDescent="0.3">
      <c r="A7865" s="5" t="s">
        <v>244</v>
      </c>
      <c r="B7865" s="5" t="s">
        <v>245</v>
      </c>
      <c r="C7865" s="6">
        <v>2023</v>
      </c>
      <c r="D7865" s="7">
        <v>35126298</v>
      </c>
    </row>
    <row r="7866" spans="1:4" x14ac:dyDescent="0.3">
      <c r="A7866" s="2" t="s">
        <v>244</v>
      </c>
      <c r="B7866" s="2" t="s">
        <v>245</v>
      </c>
      <c r="C7866" s="3">
        <v>2024</v>
      </c>
      <c r="D7866" s="4">
        <v>35557673</v>
      </c>
    </row>
    <row r="7867" spans="1:4" x14ac:dyDescent="0.3">
      <c r="A7867" s="5" t="s">
        <v>246</v>
      </c>
      <c r="B7867" s="5" t="s">
        <v>247</v>
      </c>
      <c r="C7867" s="6">
        <v>1960</v>
      </c>
      <c r="D7867" s="7">
        <v>91189</v>
      </c>
    </row>
    <row r="7868" spans="1:4" x14ac:dyDescent="0.3">
      <c r="A7868" s="2" t="s">
        <v>246</v>
      </c>
      <c r="B7868" s="2" t="s">
        <v>247</v>
      </c>
      <c r="C7868" s="3">
        <v>1961</v>
      </c>
      <c r="D7868" s="4">
        <v>93450</v>
      </c>
    </row>
    <row r="7869" spans="1:4" x14ac:dyDescent="0.3">
      <c r="A7869" s="5" t="s">
        <v>246</v>
      </c>
      <c r="B7869" s="5" t="s">
        <v>247</v>
      </c>
      <c r="C7869" s="6">
        <v>1962</v>
      </c>
      <c r="D7869" s="7">
        <v>95802</v>
      </c>
    </row>
    <row r="7870" spans="1:4" x14ac:dyDescent="0.3">
      <c r="A7870" s="2" t="s">
        <v>246</v>
      </c>
      <c r="B7870" s="2" t="s">
        <v>247</v>
      </c>
      <c r="C7870" s="3">
        <v>1963</v>
      </c>
      <c r="D7870" s="4">
        <v>98222</v>
      </c>
    </row>
    <row r="7871" spans="1:4" x14ac:dyDescent="0.3">
      <c r="A7871" s="5" t="s">
        <v>246</v>
      </c>
      <c r="B7871" s="5" t="s">
        <v>247</v>
      </c>
      <c r="C7871" s="6">
        <v>1964</v>
      </c>
      <c r="D7871" s="7">
        <v>100662</v>
      </c>
    </row>
    <row r="7872" spans="1:4" x14ac:dyDescent="0.3">
      <c r="A7872" s="2" t="s">
        <v>246</v>
      </c>
      <c r="B7872" s="2" t="s">
        <v>247</v>
      </c>
      <c r="C7872" s="3">
        <v>1965</v>
      </c>
      <c r="D7872" s="4">
        <v>104102</v>
      </c>
    </row>
    <row r="7873" spans="1:4" x14ac:dyDescent="0.3">
      <c r="A7873" s="5" t="s">
        <v>246</v>
      </c>
      <c r="B7873" s="5" t="s">
        <v>247</v>
      </c>
      <c r="C7873" s="6">
        <v>1966</v>
      </c>
      <c r="D7873" s="7">
        <v>108507</v>
      </c>
    </row>
    <row r="7874" spans="1:4" x14ac:dyDescent="0.3">
      <c r="A7874" s="2" t="s">
        <v>246</v>
      </c>
      <c r="B7874" s="2" t="s">
        <v>247</v>
      </c>
      <c r="C7874" s="3">
        <v>1967</v>
      </c>
      <c r="D7874" s="4">
        <v>112528</v>
      </c>
    </row>
    <row r="7875" spans="1:4" x14ac:dyDescent="0.3">
      <c r="A7875" s="5" t="s">
        <v>246</v>
      </c>
      <c r="B7875" s="5" t="s">
        <v>247</v>
      </c>
      <c r="C7875" s="6">
        <v>1968</v>
      </c>
      <c r="D7875" s="7">
        <v>116075</v>
      </c>
    </row>
    <row r="7876" spans="1:4" x14ac:dyDescent="0.3">
      <c r="A7876" s="2" t="s">
        <v>246</v>
      </c>
      <c r="B7876" s="2" t="s">
        <v>247</v>
      </c>
      <c r="C7876" s="3">
        <v>1969</v>
      </c>
      <c r="D7876" s="4">
        <v>119564</v>
      </c>
    </row>
    <row r="7877" spans="1:4" x14ac:dyDescent="0.3">
      <c r="A7877" s="5" t="s">
        <v>246</v>
      </c>
      <c r="B7877" s="5" t="s">
        <v>247</v>
      </c>
      <c r="C7877" s="6">
        <v>1970</v>
      </c>
      <c r="D7877" s="7">
        <v>123219</v>
      </c>
    </row>
    <row r="7878" spans="1:4" x14ac:dyDescent="0.3">
      <c r="A7878" s="2" t="s">
        <v>246</v>
      </c>
      <c r="B7878" s="2" t="s">
        <v>247</v>
      </c>
      <c r="C7878" s="3">
        <v>1971</v>
      </c>
      <c r="D7878" s="4">
        <v>127035</v>
      </c>
    </row>
    <row r="7879" spans="1:4" x14ac:dyDescent="0.3">
      <c r="A7879" s="5" t="s">
        <v>246</v>
      </c>
      <c r="B7879" s="5" t="s">
        <v>247</v>
      </c>
      <c r="C7879" s="6">
        <v>1972</v>
      </c>
      <c r="D7879" s="7">
        <v>130968</v>
      </c>
    </row>
    <row r="7880" spans="1:4" x14ac:dyDescent="0.3">
      <c r="A7880" s="2" t="s">
        <v>246</v>
      </c>
      <c r="B7880" s="2" t="s">
        <v>247</v>
      </c>
      <c r="C7880" s="3">
        <v>1973</v>
      </c>
      <c r="D7880" s="4">
        <v>134952</v>
      </c>
    </row>
    <row r="7881" spans="1:4" x14ac:dyDescent="0.3">
      <c r="A7881" s="5" t="s">
        <v>246</v>
      </c>
      <c r="B7881" s="5" t="s">
        <v>247</v>
      </c>
      <c r="C7881" s="6">
        <v>1974</v>
      </c>
      <c r="D7881" s="7">
        <v>138978</v>
      </c>
    </row>
    <row r="7882" spans="1:4" x14ac:dyDescent="0.3">
      <c r="A7882" s="2" t="s">
        <v>246</v>
      </c>
      <c r="B7882" s="2" t="s">
        <v>247</v>
      </c>
      <c r="C7882" s="3">
        <v>1975</v>
      </c>
      <c r="D7882" s="4">
        <v>143158</v>
      </c>
    </row>
    <row r="7883" spans="1:4" x14ac:dyDescent="0.3">
      <c r="A7883" s="5" t="s">
        <v>246</v>
      </c>
      <c r="B7883" s="5" t="s">
        <v>247</v>
      </c>
      <c r="C7883" s="6">
        <v>1976</v>
      </c>
      <c r="D7883" s="7">
        <v>147525</v>
      </c>
    </row>
    <row r="7884" spans="1:4" x14ac:dyDescent="0.3">
      <c r="A7884" s="2" t="s">
        <v>246</v>
      </c>
      <c r="B7884" s="2" t="s">
        <v>247</v>
      </c>
      <c r="C7884" s="3">
        <v>1977</v>
      </c>
      <c r="D7884" s="4">
        <v>151930</v>
      </c>
    </row>
    <row r="7885" spans="1:4" x14ac:dyDescent="0.3">
      <c r="A7885" s="5" t="s">
        <v>246</v>
      </c>
      <c r="B7885" s="5" t="s">
        <v>247</v>
      </c>
      <c r="C7885" s="6">
        <v>1978</v>
      </c>
      <c r="D7885" s="7">
        <v>156159</v>
      </c>
    </row>
    <row r="7886" spans="1:4" x14ac:dyDescent="0.3">
      <c r="A7886" s="2" t="s">
        <v>246</v>
      </c>
      <c r="B7886" s="2" t="s">
        <v>247</v>
      </c>
      <c r="C7886" s="3">
        <v>1979</v>
      </c>
      <c r="D7886" s="4">
        <v>160360</v>
      </c>
    </row>
    <row r="7887" spans="1:4" x14ac:dyDescent="0.3">
      <c r="A7887" s="5" t="s">
        <v>246</v>
      </c>
      <c r="B7887" s="5" t="s">
        <v>247</v>
      </c>
      <c r="C7887" s="6">
        <v>1980</v>
      </c>
      <c r="D7887" s="7">
        <v>164835</v>
      </c>
    </row>
    <row r="7888" spans="1:4" x14ac:dyDescent="0.3">
      <c r="A7888" s="2" t="s">
        <v>246</v>
      </c>
      <c r="B7888" s="2" t="s">
        <v>247</v>
      </c>
      <c r="C7888" s="3">
        <v>1981</v>
      </c>
      <c r="D7888" s="4">
        <v>169532</v>
      </c>
    </row>
    <row r="7889" spans="1:4" x14ac:dyDescent="0.3">
      <c r="A7889" s="5" t="s">
        <v>246</v>
      </c>
      <c r="B7889" s="5" t="s">
        <v>247</v>
      </c>
      <c r="C7889" s="6">
        <v>1982</v>
      </c>
      <c r="D7889" s="7">
        <v>174333</v>
      </c>
    </row>
    <row r="7890" spans="1:4" x14ac:dyDescent="0.3">
      <c r="A7890" s="2" t="s">
        <v>246</v>
      </c>
      <c r="B7890" s="2" t="s">
        <v>247</v>
      </c>
      <c r="C7890" s="3">
        <v>1983</v>
      </c>
      <c r="D7890" s="4">
        <v>179128</v>
      </c>
    </row>
    <row r="7891" spans="1:4" x14ac:dyDescent="0.3">
      <c r="A7891" s="5" t="s">
        <v>246</v>
      </c>
      <c r="B7891" s="5" t="s">
        <v>247</v>
      </c>
      <c r="C7891" s="6">
        <v>1984</v>
      </c>
      <c r="D7891" s="7">
        <v>184198</v>
      </c>
    </row>
    <row r="7892" spans="1:4" x14ac:dyDescent="0.3">
      <c r="A7892" s="2" t="s">
        <v>246</v>
      </c>
      <c r="B7892" s="2" t="s">
        <v>247</v>
      </c>
      <c r="C7892" s="3">
        <v>1985</v>
      </c>
      <c r="D7892" s="4">
        <v>190169</v>
      </c>
    </row>
    <row r="7893" spans="1:4" x14ac:dyDescent="0.3">
      <c r="A7893" s="5" t="s">
        <v>246</v>
      </c>
      <c r="B7893" s="5" t="s">
        <v>247</v>
      </c>
      <c r="C7893" s="6">
        <v>1986</v>
      </c>
      <c r="D7893" s="7">
        <v>196935</v>
      </c>
    </row>
    <row r="7894" spans="1:4" x14ac:dyDescent="0.3">
      <c r="A7894" s="2" t="s">
        <v>246</v>
      </c>
      <c r="B7894" s="2" t="s">
        <v>247</v>
      </c>
      <c r="C7894" s="3">
        <v>1987</v>
      </c>
      <c r="D7894" s="4">
        <v>203944</v>
      </c>
    </row>
    <row r="7895" spans="1:4" x14ac:dyDescent="0.3">
      <c r="A7895" s="5" t="s">
        <v>246</v>
      </c>
      <c r="B7895" s="5" t="s">
        <v>247</v>
      </c>
      <c r="C7895" s="6">
        <v>1988</v>
      </c>
      <c r="D7895" s="7">
        <v>210885</v>
      </c>
    </row>
    <row r="7896" spans="1:4" x14ac:dyDescent="0.3">
      <c r="A7896" s="2" t="s">
        <v>246</v>
      </c>
      <c r="B7896" s="2" t="s">
        <v>247</v>
      </c>
      <c r="C7896" s="3">
        <v>1989</v>
      </c>
      <c r="D7896" s="4">
        <v>217738</v>
      </c>
    </row>
    <row r="7897" spans="1:4" x14ac:dyDescent="0.3">
      <c r="A7897" s="5" t="s">
        <v>246</v>
      </c>
      <c r="B7897" s="5" t="s">
        <v>247</v>
      </c>
      <c r="C7897" s="6">
        <v>1990</v>
      </c>
      <c r="D7897" s="7">
        <v>224762</v>
      </c>
    </row>
    <row r="7898" spans="1:4" x14ac:dyDescent="0.3">
      <c r="A7898" s="2" t="s">
        <v>246</v>
      </c>
      <c r="B7898" s="2" t="s">
        <v>247</v>
      </c>
      <c r="C7898" s="3">
        <v>1991</v>
      </c>
      <c r="D7898" s="4">
        <v>231802</v>
      </c>
    </row>
    <row r="7899" spans="1:4" x14ac:dyDescent="0.3">
      <c r="A7899" s="5" t="s">
        <v>246</v>
      </c>
      <c r="B7899" s="5" t="s">
        <v>247</v>
      </c>
      <c r="C7899" s="6">
        <v>1992</v>
      </c>
      <c r="D7899" s="7">
        <v>238543</v>
      </c>
    </row>
    <row r="7900" spans="1:4" x14ac:dyDescent="0.3">
      <c r="A7900" s="2" t="s">
        <v>246</v>
      </c>
      <c r="B7900" s="2" t="s">
        <v>247</v>
      </c>
      <c r="C7900" s="3">
        <v>1993</v>
      </c>
      <c r="D7900" s="4">
        <v>244884</v>
      </c>
    </row>
    <row r="7901" spans="1:4" x14ac:dyDescent="0.3">
      <c r="A7901" s="5" t="s">
        <v>246</v>
      </c>
      <c r="B7901" s="5" t="s">
        <v>247</v>
      </c>
      <c r="C7901" s="6">
        <v>1994</v>
      </c>
      <c r="D7901" s="7">
        <v>250822</v>
      </c>
    </row>
    <row r="7902" spans="1:4" x14ac:dyDescent="0.3">
      <c r="A7902" s="2" t="s">
        <v>246</v>
      </c>
      <c r="B7902" s="2" t="s">
        <v>247</v>
      </c>
      <c r="C7902" s="3">
        <v>1995</v>
      </c>
      <c r="D7902" s="4">
        <v>256649</v>
      </c>
    </row>
    <row r="7903" spans="1:4" x14ac:dyDescent="0.3">
      <c r="A7903" s="5" t="s">
        <v>246</v>
      </c>
      <c r="B7903" s="5" t="s">
        <v>247</v>
      </c>
      <c r="C7903" s="6">
        <v>1996</v>
      </c>
      <c r="D7903" s="7">
        <v>262347</v>
      </c>
    </row>
    <row r="7904" spans="1:4" x14ac:dyDescent="0.3">
      <c r="A7904" s="2" t="s">
        <v>246</v>
      </c>
      <c r="B7904" s="2" t="s">
        <v>247</v>
      </c>
      <c r="C7904" s="3">
        <v>1997</v>
      </c>
      <c r="D7904" s="4">
        <v>267707</v>
      </c>
    </row>
    <row r="7905" spans="1:4" x14ac:dyDescent="0.3">
      <c r="A7905" s="5" t="s">
        <v>246</v>
      </c>
      <c r="B7905" s="5" t="s">
        <v>247</v>
      </c>
      <c r="C7905" s="6">
        <v>1998</v>
      </c>
      <c r="D7905" s="7">
        <v>272723</v>
      </c>
    </row>
    <row r="7906" spans="1:4" x14ac:dyDescent="0.3">
      <c r="A7906" s="2" t="s">
        <v>246</v>
      </c>
      <c r="B7906" s="2" t="s">
        <v>247</v>
      </c>
      <c r="C7906" s="3">
        <v>1999</v>
      </c>
      <c r="D7906" s="4">
        <v>277412</v>
      </c>
    </row>
    <row r="7907" spans="1:4" x14ac:dyDescent="0.3">
      <c r="A7907" s="5" t="s">
        <v>246</v>
      </c>
      <c r="B7907" s="5" t="s">
        <v>247</v>
      </c>
      <c r="C7907" s="6">
        <v>2000</v>
      </c>
      <c r="D7907" s="7">
        <v>282019</v>
      </c>
    </row>
    <row r="7908" spans="1:4" x14ac:dyDescent="0.3">
      <c r="A7908" s="2" t="s">
        <v>246</v>
      </c>
      <c r="B7908" s="2" t="s">
        <v>247</v>
      </c>
      <c r="C7908" s="3">
        <v>2001</v>
      </c>
      <c r="D7908" s="4">
        <v>286767</v>
      </c>
    </row>
    <row r="7909" spans="1:4" x14ac:dyDescent="0.3">
      <c r="A7909" s="5" t="s">
        <v>246</v>
      </c>
      <c r="B7909" s="5" t="s">
        <v>247</v>
      </c>
      <c r="C7909" s="6">
        <v>2002</v>
      </c>
      <c r="D7909" s="7">
        <v>291616</v>
      </c>
    </row>
    <row r="7910" spans="1:4" x14ac:dyDescent="0.3">
      <c r="A7910" s="2" t="s">
        <v>246</v>
      </c>
      <c r="B7910" s="2" t="s">
        <v>247</v>
      </c>
      <c r="C7910" s="3">
        <v>2003</v>
      </c>
      <c r="D7910" s="4">
        <v>296491</v>
      </c>
    </row>
    <row r="7911" spans="1:4" x14ac:dyDescent="0.3">
      <c r="A7911" s="5" t="s">
        <v>246</v>
      </c>
      <c r="B7911" s="5" t="s">
        <v>247</v>
      </c>
      <c r="C7911" s="6">
        <v>2004</v>
      </c>
      <c r="D7911" s="7">
        <v>301413</v>
      </c>
    </row>
    <row r="7912" spans="1:4" x14ac:dyDescent="0.3">
      <c r="A7912" s="2" t="s">
        <v>246</v>
      </c>
      <c r="B7912" s="2" t="s">
        <v>247</v>
      </c>
      <c r="C7912" s="3">
        <v>2005</v>
      </c>
      <c r="D7912" s="4">
        <v>306429</v>
      </c>
    </row>
    <row r="7913" spans="1:4" x14ac:dyDescent="0.3">
      <c r="A7913" s="5" t="s">
        <v>246</v>
      </c>
      <c r="B7913" s="5" t="s">
        <v>247</v>
      </c>
      <c r="C7913" s="6">
        <v>2006</v>
      </c>
      <c r="D7913" s="7">
        <v>313851</v>
      </c>
    </row>
    <row r="7914" spans="1:4" x14ac:dyDescent="0.3">
      <c r="A7914" s="2" t="s">
        <v>246</v>
      </c>
      <c r="B7914" s="2" t="s">
        <v>247</v>
      </c>
      <c r="C7914" s="3">
        <v>2007</v>
      </c>
      <c r="D7914" s="4">
        <v>324479</v>
      </c>
    </row>
    <row r="7915" spans="1:4" x14ac:dyDescent="0.3">
      <c r="A7915" s="5" t="s">
        <v>246</v>
      </c>
      <c r="B7915" s="5" t="s">
        <v>247</v>
      </c>
      <c r="C7915" s="6">
        <v>2008</v>
      </c>
      <c r="D7915" s="7">
        <v>336170</v>
      </c>
    </row>
    <row r="7916" spans="1:4" x14ac:dyDescent="0.3">
      <c r="A7916" s="2" t="s">
        <v>246</v>
      </c>
      <c r="B7916" s="2" t="s">
        <v>247</v>
      </c>
      <c r="C7916" s="3">
        <v>2009</v>
      </c>
      <c r="D7916" s="4">
        <v>348275</v>
      </c>
    </row>
    <row r="7917" spans="1:4" x14ac:dyDescent="0.3">
      <c r="A7917" s="5" t="s">
        <v>246</v>
      </c>
      <c r="B7917" s="5" t="s">
        <v>247</v>
      </c>
      <c r="C7917" s="6">
        <v>2010</v>
      </c>
      <c r="D7917" s="7">
        <v>360792</v>
      </c>
    </row>
    <row r="7918" spans="1:4" x14ac:dyDescent="0.3">
      <c r="A7918" s="2" t="s">
        <v>246</v>
      </c>
      <c r="B7918" s="2" t="s">
        <v>247</v>
      </c>
      <c r="C7918" s="3">
        <v>2011</v>
      </c>
      <c r="D7918" s="4">
        <v>373674</v>
      </c>
    </row>
    <row r="7919" spans="1:4" x14ac:dyDescent="0.3">
      <c r="A7919" s="5" t="s">
        <v>246</v>
      </c>
      <c r="B7919" s="5" t="s">
        <v>247</v>
      </c>
      <c r="C7919" s="6">
        <v>2012</v>
      </c>
      <c r="D7919" s="7">
        <v>386818</v>
      </c>
    </row>
    <row r="7920" spans="1:4" x14ac:dyDescent="0.3">
      <c r="A7920" s="2" t="s">
        <v>246</v>
      </c>
      <c r="B7920" s="2" t="s">
        <v>247</v>
      </c>
      <c r="C7920" s="3">
        <v>2013</v>
      </c>
      <c r="D7920" s="4">
        <v>400070</v>
      </c>
    </row>
    <row r="7921" spans="1:4" x14ac:dyDescent="0.3">
      <c r="A7921" s="5" t="s">
        <v>246</v>
      </c>
      <c r="B7921" s="5" t="s">
        <v>247</v>
      </c>
      <c r="C7921" s="6">
        <v>2014</v>
      </c>
      <c r="D7921" s="7">
        <v>413617</v>
      </c>
    </row>
    <row r="7922" spans="1:4" x14ac:dyDescent="0.3">
      <c r="A7922" s="2" t="s">
        <v>246</v>
      </c>
      <c r="B7922" s="2" t="s">
        <v>247</v>
      </c>
      <c r="C7922" s="3">
        <v>2015</v>
      </c>
      <c r="D7922" s="4">
        <v>428154</v>
      </c>
    </row>
    <row r="7923" spans="1:4" x14ac:dyDescent="0.3">
      <c r="A7923" s="5" t="s">
        <v>246</v>
      </c>
      <c r="B7923" s="5" t="s">
        <v>247</v>
      </c>
      <c r="C7923" s="6">
        <v>2016</v>
      </c>
      <c r="D7923" s="7">
        <v>443308</v>
      </c>
    </row>
    <row r="7924" spans="1:4" x14ac:dyDescent="0.3">
      <c r="A7924" s="2" t="s">
        <v>246</v>
      </c>
      <c r="B7924" s="2" t="s">
        <v>247</v>
      </c>
      <c r="C7924" s="3">
        <v>2017</v>
      </c>
      <c r="D7924" s="4">
        <v>458287</v>
      </c>
    </row>
    <row r="7925" spans="1:4" x14ac:dyDescent="0.3">
      <c r="A7925" s="5" t="s">
        <v>246</v>
      </c>
      <c r="B7925" s="5" t="s">
        <v>247</v>
      </c>
      <c r="C7925" s="6">
        <v>2018</v>
      </c>
      <c r="D7925" s="7">
        <v>473099</v>
      </c>
    </row>
    <row r="7926" spans="1:4" x14ac:dyDescent="0.3">
      <c r="A7926" s="2" t="s">
        <v>246</v>
      </c>
      <c r="B7926" s="2" t="s">
        <v>247</v>
      </c>
      <c r="C7926" s="3">
        <v>2019</v>
      </c>
      <c r="D7926" s="4">
        <v>487731</v>
      </c>
    </row>
    <row r="7927" spans="1:4" x14ac:dyDescent="0.3">
      <c r="A7927" s="5" t="s">
        <v>246</v>
      </c>
      <c r="B7927" s="5" t="s">
        <v>247</v>
      </c>
      <c r="C7927" s="6">
        <v>2020</v>
      </c>
      <c r="D7927" s="7">
        <v>502118</v>
      </c>
    </row>
    <row r="7928" spans="1:4" x14ac:dyDescent="0.3">
      <c r="A7928" s="2" t="s">
        <v>246</v>
      </c>
      <c r="B7928" s="2" t="s">
        <v>247</v>
      </c>
      <c r="C7928" s="3">
        <v>2021</v>
      </c>
      <c r="D7928" s="4">
        <v>516154</v>
      </c>
    </row>
    <row r="7929" spans="1:4" x14ac:dyDescent="0.3">
      <c r="A7929" s="5" t="s">
        <v>246</v>
      </c>
      <c r="B7929" s="5" t="s">
        <v>247</v>
      </c>
      <c r="C7929" s="6">
        <v>2022</v>
      </c>
      <c r="D7929" s="7">
        <v>524106</v>
      </c>
    </row>
    <row r="7930" spans="1:4" x14ac:dyDescent="0.3">
      <c r="A7930" s="2" t="s">
        <v>246</v>
      </c>
      <c r="B7930" s="2" t="s">
        <v>247</v>
      </c>
      <c r="C7930" s="3">
        <v>2023</v>
      </c>
      <c r="D7930" s="4">
        <v>525994</v>
      </c>
    </row>
    <row r="7931" spans="1:4" x14ac:dyDescent="0.3">
      <c r="A7931" s="5" t="s">
        <v>246</v>
      </c>
      <c r="B7931" s="5" t="s">
        <v>247</v>
      </c>
      <c r="C7931" s="6">
        <v>2024</v>
      </c>
      <c r="D7931" s="7">
        <v>527799</v>
      </c>
    </row>
    <row r="7932" spans="1:4" x14ac:dyDescent="0.3">
      <c r="A7932" s="2" t="s">
        <v>248</v>
      </c>
      <c r="B7932" s="2" t="s">
        <v>249</v>
      </c>
      <c r="C7932" s="3">
        <v>1960</v>
      </c>
      <c r="D7932" s="4">
        <v>5402550</v>
      </c>
    </row>
    <row r="7933" spans="1:4" x14ac:dyDescent="0.3">
      <c r="A7933" s="5" t="s">
        <v>248</v>
      </c>
      <c r="B7933" s="5" t="s">
        <v>249</v>
      </c>
      <c r="C7933" s="6">
        <v>1961</v>
      </c>
      <c r="D7933" s="7">
        <v>5482283</v>
      </c>
    </row>
    <row r="7934" spans="1:4" x14ac:dyDescent="0.3">
      <c r="A7934" s="2" t="s">
        <v>248</v>
      </c>
      <c r="B7934" s="2" t="s">
        <v>249</v>
      </c>
      <c r="C7934" s="3">
        <v>1962</v>
      </c>
      <c r="D7934" s="4">
        <v>5563917</v>
      </c>
    </row>
    <row r="7935" spans="1:4" x14ac:dyDescent="0.3">
      <c r="A7935" s="5" t="s">
        <v>248</v>
      </c>
      <c r="B7935" s="5" t="s">
        <v>249</v>
      </c>
      <c r="C7935" s="6">
        <v>1963</v>
      </c>
      <c r="D7935" s="7">
        <v>5646605</v>
      </c>
    </row>
    <row r="7936" spans="1:4" x14ac:dyDescent="0.3">
      <c r="A7936" s="2" t="s">
        <v>248</v>
      </c>
      <c r="B7936" s="2" t="s">
        <v>249</v>
      </c>
      <c r="C7936" s="3">
        <v>1964</v>
      </c>
      <c r="D7936" s="4">
        <v>5730125</v>
      </c>
    </row>
    <row r="7937" spans="1:4" x14ac:dyDescent="0.3">
      <c r="A7937" s="5" t="s">
        <v>248</v>
      </c>
      <c r="B7937" s="5" t="s">
        <v>249</v>
      </c>
      <c r="C7937" s="6">
        <v>1965</v>
      </c>
      <c r="D7937" s="7">
        <v>5815487</v>
      </c>
    </row>
    <row r="7938" spans="1:4" x14ac:dyDescent="0.3">
      <c r="A7938" s="2" t="s">
        <v>248</v>
      </c>
      <c r="B7938" s="2" t="s">
        <v>249</v>
      </c>
      <c r="C7938" s="3">
        <v>1966</v>
      </c>
      <c r="D7938" s="4">
        <v>5902204</v>
      </c>
    </row>
    <row r="7939" spans="1:4" x14ac:dyDescent="0.3">
      <c r="A7939" s="5" t="s">
        <v>248</v>
      </c>
      <c r="B7939" s="5" t="s">
        <v>249</v>
      </c>
      <c r="C7939" s="6">
        <v>1967</v>
      </c>
      <c r="D7939" s="7">
        <v>5990906</v>
      </c>
    </row>
    <row r="7940" spans="1:4" x14ac:dyDescent="0.3">
      <c r="A7940" s="2" t="s">
        <v>248</v>
      </c>
      <c r="B7940" s="2" t="s">
        <v>249</v>
      </c>
      <c r="C7940" s="3">
        <v>1968</v>
      </c>
      <c r="D7940" s="4">
        <v>6082979</v>
      </c>
    </row>
    <row r="7941" spans="1:4" x14ac:dyDescent="0.3">
      <c r="A7941" s="5" t="s">
        <v>248</v>
      </c>
      <c r="B7941" s="5" t="s">
        <v>249</v>
      </c>
      <c r="C7941" s="6">
        <v>1969</v>
      </c>
      <c r="D7941" s="7">
        <v>6177704</v>
      </c>
    </row>
    <row r="7942" spans="1:4" x14ac:dyDescent="0.3">
      <c r="A7942" s="2" t="s">
        <v>248</v>
      </c>
      <c r="B7942" s="2" t="s">
        <v>249</v>
      </c>
      <c r="C7942" s="3">
        <v>1970</v>
      </c>
      <c r="D7942" s="4">
        <v>6276472</v>
      </c>
    </row>
    <row r="7943" spans="1:4" x14ac:dyDescent="0.3">
      <c r="A7943" s="5" t="s">
        <v>248</v>
      </c>
      <c r="B7943" s="5" t="s">
        <v>249</v>
      </c>
      <c r="C7943" s="6">
        <v>1971</v>
      </c>
      <c r="D7943" s="7">
        <v>6377944</v>
      </c>
    </row>
    <row r="7944" spans="1:4" x14ac:dyDescent="0.3">
      <c r="A7944" s="2" t="s">
        <v>248</v>
      </c>
      <c r="B7944" s="2" t="s">
        <v>249</v>
      </c>
      <c r="C7944" s="3">
        <v>1972</v>
      </c>
      <c r="D7944" s="4">
        <v>6483726</v>
      </c>
    </row>
    <row r="7945" spans="1:4" x14ac:dyDescent="0.3">
      <c r="A7945" s="5" t="s">
        <v>248</v>
      </c>
      <c r="B7945" s="5" t="s">
        <v>249</v>
      </c>
      <c r="C7945" s="6">
        <v>1973</v>
      </c>
      <c r="D7945" s="7">
        <v>6597106</v>
      </c>
    </row>
    <row r="7946" spans="1:4" x14ac:dyDescent="0.3">
      <c r="A7946" s="2" t="s">
        <v>248</v>
      </c>
      <c r="B7946" s="2" t="s">
        <v>249</v>
      </c>
      <c r="C7946" s="3">
        <v>1974</v>
      </c>
      <c r="D7946" s="4">
        <v>6715436</v>
      </c>
    </row>
    <row r="7947" spans="1:4" x14ac:dyDescent="0.3">
      <c r="A7947" s="5" t="s">
        <v>248</v>
      </c>
      <c r="B7947" s="5" t="s">
        <v>249</v>
      </c>
      <c r="C7947" s="6">
        <v>1975</v>
      </c>
      <c r="D7947" s="7">
        <v>6837261</v>
      </c>
    </row>
    <row r="7948" spans="1:4" x14ac:dyDescent="0.3">
      <c r="A7948" s="2" t="s">
        <v>248</v>
      </c>
      <c r="B7948" s="2" t="s">
        <v>249</v>
      </c>
      <c r="C7948" s="3">
        <v>1976</v>
      </c>
      <c r="D7948" s="4">
        <v>6960979</v>
      </c>
    </row>
    <row r="7949" spans="1:4" x14ac:dyDescent="0.3">
      <c r="A7949" s="5" t="s">
        <v>248</v>
      </c>
      <c r="B7949" s="5" t="s">
        <v>249</v>
      </c>
      <c r="C7949" s="6">
        <v>1977</v>
      </c>
      <c r="D7949" s="7">
        <v>7090979</v>
      </c>
    </row>
    <row r="7950" spans="1:4" x14ac:dyDescent="0.3">
      <c r="A7950" s="2" t="s">
        <v>248</v>
      </c>
      <c r="B7950" s="2" t="s">
        <v>249</v>
      </c>
      <c r="C7950" s="3">
        <v>1978</v>
      </c>
      <c r="D7950" s="4">
        <v>7229651</v>
      </c>
    </row>
    <row r="7951" spans="1:4" x14ac:dyDescent="0.3">
      <c r="A7951" s="5" t="s">
        <v>248</v>
      </c>
      <c r="B7951" s="5" t="s">
        <v>249</v>
      </c>
      <c r="C7951" s="6">
        <v>1979</v>
      </c>
      <c r="D7951" s="7">
        <v>7375266</v>
      </c>
    </row>
    <row r="7952" spans="1:4" x14ac:dyDescent="0.3">
      <c r="A7952" s="2" t="s">
        <v>248</v>
      </c>
      <c r="B7952" s="2" t="s">
        <v>249</v>
      </c>
      <c r="C7952" s="3">
        <v>1980</v>
      </c>
      <c r="D7952" s="4">
        <v>7530515</v>
      </c>
    </row>
    <row r="7953" spans="1:4" x14ac:dyDescent="0.3">
      <c r="A7953" s="5" t="s">
        <v>248</v>
      </c>
      <c r="B7953" s="5" t="s">
        <v>249</v>
      </c>
      <c r="C7953" s="6">
        <v>1981</v>
      </c>
      <c r="D7953" s="7">
        <v>7692766</v>
      </c>
    </row>
    <row r="7954" spans="1:4" x14ac:dyDescent="0.3">
      <c r="A7954" s="2" t="s">
        <v>248</v>
      </c>
      <c r="B7954" s="2" t="s">
        <v>249</v>
      </c>
      <c r="C7954" s="3">
        <v>1982</v>
      </c>
      <c r="D7954" s="4">
        <v>7860194</v>
      </c>
    </row>
    <row r="7955" spans="1:4" x14ac:dyDescent="0.3">
      <c r="A7955" s="5" t="s">
        <v>248</v>
      </c>
      <c r="B7955" s="5" t="s">
        <v>249</v>
      </c>
      <c r="C7955" s="6">
        <v>1983</v>
      </c>
      <c r="D7955" s="7">
        <v>8034400</v>
      </c>
    </row>
    <row r="7956" spans="1:4" x14ac:dyDescent="0.3">
      <c r="A7956" s="2" t="s">
        <v>248</v>
      </c>
      <c r="B7956" s="2" t="s">
        <v>249</v>
      </c>
      <c r="C7956" s="3">
        <v>1984</v>
      </c>
      <c r="D7956" s="4">
        <v>8208599</v>
      </c>
    </row>
    <row r="7957" spans="1:4" x14ac:dyDescent="0.3">
      <c r="A7957" s="5" t="s">
        <v>248</v>
      </c>
      <c r="B7957" s="5" t="s">
        <v>249</v>
      </c>
      <c r="C7957" s="6">
        <v>1985</v>
      </c>
      <c r="D7957" s="7">
        <v>8374663</v>
      </c>
    </row>
    <row r="7958" spans="1:4" x14ac:dyDescent="0.3">
      <c r="A7958" s="2" t="s">
        <v>248</v>
      </c>
      <c r="B7958" s="2" t="s">
        <v>249</v>
      </c>
      <c r="C7958" s="3">
        <v>1986</v>
      </c>
      <c r="D7958" s="4">
        <v>8531277</v>
      </c>
    </row>
    <row r="7959" spans="1:4" x14ac:dyDescent="0.3">
      <c r="A7959" s="5" t="s">
        <v>248</v>
      </c>
      <c r="B7959" s="5" t="s">
        <v>249</v>
      </c>
      <c r="C7959" s="6">
        <v>1987</v>
      </c>
      <c r="D7959" s="7">
        <v>8681164</v>
      </c>
    </row>
    <row r="7960" spans="1:4" x14ac:dyDescent="0.3">
      <c r="A7960" s="2" t="s">
        <v>248</v>
      </c>
      <c r="B7960" s="2" t="s">
        <v>249</v>
      </c>
      <c r="C7960" s="3">
        <v>1988</v>
      </c>
      <c r="D7960" s="4">
        <v>8833996</v>
      </c>
    </row>
    <row r="7961" spans="1:4" x14ac:dyDescent="0.3">
      <c r="A7961" s="5" t="s">
        <v>248</v>
      </c>
      <c r="B7961" s="5" t="s">
        <v>249</v>
      </c>
      <c r="C7961" s="6">
        <v>1989</v>
      </c>
      <c r="D7961" s="7">
        <v>8999938</v>
      </c>
    </row>
    <row r="7962" spans="1:4" x14ac:dyDescent="0.3">
      <c r="A7962" s="2" t="s">
        <v>248</v>
      </c>
      <c r="B7962" s="2" t="s">
        <v>249</v>
      </c>
      <c r="C7962" s="3">
        <v>1990</v>
      </c>
      <c r="D7962" s="4">
        <v>9178830</v>
      </c>
    </row>
    <row r="7963" spans="1:4" x14ac:dyDescent="0.3">
      <c r="A7963" s="5" t="s">
        <v>248</v>
      </c>
      <c r="B7963" s="5" t="s">
        <v>249</v>
      </c>
      <c r="C7963" s="6">
        <v>1991</v>
      </c>
      <c r="D7963" s="7">
        <v>9362888</v>
      </c>
    </row>
    <row r="7964" spans="1:4" x14ac:dyDescent="0.3">
      <c r="A7964" s="2" t="s">
        <v>248</v>
      </c>
      <c r="B7964" s="2" t="s">
        <v>249</v>
      </c>
      <c r="C7964" s="3">
        <v>1992</v>
      </c>
      <c r="D7964" s="4">
        <v>9553540</v>
      </c>
    </row>
    <row r="7965" spans="1:4" x14ac:dyDescent="0.3">
      <c r="A7965" s="5" t="s">
        <v>248</v>
      </c>
      <c r="B7965" s="5" t="s">
        <v>249</v>
      </c>
      <c r="C7965" s="6">
        <v>1993</v>
      </c>
      <c r="D7965" s="7">
        <v>9754786</v>
      </c>
    </row>
    <row r="7966" spans="1:4" x14ac:dyDescent="0.3">
      <c r="A7966" s="2" t="s">
        <v>248</v>
      </c>
      <c r="B7966" s="2" t="s">
        <v>249</v>
      </c>
      <c r="C7966" s="3">
        <v>1994</v>
      </c>
      <c r="D7966" s="4">
        <v>9967031</v>
      </c>
    </row>
    <row r="7967" spans="1:4" x14ac:dyDescent="0.3">
      <c r="A7967" s="5" t="s">
        <v>248</v>
      </c>
      <c r="B7967" s="5" t="s">
        <v>249</v>
      </c>
      <c r="C7967" s="6">
        <v>1995</v>
      </c>
      <c r="D7967" s="7">
        <v>10185365</v>
      </c>
    </row>
    <row r="7968" spans="1:4" x14ac:dyDescent="0.3">
      <c r="A7968" s="2" t="s">
        <v>248</v>
      </c>
      <c r="B7968" s="2" t="s">
        <v>249</v>
      </c>
      <c r="C7968" s="3">
        <v>1996</v>
      </c>
      <c r="D7968" s="4">
        <v>10407278</v>
      </c>
    </row>
    <row r="7969" spans="1:4" x14ac:dyDescent="0.3">
      <c r="A7969" s="5" t="s">
        <v>248</v>
      </c>
      <c r="B7969" s="5" t="s">
        <v>249</v>
      </c>
      <c r="C7969" s="6">
        <v>1997</v>
      </c>
      <c r="D7969" s="7">
        <v>10646495</v>
      </c>
    </row>
    <row r="7970" spans="1:4" x14ac:dyDescent="0.3">
      <c r="A7970" s="2" t="s">
        <v>248</v>
      </c>
      <c r="B7970" s="2" t="s">
        <v>249</v>
      </c>
      <c r="C7970" s="3">
        <v>1998</v>
      </c>
      <c r="D7970" s="4">
        <v>10919573</v>
      </c>
    </row>
    <row r="7971" spans="1:4" x14ac:dyDescent="0.3">
      <c r="A7971" s="5" t="s">
        <v>248</v>
      </c>
      <c r="B7971" s="5" t="s">
        <v>249</v>
      </c>
      <c r="C7971" s="6">
        <v>1999</v>
      </c>
      <c r="D7971" s="7">
        <v>11227415</v>
      </c>
    </row>
    <row r="7972" spans="1:4" x14ac:dyDescent="0.3">
      <c r="A7972" s="2" t="s">
        <v>248</v>
      </c>
      <c r="B7972" s="2" t="s">
        <v>249</v>
      </c>
      <c r="C7972" s="3">
        <v>2000</v>
      </c>
      <c r="D7972" s="4">
        <v>11559290</v>
      </c>
    </row>
    <row r="7973" spans="1:4" x14ac:dyDescent="0.3">
      <c r="A7973" s="5" t="s">
        <v>248</v>
      </c>
      <c r="B7973" s="5" t="s">
        <v>249</v>
      </c>
      <c r="C7973" s="6">
        <v>2001</v>
      </c>
      <c r="D7973" s="7">
        <v>11912158</v>
      </c>
    </row>
    <row r="7974" spans="1:4" x14ac:dyDescent="0.3">
      <c r="A7974" s="2" t="s">
        <v>248</v>
      </c>
      <c r="B7974" s="2" t="s">
        <v>249</v>
      </c>
      <c r="C7974" s="3">
        <v>2002</v>
      </c>
      <c r="D7974" s="4">
        <v>12288050</v>
      </c>
    </row>
    <row r="7975" spans="1:4" x14ac:dyDescent="0.3">
      <c r="A7975" s="5" t="s">
        <v>248</v>
      </c>
      <c r="B7975" s="5" t="s">
        <v>249</v>
      </c>
      <c r="C7975" s="6">
        <v>2003</v>
      </c>
      <c r="D7975" s="7">
        <v>12684955</v>
      </c>
    </row>
    <row r="7976" spans="1:4" x14ac:dyDescent="0.3">
      <c r="A7976" s="2" t="s">
        <v>248</v>
      </c>
      <c r="B7976" s="2" t="s">
        <v>249</v>
      </c>
      <c r="C7976" s="3">
        <v>2004</v>
      </c>
      <c r="D7976" s="4">
        <v>13102409</v>
      </c>
    </row>
    <row r="7977" spans="1:4" x14ac:dyDescent="0.3">
      <c r="A7977" s="5" t="s">
        <v>248</v>
      </c>
      <c r="B7977" s="5" t="s">
        <v>249</v>
      </c>
      <c r="C7977" s="6">
        <v>2005</v>
      </c>
      <c r="D7977" s="7">
        <v>13538647</v>
      </c>
    </row>
    <row r="7978" spans="1:4" x14ac:dyDescent="0.3">
      <c r="A7978" s="2" t="s">
        <v>248</v>
      </c>
      <c r="B7978" s="2" t="s">
        <v>249</v>
      </c>
      <c r="C7978" s="3">
        <v>2006</v>
      </c>
      <c r="D7978" s="4">
        <v>13990139</v>
      </c>
    </row>
    <row r="7979" spans="1:4" x14ac:dyDescent="0.3">
      <c r="A7979" s="5" t="s">
        <v>248</v>
      </c>
      <c r="B7979" s="5" t="s">
        <v>249</v>
      </c>
      <c r="C7979" s="6">
        <v>2007</v>
      </c>
      <c r="D7979" s="7">
        <v>14457775</v>
      </c>
    </row>
    <row r="7980" spans="1:4" x14ac:dyDescent="0.3">
      <c r="A7980" s="2" t="s">
        <v>248</v>
      </c>
      <c r="B7980" s="2" t="s">
        <v>249</v>
      </c>
      <c r="C7980" s="3">
        <v>2008</v>
      </c>
      <c r="D7980" s="4">
        <v>14940782</v>
      </c>
    </row>
    <row r="7981" spans="1:4" x14ac:dyDescent="0.3">
      <c r="A7981" s="5" t="s">
        <v>248</v>
      </c>
      <c r="B7981" s="5" t="s">
        <v>249</v>
      </c>
      <c r="C7981" s="6">
        <v>2009</v>
      </c>
      <c r="D7981" s="7">
        <v>15435539</v>
      </c>
    </row>
    <row r="7982" spans="1:4" x14ac:dyDescent="0.3">
      <c r="A7982" s="2" t="s">
        <v>248</v>
      </c>
      <c r="B7982" s="2" t="s">
        <v>249</v>
      </c>
      <c r="C7982" s="3">
        <v>2010</v>
      </c>
      <c r="D7982" s="4">
        <v>15945198</v>
      </c>
    </row>
    <row r="7983" spans="1:4" x14ac:dyDescent="0.3">
      <c r="A7983" s="5" t="s">
        <v>248</v>
      </c>
      <c r="B7983" s="5" t="s">
        <v>249</v>
      </c>
      <c r="C7983" s="6">
        <v>2011</v>
      </c>
      <c r="D7983" s="7">
        <v>16469049</v>
      </c>
    </row>
    <row r="7984" spans="1:4" x14ac:dyDescent="0.3">
      <c r="A7984" s="2" t="s">
        <v>248</v>
      </c>
      <c r="B7984" s="2" t="s">
        <v>249</v>
      </c>
      <c r="C7984" s="3">
        <v>2012</v>
      </c>
      <c r="D7984" s="4">
        <v>16957033</v>
      </c>
    </row>
    <row r="7985" spans="1:4" x14ac:dyDescent="0.3">
      <c r="A7985" s="5" t="s">
        <v>248</v>
      </c>
      <c r="B7985" s="5" t="s">
        <v>249</v>
      </c>
      <c r="C7985" s="6">
        <v>2013</v>
      </c>
      <c r="D7985" s="7">
        <v>17459615</v>
      </c>
    </row>
    <row r="7986" spans="1:4" x14ac:dyDescent="0.3">
      <c r="A7986" s="2" t="s">
        <v>248</v>
      </c>
      <c r="B7986" s="2" t="s">
        <v>249</v>
      </c>
      <c r="C7986" s="3">
        <v>2014</v>
      </c>
      <c r="D7986" s="4">
        <v>18020267</v>
      </c>
    </row>
    <row r="7987" spans="1:4" x14ac:dyDescent="0.3">
      <c r="A7987" s="5" t="s">
        <v>248</v>
      </c>
      <c r="B7987" s="5" t="s">
        <v>249</v>
      </c>
      <c r="C7987" s="6">
        <v>2015</v>
      </c>
      <c r="D7987" s="7">
        <v>18593022</v>
      </c>
    </row>
    <row r="7988" spans="1:4" x14ac:dyDescent="0.3">
      <c r="A7988" s="2" t="s">
        <v>248</v>
      </c>
      <c r="B7988" s="2" t="s">
        <v>249</v>
      </c>
      <c r="C7988" s="3">
        <v>2016</v>
      </c>
      <c r="D7988" s="4">
        <v>19191289</v>
      </c>
    </row>
    <row r="7989" spans="1:4" x14ac:dyDescent="0.3">
      <c r="A7989" s="5" t="s">
        <v>248</v>
      </c>
      <c r="B7989" s="5" t="s">
        <v>249</v>
      </c>
      <c r="C7989" s="6">
        <v>2017</v>
      </c>
      <c r="D7989" s="7">
        <v>19813011</v>
      </c>
    </row>
    <row r="7990" spans="1:4" x14ac:dyDescent="0.3">
      <c r="A7990" s="2" t="s">
        <v>248</v>
      </c>
      <c r="B7990" s="2" t="s">
        <v>249</v>
      </c>
      <c r="C7990" s="3">
        <v>2018</v>
      </c>
      <c r="D7990" s="4">
        <v>20442030</v>
      </c>
    </row>
    <row r="7991" spans="1:4" x14ac:dyDescent="0.3">
      <c r="A7991" s="5" t="s">
        <v>248</v>
      </c>
      <c r="B7991" s="5" t="s">
        <v>249</v>
      </c>
      <c r="C7991" s="6">
        <v>2019</v>
      </c>
      <c r="D7991" s="7">
        <v>21068405</v>
      </c>
    </row>
    <row r="7992" spans="1:4" x14ac:dyDescent="0.3">
      <c r="A7992" s="2" t="s">
        <v>248</v>
      </c>
      <c r="B7992" s="2" t="s">
        <v>249</v>
      </c>
      <c r="C7992" s="3">
        <v>2020</v>
      </c>
      <c r="D7992" s="4">
        <v>21713836</v>
      </c>
    </row>
    <row r="7993" spans="1:4" x14ac:dyDescent="0.3">
      <c r="A7993" s="5" t="s">
        <v>248</v>
      </c>
      <c r="B7993" s="5" t="s">
        <v>249</v>
      </c>
      <c r="C7993" s="6">
        <v>2021</v>
      </c>
      <c r="D7993" s="7">
        <v>22388630</v>
      </c>
    </row>
    <row r="7994" spans="1:4" x14ac:dyDescent="0.3">
      <c r="A7994" s="2" t="s">
        <v>248</v>
      </c>
      <c r="B7994" s="2" t="s">
        <v>249</v>
      </c>
      <c r="C7994" s="3">
        <v>2022</v>
      </c>
      <c r="D7994" s="4">
        <v>23072640</v>
      </c>
    </row>
    <row r="7995" spans="1:4" x14ac:dyDescent="0.3">
      <c r="A7995" s="5" t="s">
        <v>248</v>
      </c>
      <c r="B7995" s="5" t="s">
        <v>249</v>
      </c>
      <c r="C7995" s="6">
        <v>2023</v>
      </c>
      <c r="D7995" s="7">
        <v>23769127</v>
      </c>
    </row>
    <row r="7996" spans="1:4" x14ac:dyDescent="0.3">
      <c r="A7996" s="2" t="s">
        <v>248</v>
      </c>
      <c r="B7996" s="2" t="s">
        <v>249</v>
      </c>
      <c r="C7996" s="3">
        <v>2024</v>
      </c>
      <c r="D7996" s="4">
        <v>24478595</v>
      </c>
    </row>
    <row r="7997" spans="1:4" x14ac:dyDescent="0.3">
      <c r="A7997" s="5" t="s">
        <v>250</v>
      </c>
      <c r="B7997" s="5" t="s">
        <v>251</v>
      </c>
      <c r="C7997" s="6">
        <v>1960</v>
      </c>
      <c r="D7997" s="7">
        <v>326550</v>
      </c>
    </row>
    <row r="7998" spans="1:4" x14ac:dyDescent="0.3">
      <c r="A7998" s="2" t="s">
        <v>250</v>
      </c>
      <c r="B7998" s="2" t="s">
        <v>251</v>
      </c>
      <c r="C7998" s="3">
        <v>1961</v>
      </c>
      <c r="D7998" s="4">
        <v>325250</v>
      </c>
    </row>
    <row r="7999" spans="1:4" x14ac:dyDescent="0.3">
      <c r="A7999" s="5" t="s">
        <v>250</v>
      </c>
      <c r="B7999" s="5" t="s">
        <v>251</v>
      </c>
      <c r="C7999" s="6">
        <v>1962</v>
      </c>
      <c r="D7999" s="7">
        <v>323900</v>
      </c>
    </row>
    <row r="8000" spans="1:4" x14ac:dyDescent="0.3">
      <c r="A8000" s="2" t="s">
        <v>250</v>
      </c>
      <c r="B8000" s="2" t="s">
        <v>251</v>
      </c>
      <c r="C8000" s="3">
        <v>1963</v>
      </c>
      <c r="D8000" s="4">
        <v>322550</v>
      </c>
    </row>
    <row r="8001" spans="1:4" x14ac:dyDescent="0.3">
      <c r="A8001" s="5" t="s">
        <v>250</v>
      </c>
      <c r="B8001" s="5" t="s">
        <v>251</v>
      </c>
      <c r="C8001" s="6">
        <v>1964</v>
      </c>
      <c r="D8001" s="7">
        <v>321250</v>
      </c>
    </row>
    <row r="8002" spans="1:4" x14ac:dyDescent="0.3">
      <c r="A8002" s="2" t="s">
        <v>250</v>
      </c>
      <c r="B8002" s="2" t="s">
        <v>251</v>
      </c>
      <c r="C8002" s="3">
        <v>1965</v>
      </c>
      <c r="D8002" s="4">
        <v>318800</v>
      </c>
    </row>
    <row r="8003" spans="1:4" x14ac:dyDescent="0.3">
      <c r="A8003" s="5" t="s">
        <v>250</v>
      </c>
      <c r="B8003" s="5" t="s">
        <v>251</v>
      </c>
      <c r="C8003" s="6">
        <v>1966</v>
      </c>
      <c r="D8003" s="7">
        <v>315200</v>
      </c>
    </row>
    <row r="8004" spans="1:4" x14ac:dyDescent="0.3">
      <c r="A8004" s="2" t="s">
        <v>250</v>
      </c>
      <c r="B8004" s="2" t="s">
        <v>251</v>
      </c>
      <c r="C8004" s="3">
        <v>1967</v>
      </c>
      <c r="D8004" s="4">
        <v>311550</v>
      </c>
    </row>
    <row r="8005" spans="1:4" x14ac:dyDescent="0.3">
      <c r="A8005" s="5" t="s">
        <v>250</v>
      </c>
      <c r="B8005" s="5" t="s">
        <v>251</v>
      </c>
      <c r="C8005" s="6">
        <v>1968</v>
      </c>
      <c r="D8005" s="7">
        <v>307900</v>
      </c>
    </row>
    <row r="8006" spans="1:4" x14ac:dyDescent="0.3">
      <c r="A8006" s="2" t="s">
        <v>250</v>
      </c>
      <c r="B8006" s="2" t="s">
        <v>251</v>
      </c>
      <c r="C8006" s="3">
        <v>1969</v>
      </c>
      <c r="D8006" s="4">
        <v>304300</v>
      </c>
    </row>
    <row r="8007" spans="1:4" x14ac:dyDescent="0.3">
      <c r="A8007" s="5" t="s">
        <v>250</v>
      </c>
      <c r="B8007" s="5" t="s">
        <v>251</v>
      </c>
      <c r="C8007" s="6">
        <v>1970</v>
      </c>
      <c r="D8007" s="7">
        <v>302650</v>
      </c>
    </row>
    <row r="8008" spans="1:4" x14ac:dyDescent="0.3">
      <c r="A8008" s="2" t="s">
        <v>250</v>
      </c>
      <c r="B8008" s="2" t="s">
        <v>251</v>
      </c>
      <c r="C8008" s="3">
        <v>1971</v>
      </c>
      <c r="D8008" s="4">
        <v>302700</v>
      </c>
    </row>
    <row r="8009" spans="1:4" x14ac:dyDescent="0.3">
      <c r="A8009" s="5" t="s">
        <v>250</v>
      </c>
      <c r="B8009" s="5" t="s">
        <v>251</v>
      </c>
      <c r="C8009" s="6">
        <v>1972</v>
      </c>
      <c r="D8009" s="7">
        <v>302450</v>
      </c>
    </row>
    <row r="8010" spans="1:4" x14ac:dyDescent="0.3">
      <c r="A8010" s="2" t="s">
        <v>250</v>
      </c>
      <c r="B8010" s="2" t="s">
        <v>251</v>
      </c>
      <c r="C8010" s="3">
        <v>1973</v>
      </c>
      <c r="D8010" s="4">
        <v>302200</v>
      </c>
    </row>
    <row r="8011" spans="1:4" x14ac:dyDescent="0.3">
      <c r="A8011" s="5" t="s">
        <v>250</v>
      </c>
      <c r="B8011" s="5" t="s">
        <v>251</v>
      </c>
      <c r="C8011" s="6">
        <v>1974</v>
      </c>
      <c r="D8011" s="7">
        <v>301996</v>
      </c>
    </row>
    <row r="8012" spans="1:4" x14ac:dyDescent="0.3">
      <c r="A8012" s="2" t="s">
        <v>250</v>
      </c>
      <c r="B8012" s="2" t="s">
        <v>251</v>
      </c>
      <c r="C8012" s="3">
        <v>1975</v>
      </c>
      <c r="D8012" s="4">
        <v>304222</v>
      </c>
    </row>
    <row r="8013" spans="1:4" x14ac:dyDescent="0.3">
      <c r="A8013" s="5" t="s">
        <v>250</v>
      </c>
      <c r="B8013" s="5" t="s">
        <v>251</v>
      </c>
      <c r="C8013" s="6">
        <v>1976</v>
      </c>
      <c r="D8013" s="7">
        <v>305774</v>
      </c>
    </row>
    <row r="8014" spans="1:4" x14ac:dyDescent="0.3">
      <c r="A8014" s="2" t="s">
        <v>250</v>
      </c>
      <c r="B8014" s="2" t="s">
        <v>251</v>
      </c>
      <c r="C8014" s="3">
        <v>1977</v>
      </c>
      <c r="D8014" s="4">
        <v>306970</v>
      </c>
    </row>
    <row r="8015" spans="1:4" x14ac:dyDescent="0.3">
      <c r="A8015" s="5" t="s">
        <v>250</v>
      </c>
      <c r="B8015" s="5" t="s">
        <v>251</v>
      </c>
      <c r="C8015" s="6">
        <v>1978</v>
      </c>
      <c r="D8015" s="7">
        <v>310182</v>
      </c>
    </row>
    <row r="8016" spans="1:4" x14ac:dyDescent="0.3">
      <c r="A8016" s="2" t="s">
        <v>250</v>
      </c>
      <c r="B8016" s="2" t="s">
        <v>251</v>
      </c>
      <c r="C8016" s="3">
        <v>1979</v>
      </c>
      <c r="D8016" s="4">
        <v>313342</v>
      </c>
    </row>
    <row r="8017" spans="1:4" x14ac:dyDescent="0.3">
      <c r="A8017" s="5" t="s">
        <v>250</v>
      </c>
      <c r="B8017" s="5" t="s">
        <v>251</v>
      </c>
      <c r="C8017" s="6">
        <v>1980</v>
      </c>
      <c r="D8017" s="7">
        <v>316645</v>
      </c>
    </row>
    <row r="8018" spans="1:4" x14ac:dyDescent="0.3">
      <c r="A8018" s="2" t="s">
        <v>250</v>
      </c>
      <c r="B8018" s="2" t="s">
        <v>251</v>
      </c>
      <c r="C8018" s="3">
        <v>1981</v>
      </c>
      <c r="D8018" s="4">
        <v>318982</v>
      </c>
    </row>
    <row r="8019" spans="1:4" x14ac:dyDescent="0.3">
      <c r="A8019" s="5" t="s">
        <v>250</v>
      </c>
      <c r="B8019" s="5" t="s">
        <v>251</v>
      </c>
      <c r="C8019" s="6">
        <v>1982</v>
      </c>
      <c r="D8019" s="7">
        <v>325898</v>
      </c>
    </row>
    <row r="8020" spans="1:4" x14ac:dyDescent="0.3">
      <c r="A8020" s="2" t="s">
        <v>250</v>
      </c>
      <c r="B8020" s="2" t="s">
        <v>251</v>
      </c>
      <c r="C8020" s="3">
        <v>1983</v>
      </c>
      <c r="D8020" s="4">
        <v>330524</v>
      </c>
    </row>
    <row r="8021" spans="1:4" x14ac:dyDescent="0.3">
      <c r="A8021" s="5" t="s">
        <v>250</v>
      </c>
      <c r="B8021" s="5" t="s">
        <v>251</v>
      </c>
      <c r="C8021" s="6">
        <v>1984</v>
      </c>
      <c r="D8021" s="7">
        <v>330593</v>
      </c>
    </row>
    <row r="8022" spans="1:4" x14ac:dyDescent="0.3">
      <c r="A8022" s="2" t="s">
        <v>250</v>
      </c>
      <c r="B8022" s="2" t="s">
        <v>251</v>
      </c>
      <c r="C8022" s="3">
        <v>1985</v>
      </c>
      <c r="D8022" s="4">
        <v>336452</v>
      </c>
    </row>
    <row r="8023" spans="1:4" x14ac:dyDescent="0.3">
      <c r="A8023" s="5" t="s">
        <v>250</v>
      </c>
      <c r="B8023" s="5" t="s">
        <v>251</v>
      </c>
      <c r="C8023" s="6">
        <v>1986</v>
      </c>
      <c r="D8023" s="7">
        <v>342121</v>
      </c>
    </row>
    <row r="8024" spans="1:4" x14ac:dyDescent="0.3">
      <c r="A8024" s="2" t="s">
        <v>250</v>
      </c>
      <c r="B8024" s="2" t="s">
        <v>251</v>
      </c>
      <c r="C8024" s="3">
        <v>1987</v>
      </c>
      <c r="D8024" s="4">
        <v>344485</v>
      </c>
    </row>
    <row r="8025" spans="1:4" x14ac:dyDescent="0.3">
      <c r="A8025" s="5" t="s">
        <v>250</v>
      </c>
      <c r="B8025" s="5" t="s">
        <v>251</v>
      </c>
      <c r="C8025" s="6">
        <v>1988</v>
      </c>
      <c r="D8025" s="7">
        <v>347325</v>
      </c>
    </row>
    <row r="8026" spans="1:4" x14ac:dyDescent="0.3">
      <c r="A8026" s="2" t="s">
        <v>250</v>
      </c>
      <c r="B8026" s="2" t="s">
        <v>251</v>
      </c>
      <c r="C8026" s="3">
        <v>1989</v>
      </c>
      <c r="D8026" s="4">
        <v>350722</v>
      </c>
    </row>
    <row r="8027" spans="1:4" x14ac:dyDescent="0.3">
      <c r="A8027" s="5" t="s">
        <v>250</v>
      </c>
      <c r="B8027" s="5" t="s">
        <v>251</v>
      </c>
      <c r="C8027" s="6">
        <v>1990</v>
      </c>
      <c r="D8027" s="7">
        <v>354170</v>
      </c>
    </row>
    <row r="8028" spans="1:4" x14ac:dyDescent="0.3">
      <c r="A8028" s="2" t="s">
        <v>250</v>
      </c>
      <c r="B8028" s="2" t="s">
        <v>251</v>
      </c>
      <c r="C8028" s="3">
        <v>1991</v>
      </c>
      <c r="D8028" s="4">
        <v>363845</v>
      </c>
    </row>
    <row r="8029" spans="1:4" x14ac:dyDescent="0.3">
      <c r="A8029" s="5" t="s">
        <v>250</v>
      </c>
      <c r="B8029" s="5" t="s">
        <v>251</v>
      </c>
      <c r="C8029" s="6">
        <v>1992</v>
      </c>
      <c r="D8029" s="7">
        <v>367618</v>
      </c>
    </row>
    <row r="8030" spans="1:4" x14ac:dyDescent="0.3">
      <c r="A8030" s="2" t="s">
        <v>250</v>
      </c>
      <c r="B8030" s="2" t="s">
        <v>251</v>
      </c>
      <c r="C8030" s="3">
        <v>1993</v>
      </c>
      <c r="D8030" s="4">
        <v>371308</v>
      </c>
    </row>
    <row r="8031" spans="1:4" x14ac:dyDescent="0.3">
      <c r="A8031" s="5" t="s">
        <v>250</v>
      </c>
      <c r="B8031" s="5" t="s">
        <v>251</v>
      </c>
      <c r="C8031" s="6">
        <v>1994</v>
      </c>
      <c r="D8031" s="7">
        <v>374797</v>
      </c>
    </row>
    <row r="8032" spans="1:4" x14ac:dyDescent="0.3">
      <c r="A8032" s="2" t="s">
        <v>250</v>
      </c>
      <c r="B8032" s="2" t="s">
        <v>251</v>
      </c>
      <c r="C8032" s="3">
        <v>1995</v>
      </c>
      <c r="D8032" s="4">
        <v>377419</v>
      </c>
    </row>
    <row r="8033" spans="1:4" x14ac:dyDescent="0.3">
      <c r="A8033" s="5" t="s">
        <v>250</v>
      </c>
      <c r="B8033" s="5" t="s">
        <v>251</v>
      </c>
      <c r="C8033" s="6">
        <v>1996</v>
      </c>
      <c r="D8033" s="7">
        <v>379905</v>
      </c>
    </row>
    <row r="8034" spans="1:4" x14ac:dyDescent="0.3">
      <c r="A8034" s="2" t="s">
        <v>250</v>
      </c>
      <c r="B8034" s="2" t="s">
        <v>251</v>
      </c>
      <c r="C8034" s="3">
        <v>1997</v>
      </c>
      <c r="D8034" s="4">
        <v>382791</v>
      </c>
    </row>
    <row r="8035" spans="1:4" x14ac:dyDescent="0.3">
      <c r="A8035" s="5" t="s">
        <v>250</v>
      </c>
      <c r="B8035" s="5" t="s">
        <v>251</v>
      </c>
      <c r="C8035" s="6">
        <v>1998</v>
      </c>
      <c r="D8035" s="7">
        <v>385287</v>
      </c>
    </row>
    <row r="8036" spans="1:4" x14ac:dyDescent="0.3">
      <c r="A8036" s="2" t="s">
        <v>250</v>
      </c>
      <c r="B8036" s="2" t="s">
        <v>251</v>
      </c>
      <c r="C8036" s="3">
        <v>1999</v>
      </c>
      <c r="D8036" s="4">
        <v>387578</v>
      </c>
    </row>
    <row r="8037" spans="1:4" x14ac:dyDescent="0.3">
      <c r="A8037" s="5" t="s">
        <v>250</v>
      </c>
      <c r="B8037" s="5" t="s">
        <v>251</v>
      </c>
      <c r="C8037" s="6">
        <v>2000</v>
      </c>
      <c r="D8037" s="7">
        <v>390087</v>
      </c>
    </row>
    <row r="8038" spans="1:4" x14ac:dyDescent="0.3">
      <c r="A8038" s="2" t="s">
        <v>250</v>
      </c>
      <c r="B8038" s="2" t="s">
        <v>251</v>
      </c>
      <c r="C8038" s="3">
        <v>2001</v>
      </c>
      <c r="D8038" s="4">
        <v>393028</v>
      </c>
    </row>
    <row r="8039" spans="1:4" x14ac:dyDescent="0.3">
      <c r="A8039" s="5" t="s">
        <v>250</v>
      </c>
      <c r="B8039" s="5" t="s">
        <v>251</v>
      </c>
      <c r="C8039" s="6">
        <v>2002</v>
      </c>
      <c r="D8039" s="7">
        <v>395969</v>
      </c>
    </row>
    <row r="8040" spans="1:4" x14ac:dyDescent="0.3">
      <c r="A8040" s="2" t="s">
        <v>250</v>
      </c>
      <c r="B8040" s="2" t="s">
        <v>251</v>
      </c>
      <c r="C8040" s="3">
        <v>2003</v>
      </c>
      <c r="D8040" s="4">
        <v>398582</v>
      </c>
    </row>
    <row r="8041" spans="1:4" x14ac:dyDescent="0.3">
      <c r="A8041" s="5" t="s">
        <v>250</v>
      </c>
      <c r="B8041" s="5" t="s">
        <v>251</v>
      </c>
      <c r="C8041" s="6">
        <v>2004</v>
      </c>
      <c r="D8041" s="7">
        <v>401268</v>
      </c>
    </row>
    <row r="8042" spans="1:4" x14ac:dyDescent="0.3">
      <c r="A8042" s="2" t="s">
        <v>250</v>
      </c>
      <c r="B8042" s="2" t="s">
        <v>251</v>
      </c>
      <c r="C8042" s="3">
        <v>2005</v>
      </c>
      <c r="D8042" s="4">
        <v>403834</v>
      </c>
    </row>
    <row r="8043" spans="1:4" x14ac:dyDescent="0.3">
      <c r="A8043" s="5" t="s">
        <v>250</v>
      </c>
      <c r="B8043" s="5" t="s">
        <v>251</v>
      </c>
      <c r="C8043" s="6">
        <v>2006</v>
      </c>
      <c r="D8043" s="7">
        <v>405308</v>
      </c>
    </row>
    <row r="8044" spans="1:4" x14ac:dyDescent="0.3">
      <c r="A8044" s="2" t="s">
        <v>250</v>
      </c>
      <c r="B8044" s="2" t="s">
        <v>251</v>
      </c>
      <c r="C8044" s="3">
        <v>2007</v>
      </c>
      <c r="D8044" s="4">
        <v>406724</v>
      </c>
    </row>
    <row r="8045" spans="1:4" x14ac:dyDescent="0.3">
      <c r="A8045" s="5" t="s">
        <v>250</v>
      </c>
      <c r="B8045" s="5" t="s">
        <v>251</v>
      </c>
      <c r="C8045" s="6">
        <v>2008</v>
      </c>
      <c r="D8045" s="7">
        <v>409379</v>
      </c>
    </row>
    <row r="8046" spans="1:4" x14ac:dyDescent="0.3">
      <c r="A8046" s="2" t="s">
        <v>250</v>
      </c>
      <c r="B8046" s="2" t="s">
        <v>251</v>
      </c>
      <c r="C8046" s="3">
        <v>2009</v>
      </c>
      <c r="D8046" s="4">
        <v>412477</v>
      </c>
    </row>
    <row r="8047" spans="1:4" x14ac:dyDescent="0.3">
      <c r="A8047" s="5" t="s">
        <v>250</v>
      </c>
      <c r="B8047" s="5" t="s">
        <v>251</v>
      </c>
      <c r="C8047" s="6">
        <v>2010</v>
      </c>
      <c r="D8047" s="7">
        <v>414508</v>
      </c>
    </row>
    <row r="8048" spans="1:4" x14ac:dyDescent="0.3">
      <c r="A8048" s="2" t="s">
        <v>250</v>
      </c>
      <c r="B8048" s="2" t="s">
        <v>251</v>
      </c>
      <c r="C8048" s="3">
        <v>2011</v>
      </c>
      <c r="D8048" s="4">
        <v>416268</v>
      </c>
    </row>
    <row r="8049" spans="1:4" x14ac:dyDescent="0.3">
      <c r="A8049" s="5" t="s">
        <v>250</v>
      </c>
      <c r="B8049" s="5" t="s">
        <v>251</v>
      </c>
      <c r="C8049" s="6">
        <v>2012</v>
      </c>
      <c r="D8049" s="7">
        <v>420028</v>
      </c>
    </row>
    <row r="8050" spans="1:4" x14ac:dyDescent="0.3">
      <c r="A8050" s="2" t="s">
        <v>250</v>
      </c>
      <c r="B8050" s="2" t="s">
        <v>251</v>
      </c>
      <c r="C8050" s="3">
        <v>2013</v>
      </c>
      <c r="D8050" s="4">
        <v>424810</v>
      </c>
    </row>
    <row r="8051" spans="1:4" x14ac:dyDescent="0.3">
      <c r="A8051" s="5" t="s">
        <v>250</v>
      </c>
      <c r="B8051" s="5" t="s">
        <v>251</v>
      </c>
      <c r="C8051" s="6">
        <v>2014</v>
      </c>
      <c r="D8051" s="7">
        <v>433481</v>
      </c>
    </row>
    <row r="8052" spans="1:4" x14ac:dyDescent="0.3">
      <c r="A8052" s="2" t="s">
        <v>250</v>
      </c>
      <c r="B8052" s="2" t="s">
        <v>251</v>
      </c>
      <c r="C8052" s="3">
        <v>2015</v>
      </c>
      <c r="D8052" s="4">
        <v>444220</v>
      </c>
    </row>
    <row r="8053" spans="1:4" x14ac:dyDescent="0.3">
      <c r="A8053" s="5" t="s">
        <v>250</v>
      </c>
      <c r="B8053" s="5" t="s">
        <v>251</v>
      </c>
      <c r="C8053" s="6">
        <v>2016</v>
      </c>
      <c r="D8053" s="7">
        <v>454505</v>
      </c>
    </row>
    <row r="8054" spans="1:4" x14ac:dyDescent="0.3">
      <c r="A8054" s="2" t="s">
        <v>250</v>
      </c>
      <c r="B8054" s="2" t="s">
        <v>251</v>
      </c>
      <c r="C8054" s="3">
        <v>2017</v>
      </c>
      <c r="D8054" s="4">
        <v>467106</v>
      </c>
    </row>
    <row r="8055" spans="1:4" x14ac:dyDescent="0.3">
      <c r="A8055" s="5" t="s">
        <v>250</v>
      </c>
      <c r="B8055" s="5" t="s">
        <v>251</v>
      </c>
      <c r="C8055" s="6">
        <v>2018</v>
      </c>
      <c r="D8055" s="7">
        <v>483903</v>
      </c>
    </row>
    <row r="8056" spans="1:4" x14ac:dyDescent="0.3">
      <c r="A8056" s="2" t="s">
        <v>250</v>
      </c>
      <c r="B8056" s="2" t="s">
        <v>251</v>
      </c>
      <c r="C8056" s="3">
        <v>2019</v>
      </c>
      <c r="D8056" s="4">
        <v>503912</v>
      </c>
    </row>
    <row r="8057" spans="1:4" x14ac:dyDescent="0.3">
      <c r="A8057" s="5" t="s">
        <v>250</v>
      </c>
      <c r="B8057" s="5" t="s">
        <v>251</v>
      </c>
      <c r="C8057" s="6">
        <v>2020</v>
      </c>
      <c r="D8057" s="7">
        <v>515490</v>
      </c>
    </row>
    <row r="8058" spans="1:4" x14ac:dyDescent="0.3">
      <c r="A8058" s="2" t="s">
        <v>250</v>
      </c>
      <c r="B8058" s="2" t="s">
        <v>251</v>
      </c>
      <c r="C8058" s="3">
        <v>2021</v>
      </c>
      <c r="D8058" s="4">
        <v>518150</v>
      </c>
    </row>
    <row r="8059" spans="1:4" x14ac:dyDescent="0.3">
      <c r="A8059" s="5" t="s">
        <v>250</v>
      </c>
      <c r="B8059" s="5" t="s">
        <v>251</v>
      </c>
      <c r="C8059" s="6">
        <v>2022</v>
      </c>
      <c r="D8059" s="7">
        <v>531113</v>
      </c>
    </row>
    <row r="8060" spans="1:4" x14ac:dyDescent="0.3">
      <c r="A8060" s="2" t="s">
        <v>250</v>
      </c>
      <c r="B8060" s="2" t="s">
        <v>251</v>
      </c>
      <c r="C8060" s="3">
        <v>2023</v>
      </c>
      <c r="D8060" s="4">
        <v>552747</v>
      </c>
    </row>
    <row r="8061" spans="1:4" x14ac:dyDescent="0.3">
      <c r="A8061" s="5" t="s">
        <v>250</v>
      </c>
      <c r="B8061" s="5" t="s">
        <v>251</v>
      </c>
      <c r="C8061" s="6">
        <v>2024</v>
      </c>
      <c r="D8061" s="7">
        <v>574346</v>
      </c>
    </row>
    <row r="8062" spans="1:4" x14ac:dyDescent="0.3">
      <c r="A8062" s="2" t="s">
        <v>252</v>
      </c>
      <c r="B8062" s="2" t="s">
        <v>253</v>
      </c>
      <c r="C8062" s="3">
        <v>1960</v>
      </c>
      <c r="D8062" s="4">
        <v>14703</v>
      </c>
    </row>
    <row r="8063" spans="1:4" x14ac:dyDescent="0.3">
      <c r="A8063" s="5" t="s">
        <v>252</v>
      </c>
      <c r="B8063" s="5" t="s">
        <v>253</v>
      </c>
      <c r="C8063" s="6">
        <v>1961</v>
      </c>
      <c r="D8063" s="7">
        <v>15219</v>
      </c>
    </row>
    <row r="8064" spans="1:4" x14ac:dyDescent="0.3">
      <c r="A8064" s="2" t="s">
        <v>252</v>
      </c>
      <c r="B8064" s="2" t="s">
        <v>253</v>
      </c>
      <c r="C8064" s="3">
        <v>1962</v>
      </c>
      <c r="D8064" s="4">
        <v>15755</v>
      </c>
    </row>
    <row r="8065" spans="1:4" x14ac:dyDescent="0.3">
      <c r="A8065" s="5" t="s">
        <v>252</v>
      </c>
      <c r="B8065" s="5" t="s">
        <v>253</v>
      </c>
      <c r="C8065" s="6">
        <v>1963</v>
      </c>
      <c r="D8065" s="7">
        <v>16302</v>
      </c>
    </row>
    <row r="8066" spans="1:4" x14ac:dyDescent="0.3">
      <c r="A8066" s="2" t="s">
        <v>252</v>
      </c>
      <c r="B8066" s="2" t="s">
        <v>253</v>
      </c>
      <c r="C8066" s="3">
        <v>1964</v>
      </c>
      <c r="D8066" s="4">
        <v>16852</v>
      </c>
    </row>
    <row r="8067" spans="1:4" x14ac:dyDescent="0.3">
      <c r="A8067" s="5" t="s">
        <v>252</v>
      </c>
      <c r="B8067" s="5" t="s">
        <v>253</v>
      </c>
      <c r="C8067" s="6">
        <v>1965</v>
      </c>
      <c r="D8067" s="7">
        <v>17402</v>
      </c>
    </row>
    <row r="8068" spans="1:4" x14ac:dyDescent="0.3">
      <c r="A8068" s="2" t="s">
        <v>252</v>
      </c>
      <c r="B8068" s="2" t="s">
        <v>253</v>
      </c>
      <c r="C8068" s="3">
        <v>1966</v>
      </c>
      <c r="D8068" s="4">
        <v>17927</v>
      </c>
    </row>
    <row r="8069" spans="1:4" x14ac:dyDescent="0.3">
      <c r="A8069" s="5" t="s">
        <v>252</v>
      </c>
      <c r="B8069" s="5" t="s">
        <v>253</v>
      </c>
      <c r="C8069" s="6">
        <v>1967</v>
      </c>
      <c r="D8069" s="7">
        <v>18655</v>
      </c>
    </row>
    <row r="8070" spans="1:4" x14ac:dyDescent="0.3">
      <c r="A8070" s="2" t="s">
        <v>252</v>
      </c>
      <c r="B8070" s="2" t="s">
        <v>253</v>
      </c>
      <c r="C8070" s="3">
        <v>1968</v>
      </c>
      <c r="D8070" s="4">
        <v>19862</v>
      </c>
    </row>
    <row r="8071" spans="1:4" x14ac:dyDescent="0.3">
      <c r="A8071" s="5" t="s">
        <v>252</v>
      </c>
      <c r="B8071" s="5" t="s">
        <v>253</v>
      </c>
      <c r="C8071" s="6">
        <v>1969</v>
      </c>
      <c r="D8071" s="7">
        <v>21305</v>
      </c>
    </row>
    <row r="8072" spans="1:4" x14ac:dyDescent="0.3">
      <c r="A8072" s="2" t="s">
        <v>252</v>
      </c>
      <c r="B8072" s="2" t="s">
        <v>253</v>
      </c>
      <c r="C8072" s="3">
        <v>1970</v>
      </c>
      <c r="D8072" s="4">
        <v>22530</v>
      </c>
    </row>
    <row r="8073" spans="1:4" x14ac:dyDescent="0.3">
      <c r="A8073" s="5" t="s">
        <v>252</v>
      </c>
      <c r="B8073" s="5" t="s">
        <v>253</v>
      </c>
      <c r="C8073" s="6">
        <v>1971</v>
      </c>
      <c r="D8073" s="7">
        <v>23366</v>
      </c>
    </row>
    <row r="8074" spans="1:4" x14ac:dyDescent="0.3">
      <c r="A8074" s="2" t="s">
        <v>252</v>
      </c>
      <c r="B8074" s="2" t="s">
        <v>253</v>
      </c>
      <c r="C8074" s="3">
        <v>1972</v>
      </c>
      <c r="D8074" s="4">
        <v>23992</v>
      </c>
    </row>
    <row r="8075" spans="1:4" x14ac:dyDescent="0.3">
      <c r="A8075" s="5" t="s">
        <v>252</v>
      </c>
      <c r="B8075" s="5" t="s">
        <v>253</v>
      </c>
      <c r="C8075" s="6">
        <v>1973</v>
      </c>
      <c r="D8075" s="7">
        <v>24581</v>
      </c>
    </row>
    <row r="8076" spans="1:4" x14ac:dyDescent="0.3">
      <c r="A8076" s="2" t="s">
        <v>252</v>
      </c>
      <c r="B8076" s="2" t="s">
        <v>253</v>
      </c>
      <c r="C8076" s="3">
        <v>1974</v>
      </c>
      <c r="D8076" s="4">
        <v>25296</v>
      </c>
    </row>
    <row r="8077" spans="1:4" x14ac:dyDescent="0.3">
      <c r="A8077" s="5" t="s">
        <v>252</v>
      </c>
      <c r="B8077" s="5" t="s">
        <v>253</v>
      </c>
      <c r="C8077" s="6">
        <v>1975</v>
      </c>
      <c r="D8077" s="7">
        <v>26154</v>
      </c>
    </row>
    <row r="8078" spans="1:4" x14ac:dyDescent="0.3">
      <c r="A8078" s="2" t="s">
        <v>252</v>
      </c>
      <c r="B8078" s="2" t="s">
        <v>253</v>
      </c>
      <c r="C8078" s="3">
        <v>1976</v>
      </c>
      <c r="D8078" s="4">
        <v>27021</v>
      </c>
    </row>
    <row r="8079" spans="1:4" x14ac:dyDescent="0.3">
      <c r="A8079" s="5" t="s">
        <v>252</v>
      </c>
      <c r="B8079" s="5" t="s">
        <v>253</v>
      </c>
      <c r="C8079" s="6">
        <v>1977</v>
      </c>
      <c r="D8079" s="7">
        <v>27906</v>
      </c>
    </row>
    <row r="8080" spans="1:4" x14ac:dyDescent="0.3">
      <c r="A8080" s="2" t="s">
        <v>252</v>
      </c>
      <c r="B8080" s="2" t="s">
        <v>253</v>
      </c>
      <c r="C8080" s="3">
        <v>1978</v>
      </c>
      <c r="D8080" s="4">
        <v>28809</v>
      </c>
    </row>
    <row r="8081" spans="1:4" x14ac:dyDescent="0.3">
      <c r="A8081" s="5" t="s">
        <v>252</v>
      </c>
      <c r="B8081" s="5" t="s">
        <v>253</v>
      </c>
      <c r="C8081" s="6">
        <v>1979</v>
      </c>
      <c r="D8081" s="7">
        <v>29738</v>
      </c>
    </row>
    <row r="8082" spans="1:4" x14ac:dyDescent="0.3">
      <c r="A8082" s="2" t="s">
        <v>252</v>
      </c>
      <c r="B8082" s="2" t="s">
        <v>253</v>
      </c>
      <c r="C8082" s="3">
        <v>1980</v>
      </c>
      <c r="D8082" s="4">
        <v>30774</v>
      </c>
    </row>
    <row r="8083" spans="1:4" x14ac:dyDescent="0.3">
      <c r="A8083" s="5" t="s">
        <v>252</v>
      </c>
      <c r="B8083" s="5" t="s">
        <v>253</v>
      </c>
      <c r="C8083" s="6">
        <v>1981</v>
      </c>
      <c r="D8083" s="7">
        <v>32017</v>
      </c>
    </row>
    <row r="8084" spans="1:4" x14ac:dyDescent="0.3">
      <c r="A8084" s="2" t="s">
        <v>252</v>
      </c>
      <c r="B8084" s="2" t="s">
        <v>253</v>
      </c>
      <c r="C8084" s="3">
        <v>1982</v>
      </c>
      <c r="D8084" s="4">
        <v>33397</v>
      </c>
    </row>
    <row r="8085" spans="1:4" x14ac:dyDescent="0.3">
      <c r="A8085" s="5" t="s">
        <v>252</v>
      </c>
      <c r="B8085" s="5" t="s">
        <v>253</v>
      </c>
      <c r="C8085" s="6">
        <v>1983</v>
      </c>
      <c r="D8085" s="7">
        <v>34811</v>
      </c>
    </row>
    <row r="8086" spans="1:4" x14ac:dyDescent="0.3">
      <c r="A8086" s="2" t="s">
        <v>252</v>
      </c>
      <c r="B8086" s="2" t="s">
        <v>253</v>
      </c>
      <c r="C8086" s="3">
        <v>1984</v>
      </c>
      <c r="D8086" s="4">
        <v>36264</v>
      </c>
    </row>
    <row r="8087" spans="1:4" x14ac:dyDescent="0.3">
      <c r="A8087" s="5" t="s">
        <v>252</v>
      </c>
      <c r="B8087" s="5" t="s">
        <v>253</v>
      </c>
      <c r="C8087" s="6">
        <v>1985</v>
      </c>
      <c r="D8087" s="7">
        <v>37761</v>
      </c>
    </row>
    <row r="8088" spans="1:4" x14ac:dyDescent="0.3">
      <c r="A8088" s="2" t="s">
        <v>252</v>
      </c>
      <c r="B8088" s="2" t="s">
        <v>253</v>
      </c>
      <c r="C8088" s="3">
        <v>1986</v>
      </c>
      <c r="D8088" s="4">
        <v>39286</v>
      </c>
    </row>
    <row r="8089" spans="1:4" x14ac:dyDescent="0.3">
      <c r="A8089" s="5" t="s">
        <v>252</v>
      </c>
      <c r="B8089" s="5" t="s">
        <v>253</v>
      </c>
      <c r="C8089" s="6">
        <v>1987</v>
      </c>
      <c r="D8089" s="7">
        <v>40828</v>
      </c>
    </row>
    <row r="8090" spans="1:4" x14ac:dyDescent="0.3">
      <c r="A8090" s="2" t="s">
        <v>252</v>
      </c>
      <c r="B8090" s="2" t="s">
        <v>253</v>
      </c>
      <c r="C8090" s="3">
        <v>1988</v>
      </c>
      <c r="D8090" s="4">
        <v>42321</v>
      </c>
    </row>
    <row r="8091" spans="1:4" x14ac:dyDescent="0.3">
      <c r="A8091" s="5" t="s">
        <v>252</v>
      </c>
      <c r="B8091" s="5" t="s">
        <v>253</v>
      </c>
      <c r="C8091" s="6">
        <v>1989</v>
      </c>
      <c r="D8091" s="7">
        <v>43586</v>
      </c>
    </row>
    <row r="8092" spans="1:4" x14ac:dyDescent="0.3">
      <c r="A8092" s="2" t="s">
        <v>252</v>
      </c>
      <c r="B8092" s="2" t="s">
        <v>253</v>
      </c>
      <c r="C8092" s="3">
        <v>1990</v>
      </c>
      <c r="D8092" s="4">
        <v>44629</v>
      </c>
    </row>
    <row r="8093" spans="1:4" x14ac:dyDescent="0.3">
      <c r="A8093" s="5" t="s">
        <v>252</v>
      </c>
      <c r="B8093" s="5" t="s">
        <v>253</v>
      </c>
      <c r="C8093" s="6">
        <v>1991</v>
      </c>
      <c r="D8093" s="7">
        <v>45568</v>
      </c>
    </row>
    <row r="8094" spans="1:4" x14ac:dyDescent="0.3">
      <c r="A8094" s="2" t="s">
        <v>252</v>
      </c>
      <c r="B8094" s="2" t="s">
        <v>253</v>
      </c>
      <c r="C8094" s="3">
        <v>1992</v>
      </c>
      <c r="D8094" s="4">
        <v>46388</v>
      </c>
    </row>
    <row r="8095" spans="1:4" x14ac:dyDescent="0.3">
      <c r="A8095" s="5" t="s">
        <v>252</v>
      </c>
      <c r="B8095" s="5" t="s">
        <v>253</v>
      </c>
      <c r="C8095" s="6">
        <v>1993</v>
      </c>
      <c r="D8095" s="7">
        <v>47093</v>
      </c>
    </row>
    <row r="8096" spans="1:4" x14ac:dyDescent="0.3">
      <c r="A8096" s="2" t="s">
        <v>252</v>
      </c>
      <c r="B8096" s="2" t="s">
        <v>253</v>
      </c>
      <c r="C8096" s="3">
        <v>1994</v>
      </c>
      <c r="D8096" s="4">
        <v>47712</v>
      </c>
    </row>
    <row r="8097" spans="1:4" x14ac:dyDescent="0.3">
      <c r="A8097" s="5" t="s">
        <v>252</v>
      </c>
      <c r="B8097" s="5" t="s">
        <v>253</v>
      </c>
      <c r="C8097" s="6">
        <v>1995</v>
      </c>
      <c r="D8097" s="7">
        <v>48266</v>
      </c>
    </row>
    <row r="8098" spans="1:4" x14ac:dyDescent="0.3">
      <c r="A8098" s="2" t="s">
        <v>252</v>
      </c>
      <c r="B8098" s="2" t="s">
        <v>253</v>
      </c>
      <c r="C8098" s="3">
        <v>1996</v>
      </c>
      <c r="D8098" s="4">
        <v>48775</v>
      </c>
    </row>
    <row r="8099" spans="1:4" x14ac:dyDescent="0.3">
      <c r="A8099" s="5" t="s">
        <v>252</v>
      </c>
      <c r="B8099" s="5" t="s">
        <v>253</v>
      </c>
      <c r="C8099" s="6">
        <v>1997</v>
      </c>
      <c r="D8099" s="7">
        <v>49259</v>
      </c>
    </row>
    <row r="8100" spans="1:4" x14ac:dyDescent="0.3">
      <c r="A8100" s="2" t="s">
        <v>252</v>
      </c>
      <c r="B8100" s="2" t="s">
        <v>253</v>
      </c>
      <c r="C8100" s="3">
        <v>1998</v>
      </c>
      <c r="D8100" s="4">
        <v>49717</v>
      </c>
    </row>
    <row r="8101" spans="1:4" x14ac:dyDescent="0.3">
      <c r="A8101" s="5" t="s">
        <v>252</v>
      </c>
      <c r="B8101" s="5" t="s">
        <v>253</v>
      </c>
      <c r="C8101" s="6">
        <v>1999</v>
      </c>
      <c r="D8101" s="7">
        <v>50202</v>
      </c>
    </row>
    <row r="8102" spans="1:4" x14ac:dyDescent="0.3">
      <c r="A8102" s="2" t="s">
        <v>252</v>
      </c>
      <c r="B8102" s="2" t="s">
        <v>253</v>
      </c>
      <c r="C8102" s="3">
        <v>2000</v>
      </c>
      <c r="D8102" s="4">
        <v>50706</v>
      </c>
    </row>
    <row r="8103" spans="1:4" x14ac:dyDescent="0.3">
      <c r="A8103" s="5" t="s">
        <v>252</v>
      </c>
      <c r="B8103" s="5" t="s">
        <v>253</v>
      </c>
      <c r="C8103" s="6">
        <v>2001</v>
      </c>
      <c r="D8103" s="7">
        <v>51123</v>
      </c>
    </row>
    <row r="8104" spans="1:4" x14ac:dyDescent="0.3">
      <c r="A8104" s="2" t="s">
        <v>252</v>
      </c>
      <c r="B8104" s="2" t="s">
        <v>253</v>
      </c>
      <c r="C8104" s="3">
        <v>2002</v>
      </c>
      <c r="D8104" s="4">
        <v>51425</v>
      </c>
    </row>
    <row r="8105" spans="1:4" x14ac:dyDescent="0.3">
      <c r="A8105" s="5" t="s">
        <v>252</v>
      </c>
      <c r="B8105" s="5" t="s">
        <v>253</v>
      </c>
      <c r="C8105" s="6">
        <v>2003</v>
      </c>
      <c r="D8105" s="7">
        <v>51639</v>
      </c>
    </row>
    <row r="8106" spans="1:4" x14ac:dyDescent="0.3">
      <c r="A8106" s="2" t="s">
        <v>252</v>
      </c>
      <c r="B8106" s="2" t="s">
        <v>253</v>
      </c>
      <c r="C8106" s="3">
        <v>2004</v>
      </c>
      <c r="D8106" s="4">
        <v>51791</v>
      </c>
    </row>
    <row r="8107" spans="1:4" x14ac:dyDescent="0.3">
      <c r="A8107" s="5" t="s">
        <v>252</v>
      </c>
      <c r="B8107" s="5" t="s">
        <v>253</v>
      </c>
      <c r="C8107" s="6">
        <v>2005</v>
      </c>
      <c r="D8107" s="7">
        <v>51906</v>
      </c>
    </row>
    <row r="8108" spans="1:4" x14ac:dyDescent="0.3">
      <c r="A8108" s="2" t="s">
        <v>252</v>
      </c>
      <c r="B8108" s="2" t="s">
        <v>253</v>
      </c>
      <c r="C8108" s="3">
        <v>2006</v>
      </c>
      <c r="D8108" s="4">
        <v>51992</v>
      </c>
    </row>
    <row r="8109" spans="1:4" x14ac:dyDescent="0.3">
      <c r="A8109" s="5" t="s">
        <v>252</v>
      </c>
      <c r="B8109" s="5" t="s">
        <v>253</v>
      </c>
      <c r="C8109" s="6">
        <v>2007</v>
      </c>
      <c r="D8109" s="7">
        <v>52035</v>
      </c>
    </row>
    <row r="8110" spans="1:4" x14ac:dyDescent="0.3">
      <c r="A8110" s="2" t="s">
        <v>252</v>
      </c>
      <c r="B8110" s="2" t="s">
        <v>253</v>
      </c>
      <c r="C8110" s="3">
        <v>2008</v>
      </c>
      <c r="D8110" s="4">
        <v>52030</v>
      </c>
    </row>
    <row r="8111" spans="1:4" x14ac:dyDescent="0.3">
      <c r="A8111" s="5" t="s">
        <v>252</v>
      </c>
      <c r="B8111" s="5" t="s">
        <v>253</v>
      </c>
      <c r="C8111" s="6">
        <v>2009</v>
      </c>
      <c r="D8111" s="7">
        <v>52019</v>
      </c>
    </row>
    <row r="8112" spans="1:4" x14ac:dyDescent="0.3">
      <c r="A8112" s="2" t="s">
        <v>252</v>
      </c>
      <c r="B8112" s="2" t="s">
        <v>253</v>
      </c>
      <c r="C8112" s="3">
        <v>2010</v>
      </c>
      <c r="D8112" s="4">
        <v>52044</v>
      </c>
    </row>
    <row r="8113" spans="1:4" x14ac:dyDescent="0.3">
      <c r="A8113" s="5" t="s">
        <v>252</v>
      </c>
      <c r="B8113" s="5" t="s">
        <v>253</v>
      </c>
      <c r="C8113" s="6">
        <v>2011</v>
      </c>
      <c r="D8113" s="7">
        <v>51907</v>
      </c>
    </row>
    <row r="8114" spans="1:4" x14ac:dyDescent="0.3">
      <c r="A8114" s="2" t="s">
        <v>252</v>
      </c>
      <c r="B8114" s="2" t="s">
        <v>253</v>
      </c>
      <c r="C8114" s="3">
        <v>2012</v>
      </c>
      <c r="D8114" s="4">
        <v>51419</v>
      </c>
    </row>
    <row r="8115" spans="1:4" x14ac:dyDescent="0.3">
      <c r="A8115" s="5" t="s">
        <v>252</v>
      </c>
      <c r="B8115" s="5" t="s">
        <v>253</v>
      </c>
      <c r="C8115" s="6">
        <v>2013</v>
      </c>
      <c r="D8115" s="7">
        <v>50681</v>
      </c>
    </row>
    <row r="8116" spans="1:4" x14ac:dyDescent="0.3">
      <c r="A8116" s="2" t="s">
        <v>252</v>
      </c>
      <c r="B8116" s="2" t="s">
        <v>253</v>
      </c>
      <c r="C8116" s="3">
        <v>2014</v>
      </c>
      <c r="D8116" s="4">
        <v>49796</v>
      </c>
    </row>
    <row r="8117" spans="1:4" x14ac:dyDescent="0.3">
      <c r="A8117" s="5" t="s">
        <v>252</v>
      </c>
      <c r="B8117" s="5" t="s">
        <v>253</v>
      </c>
      <c r="C8117" s="6">
        <v>2015</v>
      </c>
      <c r="D8117" s="7">
        <v>48800</v>
      </c>
    </row>
    <row r="8118" spans="1:4" x14ac:dyDescent="0.3">
      <c r="A8118" s="2" t="s">
        <v>252</v>
      </c>
      <c r="B8118" s="2" t="s">
        <v>253</v>
      </c>
      <c r="C8118" s="3">
        <v>2016</v>
      </c>
      <c r="D8118" s="4">
        <v>47709</v>
      </c>
    </row>
    <row r="8119" spans="1:4" x14ac:dyDescent="0.3">
      <c r="A8119" s="5" t="s">
        <v>252</v>
      </c>
      <c r="B8119" s="5" t="s">
        <v>253</v>
      </c>
      <c r="C8119" s="6">
        <v>2017</v>
      </c>
      <c r="D8119" s="7">
        <v>46529</v>
      </c>
    </row>
    <row r="8120" spans="1:4" x14ac:dyDescent="0.3">
      <c r="A8120" s="2" t="s">
        <v>252</v>
      </c>
      <c r="B8120" s="2" t="s">
        <v>253</v>
      </c>
      <c r="C8120" s="3">
        <v>2018</v>
      </c>
      <c r="D8120" s="4">
        <v>45285</v>
      </c>
    </row>
    <row r="8121" spans="1:4" x14ac:dyDescent="0.3">
      <c r="A8121" s="5" t="s">
        <v>252</v>
      </c>
      <c r="B8121" s="5" t="s">
        <v>253</v>
      </c>
      <c r="C8121" s="6">
        <v>2019</v>
      </c>
      <c r="D8121" s="7">
        <v>44007</v>
      </c>
    </row>
    <row r="8122" spans="1:4" x14ac:dyDescent="0.3">
      <c r="A8122" s="2" t="s">
        <v>252</v>
      </c>
      <c r="B8122" s="2" t="s">
        <v>253</v>
      </c>
      <c r="C8122" s="3">
        <v>2020</v>
      </c>
      <c r="D8122" s="4">
        <v>42706</v>
      </c>
    </row>
    <row r="8123" spans="1:4" x14ac:dyDescent="0.3">
      <c r="A8123" s="5" t="s">
        <v>252</v>
      </c>
      <c r="B8123" s="5" t="s">
        <v>253</v>
      </c>
      <c r="C8123" s="6">
        <v>2021</v>
      </c>
      <c r="D8123" s="7">
        <v>41367</v>
      </c>
    </row>
    <row r="8124" spans="1:4" x14ac:dyDescent="0.3">
      <c r="A8124" s="2" t="s">
        <v>252</v>
      </c>
      <c r="B8124" s="2" t="s">
        <v>253</v>
      </c>
      <c r="C8124" s="3">
        <v>2022</v>
      </c>
      <c r="D8124" s="4">
        <v>40077</v>
      </c>
    </row>
    <row r="8125" spans="1:4" x14ac:dyDescent="0.3">
      <c r="A8125" s="5" t="s">
        <v>252</v>
      </c>
      <c r="B8125" s="5" t="s">
        <v>253</v>
      </c>
      <c r="C8125" s="6">
        <v>2023</v>
      </c>
      <c r="D8125" s="7">
        <v>38827</v>
      </c>
    </row>
    <row r="8126" spans="1:4" x14ac:dyDescent="0.3">
      <c r="A8126" s="2" t="s">
        <v>252</v>
      </c>
      <c r="B8126" s="2" t="s">
        <v>253</v>
      </c>
      <c r="C8126" s="3">
        <v>2024</v>
      </c>
      <c r="D8126" s="4">
        <v>37548</v>
      </c>
    </row>
    <row r="8127" spans="1:4" x14ac:dyDescent="0.3">
      <c r="A8127" s="5" t="s">
        <v>254</v>
      </c>
      <c r="B8127" s="5" t="s">
        <v>255</v>
      </c>
      <c r="C8127" s="6">
        <v>1960</v>
      </c>
      <c r="D8127" s="7">
        <v>824298</v>
      </c>
    </row>
    <row r="8128" spans="1:4" x14ac:dyDescent="0.3">
      <c r="A8128" s="2" t="s">
        <v>254</v>
      </c>
      <c r="B8128" s="2" t="s">
        <v>255</v>
      </c>
      <c r="C8128" s="3">
        <v>1961</v>
      </c>
      <c r="D8128" s="4">
        <v>846167</v>
      </c>
    </row>
    <row r="8129" spans="1:4" x14ac:dyDescent="0.3">
      <c r="A8129" s="5" t="s">
        <v>254</v>
      </c>
      <c r="B8129" s="5" t="s">
        <v>255</v>
      </c>
      <c r="C8129" s="6">
        <v>1962</v>
      </c>
      <c r="D8129" s="7">
        <v>869184</v>
      </c>
    </row>
    <row r="8130" spans="1:4" x14ac:dyDescent="0.3">
      <c r="A8130" s="2" t="s">
        <v>254</v>
      </c>
      <c r="B8130" s="2" t="s">
        <v>255</v>
      </c>
      <c r="C8130" s="3">
        <v>1963</v>
      </c>
      <c r="D8130" s="4">
        <v>893423</v>
      </c>
    </row>
    <row r="8131" spans="1:4" x14ac:dyDescent="0.3">
      <c r="A8131" s="5" t="s">
        <v>254</v>
      </c>
      <c r="B8131" s="5" t="s">
        <v>255</v>
      </c>
      <c r="C8131" s="6">
        <v>1964</v>
      </c>
      <c r="D8131" s="7">
        <v>918955</v>
      </c>
    </row>
    <row r="8132" spans="1:4" x14ac:dyDescent="0.3">
      <c r="A8132" s="2" t="s">
        <v>254</v>
      </c>
      <c r="B8132" s="2" t="s">
        <v>255</v>
      </c>
      <c r="C8132" s="3">
        <v>1965</v>
      </c>
      <c r="D8132" s="4">
        <v>945838</v>
      </c>
    </row>
    <row r="8133" spans="1:4" x14ac:dyDescent="0.3">
      <c r="A8133" s="5" t="s">
        <v>254</v>
      </c>
      <c r="B8133" s="5" t="s">
        <v>255</v>
      </c>
      <c r="C8133" s="6">
        <v>1966</v>
      </c>
      <c r="D8133" s="7">
        <v>974157</v>
      </c>
    </row>
    <row r="8134" spans="1:4" x14ac:dyDescent="0.3">
      <c r="A8134" s="2" t="s">
        <v>254</v>
      </c>
      <c r="B8134" s="2" t="s">
        <v>255</v>
      </c>
      <c r="C8134" s="3">
        <v>1967</v>
      </c>
      <c r="D8134" s="4">
        <v>1003843</v>
      </c>
    </row>
    <row r="8135" spans="1:4" x14ac:dyDescent="0.3">
      <c r="A8135" s="5" t="s">
        <v>254</v>
      </c>
      <c r="B8135" s="5" t="s">
        <v>255</v>
      </c>
      <c r="C8135" s="6">
        <v>1968</v>
      </c>
      <c r="D8135" s="7">
        <v>1034739</v>
      </c>
    </row>
    <row r="8136" spans="1:4" x14ac:dyDescent="0.3">
      <c r="A8136" s="2" t="s">
        <v>254</v>
      </c>
      <c r="B8136" s="2" t="s">
        <v>255</v>
      </c>
      <c r="C8136" s="3">
        <v>1969</v>
      </c>
      <c r="D8136" s="4">
        <v>1066754</v>
      </c>
    </row>
    <row r="8137" spans="1:4" x14ac:dyDescent="0.3">
      <c r="A8137" s="5" t="s">
        <v>254</v>
      </c>
      <c r="B8137" s="5" t="s">
        <v>255</v>
      </c>
      <c r="C8137" s="6">
        <v>1970</v>
      </c>
      <c r="D8137" s="7">
        <v>1099806</v>
      </c>
    </row>
    <row r="8138" spans="1:4" x14ac:dyDescent="0.3">
      <c r="A8138" s="2" t="s">
        <v>254</v>
      </c>
      <c r="B8138" s="2" t="s">
        <v>255</v>
      </c>
      <c r="C8138" s="3">
        <v>1971</v>
      </c>
      <c r="D8138" s="4">
        <v>1133702</v>
      </c>
    </row>
    <row r="8139" spans="1:4" x14ac:dyDescent="0.3">
      <c r="A8139" s="5" t="s">
        <v>254</v>
      </c>
      <c r="B8139" s="5" t="s">
        <v>255</v>
      </c>
      <c r="C8139" s="6">
        <v>1972</v>
      </c>
      <c r="D8139" s="7">
        <v>1168355</v>
      </c>
    </row>
    <row r="8140" spans="1:4" x14ac:dyDescent="0.3">
      <c r="A8140" s="2" t="s">
        <v>254</v>
      </c>
      <c r="B8140" s="2" t="s">
        <v>255</v>
      </c>
      <c r="C8140" s="3">
        <v>1973</v>
      </c>
      <c r="D8140" s="4">
        <v>1203838</v>
      </c>
    </row>
    <row r="8141" spans="1:4" x14ac:dyDescent="0.3">
      <c r="A8141" s="5" t="s">
        <v>254</v>
      </c>
      <c r="B8141" s="5" t="s">
        <v>255</v>
      </c>
      <c r="C8141" s="6">
        <v>1974</v>
      </c>
      <c r="D8141" s="7">
        <v>1240188</v>
      </c>
    </row>
    <row r="8142" spans="1:4" x14ac:dyDescent="0.3">
      <c r="A8142" s="2" t="s">
        <v>254</v>
      </c>
      <c r="B8142" s="2" t="s">
        <v>255</v>
      </c>
      <c r="C8142" s="3">
        <v>1975</v>
      </c>
      <c r="D8142" s="4">
        <v>1277330</v>
      </c>
    </row>
    <row r="8143" spans="1:4" x14ac:dyDescent="0.3">
      <c r="A8143" s="5" t="s">
        <v>254</v>
      </c>
      <c r="B8143" s="5" t="s">
        <v>255</v>
      </c>
      <c r="C8143" s="6">
        <v>1976</v>
      </c>
      <c r="D8143" s="7">
        <v>1315336</v>
      </c>
    </row>
    <row r="8144" spans="1:4" x14ac:dyDescent="0.3">
      <c r="A8144" s="2" t="s">
        <v>254</v>
      </c>
      <c r="B8144" s="2" t="s">
        <v>255</v>
      </c>
      <c r="C8144" s="3">
        <v>1977</v>
      </c>
      <c r="D8144" s="4">
        <v>1353768</v>
      </c>
    </row>
    <row r="8145" spans="1:4" x14ac:dyDescent="0.3">
      <c r="A8145" s="5" t="s">
        <v>254</v>
      </c>
      <c r="B8145" s="5" t="s">
        <v>255</v>
      </c>
      <c r="C8145" s="6">
        <v>1978</v>
      </c>
      <c r="D8145" s="7">
        <v>1392713</v>
      </c>
    </row>
    <row r="8146" spans="1:4" x14ac:dyDescent="0.3">
      <c r="A8146" s="2" t="s">
        <v>254</v>
      </c>
      <c r="B8146" s="2" t="s">
        <v>255</v>
      </c>
      <c r="C8146" s="3">
        <v>1979</v>
      </c>
      <c r="D8146" s="4">
        <v>1432758</v>
      </c>
    </row>
    <row r="8147" spans="1:4" x14ac:dyDescent="0.3">
      <c r="A8147" s="5" t="s">
        <v>254</v>
      </c>
      <c r="B8147" s="5" t="s">
        <v>255</v>
      </c>
      <c r="C8147" s="6">
        <v>1980</v>
      </c>
      <c r="D8147" s="7">
        <v>1474043</v>
      </c>
    </row>
    <row r="8148" spans="1:4" x14ac:dyDescent="0.3">
      <c r="A8148" s="2" t="s">
        <v>254</v>
      </c>
      <c r="B8148" s="2" t="s">
        <v>255</v>
      </c>
      <c r="C8148" s="3">
        <v>1981</v>
      </c>
      <c r="D8148" s="4">
        <v>1516877</v>
      </c>
    </row>
    <row r="8149" spans="1:4" x14ac:dyDescent="0.3">
      <c r="A8149" s="5" t="s">
        <v>254</v>
      </c>
      <c r="B8149" s="5" t="s">
        <v>255</v>
      </c>
      <c r="C8149" s="6">
        <v>1982</v>
      </c>
      <c r="D8149" s="7">
        <v>1561176</v>
      </c>
    </row>
    <row r="8150" spans="1:4" x14ac:dyDescent="0.3">
      <c r="A8150" s="2" t="s">
        <v>254</v>
      </c>
      <c r="B8150" s="2" t="s">
        <v>255</v>
      </c>
      <c r="C8150" s="3">
        <v>1983</v>
      </c>
      <c r="D8150" s="4">
        <v>1606746</v>
      </c>
    </row>
    <row r="8151" spans="1:4" x14ac:dyDescent="0.3">
      <c r="A8151" s="5" t="s">
        <v>254</v>
      </c>
      <c r="B8151" s="5" t="s">
        <v>255</v>
      </c>
      <c r="C8151" s="6">
        <v>1984</v>
      </c>
      <c r="D8151" s="7">
        <v>1653693</v>
      </c>
    </row>
    <row r="8152" spans="1:4" x14ac:dyDescent="0.3">
      <c r="A8152" s="2" t="s">
        <v>254</v>
      </c>
      <c r="B8152" s="2" t="s">
        <v>255</v>
      </c>
      <c r="C8152" s="3">
        <v>1985</v>
      </c>
      <c r="D8152" s="4">
        <v>1702107</v>
      </c>
    </row>
    <row r="8153" spans="1:4" x14ac:dyDescent="0.3">
      <c r="A8153" s="5" t="s">
        <v>254</v>
      </c>
      <c r="B8153" s="5" t="s">
        <v>255</v>
      </c>
      <c r="C8153" s="6">
        <v>1986</v>
      </c>
      <c r="D8153" s="7">
        <v>1751835</v>
      </c>
    </row>
    <row r="8154" spans="1:4" x14ac:dyDescent="0.3">
      <c r="A8154" s="2" t="s">
        <v>254</v>
      </c>
      <c r="B8154" s="2" t="s">
        <v>255</v>
      </c>
      <c r="C8154" s="3">
        <v>1987</v>
      </c>
      <c r="D8154" s="4">
        <v>1803014</v>
      </c>
    </row>
    <row r="8155" spans="1:4" x14ac:dyDescent="0.3">
      <c r="A8155" s="5" t="s">
        <v>254</v>
      </c>
      <c r="B8155" s="5" t="s">
        <v>255</v>
      </c>
      <c r="C8155" s="6">
        <v>1988</v>
      </c>
      <c r="D8155" s="7">
        <v>1855859</v>
      </c>
    </row>
    <row r="8156" spans="1:4" x14ac:dyDescent="0.3">
      <c r="A8156" s="2" t="s">
        <v>254</v>
      </c>
      <c r="B8156" s="2" t="s">
        <v>255</v>
      </c>
      <c r="C8156" s="3">
        <v>1989</v>
      </c>
      <c r="D8156" s="4">
        <v>1903048</v>
      </c>
    </row>
    <row r="8157" spans="1:4" x14ac:dyDescent="0.3">
      <c r="A8157" s="5" t="s">
        <v>254</v>
      </c>
      <c r="B8157" s="5" t="s">
        <v>255</v>
      </c>
      <c r="C8157" s="6">
        <v>1990</v>
      </c>
      <c r="D8157" s="7">
        <v>1951878</v>
      </c>
    </row>
    <row r="8158" spans="1:4" x14ac:dyDescent="0.3">
      <c r="A8158" s="2" t="s">
        <v>254</v>
      </c>
      <c r="B8158" s="2" t="s">
        <v>255</v>
      </c>
      <c r="C8158" s="3">
        <v>1991</v>
      </c>
      <c r="D8158" s="4">
        <v>2009738</v>
      </c>
    </row>
    <row r="8159" spans="1:4" x14ac:dyDescent="0.3">
      <c r="A8159" s="5" t="s">
        <v>254</v>
      </c>
      <c r="B8159" s="5" t="s">
        <v>255</v>
      </c>
      <c r="C8159" s="6">
        <v>1992</v>
      </c>
      <c r="D8159" s="7">
        <v>2088135</v>
      </c>
    </row>
    <row r="8160" spans="1:4" x14ac:dyDescent="0.3">
      <c r="A8160" s="2" t="s">
        <v>254</v>
      </c>
      <c r="B8160" s="2" t="s">
        <v>255</v>
      </c>
      <c r="C8160" s="3">
        <v>1993</v>
      </c>
      <c r="D8160" s="4">
        <v>2174328</v>
      </c>
    </row>
    <row r="8161" spans="1:4" x14ac:dyDescent="0.3">
      <c r="A8161" s="5" t="s">
        <v>254</v>
      </c>
      <c r="B8161" s="5" t="s">
        <v>255</v>
      </c>
      <c r="C8161" s="6">
        <v>1994</v>
      </c>
      <c r="D8161" s="7">
        <v>2249454</v>
      </c>
    </row>
    <row r="8162" spans="1:4" x14ac:dyDescent="0.3">
      <c r="A8162" s="2" t="s">
        <v>254</v>
      </c>
      <c r="B8162" s="2" t="s">
        <v>255</v>
      </c>
      <c r="C8162" s="3">
        <v>1995</v>
      </c>
      <c r="D8162" s="4">
        <v>2312017</v>
      </c>
    </row>
    <row r="8163" spans="1:4" x14ac:dyDescent="0.3">
      <c r="A8163" s="5" t="s">
        <v>254</v>
      </c>
      <c r="B8163" s="5" t="s">
        <v>255</v>
      </c>
      <c r="C8163" s="6">
        <v>1996</v>
      </c>
      <c r="D8163" s="7">
        <v>2358188</v>
      </c>
    </row>
    <row r="8164" spans="1:4" x14ac:dyDescent="0.3">
      <c r="A8164" s="2" t="s">
        <v>254</v>
      </c>
      <c r="B8164" s="2" t="s">
        <v>255</v>
      </c>
      <c r="C8164" s="3">
        <v>1997</v>
      </c>
      <c r="D8164" s="4">
        <v>2411306</v>
      </c>
    </row>
    <row r="8165" spans="1:4" x14ac:dyDescent="0.3">
      <c r="A8165" s="5" t="s">
        <v>254</v>
      </c>
      <c r="B8165" s="5" t="s">
        <v>255</v>
      </c>
      <c r="C8165" s="6">
        <v>1998</v>
      </c>
      <c r="D8165" s="7">
        <v>2474651</v>
      </c>
    </row>
    <row r="8166" spans="1:4" x14ac:dyDescent="0.3">
      <c r="A8166" s="2" t="s">
        <v>254</v>
      </c>
      <c r="B8166" s="2" t="s">
        <v>255</v>
      </c>
      <c r="C8166" s="3">
        <v>1999</v>
      </c>
      <c r="D8166" s="4">
        <v>2541698</v>
      </c>
    </row>
    <row r="8167" spans="1:4" x14ac:dyDescent="0.3">
      <c r="A8167" s="5" t="s">
        <v>254</v>
      </c>
      <c r="B8167" s="5" t="s">
        <v>255</v>
      </c>
      <c r="C8167" s="6">
        <v>2000</v>
      </c>
      <c r="D8167" s="7">
        <v>2613441</v>
      </c>
    </row>
    <row r="8168" spans="1:4" x14ac:dyDescent="0.3">
      <c r="A8168" s="2" t="s">
        <v>254</v>
      </c>
      <c r="B8168" s="2" t="s">
        <v>255</v>
      </c>
      <c r="C8168" s="3">
        <v>2001</v>
      </c>
      <c r="D8168" s="4">
        <v>2678760</v>
      </c>
    </row>
    <row r="8169" spans="1:4" x14ac:dyDescent="0.3">
      <c r="A8169" s="5" t="s">
        <v>254</v>
      </c>
      <c r="B8169" s="5" t="s">
        <v>255</v>
      </c>
      <c r="C8169" s="6">
        <v>2002</v>
      </c>
      <c r="D8169" s="7">
        <v>2738655</v>
      </c>
    </row>
    <row r="8170" spans="1:4" x14ac:dyDescent="0.3">
      <c r="A8170" s="2" t="s">
        <v>254</v>
      </c>
      <c r="B8170" s="2" t="s">
        <v>255</v>
      </c>
      <c r="C8170" s="3">
        <v>2003</v>
      </c>
      <c r="D8170" s="4">
        <v>2802046</v>
      </c>
    </row>
    <row r="8171" spans="1:4" x14ac:dyDescent="0.3">
      <c r="A8171" s="5" t="s">
        <v>254</v>
      </c>
      <c r="B8171" s="5" t="s">
        <v>255</v>
      </c>
      <c r="C8171" s="6">
        <v>2004</v>
      </c>
      <c r="D8171" s="7">
        <v>2868664</v>
      </c>
    </row>
    <row r="8172" spans="1:4" x14ac:dyDescent="0.3">
      <c r="A8172" s="2" t="s">
        <v>254</v>
      </c>
      <c r="B8172" s="2" t="s">
        <v>255</v>
      </c>
      <c r="C8172" s="3">
        <v>2005</v>
      </c>
      <c r="D8172" s="4">
        <v>2939059</v>
      </c>
    </row>
    <row r="8173" spans="1:4" x14ac:dyDescent="0.3">
      <c r="A8173" s="5" t="s">
        <v>254</v>
      </c>
      <c r="B8173" s="5" t="s">
        <v>255</v>
      </c>
      <c r="C8173" s="6">
        <v>2006</v>
      </c>
      <c r="D8173" s="7">
        <v>3013660</v>
      </c>
    </row>
    <row r="8174" spans="1:4" x14ac:dyDescent="0.3">
      <c r="A8174" s="2" t="s">
        <v>254</v>
      </c>
      <c r="B8174" s="2" t="s">
        <v>255</v>
      </c>
      <c r="C8174" s="3">
        <v>2007</v>
      </c>
      <c r="D8174" s="4">
        <v>3093059</v>
      </c>
    </row>
    <row r="8175" spans="1:4" x14ac:dyDescent="0.3">
      <c r="A8175" s="5" t="s">
        <v>254</v>
      </c>
      <c r="B8175" s="5" t="s">
        <v>255</v>
      </c>
      <c r="C8175" s="6">
        <v>2008</v>
      </c>
      <c r="D8175" s="7">
        <v>3183269</v>
      </c>
    </row>
    <row r="8176" spans="1:4" x14ac:dyDescent="0.3">
      <c r="A8176" s="2" t="s">
        <v>254</v>
      </c>
      <c r="B8176" s="2" t="s">
        <v>255</v>
      </c>
      <c r="C8176" s="3">
        <v>2009</v>
      </c>
      <c r="D8176" s="4">
        <v>3284448</v>
      </c>
    </row>
    <row r="8177" spans="1:4" x14ac:dyDescent="0.3">
      <c r="A8177" s="5" t="s">
        <v>254</v>
      </c>
      <c r="B8177" s="5" t="s">
        <v>255</v>
      </c>
      <c r="C8177" s="6">
        <v>2010</v>
      </c>
      <c r="D8177" s="7">
        <v>3390965</v>
      </c>
    </row>
    <row r="8178" spans="1:4" x14ac:dyDescent="0.3">
      <c r="A8178" s="2" t="s">
        <v>254</v>
      </c>
      <c r="B8178" s="2" t="s">
        <v>255</v>
      </c>
      <c r="C8178" s="3">
        <v>2011</v>
      </c>
      <c r="D8178" s="4">
        <v>3502811</v>
      </c>
    </row>
    <row r="8179" spans="1:4" x14ac:dyDescent="0.3">
      <c r="A8179" s="5" t="s">
        <v>254</v>
      </c>
      <c r="B8179" s="5" t="s">
        <v>255</v>
      </c>
      <c r="C8179" s="6">
        <v>2012</v>
      </c>
      <c r="D8179" s="7">
        <v>3619034</v>
      </c>
    </row>
    <row r="8180" spans="1:4" x14ac:dyDescent="0.3">
      <c r="A8180" s="2" t="s">
        <v>254</v>
      </c>
      <c r="B8180" s="2" t="s">
        <v>255</v>
      </c>
      <c r="C8180" s="3">
        <v>2013</v>
      </c>
      <c r="D8180" s="4">
        <v>3734318</v>
      </c>
    </row>
    <row r="8181" spans="1:4" x14ac:dyDescent="0.3">
      <c r="A8181" s="5" t="s">
        <v>254</v>
      </c>
      <c r="B8181" s="5" t="s">
        <v>255</v>
      </c>
      <c r="C8181" s="6">
        <v>2014</v>
      </c>
      <c r="D8181" s="7">
        <v>3848514</v>
      </c>
    </row>
    <row r="8182" spans="1:4" x14ac:dyDescent="0.3">
      <c r="A8182" s="2" t="s">
        <v>254</v>
      </c>
      <c r="B8182" s="2" t="s">
        <v>255</v>
      </c>
      <c r="C8182" s="3">
        <v>2015</v>
      </c>
      <c r="D8182" s="4">
        <v>3965959</v>
      </c>
    </row>
    <row r="8183" spans="1:4" x14ac:dyDescent="0.3">
      <c r="A8183" s="5" t="s">
        <v>254</v>
      </c>
      <c r="B8183" s="5" t="s">
        <v>255</v>
      </c>
      <c r="C8183" s="6">
        <v>2016</v>
      </c>
      <c r="D8183" s="7">
        <v>4086657</v>
      </c>
    </row>
    <row r="8184" spans="1:4" x14ac:dyDescent="0.3">
      <c r="A8184" s="2" t="s">
        <v>254</v>
      </c>
      <c r="B8184" s="2" t="s">
        <v>255</v>
      </c>
      <c r="C8184" s="3">
        <v>2017</v>
      </c>
      <c r="D8184" s="4">
        <v>4210600</v>
      </c>
    </row>
    <row r="8185" spans="1:4" x14ac:dyDescent="0.3">
      <c r="A8185" s="5" t="s">
        <v>254</v>
      </c>
      <c r="B8185" s="5" t="s">
        <v>255</v>
      </c>
      <c r="C8185" s="6">
        <v>2018</v>
      </c>
      <c r="D8185" s="7">
        <v>4337685</v>
      </c>
    </row>
    <row r="8186" spans="1:4" x14ac:dyDescent="0.3">
      <c r="A8186" s="2" t="s">
        <v>254</v>
      </c>
      <c r="B8186" s="2" t="s">
        <v>255</v>
      </c>
      <c r="C8186" s="3">
        <v>2019</v>
      </c>
      <c r="D8186" s="4">
        <v>4467708</v>
      </c>
    </row>
    <row r="8187" spans="1:4" x14ac:dyDescent="0.3">
      <c r="A8187" s="5" t="s">
        <v>254</v>
      </c>
      <c r="B8187" s="5" t="s">
        <v>255</v>
      </c>
      <c r="C8187" s="6">
        <v>2020</v>
      </c>
      <c r="D8187" s="7">
        <v>4600131</v>
      </c>
    </row>
    <row r="8188" spans="1:4" x14ac:dyDescent="0.3">
      <c r="A8188" s="2" t="s">
        <v>254</v>
      </c>
      <c r="B8188" s="2" t="s">
        <v>255</v>
      </c>
      <c r="C8188" s="3">
        <v>2021</v>
      </c>
      <c r="D8188" s="4">
        <v>4734874</v>
      </c>
    </row>
    <row r="8189" spans="1:4" x14ac:dyDescent="0.3">
      <c r="A8189" s="5" t="s">
        <v>254</v>
      </c>
      <c r="B8189" s="5" t="s">
        <v>255</v>
      </c>
      <c r="C8189" s="6">
        <v>2022</v>
      </c>
      <c r="D8189" s="7">
        <v>4875637</v>
      </c>
    </row>
    <row r="8190" spans="1:4" x14ac:dyDescent="0.3">
      <c r="A8190" s="2" t="s">
        <v>254</v>
      </c>
      <c r="B8190" s="2" t="s">
        <v>255</v>
      </c>
      <c r="C8190" s="3">
        <v>2023</v>
      </c>
      <c r="D8190" s="4">
        <v>5022441</v>
      </c>
    </row>
    <row r="8191" spans="1:4" x14ac:dyDescent="0.3">
      <c r="A8191" s="5" t="s">
        <v>254</v>
      </c>
      <c r="B8191" s="5" t="s">
        <v>255</v>
      </c>
      <c r="C8191" s="6">
        <v>2024</v>
      </c>
      <c r="D8191" s="7">
        <v>5169395</v>
      </c>
    </row>
    <row r="8192" spans="1:4" x14ac:dyDescent="0.3">
      <c r="A8192" s="2" t="s">
        <v>256</v>
      </c>
      <c r="B8192" s="2" t="s">
        <v>257</v>
      </c>
      <c r="C8192" s="3">
        <v>1960</v>
      </c>
      <c r="D8192" s="4">
        <v>680331</v>
      </c>
    </row>
    <row r="8193" spans="1:4" x14ac:dyDescent="0.3">
      <c r="A8193" s="5" t="s">
        <v>256</v>
      </c>
      <c r="B8193" s="5" t="s">
        <v>257</v>
      </c>
      <c r="C8193" s="6">
        <v>1961</v>
      </c>
      <c r="D8193" s="7">
        <v>680757</v>
      </c>
    </row>
    <row r="8194" spans="1:4" x14ac:dyDescent="0.3">
      <c r="A8194" s="2" t="s">
        <v>256</v>
      </c>
      <c r="B8194" s="2" t="s">
        <v>257</v>
      </c>
      <c r="C8194" s="3">
        <v>1962</v>
      </c>
      <c r="D8194" s="4">
        <v>700349</v>
      </c>
    </row>
    <row r="8195" spans="1:4" x14ac:dyDescent="0.3">
      <c r="A8195" s="5" t="s">
        <v>256</v>
      </c>
      <c r="B8195" s="5" t="s">
        <v>257</v>
      </c>
      <c r="C8195" s="6">
        <v>1963</v>
      </c>
      <c r="D8195" s="7">
        <v>718861</v>
      </c>
    </row>
    <row r="8196" spans="1:4" x14ac:dyDescent="0.3">
      <c r="A8196" s="2" t="s">
        <v>256</v>
      </c>
      <c r="B8196" s="2" t="s">
        <v>257</v>
      </c>
      <c r="C8196" s="3">
        <v>1964</v>
      </c>
      <c r="D8196" s="4">
        <v>736381</v>
      </c>
    </row>
    <row r="8197" spans="1:4" x14ac:dyDescent="0.3">
      <c r="A8197" s="5" t="s">
        <v>256</v>
      </c>
      <c r="B8197" s="5" t="s">
        <v>257</v>
      </c>
      <c r="C8197" s="6">
        <v>1965</v>
      </c>
      <c r="D8197" s="7">
        <v>753000</v>
      </c>
    </row>
    <row r="8198" spans="1:4" x14ac:dyDescent="0.3">
      <c r="A8198" s="2" t="s">
        <v>256</v>
      </c>
      <c r="B8198" s="2" t="s">
        <v>257</v>
      </c>
      <c r="C8198" s="3">
        <v>1966</v>
      </c>
      <c r="D8198" s="4">
        <v>768813</v>
      </c>
    </row>
    <row r="8199" spans="1:4" x14ac:dyDescent="0.3">
      <c r="A8199" s="5" t="s">
        <v>256</v>
      </c>
      <c r="B8199" s="5" t="s">
        <v>257</v>
      </c>
      <c r="C8199" s="6">
        <v>1967</v>
      </c>
      <c r="D8199" s="7">
        <v>783917</v>
      </c>
    </row>
    <row r="8200" spans="1:4" x14ac:dyDescent="0.3">
      <c r="A8200" s="2" t="s">
        <v>256</v>
      </c>
      <c r="B8200" s="2" t="s">
        <v>257</v>
      </c>
      <c r="C8200" s="3">
        <v>1968</v>
      </c>
      <c r="D8200" s="4">
        <v>798413</v>
      </c>
    </row>
    <row r="8201" spans="1:4" x14ac:dyDescent="0.3">
      <c r="A8201" s="5" t="s">
        <v>256</v>
      </c>
      <c r="B8201" s="5" t="s">
        <v>257</v>
      </c>
      <c r="C8201" s="6">
        <v>1969</v>
      </c>
      <c r="D8201" s="7">
        <v>812405</v>
      </c>
    </row>
    <row r="8202" spans="1:4" x14ac:dyDescent="0.3">
      <c r="A8202" s="2" t="s">
        <v>256</v>
      </c>
      <c r="B8202" s="2" t="s">
        <v>257</v>
      </c>
      <c r="C8202" s="3">
        <v>1970</v>
      </c>
      <c r="D8202" s="4">
        <v>826000</v>
      </c>
    </row>
    <row r="8203" spans="1:4" x14ac:dyDescent="0.3">
      <c r="A8203" s="5" t="s">
        <v>256</v>
      </c>
      <c r="B8203" s="5" t="s">
        <v>257</v>
      </c>
      <c r="C8203" s="6">
        <v>1971</v>
      </c>
      <c r="D8203" s="7">
        <v>839230</v>
      </c>
    </row>
    <row r="8204" spans="1:4" x14ac:dyDescent="0.3">
      <c r="A8204" s="2" t="s">
        <v>256</v>
      </c>
      <c r="B8204" s="2" t="s">
        <v>257</v>
      </c>
      <c r="C8204" s="3">
        <v>1972</v>
      </c>
      <c r="D8204" s="4">
        <v>852053</v>
      </c>
    </row>
    <row r="8205" spans="1:4" x14ac:dyDescent="0.3">
      <c r="A8205" s="5" t="s">
        <v>256</v>
      </c>
      <c r="B8205" s="5" t="s">
        <v>257</v>
      </c>
      <c r="C8205" s="6">
        <v>1973</v>
      </c>
      <c r="D8205" s="7">
        <v>864819</v>
      </c>
    </row>
    <row r="8206" spans="1:4" x14ac:dyDescent="0.3">
      <c r="A8206" s="2" t="s">
        <v>256</v>
      </c>
      <c r="B8206" s="2" t="s">
        <v>257</v>
      </c>
      <c r="C8206" s="3">
        <v>1974</v>
      </c>
      <c r="D8206" s="4">
        <v>878042</v>
      </c>
    </row>
    <row r="8207" spans="1:4" x14ac:dyDescent="0.3">
      <c r="A8207" s="5" t="s">
        <v>256</v>
      </c>
      <c r="B8207" s="5" t="s">
        <v>257</v>
      </c>
      <c r="C8207" s="6">
        <v>1975</v>
      </c>
      <c r="D8207" s="7">
        <v>892000</v>
      </c>
    </row>
    <row r="8208" spans="1:4" x14ac:dyDescent="0.3">
      <c r="A8208" s="2" t="s">
        <v>256</v>
      </c>
      <c r="B8208" s="2" t="s">
        <v>257</v>
      </c>
      <c r="C8208" s="3">
        <v>1976</v>
      </c>
      <c r="D8208" s="4">
        <v>906507</v>
      </c>
    </row>
    <row r="8209" spans="1:4" x14ac:dyDescent="0.3">
      <c r="A8209" s="5" t="s">
        <v>256</v>
      </c>
      <c r="B8209" s="5" t="s">
        <v>257</v>
      </c>
      <c r="C8209" s="6">
        <v>1977</v>
      </c>
      <c r="D8209" s="7">
        <v>921379</v>
      </c>
    </row>
    <row r="8210" spans="1:4" x14ac:dyDescent="0.3">
      <c r="A8210" s="2" t="s">
        <v>256</v>
      </c>
      <c r="B8210" s="2" t="s">
        <v>257</v>
      </c>
      <c r="C8210" s="3">
        <v>1978</v>
      </c>
      <c r="D8210" s="4">
        <v>933499</v>
      </c>
    </row>
    <row r="8211" spans="1:4" x14ac:dyDescent="0.3">
      <c r="A8211" s="5" t="s">
        <v>256</v>
      </c>
      <c r="B8211" s="5" t="s">
        <v>257</v>
      </c>
      <c r="C8211" s="6">
        <v>1979</v>
      </c>
      <c r="D8211" s="7">
        <v>949888</v>
      </c>
    </row>
    <row r="8212" spans="1:4" x14ac:dyDescent="0.3">
      <c r="A8212" s="2" t="s">
        <v>256</v>
      </c>
      <c r="B8212" s="2" t="s">
        <v>257</v>
      </c>
      <c r="C8212" s="3">
        <v>1980</v>
      </c>
      <c r="D8212" s="4">
        <v>966039</v>
      </c>
    </row>
    <row r="8213" spans="1:4" x14ac:dyDescent="0.3">
      <c r="A8213" s="5" t="s">
        <v>256</v>
      </c>
      <c r="B8213" s="5" t="s">
        <v>257</v>
      </c>
      <c r="C8213" s="6">
        <v>1981</v>
      </c>
      <c r="D8213" s="7">
        <v>980462</v>
      </c>
    </row>
    <row r="8214" spans="1:4" x14ac:dyDescent="0.3">
      <c r="A8214" s="2" t="s">
        <v>256</v>
      </c>
      <c r="B8214" s="2" t="s">
        <v>257</v>
      </c>
      <c r="C8214" s="3">
        <v>1982</v>
      </c>
      <c r="D8214" s="4">
        <v>992521</v>
      </c>
    </row>
    <row r="8215" spans="1:4" x14ac:dyDescent="0.3">
      <c r="A8215" s="5" t="s">
        <v>256</v>
      </c>
      <c r="B8215" s="5" t="s">
        <v>257</v>
      </c>
      <c r="C8215" s="6">
        <v>1983</v>
      </c>
      <c r="D8215" s="7">
        <v>1001691</v>
      </c>
    </row>
    <row r="8216" spans="1:4" x14ac:dyDescent="0.3">
      <c r="A8216" s="2" t="s">
        <v>256</v>
      </c>
      <c r="B8216" s="2" t="s">
        <v>257</v>
      </c>
      <c r="C8216" s="3">
        <v>1984</v>
      </c>
      <c r="D8216" s="4">
        <v>1012221</v>
      </c>
    </row>
    <row r="8217" spans="1:4" x14ac:dyDescent="0.3">
      <c r="A8217" s="5" t="s">
        <v>256</v>
      </c>
      <c r="B8217" s="5" t="s">
        <v>257</v>
      </c>
      <c r="C8217" s="6">
        <v>1985</v>
      </c>
      <c r="D8217" s="7">
        <v>1020528</v>
      </c>
    </row>
    <row r="8218" spans="1:4" x14ac:dyDescent="0.3">
      <c r="A8218" s="2" t="s">
        <v>256</v>
      </c>
      <c r="B8218" s="2" t="s">
        <v>257</v>
      </c>
      <c r="C8218" s="3">
        <v>1986</v>
      </c>
      <c r="D8218" s="4">
        <v>1028360</v>
      </c>
    </row>
    <row r="8219" spans="1:4" x14ac:dyDescent="0.3">
      <c r="A8219" s="5" t="s">
        <v>256</v>
      </c>
      <c r="B8219" s="5" t="s">
        <v>257</v>
      </c>
      <c r="C8219" s="6">
        <v>1987</v>
      </c>
      <c r="D8219" s="7">
        <v>1036082</v>
      </c>
    </row>
    <row r="8220" spans="1:4" x14ac:dyDescent="0.3">
      <c r="A8220" s="2" t="s">
        <v>256</v>
      </c>
      <c r="B8220" s="2" t="s">
        <v>257</v>
      </c>
      <c r="C8220" s="3">
        <v>1988</v>
      </c>
      <c r="D8220" s="4">
        <v>1043239</v>
      </c>
    </row>
    <row r="8221" spans="1:4" x14ac:dyDescent="0.3">
      <c r="A8221" s="5" t="s">
        <v>256</v>
      </c>
      <c r="B8221" s="5" t="s">
        <v>257</v>
      </c>
      <c r="C8221" s="6">
        <v>1989</v>
      </c>
      <c r="D8221" s="7">
        <v>1051260</v>
      </c>
    </row>
    <row r="8222" spans="1:4" x14ac:dyDescent="0.3">
      <c r="A8222" s="2" t="s">
        <v>256</v>
      </c>
      <c r="B8222" s="2" t="s">
        <v>257</v>
      </c>
      <c r="C8222" s="3">
        <v>1990</v>
      </c>
      <c r="D8222" s="4">
        <v>1058775</v>
      </c>
    </row>
    <row r="8223" spans="1:4" x14ac:dyDescent="0.3">
      <c r="A8223" s="5" t="s">
        <v>256</v>
      </c>
      <c r="B8223" s="5" t="s">
        <v>257</v>
      </c>
      <c r="C8223" s="6">
        <v>1991</v>
      </c>
      <c r="D8223" s="7">
        <v>1070266</v>
      </c>
    </row>
    <row r="8224" spans="1:4" x14ac:dyDescent="0.3">
      <c r="A8224" s="2" t="s">
        <v>256</v>
      </c>
      <c r="B8224" s="2" t="s">
        <v>257</v>
      </c>
      <c r="C8224" s="3">
        <v>1992</v>
      </c>
      <c r="D8224" s="4">
        <v>1084441</v>
      </c>
    </row>
    <row r="8225" spans="1:4" x14ac:dyDescent="0.3">
      <c r="A8225" s="5" t="s">
        <v>256</v>
      </c>
      <c r="B8225" s="5" t="s">
        <v>257</v>
      </c>
      <c r="C8225" s="6">
        <v>1993</v>
      </c>
      <c r="D8225" s="7">
        <v>1097374</v>
      </c>
    </row>
    <row r="8226" spans="1:4" x14ac:dyDescent="0.3">
      <c r="A8226" s="2" t="s">
        <v>256</v>
      </c>
      <c r="B8226" s="2" t="s">
        <v>257</v>
      </c>
      <c r="C8226" s="3">
        <v>1994</v>
      </c>
      <c r="D8226" s="4">
        <v>1112846</v>
      </c>
    </row>
    <row r="8227" spans="1:4" x14ac:dyDescent="0.3">
      <c r="A8227" s="5" t="s">
        <v>256</v>
      </c>
      <c r="B8227" s="5" t="s">
        <v>257</v>
      </c>
      <c r="C8227" s="6">
        <v>1995</v>
      </c>
      <c r="D8227" s="7">
        <v>1122457</v>
      </c>
    </row>
    <row r="8228" spans="1:4" x14ac:dyDescent="0.3">
      <c r="A8228" s="2" t="s">
        <v>256</v>
      </c>
      <c r="B8228" s="2" t="s">
        <v>257</v>
      </c>
      <c r="C8228" s="3">
        <v>1996</v>
      </c>
      <c r="D8228" s="4">
        <v>1133996</v>
      </c>
    </row>
    <row r="8229" spans="1:4" x14ac:dyDescent="0.3">
      <c r="A8229" s="5" t="s">
        <v>256</v>
      </c>
      <c r="B8229" s="5" t="s">
        <v>257</v>
      </c>
      <c r="C8229" s="6">
        <v>1997</v>
      </c>
      <c r="D8229" s="7">
        <v>1148284</v>
      </c>
    </row>
    <row r="8230" spans="1:4" x14ac:dyDescent="0.3">
      <c r="A8230" s="2" t="s">
        <v>256</v>
      </c>
      <c r="B8230" s="2" t="s">
        <v>257</v>
      </c>
      <c r="C8230" s="3">
        <v>1998</v>
      </c>
      <c r="D8230" s="4">
        <v>1160421</v>
      </c>
    </row>
    <row r="8231" spans="1:4" x14ac:dyDescent="0.3">
      <c r="A8231" s="5" t="s">
        <v>256</v>
      </c>
      <c r="B8231" s="5" t="s">
        <v>257</v>
      </c>
      <c r="C8231" s="6">
        <v>1999</v>
      </c>
      <c r="D8231" s="7">
        <v>1175267</v>
      </c>
    </row>
    <row r="8232" spans="1:4" x14ac:dyDescent="0.3">
      <c r="A8232" s="2" t="s">
        <v>256</v>
      </c>
      <c r="B8232" s="2" t="s">
        <v>257</v>
      </c>
      <c r="C8232" s="3">
        <v>2000</v>
      </c>
      <c r="D8232" s="4">
        <v>1186873</v>
      </c>
    </row>
    <row r="8233" spans="1:4" x14ac:dyDescent="0.3">
      <c r="A8233" s="5" t="s">
        <v>256</v>
      </c>
      <c r="B8233" s="5" t="s">
        <v>257</v>
      </c>
      <c r="C8233" s="6">
        <v>2001</v>
      </c>
      <c r="D8233" s="7">
        <v>1196287</v>
      </c>
    </row>
    <row r="8234" spans="1:4" x14ac:dyDescent="0.3">
      <c r="A8234" s="2" t="s">
        <v>256</v>
      </c>
      <c r="B8234" s="2" t="s">
        <v>257</v>
      </c>
      <c r="C8234" s="3">
        <v>2002</v>
      </c>
      <c r="D8234" s="4">
        <v>1204621</v>
      </c>
    </row>
    <row r="8235" spans="1:4" x14ac:dyDescent="0.3">
      <c r="A8235" s="5" t="s">
        <v>256</v>
      </c>
      <c r="B8235" s="5" t="s">
        <v>257</v>
      </c>
      <c r="C8235" s="6">
        <v>2003</v>
      </c>
      <c r="D8235" s="7">
        <v>1213370</v>
      </c>
    </row>
    <row r="8236" spans="1:4" x14ac:dyDescent="0.3">
      <c r="A8236" s="2" t="s">
        <v>256</v>
      </c>
      <c r="B8236" s="2" t="s">
        <v>257</v>
      </c>
      <c r="C8236" s="3">
        <v>2004</v>
      </c>
      <c r="D8236" s="4">
        <v>1221003</v>
      </c>
    </row>
    <row r="8237" spans="1:4" x14ac:dyDescent="0.3">
      <c r="A8237" s="5" t="s">
        <v>256</v>
      </c>
      <c r="B8237" s="5" t="s">
        <v>257</v>
      </c>
      <c r="C8237" s="6">
        <v>2005</v>
      </c>
      <c r="D8237" s="7">
        <v>1228254</v>
      </c>
    </row>
    <row r="8238" spans="1:4" x14ac:dyDescent="0.3">
      <c r="A8238" s="2" t="s">
        <v>256</v>
      </c>
      <c r="B8238" s="2" t="s">
        <v>257</v>
      </c>
      <c r="C8238" s="3">
        <v>2006</v>
      </c>
      <c r="D8238" s="4">
        <v>1233996</v>
      </c>
    </row>
    <row r="8239" spans="1:4" x14ac:dyDescent="0.3">
      <c r="A8239" s="5" t="s">
        <v>256</v>
      </c>
      <c r="B8239" s="5" t="s">
        <v>257</v>
      </c>
      <c r="C8239" s="6">
        <v>2007</v>
      </c>
      <c r="D8239" s="7">
        <v>1239630</v>
      </c>
    </row>
    <row r="8240" spans="1:4" x14ac:dyDescent="0.3">
      <c r="A8240" s="2" t="s">
        <v>256</v>
      </c>
      <c r="B8240" s="2" t="s">
        <v>257</v>
      </c>
      <c r="C8240" s="3">
        <v>2008</v>
      </c>
      <c r="D8240" s="4">
        <v>1244121</v>
      </c>
    </row>
    <row r="8241" spans="1:4" x14ac:dyDescent="0.3">
      <c r="A8241" s="5" t="s">
        <v>256</v>
      </c>
      <c r="B8241" s="5" t="s">
        <v>257</v>
      </c>
      <c r="C8241" s="6">
        <v>2009</v>
      </c>
      <c r="D8241" s="7">
        <v>1247429</v>
      </c>
    </row>
    <row r="8242" spans="1:4" x14ac:dyDescent="0.3">
      <c r="A8242" s="2" t="s">
        <v>256</v>
      </c>
      <c r="B8242" s="2" t="s">
        <v>257</v>
      </c>
      <c r="C8242" s="3">
        <v>2010</v>
      </c>
      <c r="D8242" s="4">
        <v>1250400</v>
      </c>
    </row>
    <row r="8243" spans="1:4" x14ac:dyDescent="0.3">
      <c r="A8243" s="5" t="s">
        <v>256</v>
      </c>
      <c r="B8243" s="5" t="s">
        <v>257</v>
      </c>
      <c r="C8243" s="6">
        <v>2011</v>
      </c>
      <c r="D8243" s="7">
        <v>1252404</v>
      </c>
    </row>
    <row r="8244" spans="1:4" x14ac:dyDescent="0.3">
      <c r="A8244" s="2" t="s">
        <v>256</v>
      </c>
      <c r="B8244" s="2" t="s">
        <v>257</v>
      </c>
      <c r="C8244" s="3">
        <v>2012</v>
      </c>
      <c r="D8244" s="4">
        <v>1255882</v>
      </c>
    </row>
    <row r="8245" spans="1:4" x14ac:dyDescent="0.3">
      <c r="A8245" s="5" t="s">
        <v>256</v>
      </c>
      <c r="B8245" s="5" t="s">
        <v>257</v>
      </c>
      <c r="C8245" s="6">
        <v>2013</v>
      </c>
      <c r="D8245" s="7">
        <v>1258927</v>
      </c>
    </row>
    <row r="8246" spans="1:4" x14ac:dyDescent="0.3">
      <c r="A8246" s="2" t="s">
        <v>256</v>
      </c>
      <c r="B8246" s="2" t="s">
        <v>257</v>
      </c>
      <c r="C8246" s="3">
        <v>2014</v>
      </c>
      <c r="D8246" s="4">
        <v>1261208</v>
      </c>
    </row>
    <row r="8247" spans="1:4" x14ac:dyDescent="0.3">
      <c r="A8247" s="5" t="s">
        <v>256</v>
      </c>
      <c r="B8247" s="5" t="s">
        <v>257</v>
      </c>
      <c r="C8247" s="6">
        <v>2015</v>
      </c>
      <c r="D8247" s="7">
        <v>1262879</v>
      </c>
    </row>
    <row r="8248" spans="1:4" x14ac:dyDescent="0.3">
      <c r="A8248" s="2" t="s">
        <v>256</v>
      </c>
      <c r="B8248" s="2" t="s">
        <v>257</v>
      </c>
      <c r="C8248" s="3">
        <v>2016</v>
      </c>
      <c r="D8248" s="4">
        <v>1263747</v>
      </c>
    </row>
    <row r="8249" spans="1:4" x14ac:dyDescent="0.3">
      <c r="A8249" s="5" t="s">
        <v>256</v>
      </c>
      <c r="B8249" s="5" t="s">
        <v>257</v>
      </c>
      <c r="C8249" s="6">
        <v>2017</v>
      </c>
      <c r="D8249" s="7">
        <v>1264887</v>
      </c>
    </row>
    <row r="8250" spans="1:4" x14ac:dyDescent="0.3">
      <c r="A8250" s="2" t="s">
        <v>256</v>
      </c>
      <c r="B8250" s="2" t="s">
        <v>257</v>
      </c>
      <c r="C8250" s="3">
        <v>2018</v>
      </c>
      <c r="D8250" s="4">
        <v>1265577</v>
      </c>
    </row>
    <row r="8251" spans="1:4" x14ac:dyDescent="0.3">
      <c r="A8251" s="5" t="s">
        <v>256</v>
      </c>
      <c r="B8251" s="5" t="s">
        <v>257</v>
      </c>
      <c r="C8251" s="6">
        <v>2019</v>
      </c>
      <c r="D8251" s="7">
        <v>1265985</v>
      </c>
    </row>
    <row r="8252" spans="1:4" x14ac:dyDescent="0.3">
      <c r="A8252" s="2" t="s">
        <v>256</v>
      </c>
      <c r="B8252" s="2" t="s">
        <v>257</v>
      </c>
      <c r="C8252" s="3">
        <v>2020</v>
      </c>
      <c r="D8252" s="4">
        <v>1266014</v>
      </c>
    </row>
    <row r="8253" spans="1:4" x14ac:dyDescent="0.3">
      <c r="A8253" s="5" t="s">
        <v>256</v>
      </c>
      <c r="B8253" s="5" t="s">
        <v>257</v>
      </c>
      <c r="C8253" s="6">
        <v>2021</v>
      </c>
      <c r="D8253" s="7">
        <v>1266334</v>
      </c>
    </row>
    <row r="8254" spans="1:4" x14ac:dyDescent="0.3">
      <c r="A8254" s="2" t="s">
        <v>256</v>
      </c>
      <c r="B8254" s="2" t="s">
        <v>257</v>
      </c>
      <c r="C8254" s="3">
        <v>2022</v>
      </c>
      <c r="D8254" s="4">
        <v>1262523</v>
      </c>
    </row>
    <row r="8255" spans="1:4" x14ac:dyDescent="0.3">
      <c r="A8255" s="5" t="s">
        <v>256</v>
      </c>
      <c r="B8255" s="5" t="s">
        <v>257</v>
      </c>
      <c r="C8255" s="6">
        <v>2023</v>
      </c>
      <c r="D8255" s="7">
        <v>1261041</v>
      </c>
    </row>
    <row r="8256" spans="1:4" x14ac:dyDescent="0.3">
      <c r="A8256" s="2" t="s">
        <v>256</v>
      </c>
      <c r="B8256" s="2" t="s">
        <v>257</v>
      </c>
      <c r="C8256" s="3">
        <v>2024</v>
      </c>
      <c r="D8256" s="4">
        <v>1259509</v>
      </c>
    </row>
    <row r="8257" spans="1:4" x14ac:dyDescent="0.3">
      <c r="A8257" s="5" t="s">
        <v>258</v>
      </c>
      <c r="B8257" s="5" t="s">
        <v>259</v>
      </c>
      <c r="C8257" s="6">
        <v>1960</v>
      </c>
      <c r="D8257" s="7">
        <v>36724615</v>
      </c>
    </row>
    <row r="8258" spans="1:4" x14ac:dyDescent="0.3">
      <c r="A8258" s="2" t="s">
        <v>258</v>
      </c>
      <c r="B8258" s="2" t="s">
        <v>259</v>
      </c>
      <c r="C8258" s="3">
        <v>1961</v>
      </c>
      <c r="D8258" s="4">
        <v>37890118</v>
      </c>
    </row>
    <row r="8259" spans="1:4" x14ac:dyDescent="0.3">
      <c r="A8259" s="5" t="s">
        <v>258</v>
      </c>
      <c r="B8259" s="5" t="s">
        <v>259</v>
      </c>
      <c r="C8259" s="6">
        <v>1962</v>
      </c>
      <c r="D8259" s="7">
        <v>39129200</v>
      </c>
    </row>
    <row r="8260" spans="1:4" x14ac:dyDescent="0.3">
      <c r="A8260" s="2" t="s">
        <v>258</v>
      </c>
      <c r="B8260" s="2" t="s">
        <v>259</v>
      </c>
      <c r="C8260" s="3">
        <v>1963</v>
      </c>
      <c r="D8260" s="4">
        <v>40424065</v>
      </c>
    </row>
    <row r="8261" spans="1:4" x14ac:dyDescent="0.3">
      <c r="A8261" s="5" t="s">
        <v>258</v>
      </c>
      <c r="B8261" s="5" t="s">
        <v>259</v>
      </c>
      <c r="C8261" s="6">
        <v>1964</v>
      </c>
      <c r="D8261" s="7">
        <v>41772049</v>
      </c>
    </row>
    <row r="8262" spans="1:4" x14ac:dyDescent="0.3">
      <c r="A8262" s="2" t="s">
        <v>258</v>
      </c>
      <c r="B8262" s="2" t="s">
        <v>259</v>
      </c>
      <c r="C8262" s="3">
        <v>1965</v>
      </c>
      <c r="D8262" s="4">
        <v>43174477</v>
      </c>
    </row>
    <row r="8263" spans="1:4" x14ac:dyDescent="0.3">
      <c r="A8263" s="5" t="s">
        <v>258</v>
      </c>
      <c r="B8263" s="5" t="s">
        <v>259</v>
      </c>
      <c r="C8263" s="6">
        <v>1966</v>
      </c>
      <c r="D8263" s="7">
        <v>44629106</v>
      </c>
    </row>
    <row r="8264" spans="1:4" x14ac:dyDescent="0.3">
      <c r="A8264" s="2" t="s">
        <v>258</v>
      </c>
      <c r="B8264" s="2" t="s">
        <v>259</v>
      </c>
      <c r="C8264" s="3">
        <v>1967</v>
      </c>
      <c r="D8264" s="4">
        <v>46129608</v>
      </c>
    </row>
    <row r="8265" spans="1:4" x14ac:dyDescent="0.3">
      <c r="A8265" s="5" t="s">
        <v>258</v>
      </c>
      <c r="B8265" s="5" t="s">
        <v>259</v>
      </c>
      <c r="C8265" s="6">
        <v>1968</v>
      </c>
      <c r="D8265" s="7">
        <v>47668303</v>
      </c>
    </row>
    <row r="8266" spans="1:4" x14ac:dyDescent="0.3">
      <c r="A8266" s="2" t="s">
        <v>258</v>
      </c>
      <c r="B8266" s="2" t="s">
        <v>259</v>
      </c>
      <c r="C8266" s="3">
        <v>1969</v>
      </c>
      <c r="D8266" s="4">
        <v>49233194</v>
      </c>
    </row>
    <row r="8267" spans="1:4" x14ac:dyDescent="0.3">
      <c r="A8267" s="5" t="s">
        <v>258</v>
      </c>
      <c r="B8267" s="5" t="s">
        <v>259</v>
      </c>
      <c r="C8267" s="6">
        <v>1970</v>
      </c>
      <c r="D8267" s="7">
        <v>50814953</v>
      </c>
    </row>
    <row r="8268" spans="1:4" x14ac:dyDescent="0.3">
      <c r="A8268" s="2" t="s">
        <v>258</v>
      </c>
      <c r="B8268" s="2" t="s">
        <v>259</v>
      </c>
      <c r="C8268" s="3">
        <v>1971</v>
      </c>
      <c r="D8268" s="4">
        <v>52412558</v>
      </c>
    </row>
    <row r="8269" spans="1:4" x14ac:dyDescent="0.3">
      <c r="A8269" s="5" t="s">
        <v>258</v>
      </c>
      <c r="B8269" s="5" t="s">
        <v>259</v>
      </c>
      <c r="C8269" s="6">
        <v>1972</v>
      </c>
      <c r="D8269" s="7">
        <v>54030168</v>
      </c>
    </row>
    <row r="8270" spans="1:4" x14ac:dyDescent="0.3">
      <c r="A8270" s="2" t="s">
        <v>258</v>
      </c>
      <c r="B8270" s="2" t="s">
        <v>259</v>
      </c>
      <c r="C8270" s="3">
        <v>1973</v>
      </c>
      <c r="D8270" s="4">
        <v>55667284</v>
      </c>
    </row>
    <row r="8271" spans="1:4" x14ac:dyDescent="0.3">
      <c r="A8271" s="5" t="s">
        <v>258</v>
      </c>
      <c r="B8271" s="5" t="s">
        <v>259</v>
      </c>
      <c r="C8271" s="6">
        <v>1974</v>
      </c>
      <c r="D8271" s="7">
        <v>57320149</v>
      </c>
    </row>
    <row r="8272" spans="1:4" x14ac:dyDescent="0.3">
      <c r="A8272" s="2" t="s">
        <v>258</v>
      </c>
      <c r="B8272" s="2" t="s">
        <v>259</v>
      </c>
      <c r="C8272" s="3">
        <v>1975</v>
      </c>
      <c r="D8272" s="4">
        <v>58982400</v>
      </c>
    </row>
    <row r="8273" spans="1:4" x14ac:dyDescent="0.3">
      <c r="A8273" s="5" t="s">
        <v>258</v>
      </c>
      <c r="B8273" s="5" t="s">
        <v>259</v>
      </c>
      <c r="C8273" s="6">
        <v>1976</v>
      </c>
      <c r="D8273" s="7">
        <v>60645512</v>
      </c>
    </row>
    <row r="8274" spans="1:4" x14ac:dyDescent="0.3">
      <c r="A8274" s="2" t="s">
        <v>258</v>
      </c>
      <c r="B8274" s="2" t="s">
        <v>259</v>
      </c>
      <c r="C8274" s="3">
        <v>1977</v>
      </c>
      <c r="D8274" s="4">
        <v>62308493</v>
      </c>
    </row>
    <row r="8275" spans="1:4" x14ac:dyDescent="0.3">
      <c r="A8275" s="5" t="s">
        <v>258</v>
      </c>
      <c r="B8275" s="5" t="s">
        <v>259</v>
      </c>
      <c r="C8275" s="6">
        <v>1978</v>
      </c>
      <c r="D8275" s="7">
        <v>63979046</v>
      </c>
    </row>
    <row r="8276" spans="1:4" x14ac:dyDescent="0.3">
      <c r="A8276" s="2" t="s">
        <v>258</v>
      </c>
      <c r="B8276" s="2" t="s">
        <v>259</v>
      </c>
      <c r="C8276" s="3">
        <v>1979</v>
      </c>
      <c r="D8276" s="4">
        <v>65648865</v>
      </c>
    </row>
    <row r="8277" spans="1:4" x14ac:dyDescent="0.3">
      <c r="A8277" s="5" t="s">
        <v>258</v>
      </c>
      <c r="B8277" s="5" t="s">
        <v>259</v>
      </c>
      <c r="C8277" s="6">
        <v>1980</v>
      </c>
      <c r="D8277" s="7">
        <v>67300334</v>
      </c>
    </row>
    <row r="8278" spans="1:4" x14ac:dyDescent="0.3">
      <c r="A8278" s="2" t="s">
        <v>258</v>
      </c>
      <c r="B8278" s="2" t="s">
        <v>259</v>
      </c>
      <c r="C8278" s="3">
        <v>1981</v>
      </c>
      <c r="D8278" s="4">
        <v>68892108</v>
      </c>
    </row>
    <row r="8279" spans="1:4" x14ac:dyDescent="0.3">
      <c r="A8279" s="5" t="s">
        <v>258</v>
      </c>
      <c r="B8279" s="5" t="s">
        <v>259</v>
      </c>
      <c r="C8279" s="6">
        <v>1982</v>
      </c>
      <c r="D8279" s="7">
        <v>70433260</v>
      </c>
    </row>
    <row r="8280" spans="1:4" x14ac:dyDescent="0.3">
      <c r="A8280" s="2" t="s">
        <v>258</v>
      </c>
      <c r="B8280" s="2" t="s">
        <v>259</v>
      </c>
      <c r="C8280" s="3">
        <v>1983</v>
      </c>
      <c r="D8280" s="4">
        <v>71971240</v>
      </c>
    </row>
    <row r="8281" spans="1:4" x14ac:dyDescent="0.3">
      <c r="A8281" s="5" t="s">
        <v>258</v>
      </c>
      <c r="B8281" s="5" t="s">
        <v>259</v>
      </c>
      <c r="C8281" s="6">
        <v>1984</v>
      </c>
      <c r="D8281" s="7">
        <v>73506846</v>
      </c>
    </row>
    <row r="8282" spans="1:4" x14ac:dyDescent="0.3">
      <c r="A8282" s="2" t="s">
        <v>258</v>
      </c>
      <c r="B8282" s="2" t="s">
        <v>259</v>
      </c>
      <c r="C8282" s="3">
        <v>1985</v>
      </c>
      <c r="D8282" s="4">
        <v>75043414</v>
      </c>
    </row>
    <row r="8283" spans="1:4" x14ac:dyDescent="0.3">
      <c r="A8283" s="5" t="s">
        <v>258</v>
      </c>
      <c r="B8283" s="5" t="s">
        <v>259</v>
      </c>
      <c r="C8283" s="6">
        <v>1986</v>
      </c>
      <c r="D8283" s="7">
        <v>76585637</v>
      </c>
    </row>
    <row r="8284" spans="1:4" x14ac:dyDescent="0.3">
      <c r="A8284" s="2" t="s">
        <v>258</v>
      </c>
      <c r="B8284" s="2" t="s">
        <v>259</v>
      </c>
      <c r="C8284" s="3">
        <v>1987</v>
      </c>
      <c r="D8284" s="4">
        <v>78136651</v>
      </c>
    </row>
    <row r="8285" spans="1:4" x14ac:dyDescent="0.3">
      <c r="A8285" s="5" t="s">
        <v>258</v>
      </c>
      <c r="B8285" s="5" t="s">
        <v>259</v>
      </c>
      <c r="C8285" s="6">
        <v>1988</v>
      </c>
      <c r="D8285" s="7">
        <v>79695531</v>
      </c>
    </row>
    <row r="8286" spans="1:4" x14ac:dyDescent="0.3">
      <c r="A8286" s="2" t="s">
        <v>258</v>
      </c>
      <c r="B8286" s="2" t="s">
        <v>259</v>
      </c>
      <c r="C8286" s="3">
        <v>1989</v>
      </c>
      <c r="D8286" s="4">
        <v>81247182</v>
      </c>
    </row>
    <row r="8287" spans="1:4" x14ac:dyDescent="0.3">
      <c r="A8287" s="5" t="s">
        <v>258</v>
      </c>
      <c r="B8287" s="5" t="s">
        <v>259</v>
      </c>
      <c r="C8287" s="6">
        <v>1990</v>
      </c>
      <c r="D8287" s="7">
        <v>82820170</v>
      </c>
    </row>
    <row r="8288" spans="1:4" x14ac:dyDescent="0.3">
      <c r="A8288" s="2" t="s">
        <v>258</v>
      </c>
      <c r="B8288" s="2" t="s">
        <v>259</v>
      </c>
      <c r="C8288" s="3">
        <v>1991</v>
      </c>
      <c r="D8288" s="4">
        <v>84430572</v>
      </c>
    </row>
    <row r="8289" spans="1:4" x14ac:dyDescent="0.3">
      <c r="A8289" s="5" t="s">
        <v>258</v>
      </c>
      <c r="B8289" s="5" t="s">
        <v>259</v>
      </c>
      <c r="C8289" s="6">
        <v>1992</v>
      </c>
      <c r="D8289" s="7">
        <v>86044809</v>
      </c>
    </row>
    <row r="8290" spans="1:4" x14ac:dyDescent="0.3">
      <c r="A8290" s="2" t="s">
        <v>258</v>
      </c>
      <c r="B8290" s="2" t="s">
        <v>259</v>
      </c>
      <c r="C8290" s="3">
        <v>1993</v>
      </c>
      <c r="D8290" s="4">
        <v>87653807</v>
      </c>
    </row>
    <row r="8291" spans="1:4" x14ac:dyDescent="0.3">
      <c r="A8291" s="5" t="s">
        <v>258</v>
      </c>
      <c r="B8291" s="5" t="s">
        <v>259</v>
      </c>
      <c r="C8291" s="6">
        <v>1994</v>
      </c>
      <c r="D8291" s="7">
        <v>89259205</v>
      </c>
    </row>
    <row r="8292" spans="1:4" x14ac:dyDescent="0.3">
      <c r="A8292" s="2" t="s">
        <v>258</v>
      </c>
      <c r="B8292" s="2" t="s">
        <v>259</v>
      </c>
      <c r="C8292" s="3">
        <v>1995</v>
      </c>
      <c r="D8292" s="4">
        <v>90862455</v>
      </c>
    </row>
    <row r="8293" spans="1:4" x14ac:dyDescent="0.3">
      <c r="A8293" s="5" t="s">
        <v>258</v>
      </c>
      <c r="B8293" s="5" t="s">
        <v>259</v>
      </c>
      <c r="C8293" s="6">
        <v>1996</v>
      </c>
      <c r="D8293" s="7">
        <v>92452702</v>
      </c>
    </row>
    <row r="8294" spans="1:4" x14ac:dyDescent="0.3">
      <c r="A8294" s="2" t="s">
        <v>258</v>
      </c>
      <c r="B8294" s="2" t="s">
        <v>259</v>
      </c>
      <c r="C8294" s="3">
        <v>1997</v>
      </c>
      <c r="D8294" s="4">
        <v>94021207</v>
      </c>
    </row>
    <row r="8295" spans="1:4" x14ac:dyDescent="0.3">
      <c r="A8295" s="5" t="s">
        <v>258</v>
      </c>
      <c r="B8295" s="5" t="s">
        <v>259</v>
      </c>
      <c r="C8295" s="6">
        <v>1998</v>
      </c>
      <c r="D8295" s="7">
        <v>95575245</v>
      </c>
    </row>
    <row r="8296" spans="1:4" x14ac:dyDescent="0.3">
      <c r="A8296" s="2" t="s">
        <v>258</v>
      </c>
      <c r="B8296" s="2" t="s">
        <v>259</v>
      </c>
      <c r="C8296" s="3">
        <v>1999</v>
      </c>
      <c r="D8296" s="4">
        <v>97115707</v>
      </c>
    </row>
    <row r="8297" spans="1:4" x14ac:dyDescent="0.3">
      <c r="A8297" s="5" t="s">
        <v>258</v>
      </c>
      <c r="B8297" s="5" t="s">
        <v>259</v>
      </c>
      <c r="C8297" s="6">
        <v>2000</v>
      </c>
      <c r="D8297" s="7">
        <v>98625552</v>
      </c>
    </row>
    <row r="8298" spans="1:4" x14ac:dyDescent="0.3">
      <c r="A8298" s="2" t="s">
        <v>258</v>
      </c>
      <c r="B8298" s="2" t="s">
        <v>259</v>
      </c>
      <c r="C8298" s="3">
        <v>2001</v>
      </c>
      <c r="D8298" s="4">
        <v>100099099</v>
      </c>
    </row>
    <row r="8299" spans="1:4" x14ac:dyDescent="0.3">
      <c r="A8299" s="5" t="s">
        <v>258</v>
      </c>
      <c r="B8299" s="5" t="s">
        <v>259</v>
      </c>
      <c r="C8299" s="6">
        <v>2002</v>
      </c>
      <c r="D8299" s="7">
        <v>101548624</v>
      </c>
    </row>
    <row r="8300" spans="1:4" x14ac:dyDescent="0.3">
      <c r="A8300" s="2" t="s">
        <v>258</v>
      </c>
      <c r="B8300" s="2" t="s">
        <v>259</v>
      </c>
      <c r="C8300" s="3">
        <v>2003</v>
      </c>
      <c r="D8300" s="4">
        <v>102978515</v>
      </c>
    </row>
    <row r="8301" spans="1:4" x14ac:dyDescent="0.3">
      <c r="A8301" s="5" t="s">
        <v>258</v>
      </c>
      <c r="B8301" s="5" t="s">
        <v>259</v>
      </c>
      <c r="C8301" s="6">
        <v>2004</v>
      </c>
      <c r="D8301" s="7">
        <v>104394131</v>
      </c>
    </row>
    <row r="8302" spans="1:4" x14ac:dyDescent="0.3">
      <c r="A8302" s="2" t="s">
        <v>258</v>
      </c>
      <c r="B8302" s="2" t="s">
        <v>259</v>
      </c>
      <c r="C8302" s="3">
        <v>2005</v>
      </c>
      <c r="D8302" s="4">
        <v>105811504</v>
      </c>
    </row>
    <row r="8303" spans="1:4" x14ac:dyDescent="0.3">
      <c r="A8303" s="5" t="s">
        <v>258</v>
      </c>
      <c r="B8303" s="5" t="s">
        <v>259</v>
      </c>
      <c r="C8303" s="6">
        <v>2006</v>
      </c>
      <c r="D8303" s="7">
        <v>107253666</v>
      </c>
    </row>
    <row r="8304" spans="1:4" x14ac:dyDescent="0.3">
      <c r="A8304" s="2" t="s">
        <v>258</v>
      </c>
      <c r="B8304" s="2" t="s">
        <v>259</v>
      </c>
      <c r="C8304" s="3">
        <v>2007</v>
      </c>
      <c r="D8304" s="4">
        <v>108774360</v>
      </c>
    </row>
    <row r="8305" spans="1:4" x14ac:dyDescent="0.3">
      <c r="A8305" s="5" t="s">
        <v>258</v>
      </c>
      <c r="B8305" s="5" t="s">
        <v>259</v>
      </c>
      <c r="C8305" s="6">
        <v>2008</v>
      </c>
      <c r="D8305" s="7">
        <v>110374288</v>
      </c>
    </row>
    <row r="8306" spans="1:4" x14ac:dyDescent="0.3">
      <c r="A8306" s="2" t="s">
        <v>258</v>
      </c>
      <c r="B8306" s="2" t="s">
        <v>259</v>
      </c>
      <c r="C8306" s="3">
        <v>2009</v>
      </c>
      <c r="D8306" s="4">
        <v>111999721</v>
      </c>
    </row>
    <row r="8307" spans="1:4" x14ac:dyDescent="0.3">
      <c r="A8307" s="5" t="s">
        <v>258</v>
      </c>
      <c r="B8307" s="5" t="s">
        <v>259</v>
      </c>
      <c r="C8307" s="6">
        <v>2010</v>
      </c>
      <c r="D8307" s="7">
        <v>113623895</v>
      </c>
    </row>
    <row r="8308" spans="1:4" x14ac:dyDescent="0.3">
      <c r="A8308" s="2" t="s">
        <v>258</v>
      </c>
      <c r="B8308" s="2" t="s">
        <v>259</v>
      </c>
      <c r="C8308" s="3">
        <v>2011</v>
      </c>
      <c r="D8308" s="4">
        <v>115243504</v>
      </c>
    </row>
    <row r="8309" spans="1:4" x14ac:dyDescent="0.3">
      <c r="A8309" s="5" t="s">
        <v>258</v>
      </c>
      <c r="B8309" s="5" t="s">
        <v>259</v>
      </c>
      <c r="C8309" s="6">
        <v>2012</v>
      </c>
      <c r="D8309" s="7">
        <v>116818208</v>
      </c>
    </row>
    <row r="8310" spans="1:4" x14ac:dyDescent="0.3">
      <c r="A8310" s="2" t="s">
        <v>258</v>
      </c>
      <c r="B8310" s="2" t="s">
        <v>259</v>
      </c>
      <c r="C8310" s="3">
        <v>2013</v>
      </c>
      <c r="D8310" s="4">
        <v>118343573</v>
      </c>
    </row>
    <row r="8311" spans="1:4" x14ac:dyDescent="0.3">
      <c r="A8311" s="5" t="s">
        <v>258</v>
      </c>
      <c r="B8311" s="5" t="s">
        <v>259</v>
      </c>
      <c r="C8311" s="6">
        <v>2014</v>
      </c>
      <c r="D8311" s="7">
        <v>119784261</v>
      </c>
    </row>
    <row r="8312" spans="1:4" x14ac:dyDescent="0.3">
      <c r="A8312" s="2" t="s">
        <v>258</v>
      </c>
      <c r="B8312" s="2" t="s">
        <v>259</v>
      </c>
      <c r="C8312" s="3">
        <v>2015</v>
      </c>
      <c r="D8312" s="4">
        <v>121072306</v>
      </c>
    </row>
    <row r="8313" spans="1:4" x14ac:dyDescent="0.3">
      <c r="A8313" s="5" t="s">
        <v>258</v>
      </c>
      <c r="B8313" s="5" t="s">
        <v>259</v>
      </c>
      <c r="C8313" s="6">
        <v>2016</v>
      </c>
      <c r="D8313" s="7">
        <v>122251351</v>
      </c>
    </row>
    <row r="8314" spans="1:4" x14ac:dyDescent="0.3">
      <c r="A8314" s="2" t="s">
        <v>258</v>
      </c>
      <c r="B8314" s="2" t="s">
        <v>259</v>
      </c>
      <c r="C8314" s="3">
        <v>2017</v>
      </c>
      <c r="D8314" s="4">
        <v>123400057</v>
      </c>
    </row>
    <row r="8315" spans="1:4" x14ac:dyDescent="0.3">
      <c r="A8315" s="5" t="s">
        <v>258</v>
      </c>
      <c r="B8315" s="5" t="s">
        <v>259</v>
      </c>
      <c r="C8315" s="6">
        <v>2018</v>
      </c>
      <c r="D8315" s="7">
        <v>124573711</v>
      </c>
    </row>
    <row r="8316" spans="1:4" x14ac:dyDescent="0.3">
      <c r="A8316" s="2" t="s">
        <v>258</v>
      </c>
      <c r="B8316" s="2" t="s">
        <v>259</v>
      </c>
      <c r="C8316" s="3">
        <v>2019</v>
      </c>
      <c r="D8316" s="4">
        <v>125762982</v>
      </c>
    </row>
    <row r="8317" spans="1:4" x14ac:dyDescent="0.3">
      <c r="A8317" s="5" t="s">
        <v>258</v>
      </c>
      <c r="B8317" s="5" t="s">
        <v>259</v>
      </c>
      <c r="C8317" s="6">
        <v>2020</v>
      </c>
      <c r="D8317" s="7">
        <v>126799054</v>
      </c>
    </row>
    <row r="8318" spans="1:4" x14ac:dyDescent="0.3">
      <c r="A8318" s="2" t="s">
        <v>258</v>
      </c>
      <c r="B8318" s="2" t="s">
        <v>259</v>
      </c>
      <c r="C8318" s="3">
        <v>2021</v>
      </c>
      <c r="D8318" s="4">
        <v>127648148</v>
      </c>
    </row>
    <row r="8319" spans="1:4" x14ac:dyDescent="0.3">
      <c r="A8319" s="5" t="s">
        <v>258</v>
      </c>
      <c r="B8319" s="5" t="s">
        <v>259</v>
      </c>
      <c r="C8319" s="6">
        <v>2022</v>
      </c>
      <c r="D8319" s="7">
        <v>128613117</v>
      </c>
    </row>
    <row r="8320" spans="1:4" x14ac:dyDescent="0.3">
      <c r="A8320" s="2" t="s">
        <v>258</v>
      </c>
      <c r="B8320" s="2" t="s">
        <v>259</v>
      </c>
      <c r="C8320" s="3">
        <v>2023</v>
      </c>
      <c r="D8320" s="4">
        <v>129739759</v>
      </c>
    </row>
    <row r="8321" spans="1:4" x14ac:dyDescent="0.3">
      <c r="A8321" s="5" t="s">
        <v>258</v>
      </c>
      <c r="B8321" s="5" t="s">
        <v>259</v>
      </c>
      <c r="C8321" s="6">
        <v>2024</v>
      </c>
      <c r="D8321" s="7">
        <v>130861007</v>
      </c>
    </row>
    <row r="8322" spans="1:4" x14ac:dyDescent="0.3">
      <c r="A8322" s="2" t="s">
        <v>260</v>
      </c>
      <c r="B8322" s="2" t="s">
        <v>261</v>
      </c>
      <c r="C8322" s="3">
        <v>1960</v>
      </c>
      <c r="D8322" s="4">
        <v>43061</v>
      </c>
    </row>
    <row r="8323" spans="1:4" x14ac:dyDescent="0.3">
      <c r="A8323" s="5" t="s">
        <v>260</v>
      </c>
      <c r="B8323" s="5" t="s">
        <v>261</v>
      </c>
      <c r="C8323" s="6">
        <v>1961</v>
      </c>
      <c r="D8323" s="7">
        <v>44610</v>
      </c>
    </row>
    <row r="8324" spans="1:4" x14ac:dyDescent="0.3">
      <c r="A8324" s="2" t="s">
        <v>260</v>
      </c>
      <c r="B8324" s="2" t="s">
        <v>261</v>
      </c>
      <c r="C8324" s="3">
        <v>1962</v>
      </c>
      <c r="D8324" s="4">
        <v>46218</v>
      </c>
    </row>
    <row r="8325" spans="1:4" x14ac:dyDescent="0.3">
      <c r="A8325" s="5" t="s">
        <v>260</v>
      </c>
      <c r="B8325" s="5" t="s">
        <v>261</v>
      </c>
      <c r="C8325" s="6">
        <v>1963</v>
      </c>
      <c r="D8325" s="7">
        <v>47744</v>
      </c>
    </row>
    <row r="8326" spans="1:4" x14ac:dyDescent="0.3">
      <c r="A8326" s="2" t="s">
        <v>260</v>
      </c>
      <c r="B8326" s="2" t="s">
        <v>261</v>
      </c>
      <c r="C8326" s="3">
        <v>1964</v>
      </c>
      <c r="D8326" s="4">
        <v>49181</v>
      </c>
    </row>
    <row r="8327" spans="1:4" x14ac:dyDescent="0.3">
      <c r="A8327" s="5" t="s">
        <v>260</v>
      </c>
      <c r="B8327" s="5" t="s">
        <v>261</v>
      </c>
      <c r="C8327" s="6">
        <v>1965</v>
      </c>
      <c r="D8327" s="7">
        <v>50684</v>
      </c>
    </row>
    <row r="8328" spans="1:4" x14ac:dyDescent="0.3">
      <c r="A8328" s="2" t="s">
        <v>260</v>
      </c>
      <c r="B8328" s="2" t="s">
        <v>261</v>
      </c>
      <c r="C8328" s="3">
        <v>1966</v>
      </c>
      <c r="D8328" s="4">
        <v>52258</v>
      </c>
    </row>
    <row r="8329" spans="1:4" x14ac:dyDescent="0.3">
      <c r="A8329" s="5" t="s">
        <v>260</v>
      </c>
      <c r="B8329" s="5" t="s">
        <v>261</v>
      </c>
      <c r="C8329" s="6">
        <v>1967</v>
      </c>
      <c r="D8329" s="7">
        <v>53846</v>
      </c>
    </row>
    <row r="8330" spans="1:4" x14ac:dyDescent="0.3">
      <c r="A8330" s="2" t="s">
        <v>260</v>
      </c>
      <c r="B8330" s="2" t="s">
        <v>261</v>
      </c>
      <c r="C8330" s="3">
        <v>1968</v>
      </c>
      <c r="D8330" s="4">
        <v>55457</v>
      </c>
    </row>
    <row r="8331" spans="1:4" x14ac:dyDescent="0.3">
      <c r="A8331" s="5" t="s">
        <v>260</v>
      </c>
      <c r="B8331" s="5" t="s">
        <v>261</v>
      </c>
      <c r="C8331" s="6">
        <v>1969</v>
      </c>
      <c r="D8331" s="7">
        <v>57145</v>
      </c>
    </row>
    <row r="8332" spans="1:4" x14ac:dyDescent="0.3">
      <c r="A8332" s="2" t="s">
        <v>260</v>
      </c>
      <c r="B8332" s="2" t="s">
        <v>261</v>
      </c>
      <c r="C8332" s="3">
        <v>1970</v>
      </c>
      <c r="D8332" s="4">
        <v>58922</v>
      </c>
    </row>
    <row r="8333" spans="1:4" x14ac:dyDescent="0.3">
      <c r="A8333" s="5" t="s">
        <v>260</v>
      </c>
      <c r="B8333" s="5" t="s">
        <v>261</v>
      </c>
      <c r="C8333" s="6">
        <v>1971</v>
      </c>
      <c r="D8333" s="7">
        <v>60636</v>
      </c>
    </row>
    <row r="8334" spans="1:4" x14ac:dyDescent="0.3">
      <c r="A8334" s="2" t="s">
        <v>260</v>
      </c>
      <c r="B8334" s="2" t="s">
        <v>261</v>
      </c>
      <c r="C8334" s="3">
        <v>1972</v>
      </c>
      <c r="D8334" s="4">
        <v>62278</v>
      </c>
    </row>
    <row r="8335" spans="1:4" x14ac:dyDescent="0.3">
      <c r="A8335" s="5" t="s">
        <v>260</v>
      </c>
      <c r="B8335" s="5" t="s">
        <v>261</v>
      </c>
      <c r="C8335" s="6">
        <v>1973</v>
      </c>
      <c r="D8335" s="7">
        <v>63986</v>
      </c>
    </row>
    <row r="8336" spans="1:4" x14ac:dyDescent="0.3">
      <c r="A8336" s="2" t="s">
        <v>260</v>
      </c>
      <c r="B8336" s="2" t="s">
        <v>261</v>
      </c>
      <c r="C8336" s="3">
        <v>1974</v>
      </c>
      <c r="D8336" s="4">
        <v>65749</v>
      </c>
    </row>
    <row r="8337" spans="1:4" x14ac:dyDescent="0.3">
      <c r="A8337" s="5" t="s">
        <v>260</v>
      </c>
      <c r="B8337" s="5" t="s">
        <v>261</v>
      </c>
      <c r="C8337" s="6">
        <v>1975</v>
      </c>
      <c r="D8337" s="7">
        <v>67428</v>
      </c>
    </row>
    <row r="8338" spans="1:4" x14ac:dyDescent="0.3">
      <c r="A8338" s="2" t="s">
        <v>260</v>
      </c>
      <c r="B8338" s="2" t="s">
        <v>261</v>
      </c>
      <c r="C8338" s="3">
        <v>1976</v>
      </c>
      <c r="D8338" s="4">
        <v>69049</v>
      </c>
    </row>
    <row r="8339" spans="1:4" x14ac:dyDescent="0.3">
      <c r="A8339" s="5" t="s">
        <v>260</v>
      </c>
      <c r="B8339" s="5" t="s">
        <v>261</v>
      </c>
      <c r="C8339" s="6">
        <v>1977</v>
      </c>
      <c r="D8339" s="7">
        <v>70753</v>
      </c>
    </row>
    <row r="8340" spans="1:4" x14ac:dyDescent="0.3">
      <c r="A8340" s="2" t="s">
        <v>260</v>
      </c>
      <c r="B8340" s="2" t="s">
        <v>261</v>
      </c>
      <c r="C8340" s="3">
        <v>1978</v>
      </c>
      <c r="D8340" s="4">
        <v>72754</v>
      </c>
    </row>
    <row r="8341" spans="1:4" x14ac:dyDescent="0.3">
      <c r="A8341" s="5" t="s">
        <v>260</v>
      </c>
      <c r="B8341" s="5" t="s">
        <v>261</v>
      </c>
      <c r="C8341" s="6">
        <v>1979</v>
      </c>
      <c r="D8341" s="7">
        <v>75054</v>
      </c>
    </row>
    <row r="8342" spans="1:4" x14ac:dyDescent="0.3">
      <c r="A8342" s="2" t="s">
        <v>260</v>
      </c>
      <c r="B8342" s="2" t="s">
        <v>261</v>
      </c>
      <c r="C8342" s="3">
        <v>1980</v>
      </c>
      <c r="D8342" s="4">
        <v>77407</v>
      </c>
    </row>
    <row r="8343" spans="1:4" x14ac:dyDescent="0.3">
      <c r="A8343" s="5" t="s">
        <v>260</v>
      </c>
      <c r="B8343" s="5" t="s">
        <v>261</v>
      </c>
      <c r="C8343" s="6">
        <v>1981</v>
      </c>
      <c r="D8343" s="7">
        <v>79794</v>
      </c>
    </row>
    <row r="8344" spans="1:4" x14ac:dyDescent="0.3">
      <c r="A8344" s="2" t="s">
        <v>260</v>
      </c>
      <c r="B8344" s="2" t="s">
        <v>261</v>
      </c>
      <c r="C8344" s="3">
        <v>1982</v>
      </c>
      <c r="D8344" s="4">
        <v>82219</v>
      </c>
    </row>
    <row r="8345" spans="1:4" x14ac:dyDescent="0.3">
      <c r="A8345" s="5" t="s">
        <v>260</v>
      </c>
      <c r="B8345" s="5" t="s">
        <v>261</v>
      </c>
      <c r="C8345" s="6">
        <v>1983</v>
      </c>
      <c r="D8345" s="7">
        <v>84680</v>
      </c>
    </row>
    <row r="8346" spans="1:4" x14ac:dyDescent="0.3">
      <c r="A8346" s="2" t="s">
        <v>260</v>
      </c>
      <c r="B8346" s="2" t="s">
        <v>261</v>
      </c>
      <c r="C8346" s="3">
        <v>1984</v>
      </c>
      <c r="D8346" s="4">
        <v>87176</v>
      </c>
    </row>
    <row r="8347" spans="1:4" x14ac:dyDescent="0.3">
      <c r="A8347" s="5" t="s">
        <v>260</v>
      </c>
      <c r="B8347" s="5" t="s">
        <v>261</v>
      </c>
      <c r="C8347" s="6">
        <v>1985</v>
      </c>
      <c r="D8347" s="7">
        <v>89707</v>
      </c>
    </row>
    <row r="8348" spans="1:4" x14ac:dyDescent="0.3">
      <c r="A8348" s="2" t="s">
        <v>260</v>
      </c>
      <c r="B8348" s="2" t="s">
        <v>261</v>
      </c>
      <c r="C8348" s="3">
        <v>1986</v>
      </c>
      <c r="D8348" s="4">
        <v>92266</v>
      </c>
    </row>
    <row r="8349" spans="1:4" x14ac:dyDescent="0.3">
      <c r="A8349" s="5" t="s">
        <v>260</v>
      </c>
      <c r="B8349" s="5" t="s">
        <v>261</v>
      </c>
      <c r="C8349" s="6">
        <v>1987</v>
      </c>
      <c r="D8349" s="7">
        <v>94844</v>
      </c>
    </row>
    <row r="8350" spans="1:4" x14ac:dyDescent="0.3">
      <c r="A8350" s="2" t="s">
        <v>260</v>
      </c>
      <c r="B8350" s="2" t="s">
        <v>261</v>
      </c>
      <c r="C8350" s="3">
        <v>1988</v>
      </c>
      <c r="D8350" s="4">
        <v>97097</v>
      </c>
    </row>
    <row r="8351" spans="1:4" x14ac:dyDescent="0.3">
      <c r="A8351" s="5" t="s">
        <v>260</v>
      </c>
      <c r="B8351" s="5" t="s">
        <v>261</v>
      </c>
      <c r="C8351" s="6">
        <v>1989</v>
      </c>
      <c r="D8351" s="7">
        <v>99003</v>
      </c>
    </row>
    <row r="8352" spans="1:4" x14ac:dyDescent="0.3">
      <c r="A8352" s="2" t="s">
        <v>260</v>
      </c>
      <c r="B8352" s="2" t="s">
        <v>261</v>
      </c>
      <c r="C8352" s="3">
        <v>1990</v>
      </c>
      <c r="D8352" s="4">
        <v>100888</v>
      </c>
    </row>
    <row r="8353" spans="1:4" x14ac:dyDescent="0.3">
      <c r="A8353" s="5" t="s">
        <v>260</v>
      </c>
      <c r="B8353" s="5" t="s">
        <v>261</v>
      </c>
      <c r="C8353" s="6">
        <v>1991</v>
      </c>
      <c r="D8353" s="7">
        <v>102754</v>
      </c>
    </row>
    <row r="8354" spans="1:4" x14ac:dyDescent="0.3">
      <c r="A8354" s="2" t="s">
        <v>260</v>
      </c>
      <c r="B8354" s="2" t="s">
        <v>261</v>
      </c>
      <c r="C8354" s="3">
        <v>1992</v>
      </c>
      <c r="D8354" s="4">
        <v>104806</v>
      </c>
    </row>
    <row r="8355" spans="1:4" x14ac:dyDescent="0.3">
      <c r="A8355" s="5" t="s">
        <v>260</v>
      </c>
      <c r="B8355" s="5" t="s">
        <v>261</v>
      </c>
      <c r="C8355" s="6">
        <v>1993</v>
      </c>
      <c r="D8355" s="7">
        <v>107066</v>
      </c>
    </row>
    <row r="8356" spans="1:4" x14ac:dyDescent="0.3">
      <c r="A8356" s="2" t="s">
        <v>260</v>
      </c>
      <c r="B8356" s="2" t="s">
        <v>261</v>
      </c>
      <c r="C8356" s="3">
        <v>1994</v>
      </c>
      <c r="D8356" s="4">
        <v>109075</v>
      </c>
    </row>
    <row r="8357" spans="1:4" x14ac:dyDescent="0.3">
      <c r="A8357" s="5" t="s">
        <v>260</v>
      </c>
      <c r="B8357" s="5" t="s">
        <v>261</v>
      </c>
      <c r="C8357" s="6">
        <v>1995</v>
      </c>
      <c r="D8357" s="7">
        <v>110230</v>
      </c>
    </row>
    <row r="8358" spans="1:4" x14ac:dyDescent="0.3">
      <c r="A8358" s="2" t="s">
        <v>260</v>
      </c>
      <c r="B8358" s="2" t="s">
        <v>261</v>
      </c>
      <c r="C8358" s="3">
        <v>1996</v>
      </c>
      <c r="D8358" s="4">
        <v>110710</v>
      </c>
    </row>
    <row r="8359" spans="1:4" x14ac:dyDescent="0.3">
      <c r="A8359" s="5" t="s">
        <v>260</v>
      </c>
      <c r="B8359" s="5" t="s">
        <v>261</v>
      </c>
      <c r="C8359" s="6">
        <v>1997</v>
      </c>
      <c r="D8359" s="7">
        <v>111071</v>
      </c>
    </row>
    <row r="8360" spans="1:4" x14ac:dyDescent="0.3">
      <c r="A8360" s="2" t="s">
        <v>260</v>
      </c>
      <c r="B8360" s="2" t="s">
        <v>261</v>
      </c>
      <c r="C8360" s="3">
        <v>1998</v>
      </c>
      <c r="D8360" s="4">
        <v>111377</v>
      </c>
    </row>
    <row r="8361" spans="1:4" x14ac:dyDescent="0.3">
      <c r="A8361" s="5" t="s">
        <v>260</v>
      </c>
      <c r="B8361" s="5" t="s">
        <v>261</v>
      </c>
      <c r="C8361" s="6">
        <v>1999</v>
      </c>
      <c r="D8361" s="7">
        <v>111680</v>
      </c>
    </row>
    <row r="8362" spans="1:4" x14ac:dyDescent="0.3">
      <c r="A8362" s="2" t="s">
        <v>260</v>
      </c>
      <c r="B8362" s="2" t="s">
        <v>261</v>
      </c>
      <c r="C8362" s="3">
        <v>2000</v>
      </c>
      <c r="D8362" s="4">
        <v>112044</v>
      </c>
    </row>
    <row r="8363" spans="1:4" x14ac:dyDescent="0.3">
      <c r="A8363" s="5" t="s">
        <v>260</v>
      </c>
      <c r="B8363" s="5" t="s">
        <v>261</v>
      </c>
      <c r="C8363" s="6">
        <v>2001</v>
      </c>
      <c r="D8363" s="7">
        <v>112365</v>
      </c>
    </row>
    <row r="8364" spans="1:4" x14ac:dyDescent="0.3">
      <c r="A8364" s="2" t="s">
        <v>260</v>
      </c>
      <c r="B8364" s="2" t="s">
        <v>261</v>
      </c>
      <c r="C8364" s="3">
        <v>2002</v>
      </c>
      <c r="D8364" s="4">
        <v>112448</v>
      </c>
    </row>
    <row r="8365" spans="1:4" x14ac:dyDescent="0.3">
      <c r="A8365" s="5" t="s">
        <v>260</v>
      </c>
      <c r="B8365" s="5" t="s">
        <v>261</v>
      </c>
      <c r="C8365" s="6">
        <v>2003</v>
      </c>
      <c r="D8365" s="7">
        <v>112285</v>
      </c>
    </row>
    <row r="8366" spans="1:4" x14ac:dyDescent="0.3">
      <c r="A8366" s="2" t="s">
        <v>260</v>
      </c>
      <c r="B8366" s="2" t="s">
        <v>261</v>
      </c>
      <c r="C8366" s="3">
        <v>2004</v>
      </c>
      <c r="D8366" s="4">
        <v>111925</v>
      </c>
    </row>
    <row r="8367" spans="1:4" x14ac:dyDescent="0.3">
      <c r="A8367" s="5" t="s">
        <v>260</v>
      </c>
      <c r="B8367" s="5" t="s">
        <v>261</v>
      </c>
      <c r="C8367" s="6">
        <v>2005</v>
      </c>
      <c r="D8367" s="7">
        <v>111412</v>
      </c>
    </row>
    <row r="8368" spans="1:4" x14ac:dyDescent="0.3">
      <c r="A8368" s="2" t="s">
        <v>260</v>
      </c>
      <c r="B8368" s="2" t="s">
        <v>261</v>
      </c>
      <c r="C8368" s="3">
        <v>2006</v>
      </c>
      <c r="D8368" s="4">
        <v>110729</v>
      </c>
    </row>
    <row r="8369" spans="1:4" x14ac:dyDescent="0.3">
      <c r="A8369" s="5" t="s">
        <v>260</v>
      </c>
      <c r="B8369" s="5" t="s">
        <v>261</v>
      </c>
      <c r="C8369" s="6">
        <v>2007</v>
      </c>
      <c r="D8369" s="7">
        <v>109880</v>
      </c>
    </row>
    <row r="8370" spans="1:4" x14ac:dyDescent="0.3">
      <c r="A8370" s="2" t="s">
        <v>260</v>
      </c>
      <c r="B8370" s="2" t="s">
        <v>261</v>
      </c>
      <c r="C8370" s="3">
        <v>2008</v>
      </c>
      <c r="D8370" s="4">
        <v>108936</v>
      </c>
    </row>
    <row r="8371" spans="1:4" x14ac:dyDescent="0.3">
      <c r="A8371" s="5" t="s">
        <v>260</v>
      </c>
      <c r="B8371" s="5" t="s">
        <v>261</v>
      </c>
      <c r="C8371" s="6">
        <v>2009</v>
      </c>
      <c r="D8371" s="7">
        <v>107957</v>
      </c>
    </row>
    <row r="8372" spans="1:4" x14ac:dyDescent="0.3">
      <c r="A8372" s="2" t="s">
        <v>260</v>
      </c>
      <c r="B8372" s="2" t="s">
        <v>261</v>
      </c>
      <c r="C8372" s="3">
        <v>2010</v>
      </c>
      <c r="D8372" s="4">
        <v>107540</v>
      </c>
    </row>
    <row r="8373" spans="1:4" x14ac:dyDescent="0.3">
      <c r="A8373" s="5" t="s">
        <v>260</v>
      </c>
      <c r="B8373" s="5" t="s">
        <v>261</v>
      </c>
      <c r="C8373" s="6">
        <v>2011</v>
      </c>
      <c r="D8373" s="7">
        <v>107698</v>
      </c>
    </row>
    <row r="8374" spans="1:4" x14ac:dyDescent="0.3">
      <c r="A8374" s="2" t="s">
        <v>260</v>
      </c>
      <c r="B8374" s="2" t="s">
        <v>261</v>
      </c>
      <c r="C8374" s="3">
        <v>2012</v>
      </c>
      <c r="D8374" s="4">
        <v>107890</v>
      </c>
    </row>
    <row r="8375" spans="1:4" x14ac:dyDescent="0.3">
      <c r="A8375" s="5" t="s">
        <v>260</v>
      </c>
      <c r="B8375" s="5" t="s">
        <v>261</v>
      </c>
      <c r="C8375" s="6">
        <v>2013</v>
      </c>
      <c r="D8375" s="7">
        <v>108121</v>
      </c>
    </row>
    <row r="8376" spans="1:4" x14ac:dyDescent="0.3">
      <c r="A8376" s="2" t="s">
        <v>260</v>
      </c>
      <c r="B8376" s="2" t="s">
        <v>261</v>
      </c>
      <c r="C8376" s="3">
        <v>2014</v>
      </c>
      <c r="D8376" s="4">
        <v>108396</v>
      </c>
    </row>
    <row r="8377" spans="1:4" x14ac:dyDescent="0.3">
      <c r="A8377" s="5" t="s">
        <v>260</v>
      </c>
      <c r="B8377" s="5" t="s">
        <v>261</v>
      </c>
      <c r="C8377" s="6">
        <v>2015</v>
      </c>
      <c r="D8377" s="7">
        <v>108716</v>
      </c>
    </row>
    <row r="8378" spans="1:4" x14ac:dyDescent="0.3">
      <c r="A8378" s="2" t="s">
        <v>260</v>
      </c>
      <c r="B8378" s="2" t="s">
        <v>261</v>
      </c>
      <c r="C8378" s="3">
        <v>2016</v>
      </c>
      <c r="D8378" s="4">
        <v>109075</v>
      </c>
    </row>
    <row r="8379" spans="1:4" x14ac:dyDescent="0.3">
      <c r="A8379" s="5" t="s">
        <v>260</v>
      </c>
      <c r="B8379" s="5" t="s">
        <v>261</v>
      </c>
      <c r="C8379" s="6">
        <v>2017</v>
      </c>
      <c r="D8379" s="7">
        <v>109481</v>
      </c>
    </row>
    <row r="8380" spans="1:4" x14ac:dyDescent="0.3">
      <c r="A8380" s="2" t="s">
        <v>260</v>
      </c>
      <c r="B8380" s="2" t="s">
        <v>261</v>
      </c>
      <c r="C8380" s="3">
        <v>2018</v>
      </c>
      <c r="D8380" s="4">
        <v>109909</v>
      </c>
    </row>
    <row r="8381" spans="1:4" x14ac:dyDescent="0.3">
      <c r="A8381" s="5" t="s">
        <v>260</v>
      </c>
      <c r="B8381" s="5" t="s">
        <v>261</v>
      </c>
      <c r="C8381" s="6">
        <v>2019</v>
      </c>
      <c r="D8381" s="7">
        <v>110282</v>
      </c>
    </row>
    <row r="8382" spans="1:4" x14ac:dyDescent="0.3">
      <c r="A8382" s="2" t="s">
        <v>260</v>
      </c>
      <c r="B8382" s="2" t="s">
        <v>261</v>
      </c>
      <c r="C8382" s="3">
        <v>2020</v>
      </c>
      <c r="D8382" s="4">
        <v>110916</v>
      </c>
    </row>
    <row r="8383" spans="1:4" x14ac:dyDescent="0.3">
      <c r="A8383" s="5" t="s">
        <v>260</v>
      </c>
      <c r="B8383" s="5" t="s">
        <v>261</v>
      </c>
      <c r="C8383" s="6">
        <v>2021</v>
      </c>
      <c r="D8383" s="7">
        <v>111624</v>
      </c>
    </row>
    <row r="8384" spans="1:4" x14ac:dyDescent="0.3">
      <c r="A8384" s="2" t="s">
        <v>260</v>
      </c>
      <c r="B8384" s="2" t="s">
        <v>261</v>
      </c>
      <c r="C8384" s="3">
        <v>2022</v>
      </c>
      <c r="D8384" s="4">
        <v>112114</v>
      </c>
    </row>
    <row r="8385" spans="1:4" x14ac:dyDescent="0.3">
      <c r="A8385" s="5" t="s">
        <v>260</v>
      </c>
      <c r="B8385" s="5" t="s">
        <v>261</v>
      </c>
      <c r="C8385" s="6">
        <v>2023</v>
      </c>
      <c r="D8385" s="7">
        <v>112630</v>
      </c>
    </row>
    <row r="8386" spans="1:4" x14ac:dyDescent="0.3">
      <c r="A8386" s="2" t="s">
        <v>260</v>
      </c>
      <c r="B8386" s="2" t="s">
        <v>261</v>
      </c>
      <c r="C8386" s="3">
        <v>2024</v>
      </c>
      <c r="D8386" s="4">
        <v>113160</v>
      </c>
    </row>
    <row r="8387" spans="1:4" x14ac:dyDescent="0.3">
      <c r="A8387" s="5" t="s">
        <v>262</v>
      </c>
      <c r="B8387" s="5" t="s">
        <v>263</v>
      </c>
      <c r="C8387" s="6">
        <v>1960</v>
      </c>
      <c r="D8387" s="7">
        <v>2058020</v>
      </c>
    </row>
    <row r="8388" spans="1:4" x14ac:dyDescent="0.3">
      <c r="A8388" s="2" t="s">
        <v>262</v>
      </c>
      <c r="B8388" s="2" t="s">
        <v>263</v>
      </c>
      <c r="C8388" s="3">
        <v>1961</v>
      </c>
      <c r="D8388" s="4">
        <v>2103327</v>
      </c>
    </row>
    <row r="8389" spans="1:4" x14ac:dyDescent="0.3">
      <c r="A8389" s="5" t="s">
        <v>262</v>
      </c>
      <c r="B8389" s="5" t="s">
        <v>263</v>
      </c>
      <c r="C8389" s="6">
        <v>1962</v>
      </c>
      <c r="D8389" s="7">
        <v>2147227</v>
      </c>
    </row>
    <row r="8390" spans="1:4" x14ac:dyDescent="0.3">
      <c r="A8390" s="2" t="s">
        <v>262</v>
      </c>
      <c r="B8390" s="2" t="s">
        <v>263</v>
      </c>
      <c r="C8390" s="3">
        <v>1963</v>
      </c>
      <c r="D8390" s="4">
        <v>2188895</v>
      </c>
    </row>
    <row r="8391" spans="1:4" x14ac:dyDescent="0.3">
      <c r="A8391" s="5" t="s">
        <v>262</v>
      </c>
      <c r="B8391" s="5" t="s">
        <v>263</v>
      </c>
      <c r="C8391" s="6">
        <v>1964</v>
      </c>
      <c r="D8391" s="7">
        <v>2228000</v>
      </c>
    </row>
    <row r="8392" spans="1:4" x14ac:dyDescent="0.3">
      <c r="A8392" s="2" t="s">
        <v>262</v>
      </c>
      <c r="B8392" s="2" t="s">
        <v>263</v>
      </c>
      <c r="C8392" s="3">
        <v>1965</v>
      </c>
      <c r="D8392" s="4">
        <v>2265287</v>
      </c>
    </row>
    <row r="8393" spans="1:4" x14ac:dyDescent="0.3">
      <c r="A8393" s="5" t="s">
        <v>262</v>
      </c>
      <c r="B8393" s="5" t="s">
        <v>263</v>
      </c>
      <c r="C8393" s="6">
        <v>1966</v>
      </c>
      <c r="D8393" s="7">
        <v>2301871</v>
      </c>
    </row>
    <row r="8394" spans="1:4" x14ac:dyDescent="0.3">
      <c r="A8394" s="2" t="s">
        <v>262</v>
      </c>
      <c r="B8394" s="2" t="s">
        <v>263</v>
      </c>
      <c r="C8394" s="3">
        <v>1967</v>
      </c>
      <c r="D8394" s="4">
        <v>2337695</v>
      </c>
    </row>
    <row r="8395" spans="1:4" x14ac:dyDescent="0.3">
      <c r="A8395" s="5" t="s">
        <v>262</v>
      </c>
      <c r="B8395" s="5" t="s">
        <v>263</v>
      </c>
      <c r="C8395" s="6">
        <v>1968</v>
      </c>
      <c r="D8395" s="7">
        <v>2373073</v>
      </c>
    </row>
    <row r="8396" spans="1:4" x14ac:dyDescent="0.3">
      <c r="A8396" s="2" t="s">
        <v>262</v>
      </c>
      <c r="B8396" s="2" t="s">
        <v>263</v>
      </c>
      <c r="C8396" s="3">
        <v>1969</v>
      </c>
      <c r="D8396" s="4">
        <v>2408469</v>
      </c>
    </row>
    <row r="8397" spans="1:4" x14ac:dyDescent="0.3">
      <c r="A8397" s="5" t="s">
        <v>262</v>
      </c>
      <c r="B8397" s="5" t="s">
        <v>263</v>
      </c>
      <c r="C8397" s="6">
        <v>1970</v>
      </c>
      <c r="D8397" s="7">
        <v>2437590</v>
      </c>
    </row>
    <row r="8398" spans="1:4" x14ac:dyDescent="0.3">
      <c r="A8398" s="2" t="s">
        <v>262</v>
      </c>
      <c r="B8398" s="2" t="s">
        <v>263</v>
      </c>
      <c r="C8398" s="3">
        <v>1971</v>
      </c>
      <c r="D8398" s="4">
        <v>2460611</v>
      </c>
    </row>
    <row r="8399" spans="1:4" x14ac:dyDescent="0.3">
      <c r="A8399" s="5" t="s">
        <v>262</v>
      </c>
      <c r="B8399" s="5" t="s">
        <v>263</v>
      </c>
      <c r="C8399" s="6">
        <v>1972</v>
      </c>
      <c r="D8399" s="7">
        <v>2484742</v>
      </c>
    </row>
    <row r="8400" spans="1:4" x14ac:dyDescent="0.3">
      <c r="A8400" s="2" t="s">
        <v>262</v>
      </c>
      <c r="B8400" s="2" t="s">
        <v>263</v>
      </c>
      <c r="C8400" s="3">
        <v>1973</v>
      </c>
      <c r="D8400" s="4">
        <v>2510584</v>
      </c>
    </row>
    <row r="8401" spans="1:4" x14ac:dyDescent="0.3">
      <c r="A8401" s="5" t="s">
        <v>262</v>
      </c>
      <c r="B8401" s="5" t="s">
        <v>263</v>
      </c>
      <c r="C8401" s="6">
        <v>1974</v>
      </c>
      <c r="D8401" s="7">
        <v>2538164</v>
      </c>
    </row>
    <row r="8402" spans="1:4" x14ac:dyDescent="0.3">
      <c r="A8402" s="2" t="s">
        <v>262</v>
      </c>
      <c r="B8402" s="2" t="s">
        <v>263</v>
      </c>
      <c r="C8402" s="3">
        <v>1975</v>
      </c>
      <c r="D8402" s="4">
        <v>2566998</v>
      </c>
    </row>
    <row r="8403" spans="1:4" x14ac:dyDescent="0.3">
      <c r="A8403" s="5" t="s">
        <v>262</v>
      </c>
      <c r="B8403" s="5" t="s">
        <v>263</v>
      </c>
      <c r="C8403" s="6">
        <v>1976</v>
      </c>
      <c r="D8403" s="7">
        <v>2596491</v>
      </c>
    </row>
    <row r="8404" spans="1:4" x14ac:dyDescent="0.3">
      <c r="A8404" s="2" t="s">
        <v>262</v>
      </c>
      <c r="B8404" s="2" t="s">
        <v>263</v>
      </c>
      <c r="C8404" s="3">
        <v>1977</v>
      </c>
      <c r="D8404" s="4">
        <v>2626298</v>
      </c>
    </row>
    <row r="8405" spans="1:4" x14ac:dyDescent="0.3">
      <c r="A8405" s="5" t="s">
        <v>262</v>
      </c>
      <c r="B8405" s="5" t="s">
        <v>263</v>
      </c>
      <c r="C8405" s="6">
        <v>1978</v>
      </c>
      <c r="D8405" s="7">
        <v>2656211</v>
      </c>
    </row>
    <row r="8406" spans="1:4" x14ac:dyDescent="0.3">
      <c r="A8406" s="2" t="s">
        <v>262</v>
      </c>
      <c r="B8406" s="2" t="s">
        <v>263</v>
      </c>
      <c r="C8406" s="3">
        <v>1979</v>
      </c>
      <c r="D8406" s="4">
        <v>2683035</v>
      </c>
    </row>
    <row r="8407" spans="1:4" x14ac:dyDescent="0.3">
      <c r="A8407" s="5" t="s">
        <v>262</v>
      </c>
      <c r="B8407" s="5" t="s">
        <v>263</v>
      </c>
      <c r="C8407" s="6">
        <v>1980</v>
      </c>
      <c r="D8407" s="7">
        <v>2708675</v>
      </c>
    </row>
    <row r="8408" spans="1:4" x14ac:dyDescent="0.3">
      <c r="A8408" s="2" t="s">
        <v>262</v>
      </c>
      <c r="B8408" s="2" t="s">
        <v>263</v>
      </c>
      <c r="C8408" s="3">
        <v>1981</v>
      </c>
      <c r="D8408" s="4">
        <v>2735987</v>
      </c>
    </row>
    <row r="8409" spans="1:4" x14ac:dyDescent="0.3">
      <c r="A8409" s="5" t="s">
        <v>262</v>
      </c>
      <c r="B8409" s="5" t="s">
        <v>263</v>
      </c>
      <c r="C8409" s="6">
        <v>1982</v>
      </c>
      <c r="D8409" s="7">
        <v>2763101</v>
      </c>
    </row>
    <row r="8410" spans="1:4" x14ac:dyDescent="0.3">
      <c r="A8410" s="2" t="s">
        <v>262</v>
      </c>
      <c r="B8410" s="2" t="s">
        <v>263</v>
      </c>
      <c r="C8410" s="3">
        <v>1983</v>
      </c>
      <c r="D8410" s="4">
        <v>2791207</v>
      </c>
    </row>
    <row r="8411" spans="1:4" x14ac:dyDescent="0.3">
      <c r="A8411" s="5" t="s">
        <v>262</v>
      </c>
      <c r="B8411" s="5" t="s">
        <v>263</v>
      </c>
      <c r="C8411" s="6">
        <v>1984</v>
      </c>
      <c r="D8411" s="7">
        <v>2820518</v>
      </c>
    </row>
    <row r="8412" spans="1:4" x14ac:dyDescent="0.3">
      <c r="A8412" s="2" t="s">
        <v>262</v>
      </c>
      <c r="B8412" s="2" t="s">
        <v>263</v>
      </c>
      <c r="C8412" s="3">
        <v>1985</v>
      </c>
      <c r="D8412" s="4">
        <v>2850787</v>
      </c>
    </row>
    <row r="8413" spans="1:4" x14ac:dyDescent="0.3">
      <c r="A8413" s="5" t="s">
        <v>262</v>
      </c>
      <c r="B8413" s="5" t="s">
        <v>263</v>
      </c>
      <c r="C8413" s="6">
        <v>1986</v>
      </c>
      <c r="D8413" s="7">
        <v>2883057</v>
      </c>
    </row>
    <row r="8414" spans="1:4" x14ac:dyDescent="0.3">
      <c r="A8414" s="2" t="s">
        <v>262</v>
      </c>
      <c r="B8414" s="2" t="s">
        <v>263</v>
      </c>
      <c r="C8414" s="3">
        <v>1987</v>
      </c>
      <c r="D8414" s="4">
        <v>2916306</v>
      </c>
    </row>
    <row r="8415" spans="1:4" x14ac:dyDescent="0.3">
      <c r="A8415" s="5" t="s">
        <v>262</v>
      </c>
      <c r="B8415" s="5" t="s">
        <v>263</v>
      </c>
      <c r="C8415" s="6">
        <v>1988</v>
      </c>
      <c r="D8415" s="7">
        <v>2948891</v>
      </c>
    </row>
    <row r="8416" spans="1:4" x14ac:dyDescent="0.3">
      <c r="A8416" s="2" t="s">
        <v>262</v>
      </c>
      <c r="B8416" s="2" t="s">
        <v>263</v>
      </c>
      <c r="C8416" s="3">
        <v>1989</v>
      </c>
      <c r="D8416" s="4">
        <v>2970039</v>
      </c>
    </row>
    <row r="8417" spans="1:4" x14ac:dyDescent="0.3">
      <c r="A8417" s="5" t="s">
        <v>262</v>
      </c>
      <c r="B8417" s="5" t="s">
        <v>263</v>
      </c>
      <c r="C8417" s="6">
        <v>1990</v>
      </c>
      <c r="D8417" s="7">
        <v>2977912</v>
      </c>
    </row>
    <row r="8418" spans="1:4" x14ac:dyDescent="0.3">
      <c r="A8418" s="2" t="s">
        <v>262</v>
      </c>
      <c r="B8418" s="2" t="s">
        <v>263</v>
      </c>
      <c r="C8418" s="3">
        <v>1991</v>
      </c>
      <c r="D8418" s="4">
        <v>2981566</v>
      </c>
    </row>
    <row r="8419" spans="1:4" x14ac:dyDescent="0.3">
      <c r="A8419" s="5" t="s">
        <v>262</v>
      </c>
      <c r="B8419" s="5" t="s">
        <v>263</v>
      </c>
      <c r="C8419" s="6">
        <v>1992</v>
      </c>
      <c r="D8419" s="7">
        <v>2980965</v>
      </c>
    </row>
    <row r="8420" spans="1:4" x14ac:dyDescent="0.3">
      <c r="A8420" s="2" t="s">
        <v>262</v>
      </c>
      <c r="B8420" s="2" t="s">
        <v>263</v>
      </c>
      <c r="C8420" s="3">
        <v>1993</v>
      </c>
      <c r="D8420" s="4">
        <v>2975966</v>
      </c>
    </row>
    <row r="8421" spans="1:4" x14ac:dyDescent="0.3">
      <c r="A8421" s="5" t="s">
        <v>262</v>
      </c>
      <c r="B8421" s="5" t="s">
        <v>263</v>
      </c>
      <c r="C8421" s="6">
        <v>1994</v>
      </c>
      <c r="D8421" s="7">
        <v>2966745</v>
      </c>
    </row>
    <row r="8422" spans="1:4" x14ac:dyDescent="0.3">
      <c r="A8422" s="2" t="s">
        <v>262</v>
      </c>
      <c r="B8422" s="2" t="s">
        <v>263</v>
      </c>
      <c r="C8422" s="3">
        <v>1995</v>
      </c>
      <c r="D8422" s="4">
        <v>2953200</v>
      </c>
    </row>
    <row r="8423" spans="1:4" x14ac:dyDescent="0.3">
      <c r="A8423" s="5" t="s">
        <v>262</v>
      </c>
      <c r="B8423" s="5" t="s">
        <v>263</v>
      </c>
      <c r="C8423" s="6">
        <v>1996</v>
      </c>
      <c r="D8423" s="7">
        <v>2947293</v>
      </c>
    </row>
    <row r="8424" spans="1:4" x14ac:dyDescent="0.3">
      <c r="A8424" s="2" t="s">
        <v>262</v>
      </c>
      <c r="B8424" s="2" t="s">
        <v>263</v>
      </c>
      <c r="C8424" s="3">
        <v>1997</v>
      </c>
      <c r="D8424" s="4">
        <v>2936413</v>
      </c>
    </row>
    <row r="8425" spans="1:4" x14ac:dyDescent="0.3">
      <c r="A8425" s="5" t="s">
        <v>262</v>
      </c>
      <c r="B8425" s="5" t="s">
        <v>263</v>
      </c>
      <c r="C8425" s="6">
        <v>1998</v>
      </c>
      <c r="D8425" s="7">
        <v>2935227</v>
      </c>
    </row>
    <row r="8426" spans="1:4" x14ac:dyDescent="0.3">
      <c r="A8426" s="2" t="s">
        <v>262</v>
      </c>
      <c r="B8426" s="2" t="s">
        <v>263</v>
      </c>
      <c r="C8426" s="3">
        <v>1999</v>
      </c>
      <c r="D8426" s="4">
        <v>2930622</v>
      </c>
    </row>
    <row r="8427" spans="1:4" x14ac:dyDescent="0.3">
      <c r="A8427" s="5" t="s">
        <v>262</v>
      </c>
      <c r="B8427" s="5" t="s">
        <v>263</v>
      </c>
      <c r="C8427" s="6">
        <v>2000</v>
      </c>
      <c r="D8427" s="7">
        <v>2924668</v>
      </c>
    </row>
    <row r="8428" spans="1:4" x14ac:dyDescent="0.3">
      <c r="A8428" s="2" t="s">
        <v>262</v>
      </c>
      <c r="B8428" s="2" t="s">
        <v>263</v>
      </c>
      <c r="C8428" s="3">
        <v>2001</v>
      </c>
      <c r="D8428" s="4">
        <v>2918135</v>
      </c>
    </row>
    <row r="8429" spans="1:4" x14ac:dyDescent="0.3">
      <c r="A8429" s="5" t="s">
        <v>262</v>
      </c>
      <c r="B8429" s="5" t="s">
        <v>263</v>
      </c>
      <c r="C8429" s="6">
        <v>2002</v>
      </c>
      <c r="D8429" s="7">
        <v>2911385</v>
      </c>
    </row>
    <row r="8430" spans="1:4" x14ac:dyDescent="0.3">
      <c r="A8430" s="2" t="s">
        <v>262</v>
      </c>
      <c r="B8430" s="2" t="s">
        <v>263</v>
      </c>
      <c r="C8430" s="3">
        <v>2003</v>
      </c>
      <c r="D8430" s="4">
        <v>2903198</v>
      </c>
    </row>
    <row r="8431" spans="1:4" x14ac:dyDescent="0.3">
      <c r="A8431" s="5" t="s">
        <v>262</v>
      </c>
      <c r="B8431" s="5" t="s">
        <v>263</v>
      </c>
      <c r="C8431" s="6">
        <v>2004</v>
      </c>
      <c r="D8431" s="7">
        <v>2896023</v>
      </c>
    </row>
    <row r="8432" spans="1:4" x14ac:dyDescent="0.3">
      <c r="A8432" s="2" t="s">
        <v>262</v>
      </c>
      <c r="B8432" s="2" t="s">
        <v>263</v>
      </c>
      <c r="C8432" s="3">
        <v>2005</v>
      </c>
      <c r="D8432" s="4">
        <v>2888985</v>
      </c>
    </row>
    <row r="8433" spans="1:4" x14ac:dyDescent="0.3">
      <c r="A8433" s="5" t="s">
        <v>262</v>
      </c>
      <c r="B8433" s="5" t="s">
        <v>263</v>
      </c>
      <c r="C8433" s="6">
        <v>2006</v>
      </c>
      <c r="D8433" s="7">
        <v>2880967</v>
      </c>
    </row>
    <row r="8434" spans="1:4" x14ac:dyDescent="0.3">
      <c r="A8434" s="2" t="s">
        <v>262</v>
      </c>
      <c r="B8434" s="2" t="s">
        <v>263</v>
      </c>
      <c r="C8434" s="3">
        <v>2007</v>
      </c>
      <c r="D8434" s="4">
        <v>2874299</v>
      </c>
    </row>
    <row r="8435" spans="1:4" x14ac:dyDescent="0.3">
      <c r="A8435" s="5" t="s">
        <v>262</v>
      </c>
      <c r="B8435" s="5" t="s">
        <v>263</v>
      </c>
      <c r="C8435" s="6">
        <v>2008</v>
      </c>
      <c r="D8435" s="7">
        <v>2868833</v>
      </c>
    </row>
    <row r="8436" spans="1:4" x14ac:dyDescent="0.3">
      <c r="A8436" s="2" t="s">
        <v>262</v>
      </c>
      <c r="B8436" s="2" t="s">
        <v>263</v>
      </c>
      <c r="C8436" s="3">
        <v>2009</v>
      </c>
      <c r="D8436" s="4">
        <v>2865213</v>
      </c>
    </row>
    <row r="8437" spans="1:4" x14ac:dyDescent="0.3">
      <c r="A8437" s="5" t="s">
        <v>262</v>
      </c>
      <c r="B8437" s="5" t="s">
        <v>263</v>
      </c>
      <c r="C8437" s="6">
        <v>2010</v>
      </c>
      <c r="D8437" s="7">
        <v>2862354</v>
      </c>
    </row>
    <row r="8438" spans="1:4" x14ac:dyDescent="0.3">
      <c r="A8438" s="2" t="s">
        <v>262</v>
      </c>
      <c r="B8438" s="2" t="s">
        <v>263</v>
      </c>
      <c r="C8438" s="3">
        <v>2011</v>
      </c>
      <c r="D8438" s="4">
        <v>2860699</v>
      </c>
    </row>
    <row r="8439" spans="1:4" x14ac:dyDescent="0.3">
      <c r="A8439" s="5" t="s">
        <v>262</v>
      </c>
      <c r="B8439" s="5" t="s">
        <v>263</v>
      </c>
      <c r="C8439" s="6">
        <v>2012</v>
      </c>
      <c r="D8439" s="7">
        <v>2860324</v>
      </c>
    </row>
    <row r="8440" spans="1:4" x14ac:dyDescent="0.3">
      <c r="A8440" s="2" t="s">
        <v>262</v>
      </c>
      <c r="B8440" s="2" t="s">
        <v>263</v>
      </c>
      <c r="C8440" s="3">
        <v>2013</v>
      </c>
      <c r="D8440" s="4">
        <v>2859558</v>
      </c>
    </row>
    <row r="8441" spans="1:4" x14ac:dyDescent="0.3">
      <c r="A8441" s="5" t="s">
        <v>262</v>
      </c>
      <c r="B8441" s="5" t="s">
        <v>263</v>
      </c>
      <c r="C8441" s="6">
        <v>2014</v>
      </c>
      <c r="D8441" s="7">
        <v>2857815</v>
      </c>
    </row>
    <row r="8442" spans="1:4" x14ac:dyDescent="0.3">
      <c r="A8442" s="2" t="s">
        <v>262</v>
      </c>
      <c r="B8442" s="2" t="s">
        <v>263</v>
      </c>
      <c r="C8442" s="3">
        <v>2015</v>
      </c>
      <c r="D8442" s="4">
        <v>2835978</v>
      </c>
    </row>
    <row r="8443" spans="1:4" x14ac:dyDescent="0.3">
      <c r="A8443" s="5" t="s">
        <v>262</v>
      </c>
      <c r="B8443" s="5" t="s">
        <v>263</v>
      </c>
      <c r="C8443" s="6">
        <v>2016</v>
      </c>
      <c r="D8443" s="7">
        <v>2803186</v>
      </c>
    </row>
    <row r="8444" spans="1:4" x14ac:dyDescent="0.3">
      <c r="A8444" s="2" t="s">
        <v>262</v>
      </c>
      <c r="B8444" s="2" t="s">
        <v>263</v>
      </c>
      <c r="C8444" s="3">
        <v>2017</v>
      </c>
      <c r="D8444" s="4">
        <v>2755189</v>
      </c>
    </row>
    <row r="8445" spans="1:4" x14ac:dyDescent="0.3">
      <c r="A8445" s="5" t="s">
        <v>262</v>
      </c>
      <c r="B8445" s="5" t="s">
        <v>263</v>
      </c>
      <c r="C8445" s="6">
        <v>2018</v>
      </c>
      <c r="D8445" s="7">
        <v>2707203</v>
      </c>
    </row>
    <row r="8446" spans="1:4" x14ac:dyDescent="0.3">
      <c r="A8446" s="2" t="s">
        <v>262</v>
      </c>
      <c r="B8446" s="2" t="s">
        <v>263</v>
      </c>
      <c r="C8446" s="3">
        <v>2019</v>
      </c>
      <c r="D8446" s="4">
        <v>2664224</v>
      </c>
    </row>
    <row r="8447" spans="1:4" x14ac:dyDescent="0.3">
      <c r="A8447" s="5" t="s">
        <v>262</v>
      </c>
      <c r="B8447" s="5" t="s">
        <v>263</v>
      </c>
      <c r="C8447" s="6">
        <v>2020</v>
      </c>
      <c r="D8447" s="7">
        <v>2635130</v>
      </c>
    </row>
    <row r="8448" spans="1:4" x14ac:dyDescent="0.3">
      <c r="A8448" s="2" t="s">
        <v>262</v>
      </c>
      <c r="B8448" s="2" t="s">
        <v>263</v>
      </c>
      <c r="C8448" s="3">
        <v>2021</v>
      </c>
      <c r="D8448" s="4">
        <v>2595809</v>
      </c>
    </row>
    <row r="8449" spans="1:4" x14ac:dyDescent="0.3">
      <c r="A8449" s="5" t="s">
        <v>262</v>
      </c>
      <c r="B8449" s="5" t="s">
        <v>263</v>
      </c>
      <c r="C8449" s="6">
        <v>2022</v>
      </c>
      <c r="D8449" s="7">
        <v>2528654</v>
      </c>
    </row>
    <row r="8450" spans="1:4" x14ac:dyDescent="0.3">
      <c r="A8450" s="2" t="s">
        <v>262</v>
      </c>
      <c r="B8450" s="2" t="s">
        <v>263</v>
      </c>
      <c r="C8450" s="3">
        <v>2023</v>
      </c>
      <c r="D8450" s="4">
        <v>2457783</v>
      </c>
    </row>
    <row r="8451" spans="1:4" x14ac:dyDescent="0.3">
      <c r="A8451" s="5" t="s">
        <v>262</v>
      </c>
      <c r="B8451" s="5" t="s">
        <v>263</v>
      </c>
      <c r="C8451" s="6">
        <v>2024</v>
      </c>
      <c r="D8451" s="7">
        <v>2389275</v>
      </c>
    </row>
    <row r="8452" spans="1:4" x14ac:dyDescent="0.3">
      <c r="A8452" s="2" t="s">
        <v>264</v>
      </c>
      <c r="B8452" s="2" t="s">
        <v>265</v>
      </c>
      <c r="C8452" s="3">
        <v>1960</v>
      </c>
      <c r="D8452" s="4">
        <v>21808</v>
      </c>
    </row>
    <row r="8453" spans="1:4" x14ac:dyDescent="0.3">
      <c r="A8453" s="5" t="s">
        <v>264</v>
      </c>
      <c r="B8453" s="5" t="s">
        <v>265</v>
      </c>
      <c r="C8453" s="6">
        <v>1961</v>
      </c>
      <c r="D8453" s="7">
        <v>21901</v>
      </c>
    </row>
    <row r="8454" spans="1:4" x14ac:dyDescent="0.3">
      <c r="A8454" s="2" t="s">
        <v>264</v>
      </c>
      <c r="B8454" s="2" t="s">
        <v>265</v>
      </c>
      <c r="C8454" s="3">
        <v>1962</v>
      </c>
      <c r="D8454" s="4">
        <v>22078</v>
      </c>
    </row>
    <row r="8455" spans="1:4" x14ac:dyDescent="0.3">
      <c r="A8455" s="5" t="s">
        <v>264</v>
      </c>
      <c r="B8455" s="5" t="s">
        <v>265</v>
      </c>
      <c r="C8455" s="6">
        <v>1963</v>
      </c>
      <c r="D8455" s="7">
        <v>22385</v>
      </c>
    </row>
    <row r="8456" spans="1:4" x14ac:dyDescent="0.3">
      <c r="A8456" s="2" t="s">
        <v>264</v>
      </c>
      <c r="B8456" s="2" t="s">
        <v>265</v>
      </c>
      <c r="C8456" s="3">
        <v>1964</v>
      </c>
      <c r="D8456" s="4">
        <v>22686</v>
      </c>
    </row>
    <row r="8457" spans="1:4" x14ac:dyDescent="0.3">
      <c r="A8457" s="5" t="s">
        <v>264</v>
      </c>
      <c r="B8457" s="5" t="s">
        <v>265</v>
      </c>
      <c r="C8457" s="6">
        <v>1965</v>
      </c>
      <c r="D8457" s="7">
        <v>22941</v>
      </c>
    </row>
    <row r="8458" spans="1:4" x14ac:dyDescent="0.3">
      <c r="A8458" s="2" t="s">
        <v>264</v>
      </c>
      <c r="B8458" s="2" t="s">
        <v>265</v>
      </c>
      <c r="C8458" s="3">
        <v>1966</v>
      </c>
      <c r="D8458" s="4">
        <v>23131</v>
      </c>
    </row>
    <row r="8459" spans="1:4" x14ac:dyDescent="0.3">
      <c r="A8459" s="5" t="s">
        <v>264</v>
      </c>
      <c r="B8459" s="5" t="s">
        <v>265</v>
      </c>
      <c r="C8459" s="6">
        <v>1967</v>
      </c>
      <c r="D8459" s="7">
        <v>23230</v>
      </c>
    </row>
    <row r="8460" spans="1:4" x14ac:dyDescent="0.3">
      <c r="A8460" s="2" t="s">
        <v>264</v>
      </c>
      <c r="B8460" s="2" t="s">
        <v>265</v>
      </c>
      <c r="C8460" s="3">
        <v>1968</v>
      </c>
      <c r="D8460" s="4">
        <v>23437</v>
      </c>
    </row>
    <row r="8461" spans="1:4" x14ac:dyDescent="0.3">
      <c r="A8461" s="5" t="s">
        <v>264</v>
      </c>
      <c r="B8461" s="5" t="s">
        <v>265</v>
      </c>
      <c r="C8461" s="6">
        <v>1969</v>
      </c>
      <c r="D8461" s="7">
        <v>23831</v>
      </c>
    </row>
    <row r="8462" spans="1:4" x14ac:dyDescent="0.3">
      <c r="A8462" s="2" t="s">
        <v>264</v>
      </c>
      <c r="B8462" s="2" t="s">
        <v>265</v>
      </c>
      <c r="C8462" s="3">
        <v>1970</v>
      </c>
      <c r="D8462" s="4">
        <v>24229</v>
      </c>
    </row>
    <row r="8463" spans="1:4" x14ac:dyDescent="0.3">
      <c r="A8463" s="5" t="s">
        <v>264</v>
      </c>
      <c r="B8463" s="5" t="s">
        <v>265</v>
      </c>
      <c r="C8463" s="6">
        <v>1971</v>
      </c>
      <c r="D8463" s="7">
        <v>24576</v>
      </c>
    </row>
    <row r="8464" spans="1:4" x14ac:dyDescent="0.3">
      <c r="A8464" s="2" t="s">
        <v>264</v>
      </c>
      <c r="B8464" s="2" t="s">
        <v>265</v>
      </c>
      <c r="C8464" s="3">
        <v>1972</v>
      </c>
      <c r="D8464" s="4">
        <v>24862</v>
      </c>
    </row>
    <row r="8465" spans="1:4" x14ac:dyDescent="0.3">
      <c r="A8465" s="5" t="s">
        <v>264</v>
      </c>
      <c r="B8465" s="5" t="s">
        <v>265</v>
      </c>
      <c r="C8465" s="6">
        <v>1973</v>
      </c>
      <c r="D8465" s="7">
        <v>25072</v>
      </c>
    </row>
    <row r="8466" spans="1:4" x14ac:dyDescent="0.3">
      <c r="A8466" s="2" t="s">
        <v>264</v>
      </c>
      <c r="B8466" s="2" t="s">
        <v>265</v>
      </c>
      <c r="C8466" s="3">
        <v>1974</v>
      </c>
      <c r="D8466" s="4">
        <v>25235</v>
      </c>
    </row>
    <row r="8467" spans="1:4" x14ac:dyDescent="0.3">
      <c r="A8467" s="5" t="s">
        <v>264</v>
      </c>
      <c r="B8467" s="5" t="s">
        <v>265</v>
      </c>
      <c r="C8467" s="6">
        <v>1975</v>
      </c>
      <c r="D8467" s="7">
        <v>25500</v>
      </c>
    </row>
    <row r="8468" spans="1:4" x14ac:dyDescent="0.3">
      <c r="A8468" s="2" t="s">
        <v>264</v>
      </c>
      <c r="B8468" s="2" t="s">
        <v>265</v>
      </c>
      <c r="C8468" s="3">
        <v>1976</v>
      </c>
      <c r="D8468" s="4">
        <v>25895</v>
      </c>
    </row>
    <row r="8469" spans="1:4" x14ac:dyDescent="0.3">
      <c r="A8469" s="5" t="s">
        <v>264</v>
      </c>
      <c r="B8469" s="5" t="s">
        <v>265</v>
      </c>
      <c r="C8469" s="6">
        <v>1977</v>
      </c>
      <c r="D8469" s="7">
        <v>26273</v>
      </c>
    </row>
    <row r="8470" spans="1:4" x14ac:dyDescent="0.3">
      <c r="A8470" s="2" t="s">
        <v>264</v>
      </c>
      <c r="B8470" s="2" t="s">
        <v>265</v>
      </c>
      <c r="C8470" s="3">
        <v>1978</v>
      </c>
      <c r="D8470" s="4">
        <v>26605</v>
      </c>
    </row>
    <row r="8471" spans="1:4" x14ac:dyDescent="0.3">
      <c r="A8471" s="5" t="s">
        <v>264</v>
      </c>
      <c r="B8471" s="5" t="s">
        <v>265</v>
      </c>
      <c r="C8471" s="6">
        <v>1979</v>
      </c>
      <c r="D8471" s="7">
        <v>26892</v>
      </c>
    </row>
    <row r="8472" spans="1:4" x14ac:dyDescent="0.3">
      <c r="A8472" s="2" t="s">
        <v>264</v>
      </c>
      <c r="B8472" s="2" t="s">
        <v>265</v>
      </c>
      <c r="C8472" s="3">
        <v>1980</v>
      </c>
      <c r="D8472" s="4">
        <v>27122</v>
      </c>
    </row>
    <row r="8473" spans="1:4" x14ac:dyDescent="0.3">
      <c r="A8473" s="5" t="s">
        <v>264</v>
      </c>
      <c r="B8473" s="5" t="s">
        <v>265</v>
      </c>
      <c r="C8473" s="6">
        <v>1981</v>
      </c>
      <c r="D8473" s="7">
        <v>27293</v>
      </c>
    </row>
    <row r="8474" spans="1:4" x14ac:dyDescent="0.3">
      <c r="A8474" s="2" t="s">
        <v>264</v>
      </c>
      <c r="B8474" s="2" t="s">
        <v>265</v>
      </c>
      <c r="C8474" s="3">
        <v>1982</v>
      </c>
      <c r="D8474" s="4">
        <v>27561</v>
      </c>
    </row>
    <row r="8475" spans="1:4" x14ac:dyDescent="0.3">
      <c r="A8475" s="5" t="s">
        <v>264</v>
      </c>
      <c r="B8475" s="5" t="s">
        <v>265</v>
      </c>
      <c r="C8475" s="6">
        <v>1983</v>
      </c>
      <c r="D8475" s="7">
        <v>27960</v>
      </c>
    </row>
    <row r="8476" spans="1:4" x14ac:dyDescent="0.3">
      <c r="A8476" s="2" t="s">
        <v>264</v>
      </c>
      <c r="B8476" s="2" t="s">
        <v>265</v>
      </c>
      <c r="C8476" s="3">
        <v>1984</v>
      </c>
      <c r="D8476" s="4">
        <v>28356</v>
      </c>
    </row>
    <row r="8477" spans="1:4" x14ac:dyDescent="0.3">
      <c r="A8477" s="5" t="s">
        <v>264</v>
      </c>
      <c r="B8477" s="5" t="s">
        <v>265</v>
      </c>
      <c r="C8477" s="6">
        <v>1985</v>
      </c>
      <c r="D8477" s="7">
        <v>28731</v>
      </c>
    </row>
    <row r="8478" spans="1:4" x14ac:dyDescent="0.3">
      <c r="A8478" s="2" t="s">
        <v>264</v>
      </c>
      <c r="B8478" s="2" t="s">
        <v>265</v>
      </c>
      <c r="C8478" s="3">
        <v>1986</v>
      </c>
      <c r="D8478" s="4">
        <v>29093</v>
      </c>
    </row>
    <row r="8479" spans="1:4" x14ac:dyDescent="0.3">
      <c r="A8479" s="5" t="s">
        <v>264</v>
      </c>
      <c r="B8479" s="5" t="s">
        <v>265</v>
      </c>
      <c r="C8479" s="6">
        <v>1987</v>
      </c>
      <c r="D8479" s="7">
        <v>29446</v>
      </c>
    </row>
    <row r="8480" spans="1:4" x14ac:dyDescent="0.3">
      <c r="A8480" s="2" t="s">
        <v>264</v>
      </c>
      <c r="B8480" s="2" t="s">
        <v>265</v>
      </c>
      <c r="C8480" s="3">
        <v>1988</v>
      </c>
      <c r="D8480" s="4">
        <v>29781</v>
      </c>
    </row>
    <row r="8481" spans="1:4" x14ac:dyDescent="0.3">
      <c r="A8481" s="5" t="s">
        <v>264</v>
      </c>
      <c r="B8481" s="5" t="s">
        <v>265</v>
      </c>
      <c r="C8481" s="6">
        <v>1989</v>
      </c>
      <c r="D8481" s="7">
        <v>30084</v>
      </c>
    </row>
    <row r="8482" spans="1:4" x14ac:dyDescent="0.3">
      <c r="A8482" s="2" t="s">
        <v>264</v>
      </c>
      <c r="B8482" s="2" t="s">
        <v>265</v>
      </c>
      <c r="C8482" s="3">
        <v>1990</v>
      </c>
      <c r="D8482" s="4">
        <v>30358</v>
      </c>
    </row>
    <row r="8483" spans="1:4" x14ac:dyDescent="0.3">
      <c r="A8483" s="5" t="s">
        <v>264</v>
      </c>
      <c r="B8483" s="5" t="s">
        <v>265</v>
      </c>
      <c r="C8483" s="6">
        <v>1991</v>
      </c>
      <c r="D8483" s="7">
        <v>30625</v>
      </c>
    </row>
    <row r="8484" spans="1:4" x14ac:dyDescent="0.3">
      <c r="A8484" s="2" t="s">
        <v>264</v>
      </c>
      <c r="B8484" s="2" t="s">
        <v>265</v>
      </c>
      <c r="C8484" s="3">
        <v>1992</v>
      </c>
      <c r="D8484" s="4">
        <v>30887</v>
      </c>
    </row>
    <row r="8485" spans="1:4" x14ac:dyDescent="0.3">
      <c r="A8485" s="5" t="s">
        <v>264</v>
      </c>
      <c r="B8485" s="5" t="s">
        <v>265</v>
      </c>
      <c r="C8485" s="6">
        <v>1993</v>
      </c>
      <c r="D8485" s="7">
        <v>31136</v>
      </c>
    </row>
    <row r="8486" spans="1:4" x14ac:dyDescent="0.3">
      <c r="A8486" s="2" t="s">
        <v>264</v>
      </c>
      <c r="B8486" s="2" t="s">
        <v>265</v>
      </c>
      <c r="C8486" s="3">
        <v>1994</v>
      </c>
      <c r="D8486" s="4">
        <v>31375</v>
      </c>
    </row>
    <row r="8487" spans="1:4" x14ac:dyDescent="0.3">
      <c r="A8487" s="5" t="s">
        <v>264</v>
      </c>
      <c r="B8487" s="5" t="s">
        <v>265</v>
      </c>
      <c r="C8487" s="6">
        <v>1995</v>
      </c>
      <c r="D8487" s="7">
        <v>31609</v>
      </c>
    </row>
    <row r="8488" spans="1:4" x14ac:dyDescent="0.3">
      <c r="A8488" s="2" t="s">
        <v>264</v>
      </c>
      <c r="B8488" s="2" t="s">
        <v>265</v>
      </c>
      <c r="C8488" s="3">
        <v>1996</v>
      </c>
      <c r="D8488" s="4">
        <v>31837</v>
      </c>
    </row>
    <row r="8489" spans="1:4" x14ac:dyDescent="0.3">
      <c r="A8489" s="5" t="s">
        <v>264</v>
      </c>
      <c r="B8489" s="5" t="s">
        <v>265</v>
      </c>
      <c r="C8489" s="6">
        <v>1997</v>
      </c>
      <c r="D8489" s="7">
        <v>32063</v>
      </c>
    </row>
    <row r="8490" spans="1:4" x14ac:dyDescent="0.3">
      <c r="A8490" s="2" t="s">
        <v>264</v>
      </c>
      <c r="B8490" s="2" t="s">
        <v>265</v>
      </c>
      <c r="C8490" s="3">
        <v>1998</v>
      </c>
      <c r="D8490" s="4">
        <v>32267</v>
      </c>
    </row>
    <row r="8491" spans="1:4" x14ac:dyDescent="0.3">
      <c r="A8491" s="5" t="s">
        <v>264</v>
      </c>
      <c r="B8491" s="5" t="s">
        <v>265</v>
      </c>
      <c r="C8491" s="6">
        <v>1999</v>
      </c>
      <c r="D8491" s="7">
        <v>32410</v>
      </c>
    </row>
    <row r="8492" spans="1:4" x14ac:dyDescent="0.3">
      <c r="A8492" s="2" t="s">
        <v>264</v>
      </c>
      <c r="B8492" s="2" t="s">
        <v>265</v>
      </c>
      <c r="C8492" s="3">
        <v>2000</v>
      </c>
      <c r="D8492" s="4">
        <v>32455</v>
      </c>
    </row>
    <row r="8493" spans="1:4" x14ac:dyDescent="0.3">
      <c r="A8493" s="5" t="s">
        <v>264</v>
      </c>
      <c r="B8493" s="5" t="s">
        <v>265</v>
      </c>
      <c r="C8493" s="6">
        <v>2001</v>
      </c>
      <c r="D8493" s="7">
        <v>32447</v>
      </c>
    </row>
    <row r="8494" spans="1:4" x14ac:dyDescent="0.3">
      <c r="A8494" s="2" t="s">
        <v>264</v>
      </c>
      <c r="B8494" s="2" t="s">
        <v>265</v>
      </c>
      <c r="C8494" s="3">
        <v>2002</v>
      </c>
      <c r="D8494" s="4">
        <v>32422</v>
      </c>
    </row>
    <row r="8495" spans="1:4" x14ac:dyDescent="0.3">
      <c r="A8495" s="5" t="s">
        <v>264</v>
      </c>
      <c r="B8495" s="5" t="s">
        <v>265</v>
      </c>
      <c r="C8495" s="6">
        <v>2003</v>
      </c>
      <c r="D8495" s="7">
        <v>32374</v>
      </c>
    </row>
    <row r="8496" spans="1:4" x14ac:dyDescent="0.3">
      <c r="A8496" s="2" t="s">
        <v>264</v>
      </c>
      <c r="B8496" s="2" t="s">
        <v>265</v>
      </c>
      <c r="C8496" s="3">
        <v>2004</v>
      </c>
      <c r="D8496" s="4">
        <v>32307</v>
      </c>
    </row>
    <row r="8497" spans="1:4" x14ac:dyDescent="0.3">
      <c r="A8497" s="5" t="s">
        <v>264</v>
      </c>
      <c r="B8497" s="5" t="s">
        <v>265</v>
      </c>
      <c r="C8497" s="6">
        <v>2005</v>
      </c>
      <c r="D8497" s="7">
        <v>32210</v>
      </c>
    </row>
    <row r="8498" spans="1:4" x14ac:dyDescent="0.3">
      <c r="A8498" s="2" t="s">
        <v>264</v>
      </c>
      <c r="B8498" s="2" t="s">
        <v>265</v>
      </c>
      <c r="C8498" s="3">
        <v>2006</v>
      </c>
      <c r="D8498" s="4">
        <v>32057</v>
      </c>
    </row>
    <row r="8499" spans="1:4" x14ac:dyDescent="0.3">
      <c r="A8499" s="5" t="s">
        <v>264</v>
      </c>
      <c r="B8499" s="5" t="s">
        <v>265</v>
      </c>
      <c r="C8499" s="6">
        <v>2007</v>
      </c>
      <c r="D8499" s="7">
        <v>31837</v>
      </c>
    </row>
    <row r="8500" spans="1:4" x14ac:dyDescent="0.3">
      <c r="A8500" s="2" t="s">
        <v>264</v>
      </c>
      <c r="B8500" s="2" t="s">
        <v>265</v>
      </c>
      <c r="C8500" s="3">
        <v>2008</v>
      </c>
      <c r="D8500" s="4">
        <v>31836</v>
      </c>
    </row>
    <row r="8501" spans="1:4" x14ac:dyDescent="0.3">
      <c r="A8501" s="5" t="s">
        <v>264</v>
      </c>
      <c r="B8501" s="5" t="s">
        <v>265</v>
      </c>
      <c r="C8501" s="6">
        <v>2009</v>
      </c>
      <c r="D8501" s="7">
        <v>32364</v>
      </c>
    </row>
    <row r="8502" spans="1:4" x14ac:dyDescent="0.3">
      <c r="A8502" s="2" t="s">
        <v>264</v>
      </c>
      <c r="B8502" s="2" t="s">
        <v>265</v>
      </c>
      <c r="C8502" s="3">
        <v>2010</v>
      </c>
      <c r="D8502" s="4">
        <v>33163</v>
      </c>
    </row>
    <row r="8503" spans="1:4" x14ac:dyDescent="0.3">
      <c r="A8503" s="5" t="s">
        <v>264</v>
      </c>
      <c r="B8503" s="5" t="s">
        <v>265</v>
      </c>
      <c r="C8503" s="6">
        <v>2011</v>
      </c>
      <c r="D8503" s="7">
        <v>33946</v>
      </c>
    </row>
    <row r="8504" spans="1:4" x14ac:dyDescent="0.3">
      <c r="A8504" s="2" t="s">
        <v>264</v>
      </c>
      <c r="B8504" s="2" t="s">
        <v>265</v>
      </c>
      <c r="C8504" s="3">
        <v>2012</v>
      </c>
      <c r="D8504" s="4">
        <v>34711</v>
      </c>
    </row>
    <row r="8505" spans="1:4" x14ac:dyDescent="0.3">
      <c r="A8505" s="5" t="s">
        <v>264</v>
      </c>
      <c r="B8505" s="5" t="s">
        <v>265</v>
      </c>
      <c r="C8505" s="6">
        <v>2013</v>
      </c>
      <c r="D8505" s="7">
        <v>35447</v>
      </c>
    </row>
    <row r="8506" spans="1:4" x14ac:dyDescent="0.3">
      <c r="A8506" s="2" t="s">
        <v>264</v>
      </c>
      <c r="B8506" s="2" t="s">
        <v>265</v>
      </c>
      <c r="C8506" s="3">
        <v>2014</v>
      </c>
      <c r="D8506" s="4">
        <v>36128</v>
      </c>
    </row>
    <row r="8507" spans="1:4" x14ac:dyDescent="0.3">
      <c r="A8507" s="5" t="s">
        <v>264</v>
      </c>
      <c r="B8507" s="5" t="s">
        <v>265</v>
      </c>
      <c r="C8507" s="6">
        <v>2015</v>
      </c>
      <c r="D8507" s="7">
        <v>36757</v>
      </c>
    </row>
    <row r="8508" spans="1:4" x14ac:dyDescent="0.3">
      <c r="A8508" s="2" t="s">
        <v>264</v>
      </c>
      <c r="B8508" s="2" t="s">
        <v>265</v>
      </c>
      <c r="C8508" s="3">
        <v>2016</v>
      </c>
      <c r="D8508" s="4">
        <v>37276</v>
      </c>
    </row>
    <row r="8509" spans="1:4" x14ac:dyDescent="0.3">
      <c r="A8509" s="5" t="s">
        <v>264</v>
      </c>
      <c r="B8509" s="5" t="s">
        <v>265</v>
      </c>
      <c r="C8509" s="6">
        <v>2017</v>
      </c>
      <c r="D8509" s="7">
        <v>37678</v>
      </c>
    </row>
    <row r="8510" spans="1:4" x14ac:dyDescent="0.3">
      <c r="A8510" s="2" t="s">
        <v>264</v>
      </c>
      <c r="B8510" s="2" t="s">
        <v>265</v>
      </c>
      <c r="C8510" s="3">
        <v>2018</v>
      </c>
      <c r="D8510" s="4">
        <v>38154</v>
      </c>
    </row>
    <row r="8511" spans="1:4" x14ac:dyDescent="0.3">
      <c r="A8511" s="5" t="s">
        <v>264</v>
      </c>
      <c r="B8511" s="5" t="s">
        <v>265</v>
      </c>
      <c r="C8511" s="6">
        <v>2019</v>
      </c>
      <c r="D8511" s="7">
        <v>38109</v>
      </c>
    </row>
    <row r="8512" spans="1:4" x14ac:dyDescent="0.3">
      <c r="A8512" s="2" t="s">
        <v>264</v>
      </c>
      <c r="B8512" s="2" t="s">
        <v>265</v>
      </c>
      <c r="C8512" s="3">
        <v>2020</v>
      </c>
      <c r="D8512" s="4">
        <v>38050</v>
      </c>
    </row>
    <row r="8513" spans="1:4" x14ac:dyDescent="0.3">
      <c r="A8513" s="5" t="s">
        <v>264</v>
      </c>
      <c r="B8513" s="5" t="s">
        <v>265</v>
      </c>
      <c r="C8513" s="6">
        <v>2021</v>
      </c>
      <c r="D8513" s="7">
        <v>38527</v>
      </c>
    </row>
    <row r="8514" spans="1:4" x14ac:dyDescent="0.3">
      <c r="A8514" s="2" t="s">
        <v>264</v>
      </c>
      <c r="B8514" s="2" t="s">
        <v>265</v>
      </c>
      <c r="C8514" s="3">
        <v>2022</v>
      </c>
      <c r="D8514" s="4">
        <v>38931</v>
      </c>
    </row>
    <row r="8515" spans="1:4" x14ac:dyDescent="0.3">
      <c r="A8515" s="5" t="s">
        <v>264</v>
      </c>
      <c r="B8515" s="5" t="s">
        <v>265</v>
      </c>
      <c r="C8515" s="6">
        <v>2023</v>
      </c>
      <c r="D8515" s="7">
        <v>38956</v>
      </c>
    </row>
    <row r="8516" spans="1:4" x14ac:dyDescent="0.3">
      <c r="A8516" s="2" t="s">
        <v>264</v>
      </c>
      <c r="B8516" s="2" t="s">
        <v>265</v>
      </c>
      <c r="C8516" s="3">
        <v>2024</v>
      </c>
      <c r="D8516" s="4">
        <v>38631</v>
      </c>
    </row>
    <row r="8517" spans="1:4" x14ac:dyDescent="0.3">
      <c r="A8517" s="5" t="s">
        <v>266</v>
      </c>
      <c r="B8517" s="5" t="s">
        <v>267</v>
      </c>
      <c r="C8517" s="6">
        <v>1960</v>
      </c>
      <c r="D8517" s="7">
        <v>977595</v>
      </c>
    </row>
    <row r="8518" spans="1:4" x14ac:dyDescent="0.3">
      <c r="A8518" s="2" t="s">
        <v>266</v>
      </c>
      <c r="B8518" s="2" t="s">
        <v>267</v>
      </c>
      <c r="C8518" s="3">
        <v>1961</v>
      </c>
      <c r="D8518" s="4">
        <v>1009284</v>
      </c>
    </row>
    <row r="8519" spans="1:4" x14ac:dyDescent="0.3">
      <c r="A8519" s="5" t="s">
        <v>266</v>
      </c>
      <c r="B8519" s="5" t="s">
        <v>267</v>
      </c>
      <c r="C8519" s="6">
        <v>1962</v>
      </c>
      <c r="D8519" s="7">
        <v>1041444</v>
      </c>
    </row>
    <row r="8520" spans="1:4" x14ac:dyDescent="0.3">
      <c r="A8520" s="2" t="s">
        <v>266</v>
      </c>
      <c r="B8520" s="2" t="s">
        <v>267</v>
      </c>
      <c r="C8520" s="3">
        <v>1963</v>
      </c>
      <c r="D8520" s="4">
        <v>1071362</v>
      </c>
    </row>
    <row r="8521" spans="1:4" x14ac:dyDescent="0.3">
      <c r="A8521" s="5" t="s">
        <v>266</v>
      </c>
      <c r="B8521" s="5" t="s">
        <v>267</v>
      </c>
      <c r="C8521" s="6">
        <v>1964</v>
      </c>
      <c r="D8521" s="7">
        <v>1100234</v>
      </c>
    </row>
    <row r="8522" spans="1:4" x14ac:dyDescent="0.3">
      <c r="A8522" s="2" t="s">
        <v>266</v>
      </c>
      <c r="B8522" s="2" t="s">
        <v>267</v>
      </c>
      <c r="C8522" s="3">
        <v>1965</v>
      </c>
      <c r="D8522" s="4">
        <v>1131177</v>
      </c>
    </row>
    <row r="8523" spans="1:4" x14ac:dyDescent="0.3">
      <c r="A8523" s="5" t="s">
        <v>266</v>
      </c>
      <c r="B8523" s="5" t="s">
        <v>267</v>
      </c>
      <c r="C8523" s="6">
        <v>1966</v>
      </c>
      <c r="D8523" s="7">
        <v>1163754</v>
      </c>
    </row>
    <row r="8524" spans="1:4" x14ac:dyDescent="0.3">
      <c r="A8524" s="2" t="s">
        <v>266</v>
      </c>
      <c r="B8524" s="2" t="s">
        <v>267</v>
      </c>
      <c r="C8524" s="3">
        <v>1967</v>
      </c>
      <c r="D8524" s="4">
        <v>1196996</v>
      </c>
    </row>
    <row r="8525" spans="1:4" x14ac:dyDescent="0.3">
      <c r="A8525" s="5" t="s">
        <v>266</v>
      </c>
      <c r="B8525" s="5" t="s">
        <v>267</v>
      </c>
      <c r="C8525" s="6">
        <v>1968</v>
      </c>
      <c r="D8525" s="7">
        <v>1229930</v>
      </c>
    </row>
    <row r="8526" spans="1:4" x14ac:dyDescent="0.3">
      <c r="A8526" s="2" t="s">
        <v>266</v>
      </c>
      <c r="B8526" s="2" t="s">
        <v>267</v>
      </c>
      <c r="C8526" s="3">
        <v>1969</v>
      </c>
      <c r="D8526" s="4">
        <v>1262284</v>
      </c>
    </row>
    <row r="8527" spans="1:4" x14ac:dyDescent="0.3">
      <c r="A8527" s="5" t="s">
        <v>266</v>
      </c>
      <c r="B8527" s="5" t="s">
        <v>267</v>
      </c>
      <c r="C8527" s="6">
        <v>1970</v>
      </c>
      <c r="D8527" s="7">
        <v>1295272</v>
      </c>
    </row>
    <row r="8528" spans="1:4" x14ac:dyDescent="0.3">
      <c r="A8528" s="2" t="s">
        <v>266</v>
      </c>
      <c r="B8528" s="2" t="s">
        <v>267</v>
      </c>
      <c r="C8528" s="3">
        <v>1971</v>
      </c>
      <c r="D8528" s="4">
        <v>1330071</v>
      </c>
    </row>
    <row r="8529" spans="1:4" x14ac:dyDescent="0.3">
      <c r="A8529" s="5" t="s">
        <v>266</v>
      </c>
      <c r="B8529" s="5" t="s">
        <v>267</v>
      </c>
      <c r="C8529" s="6">
        <v>1972</v>
      </c>
      <c r="D8529" s="7">
        <v>1366821</v>
      </c>
    </row>
    <row r="8530" spans="1:4" x14ac:dyDescent="0.3">
      <c r="A8530" s="2" t="s">
        <v>266</v>
      </c>
      <c r="B8530" s="2" t="s">
        <v>267</v>
      </c>
      <c r="C8530" s="3">
        <v>1973</v>
      </c>
      <c r="D8530" s="4">
        <v>1405502</v>
      </c>
    </row>
    <row r="8531" spans="1:4" x14ac:dyDescent="0.3">
      <c r="A8531" s="5" t="s">
        <v>266</v>
      </c>
      <c r="B8531" s="5" t="s">
        <v>267</v>
      </c>
      <c r="C8531" s="6">
        <v>1974</v>
      </c>
      <c r="D8531" s="7">
        <v>1446050</v>
      </c>
    </row>
    <row r="8532" spans="1:4" x14ac:dyDescent="0.3">
      <c r="A8532" s="2" t="s">
        <v>266</v>
      </c>
      <c r="B8532" s="2" t="s">
        <v>267</v>
      </c>
      <c r="C8532" s="3">
        <v>1975</v>
      </c>
      <c r="D8532" s="4">
        <v>1488296</v>
      </c>
    </row>
    <row r="8533" spans="1:4" x14ac:dyDescent="0.3">
      <c r="A8533" s="5" t="s">
        <v>266</v>
      </c>
      <c r="B8533" s="5" t="s">
        <v>267</v>
      </c>
      <c r="C8533" s="6">
        <v>1976</v>
      </c>
      <c r="D8533" s="7">
        <v>1531945</v>
      </c>
    </row>
    <row r="8534" spans="1:4" x14ac:dyDescent="0.3">
      <c r="A8534" s="2" t="s">
        <v>266</v>
      </c>
      <c r="B8534" s="2" t="s">
        <v>267</v>
      </c>
      <c r="C8534" s="3">
        <v>1977</v>
      </c>
      <c r="D8534" s="4">
        <v>1576245</v>
      </c>
    </row>
    <row r="8535" spans="1:4" x14ac:dyDescent="0.3">
      <c r="A8535" s="5" t="s">
        <v>266</v>
      </c>
      <c r="B8535" s="5" t="s">
        <v>267</v>
      </c>
      <c r="C8535" s="6">
        <v>1978</v>
      </c>
      <c r="D8535" s="7">
        <v>1619468</v>
      </c>
    </row>
    <row r="8536" spans="1:4" x14ac:dyDescent="0.3">
      <c r="A8536" s="2" t="s">
        <v>266</v>
      </c>
      <c r="B8536" s="2" t="s">
        <v>267</v>
      </c>
      <c r="C8536" s="3">
        <v>1979</v>
      </c>
      <c r="D8536" s="4">
        <v>1660659</v>
      </c>
    </row>
    <row r="8537" spans="1:4" x14ac:dyDescent="0.3">
      <c r="A8537" s="5" t="s">
        <v>266</v>
      </c>
      <c r="B8537" s="5" t="s">
        <v>267</v>
      </c>
      <c r="C8537" s="6">
        <v>1980</v>
      </c>
      <c r="D8537" s="7">
        <v>1701335</v>
      </c>
    </row>
    <row r="8538" spans="1:4" x14ac:dyDescent="0.3">
      <c r="A8538" s="2" t="s">
        <v>266</v>
      </c>
      <c r="B8538" s="2" t="s">
        <v>267</v>
      </c>
      <c r="C8538" s="3">
        <v>1981</v>
      </c>
      <c r="D8538" s="4">
        <v>1742857</v>
      </c>
    </row>
    <row r="8539" spans="1:4" x14ac:dyDescent="0.3">
      <c r="A8539" s="5" t="s">
        <v>266</v>
      </c>
      <c r="B8539" s="5" t="s">
        <v>267</v>
      </c>
      <c r="C8539" s="6">
        <v>1982</v>
      </c>
      <c r="D8539" s="7">
        <v>1785364</v>
      </c>
    </row>
    <row r="8540" spans="1:4" x14ac:dyDescent="0.3">
      <c r="A8540" s="2" t="s">
        <v>266</v>
      </c>
      <c r="B8540" s="2" t="s">
        <v>267</v>
      </c>
      <c r="C8540" s="3">
        <v>1983</v>
      </c>
      <c r="D8540" s="4">
        <v>1829092</v>
      </c>
    </row>
    <row r="8541" spans="1:4" x14ac:dyDescent="0.3">
      <c r="A8541" s="5" t="s">
        <v>266</v>
      </c>
      <c r="B8541" s="5" t="s">
        <v>267</v>
      </c>
      <c r="C8541" s="6">
        <v>1984</v>
      </c>
      <c r="D8541" s="7">
        <v>1874349</v>
      </c>
    </row>
    <row r="8542" spans="1:4" x14ac:dyDescent="0.3">
      <c r="A8542" s="2" t="s">
        <v>266</v>
      </c>
      <c r="B8542" s="2" t="s">
        <v>267</v>
      </c>
      <c r="C8542" s="3">
        <v>1985</v>
      </c>
      <c r="D8542" s="4">
        <v>1921514</v>
      </c>
    </row>
    <row r="8543" spans="1:4" x14ac:dyDescent="0.3">
      <c r="A8543" s="5" t="s">
        <v>266</v>
      </c>
      <c r="B8543" s="5" t="s">
        <v>267</v>
      </c>
      <c r="C8543" s="6">
        <v>1986</v>
      </c>
      <c r="D8543" s="7">
        <v>1970965</v>
      </c>
    </row>
    <row r="8544" spans="1:4" x14ac:dyDescent="0.3">
      <c r="A8544" s="2" t="s">
        <v>266</v>
      </c>
      <c r="B8544" s="2" t="s">
        <v>267</v>
      </c>
      <c r="C8544" s="3">
        <v>1987</v>
      </c>
      <c r="D8544" s="4">
        <v>2022800</v>
      </c>
    </row>
    <row r="8545" spans="1:4" x14ac:dyDescent="0.3">
      <c r="A8545" s="5" t="s">
        <v>266</v>
      </c>
      <c r="B8545" s="5" t="s">
        <v>267</v>
      </c>
      <c r="C8545" s="6">
        <v>1988</v>
      </c>
      <c r="D8545" s="7">
        <v>2076322</v>
      </c>
    </row>
    <row r="8546" spans="1:4" x14ac:dyDescent="0.3">
      <c r="A8546" s="2" t="s">
        <v>266</v>
      </c>
      <c r="B8546" s="2" t="s">
        <v>267</v>
      </c>
      <c r="C8546" s="3">
        <v>1989</v>
      </c>
      <c r="D8546" s="4">
        <v>2124185</v>
      </c>
    </row>
    <row r="8547" spans="1:4" x14ac:dyDescent="0.3">
      <c r="A8547" s="5" t="s">
        <v>266</v>
      </c>
      <c r="B8547" s="5" t="s">
        <v>267</v>
      </c>
      <c r="C8547" s="6">
        <v>1990</v>
      </c>
      <c r="D8547" s="7">
        <v>2098710</v>
      </c>
    </row>
    <row r="8548" spans="1:4" x14ac:dyDescent="0.3">
      <c r="A8548" s="2" t="s">
        <v>266</v>
      </c>
      <c r="B8548" s="2" t="s">
        <v>267</v>
      </c>
      <c r="C8548" s="3">
        <v>1991</v>
      </c>
      <c r="D8548" s="4">
        <v>2165342</v>
      </c>
    </row>
    <row r="8549" spans="1:4" x14ac:dyDescent="0.3">
      <c r="A8549" s="5" t="s">
        <v>266</v>
      </c>
      <c r="B8549" s="5" t="s">
        <v>267</v>
      </c>
      <c r="C8549" s="6">
        <v>1992</v>
      </c>
      <c r="D8549" s="7">
        <v>2167790</v>
      </c>
    </row>
    <row r="8550" spans="1:4" x14ac:dyDescent="0.3">
      <c r="A8550" s="2" t="s">
        <v>266</v>
      </c>
      <c r="B8550" s="2" t="s">
        <v>267</v>
      </c>
      <c r="C8550" s="3">
        <v>1993</v>
      </c>
      <c r="D8550" s="4">
        <v>2165130</v>
      </c>
    </row>
    <row r="8551" spans="1:4" x14ac:dyDescent="0.3">
      <c r="A8551" s="5" t="s">
        <v>266</v>
      </c>
      <c r="B8551" s="5" t="s">
        <v>267</v>
      </c>
      <c r="C8551" s="6">
        <v>1994</v>
      </c>
      <c r="D8551" s="7">
        <v>2189395</v>
      </c>
    </row>
    <row r="8552" spans="1:4" x14ac:dyDescent="0.3">
      <c r="A8552" s="2" t="s">
        <v>266</v>
      </c>
      <c r="B8552" s="2" t="s">
        <v>267</v>
      </c>
      <c r="C8552" s="3">
        <v>1995</v>
      </c>
      <c r="D8552" s="4">
        <v>2224945</v>
      </c>
    </row>
    <row r="8553" spans="1:4" x14ac:dyDescent="0.3">
      <c r="A8553" s="5" t="s">
        <v>266</v>
      </c>
      <c r="B8553" s="5" t="s">
        <v>267</v>
      </c>
      <c r="C8553" s="6">
        <v>1996</v>
      </c>
      <c r="D8553" s="7">
        <v>2259507</v>
      </c>
    </row>
    <row r="8554" spans="1:4" x14ac:dyDescent="0.3">
      <c r="A8554" s="2" t="s">
        <v>266</v>
      </c>
      <c r="B8554" s="2" t="s">
        <v>267</v>
      </c>
      <c r="C8554" s="3">
        <v>1997</v>
      </c>
      <c r="D8554" s="4">
        <v>2291750</v>
      </c>
    </row>
    <row r="8555" spans="1:4" x14ac:dyDescent="0.3">
      <c r="A8555" s="5" t="s">
        <v>266</v>
      </c>
      <c r="B8555" s="5" t="s">
        <v>267</v>
      </c>
      <c r="C8555" s="6">
        <v>1998</v>
      </c>
      <c r="D8555" s="7">
        <v>2323809</v>
      </c>
    </row>
    <row r="8556" spans="1:4" x14ac:dyDescent="0.3">
      <c r="A8556" s="2" t="s">
        <v>266</v>
      </c>
      <c r="B8556" s="2" t="s">
        <v>267</v>
      </c>
      <c r="C8556" s="3">
        <v>1999</v>
      </c>
      <c r="D8556" s="4">
        <v>2356813</v>
      </c>
    </row>
    <row r="8557" spans="1:4" x14ac:dyDescent="0.3">
      <c r="A8557" s="5" t="s">
        <v>266</v>
      </c>
      <c r="B8557" s="5" t="s">
        <v>267</v>
      </c>
      <c r="C8557" s="6">
        <v>2000</v>
      </c>
      <c r="D8557" s="7">
        <v>2388299</v>
      </c>
    </row>
    <row r="8558" spans="1:4" x14ac:dyDescent="0.3">
      <c r="A8558" s="2" t="s">
        <v>266</v>
      </c>
      <c r="B8558" s="2" t="s">
        <v>267</v>
      </c>
      <c r="C8558" s="3">
        <v>2001</v>
      </c>
      <c r="D8558" s="4">
        <v>2417751</v>
      </c>
    </row>
    <row r="8559" spans="1:4" x14ac:dyDescent="0.3">
      <c r="A8559" s="5" t="s">
        <v>266</v>
      </c>
      <c r="B8559" s="5" t="s">
        <v>267</v>
      </c>
      <c r="C8559" s="6">
        <v>2002</v>
      </c>
      <c r="D8559" s="7">
        <v>2449027</v>
      </c>
    </row>
    <row r="8560" spans="1:4" x14ac:dyDescent="0.3">
      <c r="A8560" s="2" t="s">
        <v>266</v>
      </c>
      <c r="B8560" s="2" t="s">
        <v>267</v>
      </c>
      <c r="C8560" s="3">
        <v>2003</v>
      </c>
      <c r="D8560" s="4">
        <v>2480374</v>
      </c>
    </row>
    <row r="8561" spans="1:4" x14ac:dyDescent="0.3">
      <c r="A8561" s="5" t="s">
        <v>266</v>
      </c>
      <c r="B8561" s="5" t="s">
        <v>267</v>
      </c>
      <c r="C8561" s="6">
        <v>2004</v>
      </c>
      <c r="D8561" s="7">
        <v>2508412</v>
      </c>
    </row>
    <row r="8562" spans="1:4" x14ac:dyDescent="0.3">
      <c r="A8562" s="2" t="s">
        <v>266</v>
      </c>
      <c r="B8562" s="2" t="s">
        <v>267</v>
      </c>
      <c r="C8562" s="3">
        <v>2005</v>
      </c>
      <c r="D8562" s="4">
        <v>2536407</v>
      </c>
    </row>
    <row r="8563" spans="1:4" x14ac:dyDescent="0.3">
      <c r="A8563" s="5" t="s">
        <v>266</v>
      </c>
      <c r="B8563" s="5" t="s">
        <v>267</v>
      </c>
      <c r="C8563" s="6">
        <v>2006</v>
      </c>
      <c r="D8563" s="7">
        <v>2567168</v>
      </c>
    </row>
    <row r="8564" spans="1:4" x14ac:dyDescent="0.3">
      <c r="A8564" s="2" t="s">
        <v>266</v>
      </c>
      <c r="B8564" s="2" t="s">
        <v>267</v>
      </c>
      <c r="C8564" s="3">
        <v>2007</v>
      </c>
      <c r="D8564" s="4">
        <v>2601850</v>
      </c>
    </row>
    <row r="8565" spans="1:4" x14ac:dyDescent="0.3">
      <c r="A8565" s="5" t="s">
        <v>266</v>
      </c>
      <c r="B8565" s="5" t="s">
        <v>267</v>
      </c>
      <c r="C8565" s="6">
        <v>2008</v>
      </c>
      <c r="D8565" s="7">
        <v>2643201</v>
      </c>
    </row>
    <row r="8566" spans="1:4" x14ac:dyDescent="0.3">
      <c r="A8566" s="2" t="s">
        <v>266</v>
      </c>
      <c r="B8566" s="2" t="s">
        <v>267</v>
      </c>
      <c r="C8566" s="3">
        <v>2009</v>
      </c>
      <c r="D8566" s="4">
        <v>2691115</v>
      </c>
    </row>
    <row r="8567" spans="1:4" x14ac:dyDescent="0.3">
      <c r="A8567" s="5" t="s">
        <v>266</v>
      </c>
      <c r="B8567" s="5" t="s">
        <v>267</v>
      </c>
      <c r="C8567" s="6">
        <v>2010</v>
      </c>
      <c r="D8567" s="7">
        <v>2738622</v>
      </c>
    </row>
    <row r="8568" spans="1:4" x14ac:dyDescent="0.3">
      <c r="A8568" s="2" t="s">
        <v>266</v>
      </c>
      <c r="B8568" s="2" t="s">
        <v>267</v>
      </c>
      <c r="C8568" s="3">
        <v>2011</v>
      </c>
      <c r="D8568" s="4">
        <v>2786317</v>
      </c>
    </row>
    <row r="8569" spans="1:4" x14ac:dyDescent="0.3">
      <c r="A8569" s="5" t="s">
        <v>266</v>
      </c>
      <c r="B8569" s="5" t="s">
        <v>267</v>
      </c>
      <c r="C8569" s="6">
        <v>2012</v>
      </c>
      <c r="D8569" s="7">
        <v>2839705</v>
      </c>
    </row>
    <row r="8570" spans="1:4" x14ac:dyDescent="0.3">
      <c r="A8570" s="2" t="s">
        <v>266</v>
      </c>
      <c r="B8570" s="2" t="s">
        <v>267</v>
      </c>
      <c r="C8570" s="3">
        <v>2013</v>
      </c>
      <c r="D8570" s="4">
        <v>2899011</v>
      </c>
    </row>
    <row r="8571" spans="1:4" x14ac:dyDescent="0.3">
      <c r="A8571" s="5" t="s">
        <v>266</v>
      </c>
      <c r="B8571" s="5" t="s">
        <v>267</v>
      </c>
      <c r="C8571" s="6">
        <v>2014</v>
      </c>
      <c r="D8571" s="7">
        <v>2963113</v>
      </c>
    </row>
    <row r="8572" spans="1:4" x14ac:dyDescent="0.3">
      <c r="A8572" s="2" t="s">
        <v>266</v>
      </c>
      <c r="B8572" s="2" t="s">
        <v>267</v>
      </c>
      <c r="C8572" s="3">
        <v>2015</v>
      </c>
      <c r="D8572" s="4">
        <v>3026864</v>
      </c>
    </row>
    <row r="8573" spans="1:4" x14ac:dyDescent="0.3">
      <c r="A8573" s="5" t="s">
        <v>266</v>
      </c>
      <c r="B8573" s="5" t="s">
        <v>267</v>
      </c>
      <c r="C8573" s="6">
        <v>2016</v>
      </c>
      <c r="D8573" s="7">
        <v>3088856</v>
      </c>
    </row>
    <row r="8574" spans="1:4" x14ac:dyDescent="0.3">
      <c r="A8574" s="2" t="s">
        <v>266</v>
      </c>
      <c r="B8574" s="2" t="s">
        <v>267</v>
      </c>
      <c r="C8574" s="3">
        <v>2017</v>
      </c>
      <c r="D8574" s="4">
        <v>3148917</v>
      </c>
    </row>
    <row r="8575" spans="1:4" x14ac:dyDescent="0.3">
      <c r="A8575" s="5" t="s">
        <v>266</v>
      </c>
      <c r="B8575" s="5" t="s">
        <v>267</v>
      </c>
      <c r="C8575" s="6">
        <v>2018</v>
      </c>
      <c r="D8575" s="7">
        <v>3208189</v>
      </c>
    </row>
    <row r="8576" spans="1:4" x14ac:dyDescent="0.3">
      <c r="A8576" s="2" t="s">
        <v>266</v>
      </c>
      <c r="B8576" s="2" t="s">
        <v>267</v>
      </c>
      <c r="C8576" s="3">
        <v>2019</v>
      </c>
      <c r="D8576" s="4">
        <v>3267673</v>
      </c>
    </row>
    <row r="8577" spans="1:4" x14ac:dyDescent="0.3">
      <c r="A8577" s="5" t="s">
        <v>266</v>
      </c>
      <c r="B8577" s="5" t="s">
        <v>267</v>
      </c>
      <c r="C8577" s="6">
        <v>2020</v>
      </c>
      <c r="D8577" s="7">
        <v>3327204</v>
      </c>
    </row>
    <row r="8578" spans="1:4" x14ac:dyDescent="0.3">
      <c r="A8578" s="2" t="s">
        <v>266</v>
      </c>
      <c r="B8578" s="2" t="s">
        <v>267</v>
      </c>
      <c r="C8578" s="3">
        <v>2021</v>
      </c>
      <c r="D8578" s="4">
        <v>3383741</v>
      </c>
    </row>
    <row r="8579" spans="1:4" x14ac:dyDescent="0.3">
      <c r="A8579" s="5" t="s">
        <v>266</v>
      </c>
      <c r="B8579" s="5" t="s">
        <v>267</v>
      </c>
      <c r="C8579" s="6">
        <v>2022</v>
      </c>
      <c r="D8579" s="7">
        <v>3433748</v>
      </c>
    </row>
    <row r="8580" spans="1:4" x14ac:dyDescent="0.3">
      <c r="A8580" s="2" t="s">
        <v>266</v>
      </c>
      <c r="B8580" s="2" t="s">
        <v>267</v>
      </c>
      <c r="C8580" s="3">
        <v>2023</v>
      </c>
      <c r="D8580" s="4">
        <v>3481145</v>
      </c>
    </row>
    <row r="8581" spans="1:4" x14ac:dyDescent="0.3">
      <c r="A8581" s="5" t="s">
        <v>266</v>
      </c>
      <c r="B8581" s="5" t="s">
        <v>267</v>
      </c>
      <c r="C8581" s="6">
        <v>2024</v>
      </c>
      <c r="D8581" s="7">
        <v>3524788</v>
      </c>
    </row>
    <row r="8582" spans="1:4" x14ac:dyDescent="0.3">
      <c r="A8582" s="2" t="s">
        <v>268</v>
      </c>
      <c r="B8582" s="2" t="s">
        <v>269</v>
      </c>
      <c r="C8582" s="3">
        <v>1960</v>
      </c>
      <c r="D8582" s="4">
        <v>480579</v>
      </c>
    </row>
    <row r="8583" spans="1:4" x14ac:dyDescent="0.3">
      <c r="A8583" s="5" t="s">
        <v>268</v>
      </c>
      <c r="B8583" s="5" t="s">
        <v>269</v>
      </c>
      <c r="C8583" s="6">
        <v>1961</v>
      </c>
      <c r="D8583" s="7">
        <v>491140</v>
      </c>
    </row>
    <row r="8584" spans="1:4" x14ac:dyDescent="0.3">
      <c r="A8584" s="2" t="s">
        <v>268</v>
      </c>
      <c r="B8584" s="2" t="s">
        <v>269</v>
      </c>
      <c r="C8584" s="3">
        <v>1962</v>
      </c>
      <c r="D8584" s="4">
        <v>502558</v>
      </c>
    </row>
    <row r="8585" spans="1:4" x14ac:dyDescent="0.3">
      <c r="A8585" s="5" t="s">
        <v>268</v>
      </c>
      <c r="B8585" s="5" t="s">
        <v>269</v>
      </c>
      <c r="C8585" s="6">
        <v>1963</v>
      </c>
      <c r="D8585" s="7">
        <v>513409</v>
      </c>
    </row>
    <row r="8586" spans="1:4" x14ac:dyDescent="0.3">
      <c r="A8586" s="2" t="s">
        <v>268</v>
      </c>
      <c r="B8586" s="2" t="s">
        <v>269</v>
      </c>
      <c r="C8586" s="3">
        <v>1964</v>
      </c>
      <c r="D8586" s="4">
        <v>521753</v>
      </c>
    </row>
    <row r="8587" spans="1:4" x14ac:dyDescent="0.3">
      <c r="A8587" s="5" t="s">
        <v>268</v>
      </c>
      <c r="B8587" s="5" t="s">
        <v>269</v>
      </c>
      <c r="C8587" s="6">
        <v>1965</v>
      </c>
      <c r="D8587" s="7">
        <v>526327</v>
      </c>
    </row>
    <row r="8588" spans="1:4" x14ac:dyDescent="0.3">
      <c r="A8588" s="2" t="s">
        <v>268</v>
      </c>
      <c r="B8588" s="2" t="s">
        <v>269</v>
      </c>
      <c r="C8588" s="3">
        <v>1966</v>
      </c>
      <c r="D8588" s="4">
        <v>526419</v>
      </c>
    </row>
    <row r="8589" spans="1:4" x14ac:dyDescent="0.3">
      <c r="A8589" s="5" t="s">
        <v>268</v>
      </c>
      <c r="B8589" s="5" t="s">
        <v>269</v>
      </c>
      <c r="C8589" s="6">
        <v>1967</v>
      </c>
      <c r="D8589" s="7">
        <v>522796</v>
      </c>
    </row>
    <row r="8590" spans="1:4" x14ac:dyDescent="0.3">
      <c r="A8590" s="2" t="s">
        <v>268</v>
      </c>
      <c r="B8590" s="2" t="s">
        <v>269</v>
      </c>
      <c r="C8590" s="3">
        <v>1968</v>
      </c>
      <c r="D8590" s="4">
        <v>517481</v>
      </c>
    </row>
    <row r="8591" spans="1:4" x14ac:dyDescent="0.3">
      <c r="A8591" s="5" t="s">
        <v>268</v>
      </c>
      <c r="B8591" s="5" t="s">
        <v>269</v>
      </c>
      <c r="C8591" s="6">
        <v>1969</v>
      </c>
      <c r="D8591" s="7">
        <v>513340</v>
      </c>
    </row>
    <row r="8592" spans="1:4" x14ac:dyDescent="0.3">
      <c r="A8592" s="2" t="s">
        <v>268</v>
      </c>
      <c r="B8592" s="2" t="s">
        <v>269</v>
      </c>
      <c r="C8592" s="3">
        <v>1970</v>
      </c>
      <c r="D8592" s="4">
        <v>512407</v>
      </c>
    </row>
    <row r="8593" spans="1:4" x14ac:dyDescent="0.3">
      <c r="A8593" s="5" t="s">
        <v>268</v>
      </c>
      <c r="B8593" s="5" t="s">
        <v>269</v>
      </c>
      <c r="C8593" s="6">
        <v>1971</v>
      </c>
      <c r="D8593" s="7">
        <v>515449</v>
      </c>
    </row>
    <row r="8594" spans="1:4" x14ac:dyDescent="0.3">
      <c r="A8594" s="2" t="s">
        <v>268</v>
      </c>
      <c r="B8594" s="2" t="s">
        <v>269</v>
      </c>
      <c r="C8594" s="3">
        <v>1972</v>
      </c>
      <c r="D8594" s="4">
        <v>521785</v>
      </c>
    </row>
    <row r="8595" spans="1:4" x14ac:dyDescent="0.3">
      <c r="A8595" s="5" t="s">
        <v>268</v>
      </c>
      <c r="B8595" s="5" t="s">
        <v>269</v>
      </c>
      <c r="C8595" s="6">
        <v>1973</v>
      </c>
      <c r="D8595" s="7">
        <v>530220</v>
      </c>
    </row>
    <row r="8596" spans="1:4" x14ac:dyDescent="0.3">
      <c r="A8596" s="2" t="s">
        <v>268</v>
      </c>
      <c r="B8596" s="2" t="s">
        <v>269</v>
      </c>
      <c r="C8596" s="3">
        <v>1974</v>
      </c>
      <c r="D8596" s="4">
        <v>538902</v>
      </c>
    </row>
    <row r="8597" spans="1:4" x14ac:dyDescent="0.3">
      <c r="A8597" s="5" t="s">
        <v>268</v>
      </c>
      <c r="B8597" s="5" t="s">
        <v>269</v>
      </c>
      <c r="C8597" s="6">
        <v>1975</v>
      </c>
      <c r="D8597" s="7">
        <v>546487</v>
      </c>
    </row>
    <row r="8598" spans="1:4" x14ac:dyDescent="0.3">
      <c r="A8598" s="2" t="s">
        <v>268</v>
      </c>
      <c r="B8598" s="2" t="s">
        <v>269</v>
      </c>
      <c r="C8598" s="3">
        <v>1976</v>
      </c>
      <c r="D8598" s="4">
        <v>552562</v>
      </c>
    </row>
    <row r="8599" spans="1:4" x14ac:dyDescent="0.3">
      <c r="A8599" s="5" t="s">
        <v>268</v>
      </c>
      <c r="B8599" s="5" t="s">
        <v>269</v>
      </c>
      <c r="C8599" s="6">
        <v>1977</v>
      </c>
      <c r="D8599" s="7">
        <v>557576</v>
      </c>
    </row>
    <row r="8600" spans="1:4" x14ac:dyDescent="0.3">
      <c r="A8600" s="2" t="s">
        <v>268</v>
      </c>
      <c r="B8600" s="2" t="s">
        <v>269</v>
      </c>
      <c r="C8600" s="3">
        <v>1978</v>
      </c>
      <c r="D8600" s="4">
        <v>562065</v>
      </c>
    </row>
    <row r="8601" spans="1:4" x14ac:dyDescent="0.3">
      <c r="A8601" s="5" t="s">
        <v>268</v>
      </c>
      <c r="B8601" s="5" t="s">
        <v>269</v>
      </c>
      <c r="C8601" s="6">
        <v>1979</v>
      </c>
      <c r="D8601" s="7">
        <v>566888</v>
      </c>
    </row>
    <row r="8602" spans="1:4" x14ac:dyDescent="0.3">
      <c r="A8602" s="2" t="s">
        <v>268</v>
      </c>
      <c r="B8602" s="2" t="s">
        <v>269</v>
      </c>
      <c r="C8602" s="3">
        <v>1980</v>
      </c>
      <c r="D8602" s="4">
        <v>572608</v>
      </c>
    </row>
    <row r="8603" spans="1:4" x14ac:dyDescent="0.3">
      <c r="A8603" s="5" t="s">
        <v>268</v>
      </c>
      <c r="B8603" s="5" t="s">
        <v>269</v>
      </c>
      <c r="C8603" s="6">
        <v>1981</v>
      </c>
      <c r="D8603" s="7">
        <v>579445</v>
      </c>
    </row>
    <row r="8604" spans="1:4" x14ac:dyDescent="0.3">
      <c r="A8604" s="2" t="s">
        <v>268</v>
      </c>
      <c r="B8604" s="2" t="s">
        <v>269</v>
      </c>
      <c r="C8604" s="3">
        <v>1982</v>
      </c>
      <c r="D8604" s="4">
        <v>587001</v>
      </c>
    </row>
    <row r="8605" spans="1:4" x14ac:dyDescent="0.3">
      <c r="A8605" s="5" t="s">
        <v>268</v>
      </c>
      <c r="B8605" s="5" t="s">
        <v>269</v>
      </c>
      <c r="C8605" s="6">
        <v>1983</v>
      </c>
      <c r="D8605" s="7">
        <v>594506</v>
      </c>
    </row>
    <row r="8606" spans="1:4" x14ac:dyDescent="0.3">
      <c r="A8606" s="2" t="s">
        <v>268</v>
      </c>
      <c r="B8606" s="2" t="s">
        <v>269</v>
      </c>
      <c r="C8606" s="3">
        <v>1984</v>
      </c>
      <c r="D8606" s="4">
        <v>600884</v>
      </c>
    </row>
    <row r="8607" spans="1:4" x14ac:dyDescent="0.3">
      <c r="A8607" s="5" t="s">
        <v>268</v>
      </c>
      <c r="B8607" s="5" t="s">
        <v>269</v>
      </c>
      <c r="C8607" s="6">
        <v>1985</v>
      </c>
      <c r="D8607" s="7">
        <v>605398</v>
      </c>
    </row>
    <row r="8608" spans="1:4" x14ac:dyDescent="0.3">
      <c r="A8608" s="2" t="s">
        <v>268</v>
      </c>
      <c r="B8608" s="2" t="s">
        <v>269</v>
      </c>
      <c r="C8608" s="3">
        <v>1986</v>
      </c>
      <c r="D8608" s="4">
        <v>607711</v>
      </c>
    </row>
    <row r="8609" spans="1:4" x14ac:dyDescent="0.3">
      <c r="A8609" s="5" t="s">
        <v>268</v>
      </c>
      <c r="B8609" s="5" t="s">
        <v>269</v>
      </c>
      <c r="C8609" s="6">
        <v>1987</v>
      </c>
      <c r="D8609" s="7">
        <v>608144</v>
      </c>
    </row>
    <row r="8610" spans="1:4" x14ac:dyDescent="0.3">
      <c r="A8610" s="2" t="s">
        <v>268</v>
      </c>
      <c r="B8610" s="2" t="s">
        <v>269</v>
      </c>
      <c r="C8610" s="3">
        <v>1988</v>
      </c>
      <c r="D8610" s="4">
        <v>607413</v>
      </c>
    </row>
    <row r="8611" spans="1:4" x14ac:dyDescent="0.3">
      <c r="A8611" s="5" t="s">
        <v>268</v>
      </c>
      <c r="B8611" s="5" t="s">
        <v>269</v>
      </c>
      <c r="C8611" s="6">
        <v>1989</v>
      </c>
      <c r="D8611" s="7">
        <v>606571</v>
      </c>
    </row>
    <row r="8612" spans="1:4" x14ac:dyDescent="0.3">
      <c r="A8612" s="2" t="s">
        <v>268</v>
      </c>
      <c r="B8612" s="2" t="s">
        <v>269</v>
      </c>
      <c r="C8612" s="3">
        <v>1990</v>
      </c>
      <c r="D8612" s="4">
        <v>606372</v>
      </c>
    </row>
    <row r="8613" spans="1:4" x14ac:dyDescent="0.3">
      <c r="A8613" s="5" t="s">
        <v>268</v>
      </c>
      <c r="B8613" s="5" t="s">
        <v>269</v>
      </c>
      <c r="C8613" s="6">
        <v>1991</v>
      </c>
      <c r="D8613" s="7">
        <v>607105</v>
      </c>
    </row>
    <row r="8614" spans="1:4" x14ac:dyDescent="0.3">
      <c r="A8614" s="2" t="s">
        <v>268</v>
      </c>
      <c r="B8614" s="2" t="s">
        <v>269</v>
      </c>
      <c r="C8614" s="3">
        <v>1992</v>
      </c>
      <c r="D8614" s="4">
        <v>608516</v>
      </c>
    </row>
    <row r="8615" spans="1:4" x14ac:dyDescent="0.3">
      <c r="A8615" s="5" t="s">
        <v>268</v>
      </c>
      <c r="B8615" s="5" t="s">
        <v>269</v>
      </c>
      <c r="C8615" s="6">
        <v>1993</v>
      </c>
      <c r="D8615" s="7">
        <v>610170</v>
      </c>
    </row>
    <row r="8616" spans="1:4" x14ac:dyDescent="0.3">
      <c r="A8616" s="2" t="s">
        <v>268</v>
      </c>
      <c r="B8616" s="2" t="s">
        <v>269</v>
      </c>
      <c r="C8616" s="3">
        <v>1994</v>
      </c>
      <c r="D8616" s="4">
        <v>611389</v>
      </c>
    </row>
    <row r="8617" spans="1:4" x14ac:dyDescent="0.3">
      <c r="A8617" s="5" t="s">
        <v>268</v>
      </c>
      <c r="B8617" s="5" t="s">
        <v>269</v>
      </c>
      <c r="C8617" s="6">
        <v>1995</v>
      </c>
      <c r="D8617" s="7">
        <v>611712</v>
      </c>
    </row>
    <row r="8618" spans="1:4" x14ac:dyDescent="0.3">
      <c r="A8618" s="2" t="s">
        <v>268</v>
      </c>
      <c r="B8618" s="2" t="s">
        <v>269</v>
      </c>
      <c r="C8618" s="3">
        <v>1996</v>
      </c>
      <c r="D8618" s="4">
        <v>611003</v>
      </c>
    </row>
    <row r="8619" spans="1:4" x14ac:dyDescent="0.3">
      <c r="A8619" s="5" t="s">
        <v>268</v>
      </c>
      <c r="B8619" s="5" t="s">
        <v>269</v>
      </c>
      <c r="C8619" s="6">
        <v>1997</v>
      </c>
      <c r="D8619" s="7">
        <v>609520</v>
      </c>
    </row>
    <row r="8620" spans="1:4" x14ac:dyDescent="0.3">
      <c r="A8620" s="2" t="s">
        <v>268</v>
      </c>
      <c r="B8620" s="2" t="s">
        <v>269</v>
      </c>
      <c r="C8620" s="3">
        <v>1998</v>
      </c>
      <c r="D8620" s="4">
        <v>607662</v>
      </c>
    </row>
    <row r="8621" spans="1:4" x14ac:dyDescent="0.3">
      <c r="A8621" s="5" t="s">
        <v>268</v>
      </c>
      <c r="B8621" s="5" t="s">
        <v>269</v>
      </c>
      <c r="C8621" s="6">
        <v>1999</v>
      </c>
      <c r="D8621" s="7">
        <v>606001</v>
      </c>
    </row>
    <row r="8622" spans="1:4" x14ac:dyDescent="0.3">
      <c r="A8622" s="2" t="s">
        <v>268</v>
      </c>
      <c r="B8622" s="2" t="s">
        <v>269</v>
      </c>
      <c r="C8622" s="3">
        <v>2000</v>
      </c>
      <c r="D8622" s="4">
        <v>604950</v>
      </c>
    </row>
    <row r="8623" spans="1:4" x14ac:dyDescent="0.3">
      <c r="A8623" s="5" t="s">
        <v>268</v>
      </c>
      <c r="B8623" s="5" t="s">
        <v>269</v>
      </c>
      <c r="C8623" s="6">
        <v>2001</v>
      </c>
      <c r="D8623" s="7">
        <v>607389</v>
      </c>
    </row>
    <row r="8624" spans="1:4" x14ac:dyDescent="0.3">
      <c r="A8624" s="2" t="s">
        <v>268</v>
      </c>
      <c r="B8624" s="2" t="s">
        <v>269</v>
      </c>
      <c r="C8624" s="3">
        <v>2002</v>
      </c>
      <c r="D8624" s="4">
        <v>609828</v>
      </c>
    </row>
    <row r="8625" spans="1:4" x14ac:dyDescent="0.3">
      <c r="A8625" s="5" t="s">
        <v>268</v>
      </c>
      <c r="B8625" s="5" t="s">
        <v>269</v>
      </c>
      <c r="C8625" s="6">
        <v>2003</v>
      </c>
      <c r="D8625" s="7">
        <v>612267</v>
      </c>
    </row>
    <row r="8626" spans="1:4" x14ac:dyDescent="0.3">
      <c r="A8626" s="2" t="s">
        <v>268</v>
      </c>
      <c r="B8626" s="2" t="s">
        <v>269</v>
      </c>
      <c r="C8626" s="3">
        <v>2004</v>
      </c>
      <c r="D8626" s="4">
        <v>613353</v>
      </c>
    </row>
    <row r="8627" spans="1:4" x14ac:dyDescent="0.3">
      <c r="A8627" s="5" t="s">
        <v>268</v>
      </c>
      <c r="B8627" s="5" t="s">
        <v>269</v>
      </c>
      <c r="C8627" s="6">
        <v>2005</v>
      </c>
      <c r="D8627" s="7">
        <v>614261</v>
      </c>
    </row>
    <row r="8628" spans="1:4" x14ac:dyDescent="0.3">
      <c r="A8628" s="2" t="s">
        <v>268</v>
      </c>
      <c r="B8628" s="2" t="s">
        <v>269</v>
      </c>
      <c r="C8628" s="3">
        <v>2006</v>
      </c>
      <c r="D8628" s="4">
        <v>615025</v>
      </c>
    </row>
    <row r="8629" spans="1:4" x14ac:dyDescent="0.3">
      <c r="A8629" s="5" t="s">
        <v>268</v>
      </c>
      <c r="B8629" s="5" t="s">
        <v>269</v>
      </c>
      <c r="C8629" s="6">
        <v>2007</v>
      </c>
      <c r="D8629" s="7">
        <v>615875</v>
      </c>
    </row>
    <row r="8630" spans="1:4" x14ac:dyDescent="0.3">
      <c r="A8630" s="2" t="s">
        <v>268</v>
      </c>
      <c r="B8630" s="2" t="s">
        <v>269</v>
      </c>
      <c r="C8630" s="3">
        <v>2008</v>
      </c>
      <c r="D8630" s="4">
        <v>616969</v>
      </c>
    </row>
    <row r="8631" spans="1:4" x14ac:dyDescent="0.3">
      <c r="A8631" s="5" t="s">
        <v>268</v>
      </c>
      <c r="B8631" s="5" t="s">
        <v>269</v>
      </c>
      <c r="C8631" s="6">
        <v>2009</v>
      </c>
      <c r="D8631" s="7">
        <v>618294</v>
      </c>
    </row>
    <row r="8632" spans="1:4" x14ac:dyDescent="0.3">
      <c r="A8632" s="2" t="s">
        <v>268</v>
      </c>
      <c r="B8632" s="2" t="s">
        <v>269</v>
      </c>
      <c r="C8632" s="3">
        <v>2010</v>
      </c>
      <c r="D8632" s="4">
        <v>619428</v>
      </c>
    </row>
    <row r="8633" spans="1:4" x14ac:dyDescent="0.3">
      <c r="A8633" s="5" t="s">
        <v>268</v>
      </c>
      <c r="B8633" s="5" t="s">
        <v>269</v>
      </c>
      <c r="C8633" s="6">
        <v>2011</v>
      </c>
      <c r="D8633" s="7">
        <v>620345</v>
      </c>
    </row>
    <row r="8634" spans="1:4" x14ac:dyDescent="0.3">
      <c r="A8634" s="2" t="s">
        <v>268</v>
      </c>
      <c r="B8634" s="2" t="s">
        <v>269</v>
      </c>
      <c r="C8634" s="3">
        <v>2012</v>
      </c>
      <c r="D8634" s="4">
        <v>621418</v>
      </c>
    </row>
    <row r="8635" spans="1:4" x14ac:dyDescent="0.3">
      <c r="A8635" s="5" t="s">
        <v>268</v>
      </c>
      <c r="B8635" s="5" t="s">
        <v>269</v>
      </c>
      <c r="C8635" s="6">
        <v>2013</v>
      </c>
      <c r="D8635" s="7">
        <v>622587</v>
      </c>
    </row>
    <row r="8636" spans="1:4" x14ac:dyDescent="0.3">
      <c r="A8636" s="2" t="s">
        <v>268</v>
      </c>
      <c r="B8636" s="2" t="s">
        <v>269</v>
      </c>
      <c r="C8636" s="3">
        <v>2014</v>
      </c>
      <c r="D8636" s="4">
        <v>623744</v>
      </c>
    </row>
    <row r="8637" spans="1:4" x14ac:dyDescent="0.3">
      <c r="A8637" s="5" t="s">
        <v>268</v>
      </c>
      <c r="B8637" s="5" t="s">
        <v>269</v>
      </c>
      <c r="C8637" s="6">
        <v>2015</v>
      </c>
      <c r="D8637" s="7">
        <v>624651</v>
      </c>
    </row>
    <row r="8638" spans="1:4" x14ac:dyDescent="0.3">
      <c r="A8638" s="2" t="s">
        <v>268</v>
      </c>
      <c r="B8638" s="2" t="s">
        <v>269</v>
      </c>
      <c r="C8638" s="3">
        <v>2016</v>
      </c>
      <c r="D8638" s="4">
        <v>625353</v>
      </c>
    </row>
    <row r="8639" spans="1:4" x14ac:dyDescent="0.3">
      <c r="A8639" s="5" t="s">
        <v>268</v>
      </c>
      <c r="B8639" s="5" t="s">
        <v>269</v>
      </c>
      <c r="C8639" s="6">
        <v>2017</v>
      </c>
      <c r="D8639" s="7">
        <v>625982</v>
      </c>
    </row>
    <row r="8640" spans="1:4" x14ac:dyDescent="0.3">
      <c r="A8640" s="2" t="s">
        <v>268</v>
      </c>
      <c r="B8640" s="2" t="s">
        <v>269</v>
      </c>
      <c r="C8640" s="3">
        <v>2018</v>
      </c>
      <c r="D8640" s="4">
        <v>626438</v>
      </c>
    </row>
    <row r="8641" spans="1:4" x14ac:dyDescent="0.3">
      <c r="A8641" s="5" t="s">
        <v>268</v>
      </c>
      <c r="B8641" s="5" t="s">
        <v>269</v>
      </c>
      <c r="C8641" s="6">
        <v>2019</v>
      </c>
      <c r="D8641" s="7">
        <v>626753</v>
      </c>
    </row>
    <row r="8642" spans="1:4" x14ac:dyDescent="0.3">
      <c r="A8642" s="2" t="s">
        <v>268</v>
      </c>
      <c r="B8642" s="2" t="s">
        <v>269</v>
      </c>
      <c r="C8642" s="3">
        <v>2020</v>
      </c>
      <c r="D8642" s="4">
        <v>626590</v>
      </c>
    </row>
    <row r="8643" spans="1:4" x14ac:dyDescent="0.3">
      <c r="A8643" s="5" t="s">
        <v>268</v>
      </c>
      <c r="B8643" s="5" t="s">
        <v>269</v>
      </c>
      <c r="C8643" s="6">
        <v>2021</v>
      </c>
      <c r="D8643" s="7">
        <v>625053</v>
      </c>
    </row>
    <row r="8644" spans="1:4" x14ac:dyDescent="0.3">
      <c r="A8644" s="2" t="s">
        <v>268</v>
      </c>
      <c r="B8644" s="2" t="s">
        <v>269</v>
      </c>
      <c r="C8644" s="3">
        <v>2022</v>
      </c>
      <c r="D8644" s="4">
        <v>623591</v>
      </c>
    </row>
    <row r="8645" spans="1:4" x14ac:dyDescent="0.3">
      <c r="A8645" s="5" t="s">
        <v>268</v>
      </c>
      <c r="B8645" s="5" t="s">
        <v>269</v>
      </c>
      <c r="C8645" s="6">
        <v>2023</v>
      </c>
      <c r="D8645" s="7">
        <v>623529</v>
      </c>
    </row>
    <row r="8646" spans="1:4" x14ac:dyDescent="0.3">
      <c r="A8646" s="2" t="s">
        <v>268</v>
      </c>
      <c r="B8646" s="2" t="s">
        <v>269</v>
      </c>
      <c r="C8646" s="3">
        <v>2024</v>
      </c>
      <c r="D8646" s="4">
        <v>623831</v>
      </c>
    </row>
    <row r="8647" spans="1:4" x14ac:dyDescent="0.3">
      <c r="A8647" s="5" t="s">
        <v>270</v>
      </c>
      <c r="B8647" s="5" t="s">
        <v>271</v>
      </c>
      <c r="C8647" s="6">
        <v>1960</v>
      </c>
      <c r="D8647" s="7">
        <v>11624933</v>
      </c>
    </row>
    <row r="8648" spans="1:4" x14ac:dyDescent="0.3">
      <c r="A8648" s="2" t="s">
        <v>270</v>
      </c>
      <c r="B8648" s="2" t="s">
        <v>271</v>
      </c>
      <c r="C8648" s="3">
        <v>1961</v>
      </c>
      <c r="D8648" s="4">
        <v>11931085</v>
      </c>
    </row>
    <row r="8649" spans="1:4" x14ac:dyDescent="0.3">
      <c r="A8649" s="5" t="s">
        <v>270</v>
      </c>
      <c r="B8649" s="5" t="s">
        <v>271</v>
      </c>
      <c r="C8649" s="6">
        <v>1962</v>
      </c>
      <c r="D8649" s="7">
        <v>12253092</v>
      </c>
    </row>
    <row r="8650" spans="1:4" x14ac:dyDescent="0.3">
      <c r="A8650" s="2" t="s">
        <v>270</v>
      </c>
      <c r="B8650" s="2" t="s">
        <v>271</v>
      </c>
      <c r="C8650" s="3">
        <v>1963</v>
      </c>
      <c r="D8650" s="4">
        <v>12577502</v>
      </c>
    </row>
    <row r="8651" spans="1:4" x14ac:dyDescent="0.3">
      <c r="A8651" s="5" t="s">
        <v>270</v>
      </c>
      <c r="B8651" s="5" t="s">
        <v>271</v>
      </c>
      <c r="C8651" s="6">
        <v>1964</v>
      </c>
      <c r="D8651" s="7">
        <v>12898886</v>
      </c>
    </row>
    <row r="8652" spans="1:4" x14ac:dyDescent="0.3">
      <c r="A8652" s="2" t="s">
        <v>270</v>
      </c>
      <c r="B8652" s="2" t="s">
        <v>271</v>
      </c>
      <c r="C8652" s="3">
        <v>1965</v>
      </c>
      <c r="D8652" s="4">
        <v>13239171</v>
      </c>
    </row>
    <row r="8653" spans="1:4" x14ac:dyDescent="0.3">
      <c r="A8653" s="5" t="s">
        <v>270</v>
      </c>
      <c r="B8653" s="5" t="s">
        <v>271</v>
      </c>
      <c r="C8653" s="6">
        <v>1966</v>
      </c>
      <c r="D8653" s="7">
        <v>13597065</v>
      </c>
    </row>
    <row r="8654" spans="1:4" x14ac:dyDescent="0.3">
      <c r="A8654" s="2" t="s">
        <v>270</v>
      </c>
      <c r="B8654" s="2" t="s">
        <v>271</v>
      </c>
      <c r="C8654" s="3">
        <v>1967</v>
      </c>
      <c r="D8654" s="4">
        <v>13968175</v>
      </c>
    </row>
    <row r="8655" spans="1:4" x14ac:dyDescent="0.3">
      <c r="A8655" s="5" t="s">
        <v>270</v>
      </c>
      <c r="B8655" s="5" t="s">
        <v>271</v>
      </c>
      <c r="C8655" s="6">
        <v>1968</v>
      </c>
      <c r="D8655" s="7">
        <v>14347899</v>
      </c>
    </row>
    <row r="8656" spans="1:4" x14ac:dyDescent="0.3">
      <c r="A8656" s="2" t="s">
        <v>270</v>
      </c>
      <c r="B8656" s="2" t="s">
        <v>271</v>
      </c>
      <c r="C8656" s="3">
        <v>1969</v>
      </c>
      <c r="D8656" s="4">
        <v>14734255</v>
      </c>
    </row>
    <row r="8657" spans="1:4" x14ac:dyDescent="0.3">
      <c r="A8657" s="5" t="s">
        <v>270</v>
      </c>
      <c r="B8657" s="5" t="s">
        <v>271</v>
      </c>
      <c r="C8657" s="6">
        <v>1970</v>
      </c>
      <c r="D8657" s="7">
        <v>15129449</v>
      </c>
    </row>
    <row r="8658" spans="1:4" x14ac:dyDescent="0.3">
      <c r="A8658" s="2" t="s">
        <v>270</v>
      </c>
      <c r="B8658" s="2" t="s">
        <v>271</v>
      </c>
      <c r="C8658" s="3">
        <v>1971</v>
      </c>
      <c r="D8658" s="4">
        <v>15527225</v>
      </c>
    </row>
    <row r="8659" spans="1:4" x14ac:dyDescent="0.3">
      <c r="A8659" s="5" t="s">
        <v>270</v>
      </c>
      <c r="B8659" s="5" t="s">
        <v>271</v>
      </c>
      <c r="C8659" s="6">
        <v>1972</v>
      </c>
      <c r="D8659" s="7">
        <v>15924692</v>
      </c>
    </row>
    <row r="8660" spans="1:4" x14ac:dyDescent="0.3">
      <c r="A8660" s="2" t="s">
        <v>270</v>
      </c>
      <c r="B8660" s="2" t="s">
        <v>271</v>
      </c>
      <c r="C8660" s="3">
        <v>1973</v>
      </c>
      <c r="D8660" s="4">
        <v>16326269</v>
      </c>
    </row>
    <row r="8661" spans="1:4" x14ac:dyDescent="0.3">
      <c r="A8661" s="5" t="s">
        <v>270</v>
      </c>
      <c r="B8661" s="5" t="s">
        <v>271</v>
      </c>
      <c r="C8661" s="6">
        <v>1974</v>
      </c>
      <c r="D8661" s="7">
        <v>16733842</v>
      </c>
    </row>
    <row r="8662" spans="1:4" x14ac:dyDescent="0.3">
      <c r="A8662" s="2" t="s">
        <v>270</v>
      </c>
      <c r="B8662" s="2" t="s">
        <v>271</v>
      </c>
      <c r="C8662" s="3">
        <v>1975</v>
      </c>
      <c r="D8662" s="4">
        <v>17150786</v>
      </c>
    </row>
    <row r="8663" spans="1:4" x14ac:dyDescent="0.3">
      <c r="A8663" s="5" t="s">
        <v>270</v>
      </c>
      <c r="B8663" s="5" t="s">
        <v>271</v>
      </c>
      <c r="C8663" s="6">
        <v>1976</v>
      </c>
      <c r="D8663" s="7">
        <v>17574182</v>
      </c>
    </row>
    <row r="8664" spans="1:4" x14ac:dyDescent="0.3">
      <c r="A8664" s="2" t="s">
        <v>270</v>
      </c>
      <c r="B8664" s="2" t="s">
        <v>271</v>
      </c>
      <c r="C8664" s="3">
        <v>1977</v>
      </c>
      <c r="D8664" s="4">
        <v>18014756</v>
      </c>
    </row>
    <row r="8665" spans="1:4" x14ac:dyDescent="0.3">
      <c r="A8665" s="5" t="s">
        <v>270</v>
      </c>
      <c r="B8665" s="5" t="s">
        <v>271</v>
      </c>
      <c r="C8665" s="6">
        <v>1978</v>
      </c>
      <c r="D8665" s="7">
        <v>18477385</v>
      </c>
    </row>
    <row r="8666" spans="1:4" x14ac:dyDescent="0.3">
      <c r="A8666" s="2" t="s">
        <v>270</v>
      </c>
      <c r="B8666" s="2" t="s">
        <v>271</v>
      </c>
      <c r="C8666" s="3">
        <v>1979</v>
      </c>
      <c r="D8666" s="4">
        <v>18955589</v>
      </c>
    </row>
    <row r="8667" spans="1:4" x14ac:dyDescent="0.3">
      <c r="A8667" s="5" t="s">
        <v>270</v>
      </c>
      <c r="B8667" s="5" t="s">
        <v>271</v>
      </c>
      <c r="C8667" s="6">
        <v>1980</v>
      </c>
      <c r="D8667" s="7">
        <v>19459943</v>
      </c>
    </row>
    <row r="8668" spans="1:4" x14ac:dyDescent="0.3">
      <c r="A8668" s="2" t="s">
        <v>270</v>
      </c>
      <c r="B8668" s="2" t="s">
        <v>271</v>
      </c>
      <c r="C8668" s="3">
        <v>1981</v>
      </c>
      <c r="D8668" s="4">
        <v>19985401</v>
      </c>
    </row>
    <row r="8669" spans="1:4" x14ac:dyDescent="0.3">
      <c r="A8669" s="5" t="s">
        <v>270</v>
      </c>
      <c r="B8669" s="5" t="s">
        <v>271</v>
      </c>
      <c r="C8669" s="6">
        <v>1982</v>
      </c>
      <c r="D8669" s="7">
        <v>20520318</v>
      </c>
    </row>
    <row r="8670" spans="1:4" x14ac:dyDescent="0.3">
      <c r="A8670" s="2" t="s">
        <v>270</v>
      </c>
      <c r="B8670" s="2" t="s">
        <v>271</v>
      </c>
      <c r="C8670" s="3">
        <v>1983</v>
      </c>
      <c r="D8670" s="4">
        <v>21060696</v>
      </c>
    </row>
    <row r="8671" spans="1:4" x14ac:dyDescent="0.3">
      <c r="A8671" s="5" t="s">
        <v>270</v>
      </c>
      <c r="B8671" s="5" t="s">
        <v>271</v>
      </c>
      <c r="C8671" s="6">
        <v>1984</v>
      </c>
      <c r="D8671" s="7">
        <v>21593778</v>
      </c>
    </row>
    <row r="8672" spans="1:4" x14ac:dyDescent="0.3">
      <c r="A8672" s="2" t="s">
        <v>270</v>
      </c>
      <c r="B8672" s="2" t="s">
        <v>271</v>
      </c>
      <c r="C8672" s="3">
        <v>1985</v>
      </c>
      <c r="D8672" s="4">
        <v>22113953</v>
      </c>
    </row>
    <row r="8673" spans="1:4" x14ac:dyDescent="0.3">
      <c r="A8673" s="5" t="s">
        <v>270</v>
      </c>
      <c r="B8673" s="5" t="s">
        <v>271</v>
      </c>
      <c r="C8673" s="6">
        <v>1986</v>
      </c>
      <c r="D8673" s="7">
        <v>22600803</v>
      </c>
    </row>
    <row r="8674" spans="1:4" x14ac:dyDescent="0.3">
      <c r="A8674" s="2" t="s">
        <v>270</v>
      </c>
      <c r="B8674" s="2" t="s">
        <v>271</v>
      </c>
      <c r="C8674" s="3">
        <v>1987</v>
      </c>
      <c r="D8674" s="4">
        <v>23054392</v>
      </c>
    </row>
    <row r="8675" spans="1:4" x14ac:dyDescent="0.3">
      <c r="A8675" s="5" t="s">
        <v>270</v>
      </c>
      <c r="B8675" s="5" t="s">
        <v>271</v>
      </c>
      <c r="C8675" s="6">
        <v>1988</v>
      </c>
      <c r="D8675" s="7">
        <v>23500524</v>
      </c>
    </row>
    <row r="8676" spans="1:4" x14ac:dyDescent="0.3">
      <c r="A8676" s="2" t="s">
        <v>270</v>
      </c>
      <c r="B8676" s="2" t="s">
        <v>271</v>
      </c>
      <c r="C8676" s="3">
        <v>1989</v>
      </c>
      <c r="D8676" s="4">
        <v>23939414</v>
      </c>
    </row>
    <row r="8677" spans="1:4" x14ac:dyDescent="0.3">
      <c r="A8677" s="5" t="s">
        <v>270</v>
      </c>
      <c r="B8677" s="5" t="s">
        <v>271</v>
      </c>
      <c r="C8677" s="6">
        <v>1990</v>
      </c>
      <c r="D8677" s="7">
        <v>24375551</v>
      </c>
    </row>
    <row r="8678" spans="1:4" x14ac:dyDescent="0.3">
      <c r="A8678" s="2" t="s">
        <v>270</v>
      </c>
      <c r="B8678" s="2" t="s">
        <v>271</v>
      </c>
      <c r="C8678" s="3">
        <v>1991</v>
      </c>
      <c r="D8678" s="4">
        <v>24799014</v>
      </c>
    </row>
    <row r="8679" spans="1:4" x14ac:dyDescent="0.3">
      <c r="A8679" s="5" t="s">
        <v>270</v>
      </c>
      <c r="B8679" s="5" t="s">
        <v>271</v>
      </c>
      <c r="C8679" s="6">
        <v>1992</v>
      </c>
      <c r="D8679" s="7">
        <v>25212468</v>
      </c>
    </row>
    <row r="8680" spans="1:4" x14ac:dyDescent="0.3">
      <c r="A8680" s="2" t="s">
        <v>270</v>
      </c>
      <c r="B8680" s="2" t="s">
        <v>271</v>
      </c>
      <c r="C8680" s="3">
        <v>1993</v>
      </c>
      <c r="D8680" s="4">
        <v>25614586</v>
      </c>
    </row>
    <row r="8681" spans="1:4" x14ac:dyDescent="0.3">
      <c r="A8681" s="5" t="s">
        <v>270</v>
      </c>
      <c r="B8681" s="5" t="s">
        <v>271</v>
      </c>
      <c r="C8681" s="6">
        <v>1994</v>
      </c>
      <c r="D8681" s="7">
        <v>26000822</v>
      </c>
    </row>
    <row r="8682" spans="1:4" x14ac:dyDescent="0.3">
      <c r="A8682" s="2" t="s">
        <v>270</v>
      </c>
      <c r="B8682" s="2" t="s">
        <v>271</v>
      </c>
      <c r="C8682" s="3">
        <v>1995</v>
      </c>
      <c r="D8682" s="4">
        <v>26399429</v>
      </c>
    </row>
    <row r="8683" spans="1:4" x14ac:dyDescent="0.3">
      <c r="A8683" s="5" t="s">
        <v>270</v>
      </c>
      <c r="B8683" s="5" t="s">
        <v>271</v>
      </c>
      <c r="C8683" s="6">
        <v>1996</v>
      </c>
      <c r="D8683" s="7">
        <v>26808107</v>
      </c>
    </row>
    <row r="8684" spans="1:4" x14ac:dyDescent="0.3">
      <c r="A8684" s="2" t="s">
        <v>270</v>
      </c>
      <c r="B8684" s="2" t="s">
        <v>271</v>
      </c>
      <c r="C8684" s="3">
        <v>1997</v>
      </c>
      <c r="D8684" s="4">
        <v>27213337</v>
      </c>
    </row>
    <row r="8685" spans="1:4" x14ac:dyDescent="0.3">
      <c r="A8685" s="5" t="s">
        <v>270</v>
      </c>
      <c r="B8685" s="5" t="s">
        <v>271</v>
      </c>
      <c r="C8685" s="6">
        <v>1998</v>
      </c>
      <c r="D8685" s="7">
        <v>27621648</v>
      </c>
    </row>
    <row r="8686" spans="1:4" x14ac:dyDescent="0.3">
      <c r="A8686" s="2" t="s">
        <v>270</v>
      </c>
      <c r="B8686" s="2" t="s">
        <v>271</v>
      </c>
      <c r="C8686" s="3">
        <v>1999</v>
      </c>
      <c r="D8686" s="4">
        <v>28027179</v>
      </c>
    </row>
    <row r="8687" spans="1:4" x14ac:dyDescent="0.3">
      <c r="A8687" s="5" t="s">
        <v>270</v>
      </c>
      <c r="B8687" s="5" t="s">
        <v>271</v>
      </c>
      <c r="C8687" s="6">
        <v>2000</v>
      </c>
      <c r="D8687" s="7">
        <v>28423435</v>
      </c>
    </row>
    <row r="8688" spans="1:4" x14ac:dyDescent="0.3">
      <c r="A8688" s="2" t="s">
        <v>270</v>
      </c>
      <c r="B8688" s="2" t="s">
        <v>271</v>
      </c>
      <c r="C8688" s="3">
        <v>2001</v>
      </c>
      <c r="D8688" s="4">
        <v>28814643</v>
      </c>
    </row>
    <row r="8689" spans="1:4" x14ac:dyDescent="0.3">
      <c r="A8689" s="5" t="s">
        <v>270</v>
      </c>
      <c r="B8689" s="5" t="s">
        <v>271</v>
      </c>
      <c r="C8689" s="6">
        <v>2002</v>
      </c>
      <c r="D8689" s="7">
        <v>29198142</v>
      </c>
    </row>
    <row r="8690" spans="1:4" x14ac:dyDescent="0.3">
      <c r="A8690" s="2" t="s">
        <v>270</v>
      </c>
      <c r="B8690" s="2" t="s">
        <v>271</v>
      </c>
      <c r="C8690" s="3">
        <v>2003</v>
      </c>
      <c r="D8690" s="4">
        <v>29571415</v>
      </c>
    </row>
    <row r="8691" spans="1:4" x14ac:dyDescent="0.3">
      <c r="A8691" s="5" t="s">
        <v>270</v>
      </c>
      <c r="B8691" s="5" t="s">
        <v>271</v>
      </c>
      <c r="C8691" s="6">
        <v>2004</v>
      </c>
      <c r="D8691" s="7">
        <v>29953018</v>
      </c>
    </row>
    <row r="8692" spans="1:4" x14ac:dyDescent="0.3">
      <c r="A8692" s="2" t="s">
        <v>270</v>
      </c>
      <c r="B8692" s="2" t="s">
        <v>271</v>
      </c>
      <c r="C8692" s="3">
        <v>2005</v>
      </c>
      <c r="D8692" s="4">
        <v>30358144</v>
      </c>
    </row>
    <row r="8693" spans="1:4" x14ac:dyDescent="0.3">
      <c r="A8693" s="5" t="s">
        <v>270</v>
      </c>
      <c r="B8693" s="5" t="s">
        <v>271</v>
      </c>
      <c r="C8693" s="6">
        <v>2006</v>
      </c>
      <c r="D8693" s="7">
        <v>30771178</v>
      </c>
    </row>
    <row r="8694" spans="1:4" x14ac:dyDescent="0.3">
      <c r="A8694" s="2" t="s">
        <v>270</v>
      </c>
      <c r="B8694" s="2" t="s">
        <v>271</v>
      </c>
      <c r="C8694" s="3">
        <v>2007</v>
      </c>
      <c r="D8694" s="4">
        <v>31186468</v>
      </c>
    </row>
    <row r="8695" spans="1:4" x14ac:dyDescent="0.3">
      <c r="A8695" s="5" t="s">
        <v>270</v>
      </c>
      <c r="B8695" s="5" t="s">
        <v>271</v>
      </c>
      <c r="C8695" s="6">
        <v>2008</v>
      </c>
      <c r="D8695" s="7">
        <v>31606767</v>
      </c>
    </row>
    <row r="8696" spans="1:4" x14ac:dyDescent="0.3">
      <c r="A8696" s="2" t="s">
        <v>270</v>
      </c>
      <c r="B8696" s="2" t="s">
        <v>271</v>
      </c>
      <c r="C8696" s="3">
        <v>2009</v>
      </c>
      <c r="D8696" s="4">
        <v>32030778</v>
      </c>
    </row>
    <row r="8697" spans="1:4" x14ac:dyDescent="0.3">
      <c r="A8697" s="5" t="s">
        <v>270</v>
      </c>
      <c r="B8697" s="5" t="s">
        <v>271</v>
      </c>
      <c r="C8697" s="6">
        <v>2010</v>
      </c>
      <c r="D8697" s="7">
        <v>32467016</v>
      </c>
    </row>
    <row r="8698" spans="1:4" x14ac:dyDescent="0.3">
      <c r="A8698" s="2" t="s">
        <v>270</v>
      </c>
      <c r="B8698" s="2" t="s">
        <v>271</v>
      </c>
      <c r="C8698" s="3">
        <v>2011</v>
      </c>
      <c r="D8698" s="4">
        <v>32912588</v>
      </c>
    </row>
    <row r="8699" spans="1:4" x14ac:dyDescent="0.3">
      <c r="A8699" s="5" t="s">
        <v>270</v>
      </c>
      <c r="B8699" s="5" t="s">
        <v>271</v>
      </c>
      <c r="C8699" s="6">
        <v>2012</v>
      </c>
      <c r="D8699" s="7">
        <v>33355241</v>
      </c>
    </row>
    <row r="8700" spans="1:4" x14ac:dyDescent="0.3">
      <c r="A8700" s="2" t="s">
        <v>270</v>
      </c>
      <c r="B8700" s="2" t="s">
        <v>271</v>
      </c>
      <c r="C8700" s="3">
        <v>2013</v>
      </c>
      <c r="D8700" s="4">
        <v>33787571</v>
      </c>
    </row>
    <row r="8701" spans="1:4" x14ac:dyDescent="0.3">
      <c r="A8701" s="5" t="s">
        <v>270</v>
      </c>
      <c r="B8701" s="5" t="s">
        <v>271</v>
      </c>
      <c r="C8701" s="6">
        <v>2014</v>
      </c>
      <c r="D8701" s="7">
        <v>34204780</v>
      </c>
    </row>
    <row r="8702" spans="1:4" x14ac:dyDescent="0.3">
      <c r="A8702" s="2" t="s">
        <v>270</v>
      </c>
      <c r="B8702" s="2" t="s">
        <v>271</v>
      </c>
      <c r="C8702" s="3">
        <v>2015</v>
      </c>
      <c r="D8702" s="4">
        <v>34607588</v>
      </c>
    </row>
    <row r="8703" spans="1:4" x14ac:dyDescent="0.3">
      <c r="A8703" s="5" t="s">
        <v>270</v>
      </c>
      <c r="B8703" s="5" t="s">
        <v>271</v>
      </c>
      <c r="C8703" s="6">
        <v>2016</v>
      </c>
      <c r="D8703" s="7">
        <v>35023457</v>
      </c>
    </row>
    <row r="8704" spans="1:4" x14ac:dyDescent="0.3">
      <c r="A8704" s="2" t="s">
        <v>270</v>
      </c>
      <c r="B8704" s="2" t="s">
        <v>271</v>
      </c>
      <c r="C8704" s="3">
        <v>2017</v>
      </c>
      <c r="D8704" s="4">
        <v>35446392</v>
      </c>
    </row>
    <row r="8705" spans="1:4" x14ac:dyDescent="0.3">
      <c r="A8705" s="5" t="s">
        <v>270</v>
      </c>
      <c r="B8705" s="5" t="s">
        <v>271</v>
      </c>
      <c r="C8705" s="6">
        <v>2018</v>
      </c>
      <c r="D8705" s="7">
        <v>35839760</v>
      </c>
    </row>
    <row r="8706" spans="1:4" x14ac:dyDescent="0.3">
      <c r="A8706" s="2" t="s">
        <v>270</v>
      </c>
      <c r="B8706" s="2" t="s">
        <v>271</v>
      </c>
      <c r="C8706" s="3">
        <v>2019</v>
      </c>
      <c r="D8706" s="4">
        <v>36210898</v>
      </c>
    </row>
    <row r="8707" spans="1:4" x14ac:dyDescent="0.3">
      <c r="A8707" s="5" t="s">
        <v>270</v>
      </c>
      <c r="B8707" s="5" t="s">
        <v>271</v>
      </c>
      <c r="C8707" s="6">
        <v>2020</v>
      </c>
      <c r="D8707" s="7">
        <v>36584208</v>
      </c>
    </row>
    <row r="8708" spans="1:4" x14ac:dyDescent="0.3">
      <c r="A8708" s="2" t="s">
        <v>270</v>
      </c>
      <c r="B8708" s="2" t="s">
        <v>271</v>
      </c>
      <c r="C8708" s="3">
        <v>2021</v>
      </c>
      <c r="D8708" s="4">
        <v>36954442</v>
      </c>
    </row>
    <row r="8709" spans="1:4" x14ac:dyDescent="0.3">
      <c r="A8709" s="5" t="s">
        <v>270</v>
      </c>
      <c r="B8709" s="5" t="s">
        <v>271</v>
      </c>
      <c r="C8709" s="6">
        <v>2022</v>
      </c>
      <c r="D8709" s="7">
        <v>37329064</v>
      </c>
    </row>
    <row r="8710" spans="1:4" x14ac:dyDescent="0.3">
      <c r="A8710" s="2" t="s">
        <v>270</v>
      </c>
      <c r="B8710" s="2" t="s">
        <v>271</v>
      </c>
      <c r="C8710" s="3">
        <v>2023</v>
      </c>
      <c r="D8710" s="4">
        <v>37712505</v>
      </c>
    </row>
    <row r="8711" spans="1:4" x14ac:dyDescent="0.3">
      <c r="A8711" s="5" t="s">
        <v>270</v>
      </c>
      <c r="B8711" s="5" t="s">
        <v>271</v>
      </c>
      <c r="C8711" s="6">
        <v>2024</v>
      </c>
      <c r="D8711" s="7">
        <v>38081173</v>
      </c>
    </row>
    <row r="8712" spans="1:4" x14ac:dyDescent="0.3">
      <c r="A8712" s="2" t="s">
        <v>272</v>
      </c>
      <c r="B8712" s="2" t="s">
        <v>273</v>
      </c>
      <c r="C8712" s="3">
        <v>1960</v>
      </c>
      <c r="D8712" s="4">
        <v>6713695</v>
      </c>
    </row>
    <row r="8713" spans="1:4" x14ac:dyDescent="0.3">
      <c r="A8713" s="5" t="s">
        <v>272</v>
      </c>
      <c r="B8713" s="5" t="s">
        <v>273</v>
      </c>
      <c r="C8713" s="6">
        <v>1961</v>
      </c>
      <c r="D8713" s="7">
        <v>6834936</v>
      </c>
    </row>
    <row r="8714" spans="1:4" x14ac:dyDescent="0.3">
      <c r="A8714" s="2" t="s">
        <v>272</v>
      </c>
      <c r="B8714" s="2" t="s">
        <v>273</v>
      </c>
      <c r="C8714" s="3">
        <v>1962</v>
      </c>
      <c r="D8714" s="4">
        <v>6969364</v>
      </c>
    </row>
    <row r="8715" spans="1:4" x14ac:dyDescent="0.3">
      <c r="A8715" s="5" t="s">
        <v>272</v>
      </c>
      <c r="B8715" s="5" t="s">
        <v>273</v>
      </c>
      <c r="C8715" s="6">
        <v>1963</v>
      </c>
      <c r="D8715" s="7">
        <v>7109828</v>
      </c>
    </row>
    <row r="8716" spans="1:4" x14ac:dyDescent="0.3">
      <c r="A8716" s="2" t="s">
        <v>272</v>
      </c>
      <c r="B8716" s="2" t="s">
        <v>273</v>
      </c>
      <c r="C8716" s="3">
        <v>1964</v>
      </c>
      <c r="D8716" s="4">
        <v>7255061</v>
      </c>
    </row>
    <row r="8717" spans="1:4" x14ac:dyDescent="0.3">
      <c r="A8717" s="5" t="s">
        <v>272</v>
      </c>
      <c r="B8717" s="5" t="s">
        <v>273</v>
      </c>
      <c r="C8717" s="6">
        <v>1965</v>
      </c>
      <c r="D8717" s="7">
        <v>7406421</v>
      </c>
    </row>
    <row r="8718" spans="1:4" x14ac:dyDescent="0.3">
      <c r="A8718" s="2" t="s">
        <v>272</v>
      </c>
      <c r="B8718" s="2" t="s">
        <v>273</v>
      </c>
      <c r="C8718" s="3">
        <v>1966</v>
      </c>
      <c r="D8718" s="4">
        <v>7562990</v>
      </c>
    </row>
    <row r="8719" spans="1:4" x14ac:dyDescent="0.3">
      <c r="A8719" s="5" t="s">
        <v>272</v>
      </c>
      <c r="B8719" s="5" t="s">
        <v>273</v>
      </c>
      <c r="C8719" s="6">
        <v>1967</v>
      </c>
      <c r="D8719" s="7">
        <v>7724550</v>
      </c>
    </row>
    <row r="8720" spans="1:4" x14ac:dyDescent="0.3">
      <c r="A8720" s="2" t="s">
        <v>272</v>
      </c>
      <c r="B8720" s="2" t="s">
        <v>273</v>
      </c>
      <c r="C8720" s="3">
        <v>1968</v>
      </c>
      <c r="D8720" s="4">
        <v>7892613</v>
      </c>
    </row>
    <row r="8721" spans="1:4" x14ac:dyDescent="0.3">
      <c r="A8721" s="5" t="s">
        <v>272</v>
      </c>
      <c r="B8721" s="5" t="s">
        <v>273</v>
      </c>
      <c r="C8721" s="6">
        <v>1969</v>
      </c>
      <c r="D8721" s="7">
        <v>8066951</v>
      </c>
    </row>
    <row r="8722" spans="1:4" x14ac:dyDescent="0.3">
      <c r="A8722" s="2" t="s">
        <v>272</v>
      </c>
      <c r="B8722" s="2" t="s">
        <v>273</v>
      </c>
      <c r="C8722" s="3">
        <v>1970</v>
      </c>
      <c r="D8722" s="4">
        <v>8250506</v>
      </c>
    </row>
    <row r="8723" spans="1:4" x14ac:dyDescent="0.3">
      <c r="A8723" s="5" t="s">
        <v>272</v>
      </c>
      <c r="B8723" s="5" t="s">
        <v>273</v>
      </c>
      <c r="C8723" s="6">
        <v>1971</v>
      </c>
      <c r="D8723" s="7">
        <v>8456317</v>
      </c>
    </row>
    <row r="8724" spans="1:4" x14ac:dyDescent="0.3">
      <c r="A8724" s="2" t="s">
        <v>272</v>
      </c>
      <c r="B8724" s="2" t="s">
        <v>273</v>
      </c>
      <c r="C8724" s="3">
        <v>1972</v>
      </c>
      <c r="D8724" s="4">
        <v>8692935</v>
      </c>
    </row>
    <row r="8725" spans="1:4" x14ac:dyDescent="0.3">
      <c r="A8725" s="5" t="s">
        <v>272</v>
      </c>
      <c r="B8725" s="5" t="s">
        <v>273</v>
      </c>
      <c r="C8725" s="6">
        <v>1973</v>
      </c>
      <c r="D8725" s="7">
        <v>8954242</v>
      </c>
    </row>
    <row r="8726" spans="1:4" x14ac:dyDescent="0.3">
      <c r="A8726" s="2" t="s">
        <v>272</v>
      </c>
      <c r="B8726" s="2" t="s">
        <v>273</v>
      </c>
      <c r="C8726" s="3">
        <v>1974</v>
      </c>
      <c r="D8726" s="4">
        <v>9236093</v>
      </c>
    </row>
    <row r="8727" spans="1:4" x14ac:dyDescent="0.3">
      <c r="A8727" s="5" t="s">
        <v>272</v>
      </c>
      <c r="B8727" s="5" t="s">
        <v>273</v>
      </c>
      <c r="C8727" s="6">
        <v>1975</v>
      </c>
      <c r="D8727" s="7">
        <v>9540817</v>
      </c>
    </row>
    <row r="8728" spans="1:4" x14ac:dyDescent="0.3">
      <c r="A8728" s="2" t="s">
        <v>272</v>
      </c>
      <c r="B8728" s="2" t="s">
        <v>273</v>
      </c>
      <c r="C8728" s="3">
        <v>1976</v>
      </c>
      <c r="D8728" s="4">
        <v>9867209</v>
      </c>
    </row>
    <row r="8729" spans="1:4" x14ac:dyDescent="0.3">
      <c r="A8729" s="5" t="s">
        <v>272</v>
      </c>
      <c r="B8729" s="5" t="s">
        <v>273</v>
      </c>
      <c r="C8729" s="6">
        <v>1977</v>
      </c>
      <c r="D8729" s="7">
        <v>10224975</v>
      </c>
    </row>
    <row r="8730" spans="1:4" x14ac:dyDescent="0.3">
      <c r="A8730" s="2" t="s">
        <v>272</v>
      </c>
      <c r="B8730" s="2" t="s">
        <v>273</v>
      </c>
      <c r="C8730" s="3">
        <v>1978</v>
      </c>
      <c r="D8730" s="4">
        <v>10618250</v>
      </c>
    </row>
    <row r="8731" spans="1:4" x14ac:dyDescent="0.3">
      <c r="A8731" s="5" t="s">
        <v>272</v>
      </c>
      <c r="B8731" s="5" t="s">
        <v>273</v>
      </c>
      <c r="C8731" s="6">
        <v>1979</v>
      </c>
      <c r="D8731" s="7">
        <v>11028809</v>
      </c>
    </row>
    <row r="8732" spans="1:4" x14ac:dyDescent="0.3">
      <c r="A8732" s="2" t="s">
        <v>272</v>
      </c>
      <c r="B8732" s="2" t="s">
        <v>273</v>
      </c>
      <c r="C8732" s="3">
        <v>1980</v>
      </c>
      <c r="D8732" s="4">
        <v>11336221</v>
      </c>
    </row>
    <row r="8733" spans="1:4" x14ac:dyDescent="0.3">
      <c r="A8733" s="5" t="s">
        <v>272</v>
      </c>
      <c r="B8733" s="5" t="s">
        <v>273</v>
      </c>
      <c r="C8733" s="6">
        <v>1981</v>
      </c>
      <c r="D8733" s="7">
        <v>11568127</v>
      </c>
    </row>
    <row r="8734" spans="1:4" x14ac:dyDescent="0.3">
      <c r="A8734" s="2" t="s">
        <v>272</v>
      </c>
      <c r="B8734" s="2" t="s">
        <v>273</v>
      </c>
      <c r="C8734" s="3">
        <v>1982</v>
      </c>
      <c r="D8734" s="4">
        <v>11824370</v>
      </c>
    </row>
    <row r="8735" spans="1:4" x14ac:dyDescent="0.3">
      <c r="A8735" s="5" t="s">
        <v>272</v>
      </c>
      <c r="B8735" s="5" t="s">
        <v>273</v>
      </c>
      <c r="C8735" s="6">
        <v>1983</v>
      </c>
      <c r="D8735" s="7">
        <v>12073822</v>
      </c>
    </row>
    <row r="8736" spans="1:4" x14ac:dyDescent="0.3">
      <c r="A8736" s="2" t="s">
        <v>272</v>
      </c>
      <c r="B8736" s="2" t="s">
        <v>273</v>
      </c>
      <c r="C8736" s="3">
        <v>1984</v>
      </c>
      <c r="D8736" s="4">
        <v>12315954</v>
      </c>
    </row>
    <row r="8737" spans="1:4" x14ac:dyDescent="0.3">
      <c r="A8737" s="5" t="s">
        <v>272</v>
      </c>
      <c r="B8737" s="5" t="s">
        <v>273</v>
      </c>
      <c r="C8737" s="6">
        <v>1985</v>
      </c>
      <c r="D8737" s="7">
        <v>12548949</v>
      </c>
    </row>
    <row r="8738" spans="1:4" x14ac:dyDescent="0.3">
      <c r="A8738" s="2" t="s">
        <v>272</v>
      </c>
      <c r="B8738" s="2" t="s">
        <v>273</v>
      </c>
      <c r="C8738" s="3">
        <v>1986</v>
      </c>
      <c r="D8738" s="4">
        <v>12770578</v>
      </c>
    </row>
    <row r="8739" spans="1:4" x14ac:dyDescent="0.3">
      <c r="A8739" s="5" t="s">
        <v>272</v>
      </c>
      <c r="B8739" s="5" t="s">
        <v>273</v>
      </c>
      <c r="C8739" s="6">
        <v>1987</v>
      </c>
      <c r="D8739" s="7">
        <v>12822574</v>
      </c>
    </row>
    <row r="8740" spans="1:4" x14ac:dyDescent="0.3">
      <c r="A8740" s="2" t="s">
        <v>272</v>
      </c>
      <c r="B8740" s="2" t="s">
        <v>273</v>
      </c>
      <c r="C8740" s="3">
        <v>1988</v>
      </c>
      <c r="D8740" s="4">
        <v>12800558</v>
      </c>
    </row>
    <row r="8741" spans="1:4" x14ac:dyDescent="0.3">
      <c r="A8741" s="5" t="s">
        <v>272</v>
      </c>
      <c r="B8741" s="5" t="s">
        <v>273</v>
      </c>
      <c r="C8741" s="6">
        <v>1989</v>
      </c>
      <c r="D8741" s="7">
        <v>12906842</v>
      </c>
    </row>
    <row r="8742" spans="1:4" x14ac:dyDescent="0.3">
      <c r="A8742" s="2" t="s">
        <v>272</v>
      </c>
      <c r="B8742" s="2" t="s">
        <v>273</v>
      </c>
      <c r="C8742" s="3">
        <v>1990</v>
      </c>
      <c r="D8742" s="4">
        <v>13094537</v>
      </c>
    </row>
    <row r="8743" spans="1:4" x14ac:dyDescent="0.3">
      <c r="A8743" s="5" t="s">
        <v>272</v>
      </c>
      <c r="B8743" s="5" t="s">
        <v>273</v>
      </c>
      <c r="C8743" s="6">
        <v>1991</v>
      </c>
      <c r="D8743" s="7">
        <v>13352090</v>
      </c>
    </row>
    <row r="8744" spans="1:4" x14ac:dyDescent="0.3">
      <c r="A8744" s="2" t="s">
        <v>272</v>
      </c>
      <c r="B8744" s="2" t="s">
        <v>273</v>
      </c>
      <c r="C8744" s="3">
        <v>1992</v>
      </c>
      <c r="D8744" s="4">
        <v>13613316</v>
      </c>
    </row>
    <row r="8745" spans="1:4" x14ac:dyDescent="0.3">
      <c r="A8745" s="5" t="s">
        <v>272</v>
      </c>
      <c r="B8745" s="5" t="s">
        <v>273</v>
      </c>
      <c r="C8745" s="6">
        <v>1993</v>
      </c>
      <c r="D8745" s="7">
        <v>14051192</v>
      </c>
    </row>
    <row r="8746" spans="1:4" x14ac:dyDescent="0.3">
      <c r="A8746" s="2" t="s">
        <v>272</v>
      </c>
      <c r="B8746" s="2" t="s">
        <v>273</v>
      </c>
      <c r="C8746" s="3">
        <v>1994</v>
      </c>
      <c r="D8746" s="4">
        <v>15033853</v>
      </c>
    </row>
    <row r="8747" spans="1:4" x14ac:dyDescent="0.3">
      <c r="A8747" s="5" t="s">
        <v>272</v>
      </c>
      <c r="B8747" s="5" t="s">
        <v>273</v>
      </c>
      <c r="C8747" s="6">
        <v>1995</v>
      </c>
      <c r="D8747" s="7">
        <v>15960530</v>
      </c>
    </row>
    <row r="8748" spans="1:4" x14ac:dyDescent="0.3">
      <c r="A8748" s="2" t="s">
        <v>272</v>
      </c>
      <c r="B8748" s="2" t="s">
        <v>273</v>
      </c>
      <c r="C8748" s="3">
        <v>1996</v>
      </c>
      <c r="D8748" s="4">
        <v>16492480</v>
      </c>
    </row>
    <row r="8749" spans="1:4" x14ac:dyDescent="0.3">
      <c r="A8749" s="5" t="s">
        <v>272</v>
      </c>
      <c r="B8749" s="5" t="s">
        <v>273</v>
      </c>
      <c r="C8749" s="6">
        <v>1997</v>
      </c>
      <c r="D8749" s="7">
        <v>16949982</v>
      </c>
    </row>
    <row r="8750" spans="1:4" x14ac:dyDescent="0.3">
      <c r="A8750" s="2" t="s">
        <v>272</v>
      </c>
      <c r="B8750" s="2" t="s">
        <v>273</v>
      </c>
      <c r="C8750" s="3">
        <v>1998</v>
      </c>
      <c r="D8750" s="4">
        <v>17340464</v>
      </c>
    </row>
    <row r="8751" spans="1:4" x14ac:dyDescent="0.3">
      <c r="A8751" s="5" t="s">
        <v>272</v>
      </c>
      <c r="B8751" s="5" t="s">
        <v>273</v>
      </c>
      <c r="C8751" s="6">
        <v>1999</v>
      </c>
      <c r="D8751" s="7">
        <v>17734506</v>
      </c>
    </row>
    <row r="8752" spans="1:4" x14ac:dyDescent="0.3">
      <c r="A8752" s="2" t="s">
        <v>272</v>
      </c>
      <c r="B8752" s="2" t="s">
        <v>273</v>
      </c>
      <c r="C8752" s="3">
        <v>2000</v>
      </c>
      <c r="D8752" s="4">
        <v>18129653</v>
      </c>
    </row>
    <row r="8753" spans="1:4" x14ac:dyDescent="0.3">
      <c r="A8753" s="5" t="s">
        <v>272</v>
      </c>
      <c r="B8753" s="5" t="s">
        <v>273</v>
      </c>
      <c r="C8753" s="6">
        <v>2001</v>
      </c>
      <c r="D8753" s="7">
        <v>18537729</v>
      </c>
    </row>
    <row r="8754" spans="1:4" x14ac:dyDescent="0.3">
      <c r="A8754" s="2" t="s">
        <v>272</v>
      </c>
      <c r="B8754" s="2" t="s">
        <v>273</v>
      </c>
      <c r="C8754" s="3">
        <v>2002</v>
      </c>
      <c r="D8754" s="4">
        <v>18958338</v>
      </c>
    </row>
    <row r="8755" spans="1:4" x14ac:dyDescent="0.3">
      <c r="A8755" s="5" t="s">
        <v>272</v>
      </c>
      <c r="B8755" s="5" t="s">
        <v>273</v>
      </c>
      <c r="C8755" s="6">
        <v>2003</v>
      </c>
      <c r="D8755" s="7">
        <v>19392475</v>
      </c>
    </row>
    <row r="8756" spans="1:4" x14ac:dyDescent="0.3">
      <c r="A8756" s="2" t="s">
        <v>272</v>
      </c>
      <c r="B8756" s="2" t="s">
        <v>273</v>
      </c>
      <c r="C8756" s="3">
        <v>2004</v>
      </c>
      <c r="D8756" s="4">
        <v>19840313</v>
      </c>
    </row>
    <row r="8757" spans="1:4" x14ac:dyDescent="0.3">
      <c r="A8757" s="5" t="s">
        <v>272</v>
      </c>
      <c r="B8757" s="5" t="s">
        <v>273</v>
      </c>
      <c r="C8757" s="6">
        <v>2005</v>
      </c>
      <c r="D8757" s="7">
        <v>20304569</v>
      </c>
    </row>
    <row r="8758" spans="1:4" x14ac:dyDescent="0.3">
      <c r="A8758" s="2" t="s">
        <v>272</v>
      </c>
      <c r="B8758" s="2" t="s">
        <v>273</v>
      </c>
      <c r="C8758" s="3">
        <v>2006</v>
      </c>
      <c r="D8758" s="4">
        <v>20787087</v>
      </c>
    </row>
    <row r="8759" spans="1:4" x14ac:dyDescent="0.3">
      <c r="A8759" s="5" t="s">
        <v>272</v>
      </c>
      <c r="B8759" s="5" t="s">
        <v>273</v>
      </c>
      <c r="C8759" s="6">
        <v>2007</v>
      </c>
      <c r="D8759" s="7">
        <v>21287635</v>
      </c>
    </row>
    <row r="8760" spans="1:4" x14ac:dyDescent="0.3">
      <c r="A8760" s="2" t="s">
        <v>272</v>
      </c>
      <c r="B8760" s="2" t="s">
        <v>273</v>
      </c>
      <c r="C8760" s="3">
        <v>2008</v>
      </c>
      <c r="D8760" s="4">
        <v>21819036</v>
      </c>
    </row>
    <row r="8761" spans="1:4" x14ac:dyDescent="0.3">
      <c r="A8761" s="5" t="s">
        <v>272</v>
      </c>
      <c r="B8761" s="5" t="s">
        <v>273</v>
      </c>
      <c r="C8761" s="6">
        <v>2009</v>
      </c>
      <c r="D8761" s="7">
        <v>22391745</v>
      </c>
    </row>
    <row r="8762" spans="1:4" x14ac:dyDescent="0.3">
      <c r="A8762" s="2" t="s">
        <v>272</v>
      </c>
      <c r="B8762" s="2" t="s">
        <v>273</v>
      </c>
      <c r="C8762" s="3">
        <v>2010</v>
      </c>
      <c r="D8762" s="4">
        <v>22999235</v>
      </c>
    </row>
    <row r="8763" spans="1:4" x14ac:dyDescent="0.3">
      <c r="A8763" s="5" t="s">
        <v>272</v>
      </c>
      <c r="B8763" s="5" t="s">
        <v>273</v>
      </c>
      <c r="C8763" s="6">
        <v>2011</v>
      </c>
      <c r="D8763" s="7">
        <v>23649039</v>
      </c>
    </row>
    <row r="8764" spans="1:4" x14ac:dyDescent="0.3">
      <c r="A8764" s="2" t="s">
        <v>272</v>
      </c>
      <c r="B8764" s="2" t="s">
        <v>273</v>
      </c>
      <c r="C8764" s="3">
        <v>2012</v>
      </c>
      <c r="D8764" s="4">
        <v>24337846</v>
      </c>
    </row>
    <row r="8765" spans="1:4" x14ac:dyDescent="0.3">
      <c r="A8765" s="5" t="s">
        <v>272</v>
      </c>
      <c r="B8765" s="5" t="s">
        <v>273</v>
      </c>
      <c r="C8765" s="6">
        <v>2013</v>
      </c>
      <c r="D8765" s="7">
        <v>25051611</v>
      </c>
    </row>
    <row r="8766" spans="1:4" x14ac:dyDescent="0.3">
      <c r="A8766" s="2" t="s">
        <v>272</v>
      </c>
      <c r="B8766" s="2" t="s">
        <v>273</v>
      </c>
      <c r="C8766" s="3">
        <v>2014</v>
      </c>
      <c r="D8766" s="4">
        <v>25788475</v>
      </c>
    </row>
    <row r="8767" spans="1:4" x14ac:dyDescent="0.3">
      <c r="A8767" s="5" t="s">
        <v>272</v>
      </c>
      <c r="B8767" s="5" t="s">
        <v>273</v>
      </c>
      <c r="C8767" s="6">
        <v>2015</v>
      </c>
      <c r="D8767" s="7">
        <v>26547572</v>
      </c>
    </row>
    <row r="8768" spans="1:4" x14ac:dyDescent="0.3">
      <c r="A8768" s="2" t="s">
        <v>272</v>
      </c>
      <c r="B8768" s="2" t="s">
        <v>273</v>
      </c>
      <c r="C8768" s="3">
        <v>2016</v>
      </c>
      <c r="D8768" s="4">
        <v>27337105</v>
      </c>
    </row>
    <row r="8769" spans="1:4" x14ac:dyDescent="0.3">
      <c r="A8769" s="5" t="s">
        <v>272</v>
      </c>
      <c r="B8769" s="5" t="s">
        <v>273</v>
      </c>
      <c r="C8769" s="6">
        <v>2017</v>
      </c>
      <c r="D8769" s="7">
        <v>28166393</v>
      </c>
    </row>
    <row r="8770" spans="1:4" x14ac:dyDescent="0.3">
      <c r="A8770" s="2" t="s">
        <v>272</v>
      </c>
      <c r="B8770" s="2" t="s">
        <v>273</v>
      </c>
      <c r="C8770" s="3">
        <v>2018</v>
      </c>
      <c r="D8770" s="4">
        <v>29018644</v>
      </c>
    </row>
    <row r="8771" spans="1:4" x14ac:dyDescent="0.3">
      <c r="A8771" s="5" t="s">
        <v>272</v>
      </c>
      <c r="B8771" s="5" t="s">
        <v>273</v>
      </c>
      <c r="C8771" s="6">
        <v>2019</v>
      </c>
      <c r="D8771" s="7">
        <v>29884380</v>
      </c>
    </row>
    <row r="8772" spans="1:4" x14ac:dyDescent="0.3">
      <c r="A8772" s="2" t="s">
        <v>272</v>
      </c>
      <c r="B8772" s="2" t="s">
        <v>273</v>
      </c>
      <c r="C8772" s="3">
        <v>2020</v>
      </c>
      <c r="D8772" s="4">
        <v>30783688</v>
      </c>
    </row>
    <row r="8773" spans="1:4" x14ac:dyDescent="0.3">
      <c r="A8773" s="5" t="s">
        <v>272</v>
      </c>
      <c r="B8773" s="5" t="s">
        <v>273</v>
      </c>
      <c r="C8773" s="6">
        <v>2021</v>
      </c>
      <c r="D8773" s="7">
        <v>31707800</v>
      </c>
    </row>
    <row r="8774" spans="1:4" x14ac:dyDescent="0.3">
      <c r="A8774" s="2" t="s">
        <v>272</v>
      </c>
      <c r="B8774" s="2" t="s">
        <v>273</v>
      </c>
      <c r="C8774" s="3">
        <v>2022</v>
      </c>
      <c r="D8774" s="4">
        <v>32656246</v>
      </c>
    </row>
    <row r="8775" spans="1:4" x14ac:dyDescent="0.3">
      <c r="A8775" s="5" t="s">
        <v>272</v>
      </c>
      <c r="B8775" s="5" t="s">
        <v>273</v>
      </c>
      <c r="C8775" s="6">
        <v>2023</v>
      </c>
      <c r="D8775" s="7">
        <v>33635160</v>
      </c>
    </row>
    <row r="8776" spans="1:4" x14ac:dyDescent="0.3">
      <c r="A8776" s="2" t="s">
        <v>272</v>
      </c>
      <c r="B8776" s="2" t="s">
        <v>273</v>
      </c>
      <c r="C8776" s="3">
        <v>2024</v>
      </c>
      <c r="D8776" s="4">
        <v>34631766</v>
      </c>
    </row>
    <row r="8777" spans="1:4" x14ac:dyDescent="0.3">
      <c r="A8777" s="5" t="s">
        <v>274</v>
      </c>
      <c r="B8777" s="5" t="s">
        <v>275</v>
      </c>
      <c r="C8777" s="6">
        <v>1960</v>
      </c>
      <c r="D8777" s="7">
        <v>21730250</v>
      </c>
    </row>
    <row r="8778" spans="1:4" x14ac:dyDescent="0.3">
      <c r="A8778" s="2" t="s">
        <v>274</v>
      </c>
      <c r="B8778" s="2" t="s">
        <v>275</v>
      </c>
      <c r="C8778" s="3">
        <v>1961</v>
      </c>
      <c r="D8778" s="4">
        <v>22210581</v>
      </c>
    </row>
    <row r="8779" spans="1:4" x14ac:dyDescent="0.3">
      <c r="A8779" s="5" t="s">
        <v>274</v>
      </c>
      <c r="B8779" s="5" t="s">
        <v>275</v>
      </c>
      <c r="C8779" s="6">
        <v>1962</v>
      </c>
      <c r="D8779" s="7">
        <v>22704719</v>
      </c>
    </row>
    <row r="8780" spans="1:4" x14ac:dyDescent="0.3">
      <c r="A8780" s="2" t="s">
        <v>274</v>
      </c>
      <c r="B8780" s="2" t="s">
        <v>275</v>
      </c>
      <c r="C8780" s="3">
        <v>1963</v>
      </c>
      <c r="D8780" s="4">
        <v>23213408</v>
      </c>
    </row>
    <row r="8781" spans="1:4" x14ac:dyDescent="0.3">
      <c r="A8781" s="5" t="s">
        <v>274</v>
      </c>
      <c r="B8781" s="5" t="s">
        <v>275</v>
      </c>
      <c r="C8781" s="6">
        <v>1964</v>
      </c>
      <c r="D8781" s="7">
        <v>23737315</v>
      </c>
    </row>
    <row r="8782" spans="1:4" x14ac:dyDescent="0.3">
      <c r="A8782" s="2" t="s">
        <v>274</v>
      </c>
      <c r="B8782" s="2" t="s">
        <v>275</v>
      </c>
      <c r="C8782" s="3">
        <v>1965</v>
      </c>
      <c r="D8782" s="4">
        <v>24279431</v>
      </c>
    </row>
    <row r="8783" spans="1:4" x14ac:dyDescent="0.3">
      <c r="A8783" s="5" t="s">
        <v>274</v>
      </c>
      <c r="B8783" s="5" t="s">
        <v>275</v>
      </c>
      <c r="C8783" s="6">
        <v>1966</v>
      </c>
      <c r="D8783" s="7">
        <v>24836496</v>
      </c>
    </row>
    <row r="8784" spans="1:4" x14ac:dyDescent="0.3">
      <c r="A8784" s="2" t="s">
        <v>274</v>
      </c>
      <c r="B8784" s="2" t="s">
        <v>275</v>
      </c>
      <c r="C8784" s="3">
        <v>1967</v>
      </c>
      <c r="D8784" s="4">
        <v>25406429</v>
      </c>
    </row>
    <row r="8785" spans="1:4" x14ac:dyDescent="0.3">
      <c r="A8785" s="5" t="s">
        <v>274</v>
      </c>
      <c r="B8785" s="5" t="s">
        <v>275</v>
      </c>
      <c r="C8785" s="6">
        <v>1968</v>
      </c>
      <c r="D8785" s="7">
        <v>25989662</v>
      </c>
    </row>
    <row r="8786" spans="1:4" x14ac:dyDescent="0.3">
      <c r="A8786" s="2" t="s">
        <v>274</v>
      </c>
      <c r="B8786" s="2" t="s">
        <v>275</v>
      </c>
      <c r="C8786" s="3">
        <v>1969</v>
      </c>
      <c r="D8786" s="4">
        <v>26585112</v>
      </c>
    </row>
    <row r="8787" spans="1:4" x14ac:dyDescent="0.3">
      <c r="A8787" s="5" t="s">
        <v>274</v>
      </c>
      <c r="B8787" s="5" t="s">
        <v>275</v>
      </c>
      <c r="C8787" s="6">
        <v>1970</v>
      </c>
      <c r="D8787" s="7">
        <v>27193016</v>
      </c>
    </row>
    <row r="8788" spans="1:4" x14ac:dyDescent="0.3">
      <c r="A8788" s="2" t="s">
        <v>274</v>
      </c>
      <c r="B8788" s="2" t="s">
        <v>275</v>
      </c>
      <c r="C8788" s="3">
        <v>1971</v>
      </c>
      <c r="D8788" s="4">
        <v>27807219</v>
      </c>
    </row>
    <row r="8789" spans="1:4" x14ac:dyDescent="0.3">
      <c r="A8789" s="5" t="s">
        <v>274</v>
      </c>
      <c r="B8789" s="5" t="s">
        <v>275</v>
      </c>
      <c r="C8789" s="6">
        <v>1972</v>
      </c>
      <c r="D8789" s="7">
        <v>28428324</v>
      </c>
    </row>
    <row r="8790" spans="1:4" x14ac:dyDescent="0.3">
      <c r="A8790" s="2" t="s">
        <v>274</v>
      </c>
      <c r="B8790" s="2" t="s">
        <v>275</v>
      </c>
      <c r="C8790" s="3">
        <v>1973</v>
      </c>
      <c r="D8790" s="4">
        <v>29026388</v>
      </c>
    </row>
    <row r="8791" spans="1:4" x14ac:dyDescent="0.3">
      <c r="A8791" s="5" t="s">
        <v>274</v>
      </c>
      <c r="B8791" s="5" t="s">
        <v>275</v>
      </c>
      <c r="C8791" s="6">
        <v>1974</v>
      </c>
      <c r="D8791" s="7">
        <v>29598167</v>
      </c>
    </row>
    <row r="8792" spans="1:4" x14ac:dyDescent="0.3">
      <c r="A8792" s="2" t="s">
        <v>274</v>
      </c>
      <c r="B8792" s="2" t="s">
        <v>275</v>
      </c>
      <c r="C8792" s="3">
        <v>1975</v>
      </c>
      <c r="D8792" s="4">
        <v>30176565</v>
      </c>
    </row>
    <row r="8793" spans="1:4" x14ac:dyDescent="0.3">
      <c r="A8793" s="5" t="s">
        <v>274</v>
      </c>
      <c r="B8793" s="5" t="s">
        <v>275</v>
      </c>
      <c r="C8793" s="6">
        <v>1976</v>
      </c>
      <c r="D8793" s="7">
        <v>30758811</v>
      </c>
    </row>
    <row r="8794" spans="1:4" x14ac:dyDescent="0.3">
      <c r="A8794" s="2" t="s">
        <v>274</v>
      </c>
      <c r="B8794" s="2" t="s">
        <v>275</v>
      </c>
      <c r="C8794" s="3">
        <v>1977</v>
      </c>
      <c r="D8794" s="4">
        <v>31355966</v>
      </c>
    </row>
    <row r="8795" spans="1:4" x14ac:dyDescent="0.3">
      <c r="A8795" s="5" t="s">
        <v>274</v>
      </c>
      <c r="B8795" s="5" t="s">
        <v>275</v>
      </c>
      <c r="C8795" s="6">
        <v>1978</v>
      </c>
      <c r="D8795" s="7">
        <v>31972976</v>
      </c>
    </row>
    <row r="8796" spans="1:4" x14ac:dyDescent="0.3">
      <c r="A8796" s="2" t="s">
        <v>274</v>
      </c>
      <c r="B8796" s="2" t="s">
        <v>275</v>
      </c>
      <c r="C8796" s="3">
        <v>1979</v>
      </c>
      <c r="D8796" s="4">
        <v>32596550</v>
      </c>
    </row>
    <row r="8797" spans="1:4" x14ac:dyDescent="0.3">
      <c r="A8797" s="5" t="s">
        <v>274</v>
      </c>
      <c r="B8797" s="5" t="s">
        <v>275</v>
      </c>
      <c r="C8797" s="6">
        <v>1980</v>
      </c>
      <c r="D8797" s="7">
        <v>33227204</v>
      </c>
    </row>
    <row r="8798" spans="1:4" x14ac:dyDescent="0.3">
      <c r="A8798" s="2" t="s">
        <v>274</v>
      </c>
      <c r="B8798" s="2" t="s">
        <v>275</v>
      </c>
      <c r="C8798" s="3">
        <v>1981</v>
      </c>
      <c r="D8798" s="4">
        <v>33858783</v>
      </c>
    </row>
    <row r="8799" spans="1:4" x14ac:dyDescent="0.3">
      <c r="A8799" s="5" t="s">
        <v>274</v>
      </c>
      <c r="B8799" s="5" t="s">
        <v>275</v>
      </c>
      <c r="C8799" s="6">
        <v>1982</v>
      </c>
      <c r="D8799" s="7">
        <v>34482965</v>
      </c>
    </row>
    <row r="8800" spans="1:4" x14ac:dyDescent="0.3">
      <c r="A8800" s="2" t="s">
        <v>274</v>
      </c>
      <c r="B8800" s="2" t="s">
        <v>275</v>
      </c>
      <c r="C8800" s="3">
        <v>1983</v>
      </c>
      <c r="D8800" s="4">
        <v>35162715</v>
      </c>
    </row>
    <row r="8801" spans="1:4" x14ac:dyDescent="0.3">
      <c r="A8801" s="5" t="s">
        <v>274</v>
      </c>
      <c r="B8801" s="5" t="s">
        <v>275</v>
      </c>
      <c r="C8801" s="6">
        <v>1984</v>
      </c>
      <c r="D8801" s="7">
        <v>35899313</v>
      </c>
    </row>
    <row r="8802" spans="1:4" x14ac:dyDescent="0.3">
      <c r="A8802" s="2" t="s">
        <v>274</v>
      </c>
      <c r="B8802" s="2" t="s">
        <v>275</v>
      </c>
      <c r="C8802" s="3">
        <v>1985</v>
      </c>
      <c r="D8802" s="4">
        <v>36622827</v>
      </c>
    </row>
    <row r="8803" spans="1:4" x14ac:dyDescent="0.3">
      <c r="A8803" s="5" t="s">
        <v>274</v>
      </c>
      <c r="B8803" s="5" t="s">
        <v>275</v>
      </c>
      <c r="C8803" s="6">
        <v>1986</v>
      </c>
      <c r="D8803" s="7">
        <v>37314878</v>
      </c>
    </row>
    <row r="8804" spans="1:4" x14ac:dyDescent="0.3">
      <c r="A8804" s="2" t="s">
        <v>274</v>
      </c>
      <c r="B8804" s="2" t="s">
        <v>275</v>
      </c>
      <c r="C8804" s="3">
        <v>1987</v>
      </c>
      <c r="D8804" s="4">
        <v>37971594</v>
      </c>
    </row>
    <row r="8805" spans="1:4" x14ac:dyDescent="0.3">
      <c r="A8805" s="5" t="s">
        <v>274</v>
      </c>
      <c r="B8805" s="5" t="s">
        <v>275</v>
      </c>
      <c r="C8805" s="6">
        <v>1988</v>
      </c>
      <c r="D8805" s="7">
        <v>38600927</v>
      </c>
    </row>
    <row r="8806" spans="1:4" x14ac:dyDescent="0.3">
      <c r="A8806" s="2" t="s">
        <v>274</v>
      </c>
      <c r="B8806" s="2" t="s">
        <v>275</v>
      </c>
      <c r="C8806" s="3">
        <v>1989</v>
      </c>
      <c r="D8806" s="4">
        <v>39214618</v>
      </c>
    </row>
    <row r="8807" spans="1:4" x14ac:dyDescent="0.3">
      <c r="A8807" s="5" t="s">
        <v>274</v>
      </c>
      <c r="B8807" s="5" t="s">
        <v>275</v>
      </c>
      <c r="C8807" s="6">
        <v>1990</v>
      </c>
      <c r="D8807" s="7">
        <v>39817251</v>
      </c>
    </row>
    <row r="8808" spans="1:4" x14ac:dyDescent="0.3">
      <c r="A8808" s="2" t="s">
        <v>274</v>
      </c>
      <c r="B8808" s="2" t="s">
        <v>275</v>
      </c>
      <c r="C8808" s="3">
        <v>1991</v>
      </c>
      <c r="D8808" s="4">
        <v>40394154</v>
      </c>
    </row>
    <row r="8809" spans="1:4" x14ac:dyDescent="0.3">
      <c r="A8809" s="5" t="s">
        <v>274</v>
      </c>
      <c r="B8809" s="5" t="s">
        <v>275</v>
      </c>
      <c r="C8809" s="6">
        <v>1992</v>
      </c>
      <c r="D8809" s="7">
        <v>40950342</v>
      </c>
    </row>
    <row r="8810" spans="1:4" x14ac:dyDescent="0.3">
      <c r="A8810" s="2" t="s">
        <v>274</v>
      </c>
      <c r="B8810" s="2" t="s">
        <v>275</v>
      </c>
      <c r="C8810" s="3">
        <v>1993</v>
      </c>
      <c r="D8810" s="4">
        <v>41502429</v>
      </c>
    </row>
    <row r="8811" spans="1:4" x14ac:dyDescent="0.3">
      <c r="A8811" s="5" t="s">
        <v>274</v>
      </c>
      <c r="B8811" s="5" t="s">
        <v>275</v>
      </c>
      <c r="C8811" s="6">
        <v>1994</v>
      </c>
      <c r="D8811" s="7">
        <v>42055143</v>
      </c>
    </row>
    <row r="8812" spans="1:4" x14ac:dyDescent="0.3">
      <c r="A8812" s="2" t="s">
        <v>274</v>
      </c>
      <c r="B8812" s="2" t="s">
        <v>275</v>
      </c>
      <c r="C8812" s="3">
        <v>1995</v>
      </c>
      <c r="D8812" s="4">
        <v>42605338</v>
      </c>
    </row>
    <row r="8813" spans="1:4" x14ac:dyDescent="0.3">
      <c r="A8813" s="5" t="s">
        <v>274</v>
      </c>
      <c r="B8813" s="5" t="s">
        <v>275</v>
      </c>
      <c r="C8813" s="6">
        <v>1996</v>
      </c>
      <c r="D8813" s="7">
        <v>43154860</v>
      </c>
    </row>
    <row r="8814" spans="1:4" x14ac:dyDescent="0.3">
      <c r="A8814" s="2" t="s">
        <v>274</v>
      </c>
      <c r="B8814" s="2" t="s">
        <v>275</v>
      </c>
      <c r="C8814" s="3">
        <v>1997</v>
      </c>
      <c r="D8814" s="4">
        <v>43708798</v>
      </c>
    </row>
    <row r="8815" spans="1:4" x14ac:dyDescent="0.3">
      <c r="A8815" s="5" t="s">
        <v>274</v>
      </c>
      <c r="B8815" s="5" t="s">
        <v>275</v>
      </c>
      <c r="C8815" s="6">
        <v>1998</v>
      </c>
      <c r="D8815" s="7">
        <v>44257793</v>
      </c>
    </row>
    <row r="8816" spans="1:4" x14ac:dyDescent="0.3">
      <c r="A8816" s="2" t="s">
        <v>274</v>
      </c>
      <c r="B8816" s="2" t="s">
        <v>275</v>
      </c>
      <c r="C8816" s="3">
        <v>1999</v>
      </c>
      <c r="D8816" s="4">
        <v>44787724</v>
      </c>
    </row>
    <row r="8817" spans="1:4" x14ac:dyDescent="0.3">
      <c r="A8817" s="5" t="s">
        <v>274</v>
      </c>
      <c r="B8817" s="5" t="s">
        <v>275</v>
      </c>
      <c r="C8817" s="6">
        <v>2000</v>
      </c>
      <c r="D8817" s="7">
        <v>45290841</v>
      </c>
    </row>
    <row r="8818" spans="1:4" x14ac:dyDescent="0.3">
      <c r="A8818" s="2" t="s">
        <v>274</v>
      </c>
      <c r="B8818" s="2" t="s">
        <v>275</v>
      </c>
      <c r="C8818" s="3">
        <v>2001</v>
      </c>
      <c r="D8818" s="4">
        <v>45771139</v>
      </c>
    </row>
    <row r="8819" spans="1:4" x14ac:dyDescent="0.3">
      <c r="A8819" s="5" t="s">
        <v>274</v>
      </c>
      <c r="B8819" s="5" t="s">
        <v>275</v>
      </c>
      <c r="C8819" s="6">
        <v>2002</v>
      </c>
      <c r="D8819" s="7">
        <v>46232653</v>
      </c>
    </row>
    <row r="8820" spans="1:4" x14ac:dyDescent="0.3">
      <c r="A8820" s="2" t="s">
        <v>274</v>
      </c>
      <c r="B8820" s="2" t="s">
        <v>275</v>
      </c>
      <c r="C8820" s="3">
        <v>2003</v>
      </c>
      <c r="D8820" s="4">
        <v>46667192</v>
      </c>
    </row>
    <row r="8821" spans="1:4" x14ac:dyDescent="0.3">
      <c r="A8821" s="5" t="s">
        <v>274</v>
      </c>
      <c r="B8821" s="5" t="s">
        <v>275</v>
      </c>
      <c r="C8821" s="6">
        <v>2004</v>
      </c>
      <c r="D8821" s="7">
        <v>47068772</v>
      </c>
    </row>
    <row r="8822" spans="1:4" x14ac:dyDescent="0.3">
      <c r="A8822" s="2" t="s">
        <v>274</v>
      </c>
      <c r="B8822" s="2" t="s">
        <v>275</v>
      </c>
      <c r="C8822" s="3">
        <v>2005</v>
      </c>
      <c r="D8822" s="4">
        <v>47438365</v>
      </c>
    </row>
    <row r="8823" spans="1:4" x14ac:dyDescent="0.3">
      <c r="A8823" s="5" t="s">
        <v>274</v>
      </c>
      <c r="B8823" s="5" t="s">
        <v>275</v>
      </c>
      <c r="C8823" s="6">
        <v>2006</v>
      </c>
      <c r="D8823" s="7">
        <v>47785135</v>
      </c>
    </row>
    <row r="8824" spans="1:4" x14ac:dyDescent="0.3">
      <c r="A8824" s="2" t="s">
        <v>274</v>
      </c>
      <c r="B8824" s="2" t="s">
        <v>275</v>
      </c>
      <c r="C8824" s="3">
        <v>2007</v>
      </c>
      <c r="D8824" s="4">
        <v>48125043</v>
      </c>
    </row>
    <row r="8825" spans="1:4" x14ac:dyDescent="0.3">
      <c r="A8825" s="5" t="s">
        <v>274</v>
      </c>
      <c r="B8825" s="5" t="s">
        <v>275</v>
      </c>
      <c r="C8825" s="6">
        <v>2008</v>
      </c>
      <c r="D8825" s="7">
        <v>48390793</v>
      </c>
    </row>
    <row r="8826" spans="1:4" x14ac:dyDescent="0.3">
      <c r="A8826" s="2" t="s">
        <v>274</v>
      </c>
      <c r="B8826" s="2" t="s">
        <v>275</v>
      </c>
      <c r="C8826" s="3">
        <v>2009</v>
      </c>
      <c r="D8826" s="4">
        <v>48660459</v>
      </c>
    </row>
    <row r="8827" spans="1:4" x14ac:dyDescent="0.3">
      <c r="A8827" s="5" t="s">
        <v>274</v>
      </c>
      <c r="B8827" s="5" t="s">
        <v>275</v>
      </c>
      <c r="C8827" s="6">
        <v>2010</v>
      </c>
      <c r="D8827" s="7">
        <v>49024382</v>
      </c>
    </row>
    <row r="8828" spans="1:4" x14ac:dyDescent="0.3">
      <c r="A8828" s="2" t="s">
        <v>274</v>
      </c>
      <c r="B8828" s="2" t="s">
        <v>275</v>
      </c>
      <c r="C8828" s="3">
        <v>2011</v>
      </c>
      <c r="D8828" s="4">
        <v>49419820</v>
      </c>
    </row>
    <row r="8829" spans="1:4" x14ac:dyDescent="0.3">
      <c r="A8829" s="5" t="s">
        <v>274</v>
      </c>
      <c r="B8829" s="5" t="s">
        <v>275</v>
      </c>
      <c r="C8829" s="6">
        <v>2012</v>
      </c>
      <c r="D8829" s="7">
        <v>49837446</v>
      </c>
    </row>
    <row r="8830" spans="1:4" x14ac:dyDescent="0.3">
      <c r="A8830" s="2" t="s">
        <v>274</v>
      </c>
      <c r="B8830" s="2" t="s">
        <v>275</v>
      </c>
      <c r="C8830" s="3">
        <v>2013</v>
      </c>
      <c r="D8830" s="4">
        <v>50262658</v>
      </c>
    </row>
    <row r="8831" spans="1:4" x14ac:dyDescent="0.3">
      <c r="A8831" s="5" t="s">
        <v>274</v>
      </c>
      <c r="B8831" s="5" t="s">
        <v>275</v>
      </c>
      <c r="C8831" s="6">
        <v>2014</v>
      </c>
      <c r="D8831" s="7">
        <v>50681634</v>
      </c>
    </row>
    <row r="8832" spans="1:4" x14ac:dyDescent="0.3">
      <c r="A8832" s="2" t="s">
        <v>274</v>
      </c>
      <c r="B8832" s="2" t="s">
        <v>275</v>
      </c>
      <c r="C8832" s="3">
        <v>2015</v>
      </c>
      <c r="D8832" s="4">
        <v>51089056</v>
      </c>
    </row>
    <row r="8833" spans="1:4" x14ac:dyDescent="0.3">
      <c r="A8833" s="5" t="s">
        <v>274</v>
      </c>
      <c r="B8833" s="5" t="s">
        <v>275</v>
      </c>
      <c r="C8833" s="6">
        <v>2016</v>
      </c>
      <c r="D8833" s="7">
        <v>51495696</v>
      </c>
    </row>
    <row r="8834" spans="1:4" x14ac:dyDescent="0.3">
      <c r="A8834" s="2" t="s">
        <v>274</v>
      </c>
      <c r="B8834" s="2" t="s">
        <v>275</v>
      </c>
      <c r="C8834" s="3">
        <v>2017</v>
      </c>
      <c r="D8834" s="4">
        <v>51894938</v>
      </c>
    </row>
    <row r="8835" spans="1:4" x14ac:dyDescent="0.3">
      <c r="A8835" s="5" t="s">
        <v>274</v>
      </c>
      <c r="B8835" s="5" t="s">
        <v>275</v>
      </c>
      <c r="C8835" s="6">
        <v>2018</v>
      </c>
      <c r="D8835" s="7">
        <v>52272247</v>
      </c>
    </row>
    <row r="8836" spans="1:4" x14ac:dyDescent="0.3">
      <c r="A8836" s="2" t="s">
        <v>274</v>
      </c>
      <c r="B8836" s="2" t="s">
        <v>275</v>
      </c>
      <c r="C8836" s="3">
        <v>2019</v>
      </c>
      <c r="D8836" s="4">
        <v>52640713</v>
      </c>
    </row>
    <row r="8837" spans="1:4" x14ac:dyDescent="0.3">
      <c r="A8837" s="5" t="s">
        <v>274</v>
      </c>
      <c r="B8837" s="5" t="s">
        <v>275</v>
      </c>
      <c r="C8837" s="6">
        <v>2020</v>
      </c>
      <c r="D8837" s="7">
        <v>53016522</v>
      </c>
    </row>
    <row r="8838" spans="1:4" x14ac:dyDescent="0.3">
      <c r="A8838" s="2" t="s">
        <v>274</v>
      </c>
      <c r="B8838" s="2" t="s">
        <v>275</v>
      </c>
      <c r="C8838" s="3">
        <v>2021</v>
      </c>
      <c r="D8838" s="4">
        <v>53387102</v>
      </c>
    </row>
    <row r="8839" spans="1:4" x14ac:dyDescent="0.3">
      <c r="A8839" s="5" t="s">
        <v>274</v>
      </c>
      <c r="B8839" s="5" t="s">
        <v>275</v>
      </c>
      <c r="C8839" s="6">
        <v>2022</v>
      </c>
      <c r="D8839" s="7">
        <v>53756787</v>
      </c>
    </row>
    <row r="8840" spans="1:4" x14ac:dyDescent="0.3">
      <c r="A8840" s="2" t="s">
        <v>274</v>
      </c>
      <c r="B8840" s="2" t="s">
        <v>275</v>
      </c>
      <c r="C8840" s="3">
        <v>2023</v>
      </c>
      <c r="D8840" s="4">
        <v>54133798</v>
      </c>
    </row>
    <row r="8841" spans="1:4" x14ac:dyDescent="0.3">
      <c r="A8841" s="5" t="s">
        <v>274</v>
      </c>
      <c r="B8841" s="5" t="s">
        <v>275</v>
      </c>
      <c r="C8841" s="6">
        <v>2024</v>
      </c>
      <c r="D8841" s="7">
        <v>54500091</v>
      </c>
    </row>
    <row r="8842" spans="1:4" x14ac:dyDescent="0.3">
      <c r="A8842" s="2" t="s">
        <v>276</v>
      </c>
      <c r="B8842" s="2" t="s">
        <v>277</v>
      </c>
      <c r="C8842" s="3">
        <v>1960</v>
      </c>
      <c r="D8842" s="4">
        <v>591465</v>
      </c>
    </row>
    <row r="8843" spans="1:4" x14ac:dyDescent="0.3">
      <c r="A8843" s="5" t="s">
        <v>276</v>
      </c>
      <c r="B8843" s="5" t="s">
        <v>277</v>
      </c>
      <c r="C8843" s="6">
        <v>1961</v>
      </c>
      <c r="D8843" s="7">
        <v>603067</v>
      </c>
    </row>
    <row r="8844" spans="1:4" x14ac:dyDescent="0.3">
      <c r="A8844" s="2" t="s">
        <v>276</v>
      </c>
      <c r="B8844" s="2" t="s">
        <v>277</v>
      </c>
      <c r="C8844" s="3">
        <v>1962</v>
      </c>
      <c r="D8844" s="4">
        <v>615759</v>
      </c>
    </row>
    <row r="8845" spans="1:4" x14ac:dyDescent="0.3">
      <c r="A8845" s="5" t="s">
        <v>276</v>
      </c>
      <c r="B8845" s="5" t="s">
        <v>277</v>
      </c>
      <c r="C8845" s="6">
        <v>1963</v>
      </c>
      <c r="D8845" s="7">
        <v>629589</v>
      </c>
    </row>
    <row r="8846" spans="1:4" x14ac:dyDescent="0.3">
      <c r="A8846" s="2" t="s">
        <v>276</v>
      </c>
      <c r="B8846" s="2" t="s">
        <v>277</v>
      </c>
      <c r="C8846" s="3">
        <v>1964</v>
      </c>
      <c r="D8846" s="4">
        <v>644530</v>
      </c>
    </row>
    <row r="8847" spans="1:4" x14ac:dyDescent="0.3">
      <c r="A8847" s="5" t="s">
        <v>276</v>
      </c>
      <c r="B8847" s="5" t="s">
        <v>277</v>
      </c>
      <c r="C8847" s="6">
        <v>1965</v>
      </c>
      <c r="D8847" s="7">
        <v>660558</v>
      </c>
    </row>
    <row r="8848" spans="1:4" x14ac:dyDescent="0.3">
      <c r="A8848" s="2" t="s">
        <v>276</v>
      </c>
      <c r="B8848" s="2" t="s">
        <v>277</v>
      </c>
      <c r="C8848" s="3">
        <v>1966</v>
      </c>
      <c r="D8848" s="4">
        <v>677655</v>
      </c>
    </row>
    <row r="8849" spans="1:4" x14ac:dyDescent="0.3">
      <c r="A8849" s="5" t="s">
        <v>276</v>
      </c>
      <c r="B8849" s="5" t="s">
        <v>277</v>
      </c>
      <c r="C8849" s="6">
        <v>1967</v>
      </c>
      <c r="D8849" s="7">
        <v>696045</v>
      </c>
    </row>
    <row r="8850" spans="1:4" x14ac:dyDescent="0.3">
      <c r="A8850" s="2" t="s">
        <v>276</v>
      </c>
      <c r="B8850" s="2" t="s">
        <v>277</v>
      </c>
      <c r="C8850" s="3">
        <v>1968</v>
      </c>
      <c r="D8850" s="4">
        <v>715542</v>
      </c>
    </row>
    <row r="8851" spans="1:4" x14ac:dyDescent="0.3">
      <c r="A8851" s="5" t="s">
        <v>276</v>
      </c>
      <c r="B8851" s="5" t="s">
        <v>277</v>
      </c>
      <c r="C8851" s="6">
        <v>1969</v>
      </c>
      <c r="D8851" s="7">
        <v>736120</v>
      </c>
    </row>
    <row r="8852" spans="1:4" x14ac:dyDescent="0.3">
      <c r="A8852" s="2" t="s">
        <v>276</v>
      </c>
      <c r="B8852" s="2" t="s">
        <v>277</v>
      </c>
      <c r="C8852" s="3">
        <v>1970</v>
      </c>
      <c r="D8852" s="4">
        <v>757868</v>
      </c>
    </row>
    <row r="8853" spans="1:4" x14ac:dyDescent="0.3">
      <c r="A8853" s="5" t="s">
        <v>276</v>
      </c>
      <c r="B8853" s="5" t="s">
        <v>277</v>
      </c>
      <c r="C8853" s="6">
        <v>1971</v>
      </c>
      <c r="D8853" s="7">
        <v>780584</v>
      </c>
    </row>
    <row r="8854" spans="1:4" x14ac:dyDescent="0.3">
      <c r="A8854" s="2" t="s">
        <v>276</v>
      </c>
      <c r="B8854" s="2" t="s">
        <v>277</v>
      </c>
      <c r="C8854" s="3">
        <v>1972</v>
      </c>
      <c r="D8854" s="4">
        <v>804399</v>
      </c>
    </row>
    <row r="8855" spans="1:4" x14ac:dyDescent="0.3">
      <c r="A8855" s="5" t="s">
        <v>276</v>
      </c>
      <c r="B8855" s="5" t="s">
        <v>277</v>
      </c>
      <c r="C8855" s="6">
        <v>1973</v>
      </c>
      <c r="D8855" s="7">
        <v>828928</v>
      </c>
    </row>
    <row r="8856" spans="1:4" x14ac:dyDescent="0.3">
      <c r="A8856" s="2" t="s">
        <v>276</v>
      </c>
      <c r="B8856" s="2" t="s">
        <v>277</v>
      </c>
      <c r="C8856" s="3">
        <v>1974</v>
      </c>
      <c r="D8856" s="4">
        <v>854320</v>
      </c>
    </row>
    <row r="8857" spans="1:4" x14ac:dyDescent="0.3">
      <c r="A8857" s="5" t="s">
        <v>276</v>
      </c>
      <c r="B8857" s="5" t="s">
        <v>277</v>
      </c>
      <c r="C8857" s="6">
        <v>1975</v>
      </c>
      <c r="D8857" s="7">
        <v>881032</v>
      </c>
    </row>
    <row r="8858" spans="1:4" x14ac:dyDescent="0.3">
      <c r="A8858" s="2" t="s">
        <v>276</v>
      </c>
      <c r="B8858" s="2" t="s">
        <v>277</v>
      </c>
      <c r="C8858" s="3">
        <v>1976</v>
      </c>
      <c r="D8858" s="4">
        <v>906566</v>
      </c>
    </row>
    <row r="8859" spans="1:4" x14ac:dyDescent="0.3">
      <c r="A8859" s="5" t="s">
        <v>276</v>
      </c>
      <c r="B8859" s="5" t="s">
        <v>277</v>
      </c>
      <c r="C8859" s="6">
        <v>1977</v>
      </c>
      <c r="D8859" s="7">
        <v>931104</v>
      </c>
    </row>
    <row r="8860" spans="1:4" x14ac:dyDescent="0.3">
      <c r="A8860" s="2" t="s">
        <v>276</v>
      </c>
      <c r="B8860" s="2" t="s">
        <v>277</v>
      </c>
      <c r="C8860" s="3">
        <v>1978</v>
      </c>
      <c r="D8860" s="4">
        <v>947269</v>
      </c>
    </row>
    <row r="8861" spans="1:4" x14ac:dyDescent="0.3">
      <c r="A8861" s="5" t="s">
        <v>276</v>
      </c>
      <c r="B8861" s="5" t="s">
        <v>277</v>
      </c>
      <c r="C8861" s="6">
        <v>1979</v>
      </c>
      <c r="D8861" s="7">
        <v>962825</v>
      </c>
    </row>
    <row r="8862" spans="1:4" x14ac:dyDescent="0.3">
      <c r="A8862" s="2" t="s">
        <v>276</v>
      </c>
      <c r="B8862" s="2" t="s">
        <v>277</v>
      </c>
      <c r="C8862" s="3">
        <v>1980</v>
      </c>
      <c r="D8862" s="4">
        <v>981434</v>
      </c>
    </row>
    <row r="8863" spans="1:4" x14ac:dyDescent="0.3">
      <c r="A8863" s="5" t="s">
        <v>276</v>
      </c>
      <c r="B8863" s="5" t="s">
        <v>277</v>
      </c>
      <c r="C8863" s="6">
        <v>1981</v>
      </c>
      <c r="D8863" s="7">
        <v>992500</v>
      </c>
    </row>
    <row r="8864" spans="1:4" x14ac:dyDescent="0.3">
      <c r="A8864" s="2" t="s">
        <v>276</v>
      </c>
      <c r="B8864" s="2" t="s">
        <v>277</v>
      </c>
      <c r="C8864" s="3">
        <v>1982</v>
      </c>
      <c r="D8864" s="4">
        <v>1010308</v>
      </c>
    </row>
    <row r="8865" spans="1:4" x14ac:dyDescent="0.3">
      <c r="A8865" s="5" t="s">
        <v>276</v>
      </c>
      <c r="B8865" s="5" t="s">
        <v>277</v>
      </c>
      <c r="C8865" s="6">
        <v>1983</v>
      </c>
      <c r="D8865" s="7">
        <v>1037511</v>
      </c>
    </row>
    <row r="8866" spans="1:4" x14ac:dyDescent="0.3">
      <c r="A8866" s="2" t="s">
        <v>276</v>
      </c>
      <c r="B8866" s="2" t="s">
        <v>277</v>
      </c>
      <c r="C8866" s="3">
        <v>1984</v>
      </c>
      <c r="D8866" s="4">
        <v>1065989</v>
      </c>
    </row>
    <row r="8867" spans="1:4" x14ac:dyDescent="0.3">
      <c r="A8867" s="5" t="s">
        <v>276</v>
      </c>
      <c r="B8867" s="5" t="s">
        <v>277</v>
      </c>
      <c r="C8867" s="6">
        <v>1985</v>
      </c>
      <c r="D8867" s="7">
        <v>1096890</v>
      </c>
    </row>
    <row r="8868" spans="1:4" x14ac:dyDescent="0.3">
      <c r="A8868" s="2" t="s">
        <v>276</v>
      </c>
      <c r="B8868" s="2" t="s">
        <v>277</v>
      </c>
      <c r="C8868" s="3">
        <v>1986</v>
      </c>
      <c r="D8868" s="4">
        <v>1131081</v>
      </c>
    </row>
    <row r="8869" spans="1:4" x14ac:dyDescent="0.3">
      <c r="A8869" s="5" t="s">
        <v>276</v>
      </c>
      <c r="B8869" s="5" t="s">
        <v>277</v>
      </c>
      <c r="C8869" s="6">
        <v>1987</v>
      </c>
      <c r="D8869" s="7">
        <v>1167889</v>
      </c>
    </row>
    <row r="8870" spans="1:4" x14ac:dyDescent="0.3">
      <c r="A8870" s="2" t="s">
        <v>276</v>
      </c>
      <c r="B8870" s="2" t="s">
        <v>277</v>
      </c>
      <c r="C8870" s="3">
        <v>1988</v>
      </c>
      <c r="D8870" s="4">
        <v>1209696</v>
      </c>
    </row>
    <row r="8871" spans="1:4" x14ac:dyDescent="0.3">
      <c r="A8871" s="5" t="s">
        <v>276</v>
      </c>
      <c r="B8871" s="5" t="s">
        <v>277</v>
      </c>
      <c r="C8871" s="6">
        <v>1989</v>
      </c>
      <c r="D8871" s="7">
        <v>1288947</v>
      </c>
    </row>
    <row r="8872" spans="1:4" x14ac:dyDescent="0.3">
      <c r="A8872" s="2" t="s">
        <v>276</v>
      </c>
      <c r="B8872" s="2" t="s">
        <v>277</v>
      </c>
      <c r="C8872" s="3">
        <v>1990</v>
      </c>
      <c r="D8872" s="4">
        <v>1369303</v>
      </c>
    </row>
    <row r="8873" spans="1:4" x14ac:dyDescent="0.3">
      <c r="A8873" s="5" t="s">
        <v>276</v>
      </c>
      <c r="B8873" s="5" t="s">
        <v>277</v>
      </c>
      <c r="C8873" s="6">
        <v>1991</v>
      </c>
      <c r="D8873" s="7">
        <v>1415684</v>
      </c>
    </row>
    <row r="8874" spans="1:4" x14ac:dyDescent="0.3">
      <c r="A8874" s="2" t="s">
        <v>276</v>
      </c>
      <c r="B8874" s="2" t="s">
        <v>277</v>
      </c>
      <c r="C8874" s="3">
        <v>1992</v>
      </c>
      <c r="D8874" s="4">
        <v>1461322</v>
      </c>
    </row>
    <row r="8875" spans="1:4" x14ac:dyDescent="0.3">
      <c r="A8875" s="5" t="s">
        <v>276</v>
      </c>
      <c r="B8875" s="5" t="s">
        <v>277</v>
      </c>
      <c r="C8875" s="6">
        <v>1993</v>
      </c>
      <c r="D8875" s="7">
        <v>1508697</v>
      </c>
    </row>
    <row r="8876" spans="1:4" x14ac:dyDescent="0.3">
      <c r="A8876" s="2" t="s">
        <v>276</v>
      </c>
      <c r="B8876" s="2" t="s">
        <v>277</v>
      </c>
      <c r="C8876" s="3">
        <v>1994</v>
      </c>
      <c r="D8876" s="4">
        <v>1556304</v>
      </c>
    </row>
    <row r="8877" spans="1:4" x14ac:dyDescent="0.3">
      <c r="A8877" s="5" t="s">
        <v>276</v>
      </c>
      <c r="B8877" s="5" t="s">
        <v>277</v>
      </c>
      <c r="C8877" s="6">
        <v>1995</v>
      </c>
      <c r="D8877" s="7">
        <v>1602170</v>
      </c>
    </row>
    <row r="8878" spans="1:4" x14ac:dyDescent="0.3">
      <c r="A8878" s="2" t="s">
        <v>276</v>
      </c>
      <c r="B8878" s="2" t="s">
        <v>277</v>
      </c>
      <c r="C8878" s="3">
        <v>1996</v>
      </c>
      <c r="D8878" s="4">
        <v>1646103</v>
      </c>
    </row>
    <row r="8879" spans="1:4" x14ac:dyDescent="0.3">
      <c r="A8879" s="5" t="s">
        <v>276</v>
      </c>
      <c r="B8879" s="5" t="s">
        <v>277</v>
      </c>
      <c r="C8879" s="6">
        <v>1997</v>
      </c>
      <c r="D8879" s="7">
        <v>1689264</v>
      </c>
    </row>
    <row r="8880" spans="1:4" x14ac:dyDescent="0.3">
      <c r="A8880" s="2" t="s">
        <v>276</v>
      </c>
      <c r="B8880" s="2" t="s">
        <v>277</v>
      </c>
      <c r="C8880" s="3">
        <v>1998</v>
      </c>
      <c r="D8880" s="4">
        <v>1732745</v>
      </c>
    </row>
    <row r="8881" spans="1:4" x14ac:dyDescent="0.3">
      <c r="A8881" s="5" t="s">
        <v>276</v>
      </c>
      <c r="B8881" s="5" t="s">
        <v>277</v>
      </c>
      <c r="C8881" s="6">
        <v>1999</v>
      </c>
      <c r="D8881" s="7">
        <v>1776368</v>
      </c>
    </row>
    <row r="8882" spans="1:4" x14ac:dyDescent="0.3">
      <c r="A8882" s="2" t="s">
        <v>276</v>
      </c>
      <c r="B8882" s="2" t="s">
        <v>277</v>
      </c>
      <c r="C8882" s="3">
        <v>2000</v>
      </c>
      <c r="D8882" s="4">
        <v>1818647</v>
      </c>
    </row>
    <row r="8883" spans="1:4" x14ac:dyDescent="0.3">
      <c r="A8883" s="5" t="s">
        <v>276</v>
      </c>
      <c r="B8883" s="5" t="s">
        <v>277</v>
      </c>
      <c r="C8883" s="6">
        <v>2001</v>
      </c>
      <c r="D8883" s="7">
        <v>1857048</v>
      </c>
    </row>
    <row r="8884" spans="1:4" x14ac:dyDescent="0.3">
      <c r="A8884" s="2" t="s">
        <v>276</v>
      </c>
      <c r="B8884" s="2" t="s">
        <v>277</v>
      </c>
      <c r="C8884" s="3">
        <v>2002</v>
      </c>
      <c r="D8884" s="4">
        <v>1889970</v>
      </c>
    </row>
    <row r="8885" spans="1:4" x14ac:dyDescent="0.3">
      <c r="A8885" s="5" t="s">
        <v>276</v>
      </c>
      <c r="B8885" s="5" t="s">
        <v>277</v>
      </c>
      <c r="C8885" s="6">
        <v>2003</v>
      </c>
      <c r="D8885" s="7">
        <v>1917464</v>
      </c>
    </row>
    <row r="8886" spans="1:4" x14ac:dyDescent="0.3">
      <c r="A8886" s="2" t="s">
        <v>276</v>
      </c>
      <c r="B8886" s="2" t="s">
        <v>277</v>
      </c>
      <c r="C8886" s="3">
        <v>2004</v>
      </c>
      <c r="D8886" s="4">
        <v>1942082</v>
      </c>
    </row>
    <row r="8887" spans="1:4" x14ac:dyDescent="0.3">
      <c r="A8887" s="5" t="s">
        <v>276</v>
      </c>
      <c r="B8887" s="5" t="s">
        <v>277</v>
      </c>
      <c r="C8887" s="6">
        <v>2005</v>
      </c>
      <c r="D8887" s="7">
        <v>1966582</v>
      </c>
    </row>
    <row r="8888" spans="1:4" x14ac:dyDescent="0.3">
      <c r="A8888" s="2" t="s">
        <v>276</v>
      </c>
      <c r="B8888" s="2" t="s">
        <v>277</v>
      </c>
      <c r="C8888" s="3">
        <v>2006</v>
      </c>
      <c r="D8888" s="4">
        <v>1991888</v>
      </c>
    </row>
    <row r="8889" spans="1:4" x14ac:dyDescent="0.3">
      <c r="A8889" s="5" t="s">
        <v>276</v>
      </c>
      <c r="B8889" s="5" t="s">
        <v>277</v>
      </c>
      <c r="C8889" s="6">
        <v>2007</v>
      </c>
      <c r="D8889" s="7">
        <v>2018600</v>
      </c>
    </row>
    <row r="8890" spans="1:4" x14ac:dyDescent="0.3">
      <c r="A8890" s="2" t="s">
        <v>276</v>
      </c>
      <c r="B8890" s="2" t="s">
        <v>277</v>
      </c>
      <c r="C8890" s="3">
        <v>2008</v>
      </c>
      <c r="D8890" s="4">
        <v>2047056</v>
      </c>
    </row>
    <row r="8891" spans="1:4" x14ac:dyDescent="0.3">
      <c r="A8891" s="5" t="s">
        <v>276</v>
      </c>
      <c r="B8891" s="5" t="s">
        <v>277</v>
      </c>
      <c r="C8891" s="6">
        <v>2009</v>
      </c>
      <c r="D8891" s="7">
        <v>2077394</v>
      </c>
    </row>
    <row r="8892" spans="1:4" x14ac:dyDescent="0.3">
      <c r="A8892" s="2" t="s">
        <v>276</v>
      </c>
      <c r="B8892" s="2" t="s">
        <v>277</v>
      </c>
      <c r="C8892" s="3">
        <v>2010</v>
      </c>
      <c r="D8892" s="4">
        <v>2109811</v>
      </c>
    </row>
    <row r="8893" spans="1:4" x14ac:dyDescent="0.3">
      <c r="A8893" s="5" t="s">
        <v>276</v>
      </c>
      <c r="B8893" s="5" t="s">
        <v>277</v>
      </c>
      <c r="C8893" s="6">
        <v>2011</v>
      </c>
      <c r="D8893" s="7">
        <v>2146325</v>
      </c>
    </row>
    <row r="8894" spans="1:4" x14ac:dyDescent="0.3">
      <c r="A8894" s="2" t="s">
        <v>276</v>
      </c>
      <c r="B8894" s="2" t="s">
        <v>277</v>
      </c>
      <c r="C8894" s="3">
        <v>2012</v>
      </c>
      <c r="D8894" s="4">
        <v>2194654</v>
      </c>
    </row>
    <row r="8895" spans="1:4" x14ac:dyDescent="0.3">
      <c r="A8895" s="5" t="s">
        <v>276</v>
      </c>
      <c r="B8895" s="5" t="s">
        <v>277</v>
      </c>
      <c r="C8895" s="6">
        <v>2013</v>
      </c>
      <c r="D8895" s="7">
        <v>2252508</v>
      </c>
    </row>
    <row r="8896" spans="1:4" x14ac:dyDescent="0.3">
      <c r="A8896" s="2" t="s">
        <v>276</v>
      </c>
      <c r="B8896" s="2" t="s">
        <v>277</v>
      </c>
      <c r="C8896" s="3">
        <v>2014</v>
      </c>
      <c r="D8896" s="4">
        <v>2312139</v>
      </c>
    </row>
    <row r="8897" spans="1:4" x14ac:dyDescent="0.3">
      <c r="A8897" s="5" t="s">
        <v>276</v>
      </c>
      <c r="B8897" s="5" t="s">
        <v>277</v>
      </c>
      <c r="C8897" s="6">
        <v>2015</v>
      </c>
      <c r="D8897" s="7">
        <v>2374300</v>
      </c>
    </row>
    <row r="8898" spans="1:4" x14ac:dyDescent="0.3">
      <c r="A8898" s="2" t="s">
        <v>276</v>
      </c>
      <c r="B8898" s="2" t="s">
        <v>277</v>
      </c>
      <c r="C8898" s="3">
        <v>2016</v>
      </c>
      <c r="D8898" s="4">
        <v>2439213</v>
      </c>
    </row>
    <row r="8899" spans="1:4" x14ac:dyDescent="0.3">
      <c r="A8899" s="5" t="s">
        <v>276</v>
      </c>
      <c r="B8899" s="5" t="s">
        <v>277</v>
      </c>
      <c r="C8899" s="6">
        <v>2017</v>
      </c>
      <c r="D8899" s="7">
        <v>2506853</v>
      </c>
    </row>
    <row r="8900" spans="1:4" x14ac:dyDescent="0.3">
      <c r="A8900" s="2" t="s">
        <v>276</v>
      </c>
      <c r="B8900" s="2" t="s">
        <v>277</v>
      </c>
      <c r="C8900" s="3">
        <v>2018</v>
      </c>
      <c r="D8900" s="4">
        <v>2577327</v>
      </c>
    </row>
    <row r="8901" spans="1:4" x14ac:dyDescent="0.3">
      <c r="A8901" s="5" t="s">
        <v>276</v>
      </c>
      <c r="B8901" s="5" t="s">
        <v>277</v>
      </c>
      <c r="C8901" s="6">
        <v>2019</v>
      </c>
      <c r="D8901" s="7">
        <v>2650494</v>
      </c>
    </row>
    <row r="8902" spans="1:4" x14ac:dyDescent="0.3">
      <c r="A8902" s="2" t="s">
        <v>276</v>
      </c>
      <c r="B8902" s="2" t="s">
        <v>277</v>
      </c>
      <c r="C8902" s="3">
        <v>2020</v>
      </c>
      <c r="D8902" s="4">
        <v>2728762</v>
      </c>
    </row>
    <row r="8903" spans="1:4" x14ac:dyDescent="0.3">
      <c r="A8903" s="5" t="s">
        <v>276</v>
      </c>
      <c r="B8903" s="5" t="s">
        <v>277</v>
      </c>
      <c r="C8903" s="6">
        <v>2021</v>
      </c>
      <c r="D8903" s="7">
        <v>2810548</v>
      </c>
    </row>
    <row r="8904" spans="1:4" x14ac:dyDescent="0.3">
      <c r="A8904" s="2" t="s">
        <v>276</v>
      </c>
      <c r="B8904" s="2" t="s">
        <v>277</v>
      </c>
      <c r="C8904" s="3">
        <v>2022</v>
      </c>
      <c r="D8904" s="4">
        <v>2889662</v>
      </c>
    </row>
    <row r="8905" spans="1:4" x14ac:dyDescent="0.3">
      <c r="A8905" s="5" t="s">
        <v>276</v>
      </c>
      <c r="B8905" s="5" t="s">
        <v>277</v>
      </c>
      <c r="C8905" s="6">
        <v>2023</v>
      </c>
      <c r="D8905" s="7">
        <v>2963095</v>
      </c>
    </row>
    <row r="8906" spans="1:4" x14ac:dyDescent="0.3">
      <c r="A8906" s="2" t="s">
        <v>276</v>
      </c>
      <c r="B8906" s="2" t="s">
        <v>277</v>
      </c>
      <c r="C8906" s="3">
        <v>2024</v>
      </c>
      <c r="D8906" s="4">
        <v>3030131</v>
      </c>
    </row>
    <row r="8907" spans="1:4" x14ac:dyDescent="0.3">
      <c r="A8907" s="5" t="s">
        <v>278</v>
      </c>
      <c r="B8907" s="5" t="s">
        <v>279</v>
      </c>
      <c r="C8907" s="6">
        <v>1960</v>
      </c>
      <c r="D8907" s="7">
        <v>4607</v>
      </c>
    </row>
    <row r="8908" spans="1:4" x14ac:dyDescent="0.3">
      <c r="A8908" s="2" t="s">
        <v>278</v>
      </c>
      <c r="B8908" s="2" t="s">
        <v>279</v>
      </c>
      <c r="C8908" s="3">
        <v>1961</v>
      </c>
      <c r="D8908" s="4">
        <v>4774</v>
      </c>
    </row>
    <row r="8909" spans="1:4" x14ac:dyDescent="0.3">
      <c r="A8909" s="5" t="s">
        <v>278</v>
      </c>
      <c r="B8909" s="5" t="s">
        <v>279</v>
      </c>
      <c r="C8909" s="6">
        <v>1962</v>
      </c>
      <c r="D8909" s="7">
        <v>4979</v>
      </c>
    </row>
    <row r="8910" spans="1:4" x14ac:dyDescent="0.3">
      <c r="A8910" s="2" t="s">
        <v>278</v>
      </c>
      <c r="B8910" s="2" t="s">
        <v>279</v>
      </c>
      <c r="C8910" s="3">
        <v>1963</v>
      </c>
      <c r="D8910" s="4">
        <v>5226</v>
      </c>
    </row>
    <row r="8911" spans="1:4" x14ac:dyDescent="0.3">
      <c r="A8911" s="5" t="s">
        <v>278</v>
      </c>
      <c r="B8911" s="5" t="s">
        <v>279</v>
      </c>
      <c r="C8911" s="6">
        <v>1964</v>
      </c>
      <c r="D8911" s="7">
        <v>5515</v>
      </c>
    </row>
    <row r="8912" spans="1:4" x14ac:dyDescent="0.3">
      <c r="A8912" s="2" t="s">
        <v>278</v>
      </c>
      <c r="B8912" s="2" t="s">
        <v>279</v>
      </c>
      <c r="C8912" s="3">
        <v>1965</v>
      </c>
      <c r="D8912" s="4">
        <v>5832</v>
      </c>
    </row>
    <row r="8913" spans="1:4" x14ac:dyDescent="0.3">
      <c r="A8913" s="5" t="s">
        <v>278</v>
      </c>
      <c r="B8913" s="5" t="s">
        <v>279</v>
      </c>
      <c r="C8913" s="6">
        <v>1966</v>
      </c>
      <c r="D8913" s="7">
        <v>6043</v>
      </c>
    </row>
    <row r="8914" spans="1:4" x14ac:dyDescent="0.3">
      <c r="A8914" s="2" t="s">
        <v>278</v>
      </c>
      <c r="B8914" s="2" t="s">
        <v>279</v>
      </c>
      <c r="C8914" s="3">
        <v>1967</v>
      </c>
      <c r="D8914" s="4">
        <v>6135</v>
      </c>
    </row>
    <row r="8915" spans="1:4" x14ac:dyDescent="0.3">
      <c r="A8915" s="5" t="s">
        <v>278</v>
      </c>
      <c r="B8915" s="5" t="s">
        <v>279</v>
      </c>
      <c r="C8915" s="6">
        <v>1968</v>
      </c>
      <c r="D8915" s="7">
        <v>6328</v>
      </c>
    </row>
    <row r="8916" spans="1:4" x14ac:dyDescent="0.3">
      <c r="A8916" s="2" t="s">
        <v>278</v>
      </c>
      <c r="B8916" s="2" t="s">
        <v>279</v>
      </c>
      <c r="C8916" s="3">
        <v>1969</v>
      </c>
      <c r="D8916" s="4">
        <v>6581</v>
      </c>
    </row>
    <row r="8917" spans="1:4" x14ac:dyDescent="0.3">
      <c r="A8917" s="5" t="s">
        <v>278</v>
      </c>
      <c r="B8917" s="5" t="s">
        <v>279</v>
      </c>
      <c r="C8917" s="6">
        <v>1970</v>
      </c>
      <c r="D8917" s="7">
        <v>6710</v>
      </c>
    </row>
    <row r="8918" spans="1:4" x14ac:dyDescent="0.3">
      <c r="A8918" s="2" t="s">
        <v>278</v>
      </c>
      <c r="B8918" s="2" t="s">
        <v>279</v>
      </c>
      <c r="C8918" s="3">
        <v>1971</v>
      </c>
      <c r="D8918" s="4">
        <v>6762</v>
      </c>
    </row>
    <row r="8919" spans="1:4" x14ac:dyDescent="0.3">
      <c r="A8919" s="5" t="s">
        <v>278</v>
      </c>
      <c r="B8919" s="5" t="s">
        <v>279</v>
      </c>
      <c r="C8919" s="6">
        <v>1972</v>
      </c>
      <c r="D8919" s="7">
        <v>6812</v>
      </c>
    </row>
    <row r="8920" spans="1:4" x14ac:dyDescent="0.3">
      <c r="A8920" s="2" t="s">
        <v>278</v>
      </c>
      <c r="B8920" s="2" t="s">
        <v>279</v>
      </c>
      <c r="C8920" s="3">
        <v>1973</v>
      </c>
      <c r="D8920" s="4">
        <v>6866</v>
      </c>
    </row>
    <row r="8921" spans="1:4" x14ac:dyDescent="0.3">
      <c r="A8921" s="5" t="s">
        <v>278</v>
      </c>
      <c r="B8921" s="5" t="s">
        <v>279</v>
      </c>
      <c r="C8921" s="6">
        <v>1974</v>
      </c>
      <c r="D8921" s="7">
        <v>6923</v>
      </c>
    </row>
    <row r="8922" spans="1:4" x14ac:dyDescent="0.3">
      <c r="A8922" s="2" t="s">
        <v>278</v>
      </c>
      <c r="B8922" s="2" t="s">
        <v>279</v>
      </c>
      <c r="C8922" s="3">
        <v>1975</v>
      </c>
      <c r="D8922" s="4">
        <v>6987</v>
      </c>
    </row>
    <row r="8923" spans="1:4" x14ac:dyDescent="0.3">
      <c r="A8923" s="5" t="s">
        <v>278</v>
      </c>
      <c r="B8923" s="5" t="s">
        <v>279</v>
      </c>
      <c r="C8923" s="6">
        <v>1976</v>
      </c>
      <c r="D8923" s="7">
        <v>7064</v>
      </c>
    </row>
    <row r="8924" spans="1:4" x14ac:dyDescent="0.3">
      <c r="A8924" s="2" t="s">
        <v>278</v>
      </c>
      <c r="B8924" s="2" t="s">
        <v>279</v>
      </c>
      <c r="C8924" s="3">
        <v>1977</v>
      </c>
      <c r="D8924" s="4">
        <v>7163</v>
      </c>
    </row>
    <row r="8925" spans="1:4" x14ac:dyDescent="0.3">
      <c r="A8925" s="5" t="s">
        <v>278</v>
      </c>
      <c r="B8925" s="5" t="s">
        <v>279</v>
      </c>
      <c r="C8925" s="6">
        <v>1978</v>
      </c>
      <c r="D8925" s="7">
        <v>7298</v>
      </c>
    </row>
    <row r="8926" spans="1:4" x14ac:dyDescent="0.3">
      <c r="A8926" s="2" t="s">
        <v>278</v>
      </c>
      <c r="B8926" s="2" t="s">
        <v>279</v>
      </c>
      <c r="C8926" s="3">
        <v>1979</v>
      </c>
      <c r="D8926" s="4">
        <v>7468</v>
      </c>
    </row>
    <row r="8927" spans="1:4" x14ac:dyDescent="0.3">
      <c r="A8927" s="5" t="s">
        <v>278</v>
      </c>
      <c r="B8927" s="5" t="s">
        <v>279</v>
      </c>
      <c r="C8927" s="6">
        <v>1980</v>
      </c>
      <c r="D8927" s="7">
        <v>7649</v>
      </c>
    </row>
    <row r="8928" spans="1:4" x14ac:dyDescent="0.3">
      <c r="A8928" s="2" t="s">
        <v>278</v>
      </c>
      <c r="B8928" s="2" t="s">
        <v>279</v>
      </c>
      <c r="C8928" s="3">
        <v>1981</v>
      </c>
      <c r="D8928" s="4">
        <v>7839</v>
      </c>
    </row>
    <row r="8929" spans="1:4" x14ac:dyDescent="0.3">
      <c r="A8929" s="5" t="s">
        <v>278</v>
      </c>
      <c r="B8929" s="5" t="s">
        <v>279</v>
      </c>
      <c r="C8929" s="6">
        <v>1982</v>
      </c>
      <c r="D8929" s="7">
        <v>8040</v>
      </c>
    </row>
    <row r="8930" spans="1:4" x14ac:dyDescent="0.3">
      <c r="A8930" s="2" t="s">
        <v>278</v>
      </c>
      <c r="B8930" s="2" t="s">
        <v>279</v>
      </c>
      <c r="C8930" s="3">
        <v>1983</v>
      </c>
      <c r="D8930" s="4">
        <v>8216</v>
      </c>
    </row>
    <row r="8931" spans="1:4" x14ac:dyDescent="0.3">
      <c r="A8931" s="5" t="s">
        <v>278</v>
      </c>
      <c r="B8931" s="5" t="s">
        <v>279</v>
      </c>
      <c r="C8931" s="6">
        <v>1984</v>
      </c>
      <c r="D8931" s="7">
        <v>8377</v>
      </c>
    </row>
    <row r="8932" spans="1:4" x14ac:dyDescent="0.3">
      <c r="A8932" s="2" t="s">
        <v>278</v>
      </c>
      <c r="B8932" s="2" t="s">
        <v>279</v>
      </c>
      <c r="C8932" s="3">
        <v>1985</v>
      </c>
      <c r="D8932" s="4">
        <v>8551</v>
      </c>
    </row>
    <row r="8933" spans="1:4" x14ac:dyDescent="0.3">
      <c r="A8933" s="5" t="s">
        <v>278</v>
      </c>
      <c r="B8933" s="5" t="s">
        <v>279</v>
      </c>
      <c r="C8933" s="6">
        <v>1986</v>
      </c>
      <c r="D8933" s="7">
        <v>8742</v>
      </c>
    </row>
    <row r="8934" spans="1:4" x14ac:dyDescent="0.3">
      <c r="A8934" s="2" t="s">
        <v>278</v>
      </c>
      <c r="B8934" s="2" t="s">
        <v>279</v>
      </c>
      <c r="C8934" s="3">
        <v>1987</v>
      </c>
      <c r="D8934" s="4">
        <v>8946</v>
      </c>
    </row>
    <row r="8935" spans="1:4" x14ac:dyDescent="0.3">
      <c r="A8935" s="5" t="s">
        <v>278</v>
      </c>
      <c r="B8935" s="5" t="s">
        <v>279</v>
      </c>
      <c r="C8935" s="6">
        <v>1988</v>
      </c>
      <c r="D8935" s="7">
        <v>9165</v>
      </c>
    </row>
    <row r="8936" spans="1:4" x14ac:dyDescent="0.3">
      <c r="A8936" s="2" t="s">
        <v>278</v>
      </c>
      <c r="B8936" s="2" t="s">
        <v>279</v>
      </c>
      <c r="C8936" s="3">
        <v>1989</v>
      </c>
      <c r="D8936" s="4">
        <v>9390</v>
      </c>
    </row>
    <row r="8937" spans="1:4" x14ac:dyDescent="0.3">
      <c r="A8937" s="5" t="s">
        <v>278</v>
      </c>
      <c r="B8937" s="5" t="s">
        <v>279</v>
      </c>
      <c r="C8937" s="6">
        <v>1990</v>
      </c>
      <c r="D8937" s="7">
        <v>9622</v>
      </c>
    </row>
    <row r="8938" spans="1:4" x14ac:dyDescent="0.3">
      <c r="A8938" s="2" t="s">
        <v>278</v>
      </c>
      <c r="B8938" s="2" t="s">
        <v>279</v>
      </c>
      <c r="C8938" s="3">
        <v>1991</v>
      </c>
      <c r="D8938" s="4">
        <v>9850</v>
      </c>
    </row>
    <row r="8939" spans="1:4" x14ac:dyDescent="0.3">
      <c r="A8939" s="5" t="s">
        <v>278</v>
      </c>
      <c r="B8939" s="5" t="s">
        <v>279</v>
      </c>
      <c r="C8939" s="6">
        <v>1992</v>
      </c>
      <c r="D8939" s="7">
        <v>10021</v>
      </c>
    </row>
    <row r="8940" spans="1:4" x14ac:dyDescent="0.3">
      <c r="A8940" s="2" t="s">
        <v>278</v>
      </c>
      <c r="B8940" s="2" t="s">
        <v>279</v>
      </c>
      <c r="C8940" s="3">
        <v>1993</v>
      </c>
      <c r="D8940" s="4">
        <v>10102</v>
      </c>
    </row>
    <row r="8941" spans="1:4" x14ac:dyDescent="0.3">
      <c r="A8941" s="5" t="s">
        <v>278</v>
      </c>
      <c r="B8941" s="5" t="s">
        <v>279</v>
      </c>
      <c r="C8941" s="6">
        <v>1994</v>
      </c>
      <c r="D8941" s="7">
        <v>10137</v>
      </c>
    </row>
    <row r="8942" spans="1:4" x14ac:dyDescent="0.3">
      <c r="A8942" s="2" t="s">
        <v>278</v>
      </c>
      <c r="B8942" s="2" t="s">
        <v>279</v>
      </c>
      <c r="C8942" s="3">
        <v>1995</v>
      </c>
      <c r="D8942" s="4">
        <v>10165</v>
      </c>
    </row>
    <row r="8943" spans="1:4" x14ac:dyDescent="0.3">
      <c r="A8943" s="5" t="s">
        <v>278</v>
      </c>
      <c r="B8943" s="5" t="s">
        <v>279</v>
      </c>
      <c r="C8943" s="6">
        <v>1996</v>
      </c>
      <c r="D8943" s="7">
        <v>10183</v>
      </c>
    </row>
    <row r="8944" spans="1:4" x14ac:dyDescent="0.3">
      <c r="A8944" s="2" t="s">
        <v>278</v>
      </c>
      <c r="B8944" s="2" t="s">
        <v>279</v>
      </c>
      <c r="C8944" s="3">
        <v>1997</v>
      </c>
      <c r="D8944" s="4">
        <v>10197</v>
      </c>
    </row>
    <row r="8945" spans="1:4" x14ac:dyDescent="0.3">
      <c r="A8945" s="5" t="s">
        <v>278</v>
      </c>
      <c r="B8945" s="5" t="s">
        <v>279</v>
      </c>
      <c r="C8945" s="6">
        <v>1998</v>
      </c>
      <c r="D8945" s="7">
        <v>10198</v>
      </c>
    </row>
    <row r="8946" spans="1:4" x14ac:dyDescent="0.3">
      <c r="A8946" s="2" t="s">
        <v>278</v>
      </c>
      <c r="B8946" s="2" t="s">
        <v>279</v>
      </c>
      <c r="C8946" s="3">
        <v>1999</v>
      </c>
      <c r="D8946" s="4">
        <v>10187</v>
      </c>
    </row>
    <row r="8947" spans="1:4" x14ac:dyDescent="0.3">
      <c r="A8947" s="5" t="s">
        <v>278</v>
      </c>
      <c r="B8947" s="5" t="s">
        <v>279</v>
      </c>
      <c r="C8947" s="6">
        <v>2000</v>
      </c>
      <c r="D8947" s="7">
        <v>10168</v>
      </c>
    </row>
    <row r="8948" spans="1:4" x14ac:dyDescent="0.3">
      <c r="A8948" s="2" t="s">
        <v>278</v>
      </c>
      <c r="B8948" s="2" t="s">
        <v>279</v>
      </c>
      <c r="C8948" s="3">
        <v>2001</v>
      </c>
      <c r="D8948" s="4">
        <v>10130</v>
      </c>
    </row>
    <row r="8949" spans="1:4" x14ac:dyDescent="0.3">
      <c r="A8949" s="5" t="s">
        <v>278</v>
      </c>
      <c r="B8949" s="5" t="s">
        <v>279</v>
      </c>
      <c r="C8949" s="6">
        <v>2002</v>
      </c>
      <c r="D8949" s="7">
        <v>10082</v>
      </c>
    </row>
    <row r="8950" spans="1:4" x14ac:dyDescent="0.3">
      <c r="A8950" s="2" t="s">
        <v>278</v>
      </c>
      <c r="B8950" s="2" t="s">
        <v>279</v>
      </c>
      <c r="C8950" s="3">
        <v>2003</v>
      </c>
      <c r="D8950" s="4">
        <v>10059</v>
      </c>
    </row>
    <row r="8951" spans="1:4" x14ac:dyDescent="0.3">
      <c r="A8951" s="5" t="s">
        <v>278</v>
      </c>
      <c r="B8951" s="5" t="s">
        <v>279</v>
      </c>
      <c r="C8951" s="6">
        <v>2004</v>
      </c>
      <c r="D8951" s="7">
        <v>10060</v>
      </c>
    </row>
    <row r="8952" spans="1:4" x14ac:dyDescent="0.3">
      <c r="A8952" s="2" t="s">
        <v>278</v>
      </c>
      <c r="B8952" s="2" t="s">
        <v>279</v>
      </c>
      <c r="C8952" s="3">
        <v>2005</v>
      </c>
      <c r="D8952" s="4">
        <v>10049</v>
      </c>
    </row>
    <row r="8953" spans="1:4" x14ac:dyDescent="0.3">
      <c r="A8953" s="5" t="s">
        <v>278</v>
      </c>
      <c r="B8953" s="5" t="s">
        <v>279</v>
      </c>
      <c r="C8953" s="6">
        <v>2006</v>
      </c>
      <c r="D8953" s="7">
        <v>10034</v>
      </c>
    </row>
    <row r="8954" spans="1:4" x14ac:dyDescent="0.3">
      <c r="A8954" s="2" t="s">
        <v>278</v>
      </c>
      <c r="B8954" s="2" t="s">
        <v>279</v>
      </c>
      <c r="C8954" s="3">
        <v>2007</v>
      </c>
      <c r="D8954" s="4">
        <v>10020</v>
      </c>
    </row>
    <row r="8955" spans="1:4" x14ac:dyDescent="0.3">
      <c r="A8955" s="5" t="s">
        <v>278</v>
      </c>
      <c r="B8955" s="5" t="s">
        <v>279</v>
      </c>
      <c r="C8955" s="6">
        <v>2008</v>
      </c>
      <c r="D8955" s="7">
        <v>10009</v>
      </c>
    </row>
    <row r="8956" spans="1:4" x14ac:dyDescent="0.3">
      <c r="A8956" s="2" t="s">
        <v>278</v>
      </c>
      <c r="B8956" s="2" t="s">
        <v>279</v>
      </c>
      <c r="C8956" s="3">
        <v>2009</v>
      </c>
      <c r="D8956" s="4">
        <v>10016</v>
      </c>
    </row>
    <row r="8957" spans="1:4" x14ac:dyDescent="0.3">
      <c r="A8957" s="5" t="s">
        <v>278</v>
      </c>
      <c r="B8957" s="5" t="s">
        <v>279</v>
      </c>
      <c r="C8957" s="6">
        <v>2010</v>
      </c>
      <c r="D8957" s="7">
        <v>10043</v>
      </c>
    </row>
    <row r="8958" spans="1:4" x14ac:dyDescent="0.3">
      <c r="A8958" s="2" t="s">
        <v>278</v>
      </c>
      <c r="B8958" s="2" t="s">
        <v>279</v>
      </c>
      <c r="C8958" s="3">
        <v>2011</v>
      </c>
      <c r="D8958" s="4">
        <v>10098</v>
      </c>
    </row>
    <row r="8959" spans="1:4" x14ac:dyDescent="0.3">
      <c r="A8959" s="5" t="s">
        <v>278</v>
      </c>
      <c r="B8959" s="5" t="s">
        <v>279</v>
      </c>
      <c r="C8959" s="6">
        <v>2012</v>
      </c>
      <c r="D8959" s="7">
        <v>10267</v>
      </c>
    </row>
    <row r="8960" spans="1:4" x14ac:dyDescent="0.3">
      <c r="A8960" s="2" t="s">
        <v>278</v>
      </c>
      <c r="B8960" s="2" t="s">
        <v>279</v>
      </c>
      <c r="C8960" s="3">
        <v>2013</v>
      </c>
      <c r="D8960" s="4">
        <v>10517</v>
      </c>
    </row>
    <row r="8961" spans="1:4" x14ac:dyDescent="0.3">
      <c r="A8961" s="5" t="s">
        <v>278</v>
      </c>
      <c r="B8961" s="5" t="s">
        <v>279</v>
      </c>
      <c r="C8961" s="6">
        <v>2014</v>
      </c>
      <c r="D8961" s="7">
        <v>10742</v>
      </c>
    </row>
    <row r="8962" spans="1:4" x14ac:dyDescent="0.3">
      <c r="A8962" s="2" t="s">
        <v>278</v>
      </c>
      <c r="B8962" s="2" t="s">
        <v>279</v>
      </c>
      <c r="C8962" s="3">
        <v>2015</v>
      </c>
      <c r="D8962" s="4">
        <v>10954</v>
      </c>
    </row>
    <row r="8963" spans="1:4" x14ac:dyDescent="0.3">
      <c r="A8963" s="5" t="s">
        <v>278</v>
      </c>
      <c r="B8963" s="5" t="s">
        <v>279</v>
      </c>
      <c r="C8963" s="6">
        <v>2016</v>
      </c>
      <c r="D8963" s="7">
        <v>11150</v>
      </c>
    </row>
    <row r="8964" spans="1:4" x14ac:dyDescent="0.3">
      <c r="A8964" s="2" t="s">
        <v>278</v>
      </c>
      <c r="B8964" s="2" t="s">
        <v>279</v>
      </c>
      <c r="C8964" s="3">
        <v>2017</v>
      </c>
      <c r="D8964" s="4">
        <v>11324</v>
      </c>
    </row>
    <row r="8965" spans="1:4" x14ac:dyDescent="0.3">
      <c r="A8965" s="5" t="s">
        <v>278</v>
      </c>
      <c r="B8965" s="5" t="s">
        <v>279</v>
      </c>
      <c r="C8965" s="6">
        <v>2018</v>
      </c>
      <c r="D8965" s="7">
        <v>11477</v>
      </c>
    </row>
    <row r="8966" spans="1:4" x14ac:dyDescent="0.3">
      <c r="A8966" s="2" t="s">
        <v>278</v>
      </c>
      <c r="B8966" s="2" t="s">
        <v>279</v>
      </c>
      <c r="C8966" s="3">
        <v>2019</v>
      </c>
      <c r="D8966" s="4">
        <v>11587</v>
      </c>
    </row>
    <row r="8967" spans="1:4" x14ac:dyDescent="0.3">
      <c r="A8967" s="5" t="s">
        <v>278</v>
      </c>
      <c r="B8967" s="5" t="s">
        <v>279</v>
      </c>
      <c r="C8967" s="6">
        <v>2020</v>
      </c>
      <c r="D8967" s="7">
        <v>11643</v>
      </c>
    </row>
    <row r="8968" spans="1:4" x14ac:dyDescent="0.3">
      <c r="A8968" s="2" t="s">
        <v>278</v>
      </c>
      <c r="B8968" s="2" t="s">
        <v>279</v>
      </c>
      <c r="C8968" s="3">
        <v>2021</v>
      </c>
      <c r="D8968" s="4">
        <v>11709</v>
      </c>
    </row>
    <row r="8969" spans="1:4" x14ac:dyDescent="0.3">
      <c r="A8969" s="5" t="s">
        <v>278</v>
      </c>
      <c r="B8969" s="5" t="s">
        <v>279</v>
      </c>
      <c r="C8969" s="6">
        <v>2022</v>
      </c>
      <c r="D8969" s="7">
        <v>11801</v>
      </c>
    </row>
    <row r="8970" spans="1:4" x14ac:dyDescent="0.3">
      <c r="A8970" s="2" t="s">
        <v>278</v>
      </c>
      <c r="B8970" s="2" t="s">
        <v>279</v>
      </c>
      <c r="C8970" s="3">
        <v>2023</v>
      </c>
      <c r="D8970" s="4">
        <v>11875</v>
      </c>
    </row>
    <row r="8971" spans="1:4" x14ac:dyDescent="0.3">
      <c r="A8971" s="5" t="s">
        <v>278</v>
      </c>
      <c r="B8971" s="5" t="s">
        <v>279</v>
      </c>
      <c r="C8971" s="6">
        <v>2024</v>
      </c>
      <c r="D8971" s="7">
        <v>11947</v>
      </c>
    </row>
    <row r="8972" spans="1:4" x14ac:dyDescent="0.3">
      <c r="A8972" s="2" t="s">
        <v>280</v>
      </c>
      <c r="B8972" s="2" t="s">
        <v>281</v>
      </c>
      <c r="C8972" s="3">
        <v>1960</v>
      </c>
      <c r="D8972" s="4">
        <v>10123658</v>
      </c>
    </row>
    <row r="8973" spans="1:4" x14ac:dyDescent="0.3">
      <c r="A8973" s="5" t="s">
        <v>280</v>
      </c>
      <c r="B8973" s="5" t="s">
        <v>281</v>
      </c>
      <c r="C8973" s="6">
        <v>1961</v>
      </c>
      <c r="D8973" s="7">
        <v>10318396</v>
      </c>
    </row>
    <row r="8974" spans="1:4" x14ac:dyDescent="0.3">
      <c r="A8974" s="2" t="s">
        <v>280</v>
      </c>
      <c r="B8974" s="2" t="s">
        <v>281</v>
      </c>
      <c r="C8974" s="3">
        <v>1962</v>
      </c>
      <c r="D8974" s="4">
        <v>10521116</v>
      </c>
    </row>
    <row r="8975" spans="1:4" x14ac:dyDescent="0.3">
      <c r="A8975" s="5" t="s">
        <v>280</v>
      </c>
      <c r="B8975" s="5" t="s">
        <v>281</v>
      </c>
      <c r="C8975" s="6">
        <v>1963</v>
      </c>
      <c r="D8975" s="7">
        <v>10729818</v>
      </c>
    </row>
    <row r="8976" spans="1:4" x14ac:dyDescent="0.3">
      <c r="A8976" s="2" t="s">
        <v>280</v>
      </c>
      <c r="B8976" s="2" t="s">
        <v>281</v>
      </c>
      <c r="C8976" s="3">
        <v>1964</v>
      </c>
      <c r="D8976" s="4">
        <v>10946392</v>
      </c>
    </row>
    <row r="8977" spans="1:4" x14ac:dyDescent="0.3">
      <c r="A8977" s="5" t="s">
        <v>280</v>
      </c>
      <c r="B8977" s="5" t="s">
        <v>281</v>
      </c>
      <c r="C8977" s="6">
        <v>1965</v>
      </c>
      <c r="D8977" s="7">
        <v>11173411</v>
      </c>
    </row>
    <row r="8978" spans="1:4" x14ac:dyDescent="0.3">
      <c r="A8978" s="2" t="s">
        <v>280</v>
      </c>
      <c r="B8978" s="2" t="s">
        <v>281</v>
      </c>
      <c r="C8978" s="3">
        <v>1966</v>
      </c>
      <c r="D8978" s="4">
        <v>11408710</v>
      </c>
    </row>
    <row r="8979" spans="1:4" x14ac:dyDescent="0.3">
      <c r="A8979" s="5" t="s">
        <v>280</v>
      </c>
      <c r="B8979" s="5" t="s">
        <v>281</v>
      </c>
      <c r="C8979" s="6">
        <v>1967</v>
      </c>
      <c r="D8979" s="7">
        <v>11652716</v>
      </c>
    </row>
    <row r="8980" spans="1:4" x14ac:dyDescent="0.3">
      <c r="A8980" s="2" t="s">
        <v>280</v>
      </c>
      <c r="B8980" s="2" t="s">
        <v>281</v>
      </c>
      <c r="C8980" s="3">
        <v>1968</v>
      </c>
      <c r="D8980" s="4">
        <v>11906266</v>
      </c>
    </row>
    <row r="8981" spans="1:4" x14ac:dyDescent="0.3">
      <c r="A8981" s="5" t="s">
        <v>280</v>
      </c>
      <c r="B8981" s="5" t="s">
        <v>281</v>
      </c>
      <c r="C8981" s="6">
        <v>1969</v>
      </c>
      <c r="D8981" s="7">
        <v>12167036</v>
      </c>
    </row>
    <row r="8982" spans="1:4" x14ac:dyDescent="0.3">
      <c r="A8982" s="2" t="s">
        <v>280</v>
      </c>
      <c r="B8982" s="2" t="s">
        <v>281</v>
      </c>
      <c r="C8982" s="3">
        <v>1970</v>
      </c>
      <c r="D8982" s="4">
        <v>12436190</v>
      </c>
    </row>
    <row r="8983" spans="1:4" x14ac:dyDescent="0.3">
      <c r="A8983" s="5" t="s">
        <v>280</v>
      </c>
      <c r="B8983" s="5" t="s">
        <v>281</v>
      </c>
      <c r="C8983" s="6">
        <v>1971</v>
      </c>
      <c r="D8983" s="7">
        <v>12710061</v>
      </c>
    </row>
    <row r="8984" spans="1:4" x14ac:dyDescent="0.3">
      <c r="A8984" s="2" t="s">
        <v>280</v>
      </c>
      <c r="B8984" s="2" t="s">
        <v>281</v>
      </c>
      <c r="C8984" s="3">
        <v>1972</v>
      </c>
      <c r="D8984" s="4">
        <v>12989099</v>
      </c>
    </row>
    <row r="8985" spans="1:4" x14ac:dyDescent="0.3">
      <c r="A8985" s="5" t="s">
        <v>280</v>
      </c>
      <c r="B8985" s="5" t="s">
        <v>281</v>
      </c>
      <c r="C8985" s="6">
        <v>1973</v>
      </c>
      <c r="D8985" s="7">
        <v>13275239</v>
      </c>
    </row>
    <row r="8986" spans="1:4" x14ac:dyDescent="0.3">
      <c r="A8986" s="2" t="s">
        <v>280</v>
      </c>
      <c r="B8986" s="2" t="s">
        <v>281</v>
      </c>
      <c r="C8986" s="3">
        <v>1974</v>
      </c>
      <c r="D8986" s="4">
        <v>13568435</v>
      </c>
    </row>
    <row r="8987" spans="1:4" x14ac:dyDescent="0.3">
      <c r="A8987" s="5" t="s">
        <v>280</v>
      </c>
      <c r="B8987" s="5" t="s">
        <v>281</v>
      </c>
      <c r="C8987" s="6">
        <v>1975</v>
      </c>
      <c r="D8987" s="7">
        <v>13870695</v>
      </c>
    </row>
    <row r="8988" spans="1:4" x14ac:dyDescent="0.3">
      <c r="A8988" s="2" t="s">
        <v>280</v>
      </c>
      <c r="B8988" s="2" t="s">
        <v>281</v>
      </c>
      <c r="C8988" s="3">
        <v>1976</v>
      </c>
      <c r="D8988" s="4">
        <v>14177649</v>
      </c>
    </row>
    <row r="8989" spans="1:4" x14ac:dyDescent="0.3">
      <c r="A8989" s="5" t="s">
        <v>280</v>
      </c>
      <c r="B8989" s="5" t="s">
        <v>281</v>
      </c>
      <c r="C8989" s="6">
        <v>1977</v>
      </c>
      <c r="D8989" s="7">
        <v>14499175</v>
      </c>
    </row>
    <row r="8990" spans="1:4" x14ac:dyDescent="0.3">
      <c r="A8990" s="2" t="s">
        <v>280</v>
      </c>
      <c r="B8990" s="2" t="s">
        <v>281</v>
      </c>
      <c r="C8990" s="3">
        <v>1978</v>
      </c>
      <c r="D8990" s="4">
        <v>14839695</v>
      </c>
    </row>
    <row r="8991" spans="1:4" x14ac:dyDescent="0.3">
      <c r="A8991" s="5" t="s">
        <v>280</v>
      </c>
      <c r="B8991" s="5" t="s">
        <v>281</v>
      </c>
      <c r="C8991" s="6">
        <v>1979</v>
      </c>
      <c r="D8991" s="7">
        <v>15190590</v>
      </c>
    </row>
    <row r="8992" spans="1:4" x14ac:dyDescent="0.3">
      <c r="A8992" s="2" t="s">
        <v>280</v>
      </c>
      <c r="B8992" s="2" t="s">
        <v>281</v>
      </c>
      <c r="C8992" s="3">
        <v>1980</v>
      </c>
      <c r="D8992" s="4">
        <v>15553105</v>
      </c>
    </row>
    <row r="8993" spans="1:4" x14ac:dyDescent="0.3">
      <c r="A8993" s="5" t="s">
        <v>280</v>
      </c>
      <c r="B8993" s="5" t="s">
        <v>281</v>
      </c>
      <c r="C8993" s="6">
        <v>1981</v>
      </c>
      <c r="D8993" s="7">
        <v>15922423</v>
      </c>
    </row>
    <row r="8994" spans="1:4" x14ac:dyDescent="0.3">
      <c r="A8994" s="2" t="s">
        <v>280</v>
      </c>
      <c r="B8994" s="2" t="s">
        <v>281</v>
      </c>
      <c r="C8994" s="3">
        <v>1982</v>
      </c>
      <c r="D8994" s="4">
        <v>16297987</v>
      </c>
    </row>
    <row r="8995" spans="1:4" x14ac:dyDescent="0.3">
      <c r="A8995" s="5" t="s">
        <v>280</v>
      </c>
      <c r="B8995" s="5" t="s">
        <v>281</v>
      </c>
      <c r="C8995" s="6">
        <v>1983</v>
      </c>
      <c r="D8995" s="7">
        <v>16689119</v>
      </c>
    </row>
    <row r="8996" spans="1:4" x14ac:dyDescent="0.3">
      <c r="A8996" s="2" t="s">
        <v>280</v>
      </c>
      <c r="B8996" s="2" t="s">
        <v>281</v>
      </c>
      <c r="C8996" s="3">
        <v>1984</v>
      </c>
      <c r="D8996" s="4">
        <v>17085242</v>
      </c>
    </row>
    <row r="8997" spans="1:4" x14ac:dyDescent="0.3">
      <c r="A8997" s="5" t="s">
        <v>280</v>
      </c>
      <c r="B8997" s="5" t="s">
        <v>281</v>
      </c>
      <c r="C8997" s="6">
        <v>1985</v>
      </c>
      <c r="D8997" s="7">
        <v>17477692</v>
      </c>
    </row>
    <row r="8998" spans="1:4" x14ac:dyDescent="0.3">
      <c r="A8998" s="2" t="s">
        <v>280</v>
      </c>
      <c r="B8998" s="2" t="s">
        <v>281</v>
      </c>
      <c r="C8998" s="3">
        <v>1986</v>
      </c>
      <c r="D8998" s="4">
        <v>17868124</v>
      </c>
    </row>
    <row r="8999" spans="1:4" x14ac:dyDescent="0.3">
      <c r="A8999" s="5" t="s">
        <v>280</v>
      </c>
      <c r="B8999" s="5" t="s">
        <v>281</v>
      </c>
      <c r="C8999" s="6">
        <v>1987</v>
      </c>
      <c r="D8999" s="7">
        <v>18250505</v>
      </c>
    </row>
    <row r="9000" spans="1:4" x14ac:dyDescent="0.3">
      <c r="A9000" s="2" t="s">
        <v>280</v>
      </c>
      <c r="B9000" s="2" t="s">
        <v>281</v>
      </c>
      <c r="C9000" s="3">
        <v>1988</v>
      </c>
      <c r="D9000" s="4">
        <v>18638661</v>
      </c>
    </row>
    <row r="9001" spans="1:4" x14ac:dyDescent="0.3">
      <c r="A9001" s="5" t="s">
        <v>280</v>
      </c>
      <c r="B9001" s="5" t="s">
        <v>281</v>
      </c>
      <c r="C9001" s="6">
        <v>1989</v>
      </c>
      <c r="D9001" s="7">
        <v>19057807</v>
      </c>
    </row>
    <row r="9002" spans="1:4" x14ac:dyDescent="0.3">
      <c r="A9002" s="2" t="s">
        <v>280</v>
      </c>
      <c r="B9002" s="2" t="s">
        <v>281</v>
      </c>
      <c r="C9002" s="3">
        <v>1990</v>
      </c>
      <c r="D9002" s="4">
        <v>19524573</v>
      </c>
    </row>
    <row r="9003" spans="1:4" x14ac:dyDescent="0.3">
      <c r="A9003" s="5" t="s">
        <v>280</v>
      </c>
      <c r="B9003" s="5" t="s">
        <v>281</v>
      </c>
      <c r="C9003" s="6">
        <v>1991</v>
      </c>
      <c r="D9003" s="7">
        <v>20036500</v>
      </c>
    </row>
    <row r="9004" spans="1:4" x14ac:dyDescent="0.3">
      <c r="A9004" s="2" t="s">
        <v>280</v>
      </c>
      <c r="B9004" s="2" t="s">
        <v>281</v>
      </c>
      <c r="C9004" s="3">
        <v>1992</v>
      </c>
      <c r="D9004" s="4">
        <v>20609707</v>
      </c>
    </row>
    <row r="9005" spans="1:4" x14ac:dyDescent="0.3">
      <c r="A9005" s="5" t="s">
        <v>280</v>
      </c>
      <c r="B9005" s="5" t="s">
        <v>281</v>
      </c>
      <c r="C9005" s="6">
        <v>1993</v>
      </c>
      <c r="D9005" s="7">
        <v>21180159</v>
      </c>
    </row>
    <row r="9006" spans="1:4" x14ac:dyDescent="0.3">
      <c r="A9006" s="2" t="s">
        <v>280</v>
      </c>
      <c r="B9006" s="2" t="s">
        <v>281</v>
      </c>
      <c r="C9006" s="3">
        <v>1994</v>
      </c>
      <c r="D9006" s="4">
        <v>21717479</v>
      </c>
    </row>
    <row r="9007" spans="1:4" x14ac:dyDescent="0.3">
      <c r="A9007" s="5" t="s">
        <v>280</v>
      </c>
      <c r="B9007" s="5" t="s">
        <v>281</v>
      </c>
      <c r="C9007" s="6">
        <v>1995</v>
      </c>
      <c r="D9007" s="7">
        <v>22245439</v>
      </c>
    </row>
    <row r="9008" spans="1:4" x14ac:dyDescent="0.3">
      <c r="A9008" s="2" t="s">
        <v>280</v>
      </c>
      <c r="B9008" s="2" t="s">
        <v>281</v>
      </c>
      <c r="C9008" s="3">
        <v>1996</v>
      </c>
      <c r="D9008" s="4">
        <v>22741862</v>
      </c>
    </row>
    <row r="9009" spans="1:4" x14ac:dyDescent="0.3">
      <c r="A9009" s="5" t="s">
        <v>280</v>
      </c>
      <c r="B9009" s="5" t="s">
        <v>281</v>
      </c>
      <c r="C9009" s="6">
        <v>1997</v>
      </c>
      <c r="D9009" s="7">
        <v>23219463</v>
      </c>
    </row>
    <row r="9010" spans="1:4" x14ac:dyDescent="0.3">
      <c r="A9010" s="2" t="s">
        <v>280</v>
      </c>
      <c r="B9010" s="2" t="s">
        <v>281</v>
      </c>
      <c r="C9010" s="3">
        <v>1998</v>
      </c>
      <c r="D9010" s="4">
        <v>23680357</v>
      </c>
    </row>
    <row r="9011" spans="1:4" x14ac:dyDescent="0.3">
      <c r="A9011" s="5" t="s">
        <v>280</v>
      </c>
      <c r="B9011" s="5" t="s">
        <v>281</v>
      </c>
      <c r="C9011" s="6">
        <v>1999</v>
      </c>
      <c r="D9011" s="7">
        <v>24125199</v>
      </c>
    </row>
    <row r="9012" spans="1:4" x14ac:dyDescent="0.3">
      <c r="A9012" s="2" t="s">
        <v>280</v>
      </c>
      <c r="B9012" s="2" t="s">
        <v>281</v>
      </c>
      <c r="C9012" s="3">
        <v>2000</v>
      </c>
      <c r="D9012" s="4">
        <v>24546509</v>
      </c>
    </row>
    <row r="9013" spans="1:4" x14ac:dyDescent="0.3">
      <c r="A9013" s="5" t="s">
        <v>280</v>
      </c>
      <c r="B9013" s="5" t="s">
        <v>281</v>
      </c>
      <c r="C9013" s="6">
        <v>2001</v>
      </c>
      <c r="D9013" s="7">
        <v>24946748</v>
      </c>
    </row>
    <row r="9014" spans="1:4" x14ac:dyDescent="0.3">
      <c r="A9014" s="2" t="s">
        <v>280</v>
      </c>
      <c r="B9014" s="2" t="s">
        <v>281</v>
      </c>
      <c r="C9014" s="3">
        <v>2002</v>
      </c>
      <c r="D9014" s="4">
        <v>25328981</v>
      </c>
    </row>
    <row r="9015" spans="1:4" x14ac:dyDescent="0.3">
      <c r="A9015" s="5" t="s">
        <v>280</v>
      </c>
      <c r="B9015" s="5" t="s">
        <v>281</v>
      </c>
      <c r="C9015" s="6">
        <v>2003</v>
      </c>
      <c r="D9015" s="7">
        <v>25688758</v>
      </c>
    </row>
    <row r="9016" spans="1:4" x14ac:dyDescent="0.3">
      <c r="A9016" s="2" t="s">
        <v>280</v>
      </c>
      <c r="B9016" s="2" t="s">
        <v>281</v>
      </c>
      <c r="C9016" s="3">
        <v>2004</v>
      </c>
      <c r="D9016" s="4">
        <v>26016656</v>
      </c>
    </row>
    <row r="9017" spans="1:4" x14ac:dyDescent="0.3">
      <c r="A9017" s="5" t="s">
        <v>280</v>
      </c>
      <c r="B9017" s="5" t="s">
        <v>281</v>
      </c>
      <c r="C9017" s="6">
        <v>2005</v>
      </c>
      <c r="D9017" s="7">
        <v>26309458</v>
      </c>
    </row>
    <row r="9018" spans="1:4" x14ac:dyDescent="0.3">
      <c r="A9018" s="2" t="s">
        <v>280</v>
      </c>
      <c r="B9018" s="2" t="s">
        <v>281</v>
      </c>
      <c r="C9018" s="3">
        <v>2006</v>
      </c>
      <c r="D9018" s="4">
        <v>26565425</v>
      </c>
    </row>
    <row r="9019" spans="1:4" x14ac:dyDescent="0.3">
      <c r="A9019" s="5" t="s">
        <v>280</v>
      </c>
      <c r="B9019" s="5" t="s">
        <v>281</v>
      </c>
      <c r="C9019" s="6">
        <v>2007</v>
      </c>
      <c r="D9019" s="7">
        <v>26788492</v>
      </c>
    </row>
    <row r="9020" spans="1:4" x14ac:dyDescent="0.3">
      <c r="A9020" s="2" t="s">
        <v>280</v>
      </c>
      <c r="B9020" s="2" t="s">
        <v>281</v>
      </c>
      <c r="C9020" s="3">
        <v>2008</v>
      </c>
      <c r="D9020" s="4">
        <v>26990037</v>
      </c>
    </row>
    <row r="9021" spans="1:4" x14ac:dyDescent="0.3">
      <c r="A9021" s="5" t="s">
        <v>280</v>
      </c>
      <c r="B9021" s="5" t="s">
        <v>281</v>
      </c>
      <c r="C9021" s="6">
        <v>2009</v>
      </c>
      <c r="D9021" s="7">
        <v>27173035</v>
      </c>
    </row>
    <row r="9022" spans="1:4" x14ac:dyDescent="0.3">
      <c r="A9022" s="2" t="s">
        <v>280</v>
      </c>
      <c r="B9022" s="2" t="s">
        <v>281</v>
      </c>
      <c r="C9022" s="3">
        <v>2010</v>
      </c>
      <c r="D9022" s="4">
        <v>27341952</v>
      </c>
    </row>
    <row r="9023" spans="1:4" x14ac:dyDescent="0.3">
      <c r="A9023" s="5" t="s">
        <v>280</v>
      </c>
      <c r="B9023" s="5" t="s">
        <v>281</v>
      </c>
      <c r="C9023" s="6">
        <v>2011</v>
      </c>
      <c r="D9023" s="7">
        <v>27464494</v>
      </c>
    </row>
    <row r="9024" spans="1:4" x14ac:dyDescent="0.3">
      <c r="A9024" s="2" t="s">
        <v>280</v>
      </c>
      <c r="B9024" s="2" t="s">
        <v>281</v>
      </c>
      <c r="C9024" s="3">
        <v>2012</v>
      </c>
      <c r="D9024" s="4">
        <v>27534915</v>
      </c>
    </row>
    <row r="9025" spans="1:4" x14ac:dyDescent="0.3">
      <c r="A9025" s="5" t="s">
        <v>280</v>
      </c>
      <c r="B9025" s="5" t="s">
        <v>281</v>
      </c>
      <c r="C9025" s="6">
        <v>2013</v>
      </c>
      <c r="D9025" s="7">
        <v>27589996</v>
      </c>
    </row>
    <row r="9026" spans="1:4" x14ac:dyDescent="0.3">
      <c r="A9026" s="2" t="s">
        <v>280</v>
      </c>
      <c r="B9026" s="2" t="s">
        <v>281</v>
      </c>
      <c r="C9026" s="3">
        <v>2014</v>
      </c>
      <c r="D9026" s="4">
        <v>27672370</v>
      </c>
    </row>
    <row r="9027" spans="1:4" x14ac:dyDescent="0.3">
      <c r="A9027" s="5" t="s">
        <v>280</v>
      </c>
      <c r="B9027" s="5" t="s">
        <v>281</v>
      </c>
      <c r="C9027" s="6">
        <v>2015</v>
      </c>
      <c r="D9027" s="7">
        <v>27823629</v>
      </c>
    </row>
    <row r="9028" spans="1:4" x14ac:dyDescent="0.3">
      <c r="A9028" s="2" t="s">
        <v>280</v>
      </c>
      <c r="B9028" s="2" t="s">
        <v>281</v>
      </c>
      <c r="C9028" s="3">
        <v>2016</v>
      </c>
      <c r="D9028" s="4">
        <v>27955462</v>
      </c>
    </row>
    <row r="9029" spans="1:4" x14ac:dyDescent="0.3">
      <c r="A9029" s="5" t="s">
        <v>280</v>
      </c>
      <c r="B9029" s="5" t="s">
        <v>281</v>
      </c>
      <c r="C9029" s="6">
        <v>2017</v>
      </c>
      <c r="D9029" s="7">
        <v>28011258</v>
      </c>
    </row>
    <row r="9030" spans="1:4" x14ac:dyDescent="0.3">
      <c r="A9030" s="2" t="s">
        <v>280</v>
      </c>
      <c r="B9030" s="2" t="s">
        <v>281</v>
      </c>
      <c r="C9030" s="3">
        <v>2018</v>
      </c>
      <c r="D9030" s="4">
        <v>28079689</v>
      </c>
    </row>
    <row r="9031" spans="1:4" x14ac:dyDescent="0.3">
      <c r="A9031" s="5" t="s">
        <v>280</v>
      </c>
      <c r="B9031" s="5" t="s">
        <v>281</v>
      </c>
      <c r="C9031" s="6">
        <v>2019</v>
      </c>
      <c r="D9031" s="7">
        <v>28414064</v>
      </c>
    </row>
    <row r="9032" spans="1:4" x14ac:dyDescent="0.3">
      <c r="A9032" s="2" t="s">
        <v>280</v>
      </c>
      <c r="B9032" s="2" t="s">
        <v>281</v>
      </c>
      <c r="C9032" s="3">
        <v>2020</v>
      </c>
      <c r="D9032" s="4">
        <v>28966574</v>
      </c>
    </row>
    <row r="9033" spans="1:4" x14ac:dyDescent="0.3">
      <c r="A9033" s="5" t="s">
        <v>280</v>
      </c>
      <c r="B9033" s="5" t="s">
        <v>281</v>
      </c>
      <c r="C9033" s="6">
        <v>2021</v>
      </c>
      <c r="D9033" s="7">
        <v>29475010</v>
      </c>
    </row>
    <row r="9034" spans="1:4" x14ac:dyDescent="0.3">
      <c r="A9034" s="2" t="s">
        <v>280</v>
      </c>
      <c r="B9034" s="2" t="s">
        <v>281</v>
      </c>
      <c r="C9034" s="3">
        <v>2022</v>
      </c>
      <c r="D9034" s="4">
        <v>29715436</v>
      </c>
    </row>
    <row r="9035" spans="1:4" x14ac:dyDescent="0.3">
      <c r="A9035" s="5" t="s">
        <v>280</v>
      </c>
      <c r="B9035" s="5" t="s">
        <v>281</v>
      </c>
      <c r="C9035" s="6">
        <v>2023</v>
      </c>
      <c r="D9035" s="7">
        <v>29694614</v>
      </c>
    </row>
    <row r="9036" spans="1:4" x14ac:dyDescent="0.3">
      <c r="A9036" s="2" t="s">
        <v>280</v>
      </c>
      <c r="B9036" s="2" t="s">
        <v>281</v>
      </c>
      <c r="C9036" s="3">
        <v>2024</v>
      </c>
      <c r="D9036" s="4">
        <v>29651054</v>
      </c>
    </row>
    <row r="9037" spans="1:4" x14ac:dyDescent="0.3">
      <c r="A9037" s="5" t="s">
        <v>282</v>
      </c>
      <c r="B9037" s="5" t="s">
        <v>283</v>
      </c>
      <c r="C9037" s="6">
        <v>1960</v>
      </c>
      <c r="D9037" s="7">
        <v>11486631</v>
      </c>
    </row>
    <row r="9038" spans="1:4" x14ac:dyDescent="0.3">
      <c r="A9038" s="2" t="s">
        <v>282</v>
      </c>
      <c r="B9038" s="2" t="s">
        <v>283</v>
      </c>
      <c r="C9038" s="3">
        <v>1961</v>
      </c>
      <c r="D9038" s="4">
        <v>11638712</v>
      </c>
    </row>
    <row r="9039" spans="1:4" x14ac:dyDescent="0.3">
      <c r="A9039" s="5" t="s">
        <v>282</v>
      </c>
      <c r="B9039" s="5" t="s">
        <v>283</v>
      </c>
      <c r="C9039" s="6">
        <v>1962</v>
      </c>
      <c r="D9039" s="7">
        <v>11805689</v>
      </c>
    </row>
    <row r="9040" spans="1:4" x14ac:dyDescent="0.3">
      <c r="A9040" s="2" t="s">
        <v>282</v>
      </c>
      <c r="B9040" s="2" t="s">
        <v>283</v>
      </c>
      <c r="C9040" s="3">
        <v>1963</v>
      </c>
      <c r="D9040" s="4">
        <v>11965966</v>
      </c>
    </row>
    <row r="9041" spans="1:4" x14ac:dyDescent="0.3">
      <c r="A9041" s="5" t="s">
        <v>282</v>
      </c>
      <c r="B9041" s="5" t="s">
        <v>283</v>
      </c>
      <c r="C9041" s="6">
        <v>1964</v>
      </c>
      <c r="D9041" s="7">
        <v>12127120</v>
      </c>
    </row>
    <row r="9042" spans="1:4" x14ac:dyDescent="0.3">
      <c r="A9042" s="2" t="s">
        <v>282</v>
      </c>
      <c r="B9042" s="2" t="s">
        <v>283</v>
      </c>
      <c r="C9042" s="3">
        <v>1965</v>
      </c>
      <c r="D9042" s="4">
        <v>12294732</v>
      </c>
    </row>
    <row r="9043" spans="1:4" x14ac:dyDescent="0.3">
      <c r="A9043" s="5" t="s">
        <v>282</v>
      </c>
      <c r="B9043" s="5" t="s">
        <v>283</v>
      </c>
      <c r="C9043" s="6">
        <v>1966</v>
      </c>
      <c r="D9043" s="7">
        <v>12456251</v>
      </c>
    </row>
    <row r="9044" spans="1:4" x14ac:dyDescent="0.3">
      <c r="A9044" s="2" t="s">
        <v>282</v>
      </c>
      <c r="B9044" s="2" t="s">
        <v>283</v>
      </c>
      <c r="C9044" s="3">
        <v>1967</v>
      </c>
      <c r="D9044" s="4">
        <v>12598201</v>
      </c>
    </row>
    <row r="9045" spans="1:4" x14ac:dyDescent="0.3">
      <c r="A9045" s="5" t="s">
        <v>282</v>
      </c>
      <c r="B9045" s="5" t="s">
        <v>283</v>
      </c>
      <c r="C9045" s="6">
        <v>1968</v>
      </c>
      <c r="D9045" s="7">
        <v>12729721</v>
      </c>
    </row>
    <row r="9046" spans="1:4" x14ac:dyDescent="0.3">
      <c r="A9046" s="2" t="s">
        <v>282</v>
      </c>
      <c r="B9046" s="2" t="s">
        <v>283</v>
      </c>
      <c r="C9046" s="3">
        <v>1969</v>
      </c>
      <c r="D9046" s="4">
        <v>12877984</v>
      </c>
    </row>
    <row r="9047" spans="1:4" x14ac:dyDescent="0.3">
      <c r="A9047" s="5" t="s">
        <v>282</v>
      </c>
      <c r="B9047" s="5" t="s">
        <v>283</v>
      </c>
      <c r="C9047" s="6">
        <v>1970</v>
      </c>
      <c r="D9047" s="7">
        <v>13038526</v>
      </c>
    </row>
    <row r="9048" spans="1:4" x14ac:dyDescent="0.3">
      <c r="A9048" s="2" t="s">
        <v>282</v>
      </c>
      <c r="B9048" s="2" t="s">
        <v>283</v>
      </c>
      <c r="C9048" s="3">
        <v>1971</v>
      </c>
      <c r="D9048" s="4">
        <v>13194497</v>
      </c>
    </row>
    <row r="9049" spans="1:4" x14ac:dyDescent="0.3">
      <c r="A9049" s="5" t="s">
        <v>282</v>
      </c>
      <c r="B9049" s="5" t="s">
        <v>283</v>
      </c>
      <c r="C9049" s="6">
        <v>1972</v>
      </c>
      <c r="D9049" s="7">
        <v>13328593</v>
      </c>
    </row>
    <row r="9050" spans="1:4" x14ac:dyDescent="0.3">
      <c r="A9050" s="2" t="s">
        <v>282</v>
      </c>
      <c r="B9050" s="2" t="s">
        <v>283</v>
      </c>
      <c r="C9050" s="3">
        <v>1973</v>
      </c>
      <c r="D9050" s="4">
        <v>13439322</v>
      </c>
    </row>
    <row r="9051" spans="1:4" x14ac:dyDescent="0.3">
      <c r="A9051" s="5" t="s">
        <v>282</v>
      </c>
      <c r="B9051" s="5" t="s">
        <v>283</v>
      </c>
      <c r="C9051" s="6">
        <v>1974</v>
      </c>
      <c r="D9051" s="7">
        <v>13545056</v>
      </c>
    </row>
    <row r="9052" spans="1:4" x14ac:dyDescent="0.3">
      <c r="A9052" s="2" t="s">
        <v>282</v>
      </c>
      <c r="B9052" s="2" t="s">
        <v>283</v>
      </c>
      <c r="C9052" s="3">
        <v>1975</v>
      </c>
      <c r="D9052" s="4">
        <v>13666335</v>
      </c>
    </row>
    <row r="9053" spans="1:4" x14ac:dyDescent="0.3">
      <c r="A9053" s="5" t="s">
        <v>282</v>
      </c>
      <c r="B9053" s="5" t="s">
        <v>283</v>
      </c>
      <c r="C9053" s="6">
        <v>1976</v>
      </c>
      <c r="D9053" s="7">
        <v>13774037</v>
      </c>
    </row>
    <row r="9054" spans="1:4" x14ac:dyDescent="0.3">
      <c r="A9054" s="2" t="s">
        <v>282</v>
      </c>
      <c r="B9054" s="2" t="s">
        <v>283</v>
      </c>
      <c r="C9054" s="3">
        <v>1977</v>
      </c>
      <c r="D9054" s="4">
        <v>13856185</v>
      </c>
    </row>
    <row r="9055" spans="1:4" x14ac:dyDescent="0.3">
      <c r="A9055" s="5" t="s">
        <v>282</v>
      </c>
      <c r="B9055" s="5" t="s">
        <v>283</v>
      </c>
      <c r="C9055" s="6">
        <v>1978</v>
      </c>
      <c r="D9055" s="7">
        <v>13941700</v>
      </c>
    </row>
    <row r="9056" spans="1:4" x14ac:dyDescent="0.3">
      <c r="A9056" s="2" t="s">
        <v>282</v>
      </c>
      <c r="B9056" s="2" t="s">
        <v>283</v>
      </c>
      <c r="C9056" s="3">
        <v>1979</v>
      </c>
      <c r="D9056" s="4">
        <v>14038270</v>
      </c>
    </row>
    <row r="9057" spans="1:4" x14ac:dyDescent="0.3">
      <c r="A9057" s="5" t="s">
        <v>282</v>
      </c>
      <c r="B9057" s="5" t="s">
        <v>283</v>
      </c>
      <c r="C9057" s="6">
        <v>1980</v>
      </c>
      <c r="D9057" s="7">
        <v>14149800</v>
      </c>
    </row>
    <row r="9058" spans="1:4" x14ac:dyDescent="0.3">
      <c r="A9058" s="2" t="s">
        <v>282</v>
      </c>
      <c r="B9058" s="2" t="s">
        <v>283</v>
      </c>
      <c r="C9058" s="3">
        <v>1981</v>
      </c>
      <c r="D9058" s="4">
        <v>14247208</v>
      </c>
    </row>
    <row r="9059" spans="1:4" x14ac:dyDescent="0.3">
      <c r="A9059" s="5" t="s">
        <v>282</v>
      </c>
      <c r="B9059" s="5" t="s">
        <v>283</v>
      </c>
      <c r="C9059" s="6">
        <v>1982</v>
      </c>
      <c r="D9059" s="7">
        <v>14312690</v>
      </c>
    </row>
    <row r="9060" spans="1:4" x14ac:dyDescent="0.3">
      <c r="A9060" s="2" t="s">
        <v>282</v>
      </c>
      <c r="B9060" s="2" t="s">
        <v>283</v>
      </c>
      <c r="C9060" s="3">
        <v>1983</v>
      </c>
      <c r="D9060" s="4">
        <v>14367070</v>
      </c>
    </row>
    <row r="9061" spans="1:4" x14ac:dyDescent="0.3">
      <c r="A9061" s="5" t="s">
        <v>282</v>
      </c>
      <c r="B9061" s="5" t="s">
        <v>283</v>
      </c>
      <c r="C9061" s="6">
        <v>1984</v>
      </c>
      <c r="D9061" s="7">
        <v>14424211</v>
      </c>
    </row>
    <row r="9062" spans="1:4" x14ac:dyDescent="0.3">
      <c r="A9062" s="2" t="s">
        <v>282</v>
      </c>
      <c r="B9062" s="2" t="s">
        <v>283</v>
      </c>
      <c r="C9062" s="3">
        <v>1985</v>
      </c>
      <c r="D9062" s="4">
        <v>14491632</v>
      </c>
    </row>
    <row r="9063" spans="1:4" x14ac:dyDescent="0.3">
      <c r="A9063" s="5" t="s">
        <v>282</v>
      </c>
      <c r="B9063" s="5" t="s">
        <v>283</v>
      </c>
      <c r="C9063" s="6">
        <v>1986</v>
      </c>
      <c r="D9063" s="7">
        <v>14572278</v>
      </c>
    </row>
    <row r="9064" spans="1:4" x14ac:dyDescent="0.3">
      <c r="A9064" s="2" t="s">
        <v>282</v>
      </c>
      <c r="B9064" s="2" t="s">
        <v>283</v>
      </c>
      <c r="C9064" s="3">
        <v>1987</v>
      </c>
      <c r="D9064" s="4">
        <v>14665037</v>
      </c>
    </row>
    <row r="9065" spans="1:4" x14ac:dyDescent="0.3">
      <c r="A9065" s="5" t="s">
        <v>282</v>
      </c>
      <c r="B9065" s="5" t="s">
        <v>283</v>
      </c>
      <c r="C9065" s="6">
        <v>1988</v>
      </c>
      <c r="D9065" s="7">
        <v>14760094</v>
      </c>
    </row>
    <row r="9066" spans="1:4" x14ac:dyDescent="0.3">
      <c r="A9066" s="2" t="s">
        <v>282</v>
      </c>
      <c r="B9066" s="2" t="s">
        <v>283</v>
      </c>
      <c r="C9066" s="3">
        <v>1989</v>
      </c>
      <c r="D9066" s="4">
        <v>14848907</v>
      </c>
    </row>
    <row r="9067" spans="1:4" x14ac:dyDescent="0.3">
      <c r="A9067" s="5" t="s">
        <v>282</v>
      </c>
      <c r="B9067" s="5" t="s">
        <v>283</v>
      </c>
      <c r="C9067" s="6">
        <v>1990</v>
      </c>
      <c r="D9067" s="7">
        <v>14951510</v>
      </c>
    </row>
    <row r="9068" spans="1:4" x14ac:dyDescent="0.3">
      <c r="A9068" s="2" t="s">
        <v>282</v>
      </c>
      <c r="B9068" s="2" t="s">
        <v>283</v>
      </c>
      <c r="C9068" s="3">
        <v>1991</v>
      </c>
      <c r="D9068" s="4">
        <v>15069798</v>
      </c>
    </row>
    <row r="9069" spans="1:4" x14ac:dyDescent="0.3">
      <c r="A9069" s="5" t="s">
        <v>282</v>
      </c>
      <c r="B9069" s="5" t="s">
        <v>283</v>
      </c>
      <c r="C9069" s="6">
        <v>1992</v>
      </c>
      <c r="D9069" s="7">
        <v>15184166</v>
      </c>
    </row>
    <row r="9070" spans="1:4" x14ac:dyDescent="0.3">
      <c r="A9070" s="2" t="s">
        <v>282</v>
      </c>
      <c r="B9070" s="2" t="s">
        <v>283</v>
      </c>
      <c r="C9070" s="3">
        <v>1993</v>
      </c>
      <c r="D9070" s="4">
        <v>15290368</v>
      </c>
    </row>
    <row r="9071" spans="1:4" x14ac:dyDescent="0.3">
      <c r="A9071" s="5" t="s">
        <v>282</v>
      </c>
      <c r="B9071" s="5" t="s">
        <v>283</v>
      </c>
      <c r="C9071" s="6">
        <v>1994</v>
      </c>
      <c r="D9071" s="7">
        <v>15382838</v>
      </c>
    </row>
    <row r="9072" spans="1:4" x14ac:dyDescent="0.3">
      <c r="A9072" s="2" t="s">
        <v>282</v>
      </c>
      <c r="B9072" s="2" t="s">
        <v>283</v>
      </c>
      <c r="C9072" s="3">
        <v>1995</v>
      </c>
      <c r="D9072" s="4">
        <v>15459006</v>
      </c>
    </row>
    <row r="9073" spans="1:4" x14ac:dyDescent="0.3">
      <c r="A9073" s="5" t="s">
        <v>282</v>
      </c>
      <c r="B9073" s="5" t="s">
        <v>283</v>
      </c>
      <c r="C9073" s="6">
        <v>1996</v>
      </c>
      <c r="D9073" s="7">
        <v>15530498</v>
      </c>
    </row>
    <row r="9074" spans="1:4" x14ac:dyDescent="0.3">
      <c r="A9074" s="2" t="s">
        <v>282</v>
      </c>
      <c r="B9074" s="2" t="s">
        <v>283</v>
      </c>
      <c r="C9074" s="3">
        <v>1997</v>
      </c>
      <c r="D9074" s="4">
        <v>15610650</v>
      </c>
    </row>
    <row r="9075" spans="1:4" x14ac:dyDescent="0.3">
      <c r="A9075" s="5" t="s">
        <v>282</v>
      </c>
      <c r="B9075" s="5" t="s">
        <v>283</v>
      </c>
      <c r="C9075" s="6">
        <v>1998</v>
      </c>
      <c r="D9075" s="7">
        <v>15707209</v>
      </c>
    </row>
    <row r="9076" spans="1:4" x14ac:dyDescent="0.3">
      <c r="A9076" s="2" t="s">
        <v>282</v>
      </c>
      <c r="B9076" s="2" t="s">
        <v>283</v>
      </c>
      <c r="C9076" s="3">
        <v>1999</v>
      </c>
      <c r="D9076" s="4">
        <v>15812088</v>
      </c>
    </row>
    <row r="9077" spans="1:4" x14ac:dyDescent="0.3">
      <c r="A9077" s="5" t="s">
        <v>282</v>
      </c>
      <c r="B9077" s="5" t="s">
        <v>283</v>
      </c>
      <c r="C9077" s="6">
        <v>2000</v>
      </c>
      <c r="D9077" s="7">
        <v>15925513</v>
      </c>
    </row>
    <row r="9078" spans="1:4" x14ac:dyDescent="0.3">
      <c r="A9078" s="2" t="s">
        <v>282</v>
      </c>
      <c r="B9078" s="2" t="s">
        <v>283</v>
      </c>
      <c r="C9078" s="3">
        <v>2001</v>
      </c>
      <c r="D9078" s="4">
        <v>16046180</v>
      </c>
    </row>
    <row r="9079" spans="1:4" x14ac:dyDescent="0.3">
      <c r="A9079" s="5" t="s">
        <v>282</v>
      </c>
      <c r="B9079" s="5" t="s">
        <v>283</v>
      </c>
      <c r="C9079" s="6">
        <v>2002</v>
      </c>
      <c r="D9079" s="7">
        <v>16148929</v>
      </c>
    </row>
    <row r="9080" spans="1:4" x14ac:dyDescent="0.3">
      <c r="A9080" s="2" t="s">
        <v>282</v>
      </c>
      <c r="B9080" s="2" t="s">
        <v>283</v>
      </c>
      <c r="C9080" s="3">
        <v>2003</v>
      </c>
      <c r="D9080" s="4">
        <v>16225302</v>
      </c>
    </row>
    <row r="9081" spans="1:4" x14ac:dyDescent="0.3">
      <c r="A9081" s="5" t="s">
        <v>282</v>
      </c>
      <c r="B9081" s="5" t="s">
        <v>283</v>
      </c>
      <c r="C9081" s="6">
        <v>2004</v>
      </c>
      <c r="D9081" s="7">
        <v>16281779</v>
      </c>
    </row>
    <row r="9082" spans="1:4" x14ac:dyDescent="0.3">
      <c r="A9082" s="2" t="s">
        <v>282</v>
      </c>
      <c r="B9082" s="2" t="s">
        <v>283</v>
      </c>
      <c r="C9082" s="3">
        <v>2005</v>
      </c>
      <c r="D9082" s="4">
        <v>16319868</v>
      </c>
    </row>
    <row r="9083" spans="1:4" x14ac:dyDescent="0.3">
      <c r="A9083" s="5" t="s">
        <v>282</v>
      </c>
      <c r="B9083" s="5" t="s">
        <v>283</v>
      </c>
      <c r="C9083" s="6">
        <v>2006</v>
      </c>
      <c r="D9083" s="7">
        <v>16346101</v>
      </c>
    </row>
    <row r="9084" spans="1:4" x14ac:dyDescent="0.3">
      <c r="A9084" s="2" t="s">
        <v>282</v>
      </c>
      <c r="B9084" s="2" t="s">
        <v>283</v>
      </c>
      <c r="C9084" s="3">
        <v>2007</v>
      </c>
      <c r="D9084" s="4">
        <v>16381696</v>
      </c>
    </row>
    <row r="9085" spans="1:4" x14ac:dyDescent="0.3">
      <c r="A9085" s="5" t="s">
        <v>282</v>
      </c>
      <c r="B9085" s="5" t="s">
        <v>283</v>
      </c>
      <c r="C9085" s="6">
        <v>2008</v>
      </c>
      <c r="D9085" s="7">
        <v>16445593</v>
      </c>
    </row>
    <row r="9086" spans="1:4" x14ac:dyDescent="0.3">
      <c r="A9086" s="2" t="s">
        <v>282</v>
      </c>
      <c r="B9086" s="2" t="s">
        <v>283</v>
      </c>
      <c r="C9086" s="3">
        <v>2009</v>
      </c>
      <c r="D9086" s="4">
        <v>16530388</v>
      </c>
    </row>
    <row r="9087" spans="1:4" x14ac:dyDescent="0.3">
      <c r="A9087" s="5" t="s">
        <v>282</v>
      </c>
      <c r="B9087" s="5" t="s">
        <v>283</v>
      </c>
      <c r="C9087" s="6">
        <v>2010</v>
      </c>
      <c r="D9087" s="7">
        <v>16615394</v>
      </c>
    </row>
    <row r="9088" spans="1:4" x14ac:dyDescent="0.3">
      <c r="A9088" s="2" t="s">
        <v>282</v>
      </c>
      <c r="B9088" s="2" t="s">
        <v>283</v>
      </c>
      <c r="C9088" s="3">
        <v>2011</v>
      </c>
      <c r="D9088" s="4">
        <v>16693074</v>
      </c>
    </row>
    <row r="9089" spans="1:4" x14ac:dyDescent="0.3">
      <c r="A9089" s="5" t="s">
        <v>282</v>
      </c>
      <c r="B9089" s="5" t="s">
        <v>283</v>
      </c>
      <c r="C9089" s="6">
        <v>2012</v>
      </c>
      <c r="D9089" s="7">
        <v>16754962</v>
      </c>
    </row>
    <row r="9090" spans="1:4" x14ac:dyDescent="0.3">
      <c r="A9090" s="2" t="s">
        <v>282</v>
      </c>
      <c r="B9090" s="2" t="s">
        <v>283</v>
      </c>
      <c r="C9090" s="3">
        <v>2013</v>
      </c>
      <c r="D9090" s="4">
        <v>16804432</v>
      </c>
    </row>
    <row r="9091" spans="1:4" x14ac:dyDescent="0.3">
      <c r="A9091" s="5" t="s">
        <v>282</v>
      </c>
      <c r="B9091" s="5" t="s">
        <v>283</v>
      </c>
      <c r="C9091" s="6">
        <v>2014</v>
      </c>
      <c r="D9091" s="7">
        <v>16865008</v>
      </c>
    </row>
    <row r="9092" spans="1:4" x14ac:dyDescent="0.3">
      <c r="A9092" s="2" t="s">
        <v>282</v>
      </c>
      <c r="B9092" s="2" t="s">
        <v>283</v>
      </c>
      <c r="C9092" s="3">
        <v>2015</v>
      </c>
      <c r="D9092" s="4">
        <v>16939923</v>
      </c>
    </row>
    <row r="9093" spans="1:4" x14ac:dyDescent="0.3">
      <c r="A9093" s="5" t="s">
        <v>282</v>
      </c>
      <c r="B9093" s="5" t="s">
        <v>283</v>
      </c>
      <c r="C9093" s="6">
        <v>2016</v>
      </c>
      <c r="D9093" s="7">
        <v>17030314</v>
      </c>
    </row>
    <row r="9094" spans="1:4" x14ac:dyDescent="0.3">
      <c r="A9094" s="2" t="s">
        <v>282</v>
      </c>
      <c r="B9094" s="2" t="s">
        <v>283</v>
      </c>
      <c r="C9094" s="3">
        <v>2017</v>
      </c>
      <c r="D9094" s="4">
        <v>17131296</v>
      </c>
    </row>
    <row r="9095" spans="1:4" x14ac:dyDescent="0.3">
      <c r="A9095" s="5" t="s">
        <v>282</v>
      </c>
      <c r="B9095" s="5" t="s">
        <v>283</v>
      </c>
      <c r="C9095" s="6">
        <v>2018</v>
      </c>
      <c r="D9095" s="7">
        <v>17231624</v>
      </c>
    </row>
    <row r="9096" spans="1:4" x14ac:dyDescent="0.3">
      <c r="A9096" s="2" t="s">
        <v>282</v>
      </c>
      <c r="B9096" s="2" t="s">
        <v>283</v>
      </c>
      <c r="C9096" s="3">
        <v>2019</v>
      </c>
      <c r="D9096" s="4">
        <v>17344874</v>
      </c>
    </row>
    <row r="9097" spans="1:4" x14ac:dyDescent="0.3">
      <c r="A9097" s="5" t="s">
        <v>282</v>
      </c>
      <c r="B9097" s="5" t="s">
        <v>283</v>
      </c>
      <c r="C9097" s="6">
        <v>2020</v>
      </c>
      <c r="D9097" s="7">
        <v>17441500</v>
      </c>
    </row>
    <row r="9098" spans="1:4" x14ac:dyDescent="0.3">
      <c r="A9098" s="2" t="s">
        <v>282</v>
      </c>
      <c r="B9098" s="2" t="s">
        <v>283</v>
      </c>
      <c r="C9098" s="3">
        <v>2021</v>
      </c>
      <c r="D9098" s="4">
        <v>17533044</v>
      </c>
    </row>
    <row r="9099" spans="1:4" x14ac:dyDescent="0.3">
      <c r="A9099" s="5" t="s">
        <v>282</v>
      </c>
      <c r="B9099" s="5" t="s">
        <v>283</v>
      </c>
      <c r="C9099" s="6">
        <v>2022</v>
      </c>
      <c r="D9099" s="7">
        <v>17700982</v>
      </c>
    </row>
    <row r="9100" spans="1:4" x14ac:dyDescent="0.3">
      <c r="A9100" s="2" t="s">
        <v>282</v>
      </c>
      <c r="B9100" s="2" t="s">
        <v>283</v>
      </c>
      <c r="C9100" s="3">
        <v>2023</v>
      </c>
      <c r="D9100" s="4">
        <v>17877117</v>
      </c>
    </row>
    <row r="9101" spans="1:4" x14ac:dyDescent="0.3">
      <c r="A9101" s="5" t="s">
        <v>282</v>
      </c>
      <c r="B9101" s="5" t="s">
        <v>283</v>
      </c>
      <c r="C9101" s="6">
        <v>2024</v>
      </c>
      <c r="D9101" s="7">
        <v>17994237</v>
      </c>
    </row>
    <row r="9102" spans="1:4" x14ac:dyDescent="0.3">
      <c r="A9102" s="2" t="s">
        <v>284</v>
      </c>
      <c r="B9102" s="2" t="s">
        <v>285</v>
      </c>
      <c r="C9102" s="3">
        <v>1960</v>
      </c>
      <c r="D9102" s="4">
        <v>79819</v>
      </c>
    </row>
    <row r="9103" spans="1:4" x14ac:dyDescent="0.3">
      <c r="A9103" s="5" t="s">
        <v>284</v>
      </c>
      <c r="B9103" s="5" t="s">
        <v>285</v>
      </c>
      <c r="C9103" s="6">
        <v>1961</v>
      </c>
      <c r="D9103" s="7">
        <v>82521</v>
      </c>
    </row>
    <row r="9104" spans="1:4" x14ac:dyDescent="0.3">
      <c r="A9104" s="2" t="s">
        <v>284</v>
      </c>
      <c r="B9104" s="2" t="s">
        <v>285</v>
      </c>
      <c r="C9104" s="3">
        <v>1962</v>
      </c>
      <c r="D9104" s="4">
        <v>85334</v>
      </c>
    </row>
    <row r="9105" spans="1:4" x14ac:dyDescent="0.3">
      <c r="A9105" s="5" t="s">
        <v>284</v>
      </c>
      <c r="B9105" s="5" t="s">
        <v>285</v>
      </c>
      <c r="C9105" s="6">
        <v>1963</v>
      </c>
      <c r="D9105" s="7">
        <v>88050</v>
      </c>
    </row>
    <row r="9106" spans="1:4" x14ac:dyDescent="0.3">
      <c r="A9106" s="2" t="s">
        <v>284</v>
      </c>
      <c r="B9106" s="2" t="s">
        <v>285</v>
      </c>
      <c r="C9106" s="3">
        <v>1964</v>
      </c>
      <c r="D9106" s="4">
        <v>90602</v>
      </c>
    </row>
    <row r="9107" spans="1:4" x14ac:dyDescent="0.3">
      <c r="A9107" s="5" t="s">
        <v>284</v>
      </c>
      <c r="B9107" s="5" t="s">
        <v>285</v>
      </c>
      <c r="C9107" s="6">
        <v>1965</v>
      </c>
      <c r="D9107" s="7">
        <v>93159</v>
      </c>
    </row>
    <row r="9108" spans="1:4" x14ac:dyDescent="0.3">
      <c r="A9108" s="2" t="s">
        <v>284</v>
      </c>
      <c r="B9108" s="2" t="s">
        <v>285</v>
      </c>
      <c r="C9108" s="3">
        <v>1966</v>
      </c>
      <c r="D9108" s="4">
        <v>95820</v>
      </c>
    </row>
    <row r="9109" spans="1:4" x14ac:dyDescent="0.3">
      <c r="A9109" s="5" t="s">
        <v>284</v>
      </c>
      <c r="B9109" s="5" t="s">
        <v>285</v>
      </c>
      <c r="C9109" s="6">
        <v>1967</v>
      </c>
      <c r="D9109" s="7">
        <v>98587</v>
      </c>
    </row>
    <row r="9110" spans="1:4" x14ac:dyDescent="0.3">
      <c r="A9110" s="2" t="s">
        <v>284</v>
      </c>
      <c r="B9110" s="2" t="s">
        <v>285</v>
      </c>
      <c r="C9110" s="3">
        <v>1968</v>
      </c>
      <c r="D9110" s="4">
        <v>101441</v>
      </c>
    </row>
    <row r="9111" spans="1:4" x14ac:dyDescent="0.3">
      <c r="A9111" s="5" t="s">
        <v>284</v>
      </c>
      <c r="B9111" s="5" t="s">
        <v>285</v>
      </c>
      <c r="C9111" s="6">
        <v>1969</v>
      </c>
      <c r="D9111" s="7">
        <v>104849</v>
      </c>
    </row>
    <row r="9112" spans="1:4" x14ac:dyDescent="0.3">
      <c r="A9112" s="2" t="s">
        <v>284</v>
      </c>
      <c r="B9112" s="2" t="s">
        <v>285</v>
      </c>
      <c r="C9112" s="3">
        <v>1970</v>
      </c>
      <c r="D9112" s="4">
        <v>109338</v>
      </c>
    </row>
    <row r="9113" spans="1:4" x14ac:dyDescent="0.3">
      <c r="A9113" s="5" t="s">
        <v>284</v>
      </c>
      <c r="B9113" s="5" t="s">
        <v>285</v>
      </c>
      <c r="C9113" s="6">
        <v>1971</v>
      </c>
      <c r="D9113" s="7">
        <v>114514</v>
      </c>
    </row>
    <row r="9114" spans="1:4" x14ac:dyDescent="0.3">
      <c r="A9114" s="2" t="s">
        <v>284</v>
      </c>
      <c r="B9114" s="2" t="s">
        <v>285</v>
      </c>
      <c r="C9114" s="3">
        <v>1972</v>
      </c>
      <c r="D9114" s="4">
        <v>119931</v>
      </c>
    </row>
    <row r="9115" spans="1:4" x14ac:dyDescent="0.3">
      <c r="A9115" s="5" t="s">
        <v>284</v>
      </c>
      <c r="B9115" s="5" t="s">
        <v>285</v>
      </c>
      <c r="C9115" s="6">
        <v>1973</v>
      </c>
      <c r="D9115" s="7">
        <v>125585</v>
      </c>
    </row>
    <row r="9116" spans="1:4" x14ac:dyDescent="0.3">
      <c r="A9116" s="2" t="s">
        <v>284</v>
      </c>
      <c r="B9116" s="2" t="s">
        <v>285</v>
      </c>
      <c r="C9116" s="3">
        <v>1974</v>
      </c>
      <c r="D9116" s="4">
        <v>131452</v>
      </c>
    </row>
    <row r="9117" spans="1:4" x14ac:dyDescent="0.3">
      <c r="A9117" s="5" t="s">
        <v>284</v>
      </c>
      <c r="B9117" s="5" t="s">
        <v>285</v>
      </c>
      <c r="C9117" s="6">
        <v>1975</v>
      </c>
      <c r="D9117" s="7">
        <v>137462</v>
      </c>
    </row>
    <row r="9118" spans="1:4" x14ac:dyDescent="0.3">
      <c r="A9118" s="2" t="s">
        <v>284</v>
      </c>
      <c r="B9118" s="2" t="s">
        <v>285</v>
      </c>
      <c r="C9118" s="3">
        <v>1976</v>
      </c>
      <c r="D9118" s="4">
        <v>142091</v>
      </c>
    </row>
    <row r="9119" spans="1:4" x14ac:dyDescent="0.3">
      <c r="A9119" s="5" t="s">
        <v>284</v>
      </c>
      <c r="B9119" s="5" t="s">
        <v>285</v>
      </c>
      <c r="C9119" s="6">
        <v>1977</v>
      </c>
      <c r="D9119" s="7">
        <v>144599</v>
      </c>
    </row>
    <row r="9120" spans="1:4" x14ac:dyDescent="0.3">
      <c r="A9120" s="2" t="s">
        <v>284</v>
      </c>
      <c r="B9120" s="2" t="s">
        <v>285</v>
      </c>
      <c r="C9120" s="3">
        <v>1978</v>
      </c>
      <c r="D9120" s="4">
        <v>146392</v>
      </c>
    </row>
    <row r="9121" spans="1:4" x14ac:dyDescent="0.3">
      <c r="A9121" s="5" t="s">
        <v>284</v>
      </c>
      <c r="B9121" s="5" t="s">
        <v>285</v>
      </c>
      <c r="C9121" s="6">
        <v>1979</v>
      </c>
      <c r="D9121" s="7">
        <v>148132</v>
      </c>
    </row>
    <row r="9122" spans="1:4" x14ac:dyDescent="0.3">
      <c r="A9122" s="2" t="s">
        <v>284</v>
      </c>
      <c r="B9122" s="2" t="s">
        <v>285</v>
      </c>
      <c r="C9122" s="3">
        <v>1980</v>
      </c>
      <c r="D9122" s="4">
        <v>149817</v>
      </c>
    </row>
    <row r="9123" spans="1:4" x14ac:dyDescent="0.3">
      <c r="A9123" s="5" t="s">
        <v>284</v>
      </c>
      <c r="B9123" s="5" t="s">
        <v>285</v>
      </c>
      <c r="C9123" s="6">
        <v>1981</v>
      </c>
      <c r="D9123" s="7">
        <v>151441</v>
      </c>
    </row>
    <row r="9124" spans="1:4" x14ac:dyDescent="0.3">
      <c r="A9124" s="2" t="s">
        <v>284</v>
      </c>
      <c r="B9124" s="2" t="s">
        <v>285</v>
      </c>
      <c r="C9124" s="3">
        <v>1982</v>
      </c>
      <c r="D9124" s="4">
        <v>153001</v>
      </c>
    </row>
    <row r="9125" spans="1:4" x14ac:dyDescent="0.3">
      <c r="A9125" s="5" t="s">
        <v>284</v>
      </c>
      <c r="B9125" s="5" t="s">
        <v>285</v>
      </c>
      <c r="C9125" s="6">
        <v>1983</v>
      </c>
      <c r="D9125" s="7">
        <v>155003</v>
      </c>
    </row>
    <row r="9126" spans="1:4" x14ac:dyDescent="0.3">
      <c r="A9126" s="2" t="s">
        <v>284</v>
      </c>
      <c r="B9126" s="2" t="s">
        <v>285</v>
      </c>
      <c r="C9126" s="3">
        <v>1984</v>
      </c>
      <c r="D9126" s="4">
        <v>157583</v>
      </c>
    </row>
    <row r="9127" spans="1:4" x14ac:dyDescent="0.3">
      <c r="A9127" s="5" t="s">
        <v>284</v>
      </c>
      <c r="B9127" s="5" t="s">
        <v>285</v>
      </c>
      <c r="C9127" s="6">
        <v>1985</v>
      </c>
      <c r="D9127" s="7">
        <v>160234</v>
      </c>
    </row>
    <row r="9128" spans="1:4" x14ac:dyDescent="0.3">
      <c r="A9128" s="2" t="s">
        <v>284</v>
      </c>
      <c r="B9128" s="2" t="s">
        <v>285</v>
      </c>
      <c r="C9128" s="3">
        <v>1986</v>
      </c>
      <c r="D9128" s="4">
        <v>162898</v>
      </c>
    </row>
    <row r="9129" spans="1:4" x14ac:dyDescent="0.3">
      <c r="A9129" s="5" t="s">
        <v>284</v>
      </c>
      <c r="B9129" s="5" t="s">
        <v>285</v>
      </c>
      <c r="C9129" s="6">
        <v>1987</v>
      </c>
      <c r="D9129" s="7">
        <v>165650</v>
      </c>
    </row>
    <row r="9130" spans="1:4" x14ac:dyDescent="0.3">
      <c r="A9130" s="2" t="s">
        <v>284</v>
      </c>
      <c r="B9130" s="2" t="s">
        <v>285</v>
      </c>
      <c r="C9130" s="3">
        <v>1988</v>
      </c>
      <c r="D9130" s="4">
        <v>168502</v>
      </c>
    </row>
    <row r="9131" spans="1:4" x14ac:dyDescent="0.3">
      <c r="A9131" s="5" t="s">
        <v>284</v>
      </c>
      <c r="B9131" s="5" t="s">
        <v>285</v>
      </c>
      <c r="C9131" s="6">
        <v>1989</v>
      </c>
      <c r="D9131" s="7">
        <v>172029</v>
      </c>
    </row>
    <row r="9132" spans="1:4" x14ac:dyDescent="0.3">
      <c r="A9132" s="2" t="s">
        <v>284</v>
      </c>
      <c r="B9132" s="2" t="s">
        <v>285</v>
      </c>
      <c r="C9132" s="3">
        <v>1990</v>
      </c>
      <c r="D9132" s="4">
        <v>176456</v>
      </c>
    </row>
    <row r="9133" spans="1:4" x14ac:dyDescent="0.3">
      <c r="A9133" s="5" t="s">
        <v>284</v>
      </c>
      <c r="B9133" s="5" t="s">
        <v>285</v>
      </c>
      <c r="C9133" s="6">
        <v>1991</v>
      </c>
      <c r="D9133" s="7">
        <v>181238</v>
      </c>
    </row>
    <row r="9134" spans="1:4" x14ac:dyDescent="0.3">
      <c r="A9134" s="2" t="s">
        <v>284</v>
      </c>
      <c r="B9134" s="2" t="s">
        <v>285</v>
      </c>
      <c r="C9134" s="3">
        <v>1992</v>
      </c>
      <c r="D9134" s="4">
        <v>186072</v>
      </c>
    </row>
    <row r="9135" spans="1:4" x14ac:dyDescent="0.3">
      <c r="A9135" s="5" t="s">
        <v>284</v>
      </c>
      <c r="B9135" s="5" t="s">
        <v>285</v>
      </c>
      <c r="C9135" s="6">
        <v>1993</v>
      </c>
      <c r="D9135" s="7">
        <v>190857</v>
      </c>
    </row>
    <row r="9136" spans="1:4" x14ac:dyDescent="0.3">
      <c r="A9136" s="2" t="s">
        <v>284</v>
      </c>
      <c r="B9136" s="2" t="s">
        <v>285</v>
      </c>
      <c r="C9136" s="3">
        <v>1994</v>
      </c>
      <c r="D9136" s="4">
        <v>195614</v>
      </c>
    </row>
    <row r="9137" spans="1:4" x14ac:dyDescent="0.3">
      <c r="A9137" s="5" t="s">
        <v>284</v>
      </c>
      <c r="B9137" s="5" t="s">
        <v>285</v>
      </c>
      <c r="C9137" s="6">
        <v>1995</v>
      </c>
      <c r="D9137" s="7">
        <v>200379</v>
      </c>
    </row>
    <row r="9138" spans="1:4" x14ac:dyDescent="0.3">
      <c r="A9138" s="2" t="s">
        <v>284</v>
      </c>
      <c r="B9138" s="2" t="s">
        <v>285</v>
      </c>
      <c r="C9138" s="3">
        <v>1996</v>
      </c>
      <c r="D9138" s="4">
        <v>205034</v>
      </c>
    </row>
    <row r="9139" spans="1:4" x14ac:dyDescent="0.3">
      <c r="A9139" s="5" t="s">
        <v>284</v>
      </c>
      <c r="B9139" s="5" t="s">
        <v>285</v>
      </c>
      <c r="C9139" s="6">
        <v>1997</v>
      </c>
      <c r="D9139" s="7">
        <v>209560</v>
      </c>
    </row>
    <row r="9140" spans="1:4" x14ac:dyDescent="0.3">
      <c r="A9140" s="2" t="s">
        <v>284</v>
      </c>
      <c r="B9140" s="2" t="s">
        <v>285</v>
      </c>
      <c r="C9140" s="3">
        <v>1998</v>
      </c>
      <c r="D9140" s="4">
        <v>214047</v>
      </c>
    </row>
    <row r="9141" spans="1:4" x14ac:dyDescent="0.3">
      <c r="A9141" s="5" t="s">
        <v>284</v>
      </c>
      <c r="B9141" s="5" t="s">
        <v>285</v>
      </c>
      <c r="C9141" s="6">
        <v>1999</v>
      </c>
      <c r="D9141" s="7">
        <v>218527</v>
      </c>
    </row>
    <row r="9142" spans="1:4" x14ac:dyDescent="0.3">
      <c r="A9142" s="2" t="s">
        <v>284</v>
      </c>
      <c r="B9142" s="2" t="s">
        <v>285</v>
      </c>
      <c r="C9142" s="3">
        <v>2000</v>
      </c>
      <c r="D9142" s="4">
        <v>223098</v>
      </c>
    </row>
    <row r="9143" spans="1:4" x14ac:dyDescent="0.3">
      <c r="A9143" s="5" t="s">
        <v>284</v>
      </c>
      <c r="B9143" s="5" t="s">
        <v>285</v>
      </c>
      <c r="C9143" s="6">
        <v>2001</v>
      </c>
      <c r="D9143" s="7">
        <v>227707</v>
      </c>
    </row>
    <row r="9144" spans="1:4" x14ac:dyDescent="0.3">
      <c r="A9144" s="2" t="s">
        <v>284</v>
      </c>
      <c r="B9144" s="2" t="s">
        <v>285</v>
      </c>
      <c r="C9144" s="3">
        <v>2002</v>
      </c>
      <c r="D9144" s="4">
        <v>232236</v>
      </c>
    </row>
    <row r="9145" spans="1:4" x14ac:dyDescent="0.3">
      <c r="A9145" s="5" t="s">
        <v>284</v>
      </c>
      <c r="B9145" s="5" t="s">
        <v>285</v>
      </c>
      <c r="C9145" s="6">
        <v>2003</v>
      </c>
      <c r="D9145" s="7">
        <v>236678</v>
      </c>
    </row>
    <row r="9146" spans="1:4" x14ac:dyDescent="0.3">
      <c r="A9146" s="2" t="s">
        <v>284</v>
      </c>
      <c r="B9146" s="2" t="s">
        <v>285</v>
      </c>
      <c r="C9146" s="3">
        <v>2004</v>
      </c>
      <c r="D9146" s="4">
        <v>240852</v>
      </c>
    </row>
    <row r="9147" spans="1:4" x14ac:dyDescent="0.3">
      <c r="A9147" s="5" t="s">
        <v>284</v>
      </c>
      <c r="B9147" s="5" t="s">
        <v>285</v>
      </c>
      <c r="C9147" s="6">
        <v>2005</v>
      </c>
      <c r="D9147" s="7">
        <v>244381</v>
      </c>
    </row>
    <row r="9148" spans="1:4" x14ac:dyDescent="0.3">
      <c r="A9148" s="2" t="s">
        <v>284</v>
      </c>
      <c r="B9148" s="2" t="s">
        <v>285</v>
      </c>
      <c r="C9148" s="3">
        <v>2006</v>
      </c>
      <c r="D9148" s="4">
        <v>247547</v>
      </c>
    </row>
    <row r="9149" spans="1:4" x14ac:dyDescent="0.3">
      <c r="A9149" s="5" t="s">
        <v>284</v>
      </c>
      <c r="B9149" s="5" t="s">
        <v>285</v>
      </c>
      <c r="C9149" s="6">
        <v>2007</v>
      </c>
      <c r="D9149" s="7">
        <v>250725</v>
      </c>
    </row>
    <row r="9150" spans="1:4" x14ac:dyDescent="0.3">
      <c r="A9150" s="2" t="s">
        <v>284</v>
      </c>
      <c r="B9150" s="2" t="s">
        <v>285</v>
      </c>
      <c r="C9150" s="3">
        <v>2008</v>
      </c>
      <c r="D9150" s="4">
        <v>253825</v>
      </c>
    </row>
    <row r="9151" spans="1:4" x14ac:dyDescent="0.3">
      <c r="A9151" s="5" t="s">
        <v>284</v>
      </c>
      <c r="B9151" s="5" t="s">
        <v>285</v>
      </c>
      <c r="C9151" s="6">
        <v>2009</v>
      </c>
      <c r="D9151" s="7">
        <v>257250</v>
      </c>
    </row>
    <row r="9152" spans="1:4" x14ac:dyDescent="0.3">
      <c r="A9152" s="2" t="s">
        <v>284</v>
      </c>
      <c r="B9152" s="2" t="s">
        <v>285</v>
      </c>
      <c r="C9152" s="3">
        <v>2010</v>
      </c>
      <c r="D9152" s="4">
        <v>261582</v>
      </c>
    </row>
    <row r="9153" spans="1:4" x14ac:dyDescent="0.3">
      <c r="A9153" s="5" t="s">
        <v>284</v>
      </c>
      <c r="B9153" s="5" t="s">
        <v>285</v>
      </c>
      <c r="C9153" s="6">
        <v>2011</v>
      </c>
      <c r="D9153" s="7">
        <v>266543</v>
      </c>
    </row>
    <row r="9154" spans="1:4" x14ac:dyDescent="0.3">
      <c r="A9154" s="2" t="s">
        <v>284</v>
      </c>
      <c r="B9154" s="2" t="s">
        <v>285</v>
      </c>
      <c r="C9154" s="3">
        <v>2012</v>
      </c>
      <c r="D9154" s="4">
        <v>271633</v>
      </c>
    </row>
    <row r="9155" spans="1:4" x14ac:dyDescent="0.3">
      <c r="A9155" s="5" t="s">
        <v>284</v>
      </c>
      <c r="B9155" s="5" t="s">
        <v>285</v>
      </c>
      <c r="C9155" s="6">
        <v>2013</v>
      </c>
      <c r="D9155" s="7">
        <v>276822</v>
      </c>
    </row>
    <row r="9156" spans="1:4" x14ac:dyDescent="0.3">
      <c r="A9156" s="2" t="s">
        <v>284</v>
      </c>
      <c r="B9156" s="2" t="s">
        <v>285</v>
      </c>
      <c r="C9156" s="3">
        <v>2014</v>
      </c>
      <c r="D9156" s="4">
        <v>281224</v>
      </c>
    </row>
    <row r="9157" spans="1:4" x14ac:dyDescent="0.3">
      <c r="A9157" s="5" t="s">
        <v>284</v>
      </c>
      <c r="B9157" s="5" t="s">
        <v>285</v>
      </c>
      <c r="C9157" s="6">
        <v>2015</v>
      </c>
      <c r="D9157" s="7">
        <v>283168</v>
      </c>
    </row>
    <row r="9158" spans="1:4" x14ac:dyDescent="0.3">
      <c r="A9158" s="2" t="s">
        <v>284</v>
      </c>
      <c r="B9158" s="2" t="s">
        <v>285</v>
      </c>
      <c r="C9158" s="3">
        <v>2016</v>
      </c>
      <c r="D9158" s="4">
        <v>283423</v>
      </c>
    </row>
    <row r="9159" spans="1:4" x14ac:dyDescent="0.3">
      <c r="A9159" s="5" t="s">
        <v>284</v>
      </c>
      <c r="B9159" s="5" t="s">
        <v>285</v>
      </c>
      <c r="C9159" s="6">
        <v>2017</v>
      </c>
      <c r="D9159" s="7">
        <v>283546</v>
      </c>
    </row>
    <row r="9160" spans="1:4" x14ac:dyDescent="0.3">
      <c r="A9160" s="2" t="s">
        <v>284</v>
      </c>
      <c r="B9160" s="2" t="s">
        <v>285</v>
      </c>
      <c r="C9160" s="3">
        <v>2018</v>
      </c>
      <c r="D9160" s="4">
        <v>283541</v>
      </c>
    </row>
    <row r="9161" spans="1:4" x14ac:dyDescent="0.3">
      <c r="A9161" s="5" t="s">
        <v>284</v>
      </c>
      <c r="B9161" s="5" t="s">
        <v>285</v>
      </c>
      <c r="C9161" s="6">
        <v>2019</v>
      </c>
      <c r="D9161" s="7">
        <v>283606</v>
      </c>
    </row>
    <row r="9162" spans="1:4" x14ac:dyDescent="0.3">
      <c r="A9162" s="2" t="s">
        <v>284</v>
      </c>
      <c r="B9162" s="2" t="s">
        <v>285</v>
      </c>
      <c r="C9162" s="3">
        <v>2020</v>
      </c>
      <c r="D9162" s="4">
        <v>284176</v>
      </c>
    </row>
    <row r="9163" spans="1:4" x14ac:dyDescent="0.3">
      <c r="A9163" s="5" t="s">
        <v>284</v>
      </c>
      <c r="B9163" s="5" t="s">
        <v>285</v>
      </c>
      <c r="C9163" s="6">
        <v>2021</v>
      </c>
      <c r="D9163" s="7">
        <v>285214</v>
      </c>
    </row>
    <row r="9164" spans="1:4" x14ac:dyDescent="0.3">
      <c r="A9164" s="2" t="s">
        <v>284</v>
      </c>
      <c r="B9164" s="2" t="s">
        <v>285</v>
      </c>
      <c r="C9164" s="3">
        <v>2022</v>
      </c>
      <c r="D9164" s="4">
        <v>287123</v>
      </c>
    </row>
    <row r="9165" spans="1:4" x14ac:dyDescent="0.3">
      <c r="A9165" s="5" t="s">
        <v>284</v>
      </c>
      <c r="B9165" s="5" t="s">
        <v>285</v>
      </c>
      <c r="C9165" s="6">
        <v>2023</v>
      </c>
      <c r="D9165" s="7">
        <v>289870</v>
      </c>
    </row>
    <row r="9166" spans="1:4" x14ac:dyDescent="0.3">
      <c r="A9166" s="2" t="s">
        <v>284</v>
      </c>
      <c r="B9166" s="2" t="s">
        <v>285</v>
      </c>
      <c r="C9166" s="3">
        <v>2024</v>
      </c>
      <c r="D9166" s="4">
        <v>292639</v>
      </c>
    </row>
    <row r="9167" spans="1:4" x14ac:dyDescent="0.3">
      <c r="A9167" s="5" t="s">
        <v>286</v>
      </c>
      <c r="B9167" s="5" t="s">
        <v>287</v>
      </c>
      <c r="C9167" s="6">
        <v>1960</v>
      </c>
      <c r="D9167" s="7">
        <v>2371800</v>
      </c>
    </row>
    <row r="9168" spans="1:4" x14ac:dyDescent="0.3">
      <c r="A9168" s="2" t="s">
        <v>286</v>
      </c>
      <c r="B9168" s="2" t="s">
        <v>287</v>
      </c>
      <c r="C9168" s="3">
        <v>1961</v>
      </c>
      <c r="D9168" s="4">
        <v>2419700</v>
      </c>
    </row>
    <row r="9169" spans="1:4" x14ac:dyDescent="0.3">
      <c r="A9169" s="5" t="s">
        <v>286</v>
      </c>
      <c r="B9169" s="5" t="s">
        <v>287</v>
      </c>
      <c r="C9169" s="6">
        <v>1962</v>
      </c>
      <c r="D9169" s="7">
        <v>2482000</v>
      </c>
    </row>
    <row r="9170" spans="1:4" x14ac:dyDescent="0.3">
      <c r="A9170" s="2" t="s">
        <v>286</v>
      </c>
      <c r="B9170" s="2" t="s">
        <v>287</v>
      </c>
      <c r="C9170" s="3">
        <v>1963</v>
      </c>
      <c r="D9170" s="4">
        <v>2531800</v>
      </c>
    </row>
    <row r="9171" spans="1:4" x14ac:dyDescent="0.3">
      <c r="A9171" s="5" t="s">
        <v>286</v>
      </c>
      <c r="B9171" s="5" t="s">
        <v>287</v>
      </c>
      <c r="C9171" s="6">
        <v>1964</v>
      </c>
      <c r="D9171" s="7">
        <v>2585400</v>
      </c>
    </row>
    <row r="9172" spans="1:4" x14ac:dyDescent="0.3">
      <c r="A9172" s="2" t="s">
        <v>286</v>
      </c>
      <c r="B9172" s="2" t="s">
        <v>287</v>
      </c>
      <c r="C9172" s="3">
        <v>1965</v>
      </c>
      <c r="D9172" s="4">
        <v>2628400</v>
      </c>
    </row>
    <row r="9173" spans="1:4" x14ac:dyDescent="0.3">
      <c r="A9173" s="5" t="s">
        <v>286</v>
      </c>
      <c r="B9173" s="5" t="s">
        <v>287</v>
      </c>
      <c r="C9173" s="6">
        <v>1966</v>
      </c>
      <c r="D9173" s="7">
        <v>2675900</v>
      </c>
    </row>
    <row r="9174" spans="1:4" x14ac:dyDescent="0.3">
      <c r="A9174" s="2" t="s">
        <v>286</v>
      </c>
      <c r="B9174" s="2" t="s">
        <v>287</v>
      </c>
      <c r="C9174" s="3">
        <v>1967</v>
      </c>
      <c r="D9174" s="4">
        <v>2724100</v>
      </c>
    </row>
    <row r="9175" spans="1:4" x14ac:dyDescent="0.3">
      <c r="A9175" s="5" t="s">
        <v>286</v>
      </c>
      <c r="B9175" s="5" t="s">
        <v>287</v>
      </c>
      <c r="C9175" s="6">
        <v>1968</v>
      </c>
      <c r="D9175" s="7">
        <v>2748100</v>
      </c>
    </row>
    <row r="9176" spans="1:4" x14ac:dyDescent="0.3">
      <c r="A9176" s="2" t="s">
        <v>286</v>
      </c>
      <c r="B9176" s="2" t="s">
        <v>287</v>
      </c>
      <c r="C9176" s="3">
        <v>1969</v>
      </c>
      <c r="D9176" s="4">
        <v>2772800</v>
      </c>
    </row>
    <row r="9177" spans="1:4" x14ac:dyDescent="0.3">
      <c r="A9177" s="5" t="s">
        <v>286</v>
      </c>
      <c r="B9177" s="5" t="s">
        <v>287</v>
      </c>
      <c r="C9177" s="6">
        <v>1970</v>
      </c>
      <c r="D9177" s="7">
        <v>2810700</v>
      </c>
    </row>
    <row r="9178" spans="1:4" x14ac:dyDescent="0.3">
      <c r="A9178" s="2" t="s">
        <v>286</v>
      </c>
      <c r="B9178" s="2" t="s">
        <v>287</v>
      </c>
      <c r="C9178" s="3">
        <v>1971</v>
      </c>
      <c r="D9178" s="4">
        <v>2853000</v>
      </c>
    </row>
    <row r="9179" spans="1:4" x14ac:dyDescent="0.3">
      <c r="A9179" s="5" t="s">
        <v>286</v>
      </c>
      <c r="B9179" s="5" t="s">
        <v>287</v>
      </c>
      <c r="C9179" s="6">
        <v>1972</v>
      </c>
      <c r="D9179" s="7">
        <v>2903900</v>
      </c>
    </row>
    <row r="9180" spans="1:4" x14ac:dyDescent="0.3">
      <c r="A9180" s="2" t="s">
        <v>286</v>
      </c>
      <c r="B9180" s="2" t="s">
        <v>287</v>
      </c>
      <c r="C9180" s="3">
        <v>1973</v>
      </c>
      <c r="D9180" s="4">
        <v>2961300</v>
      </c>
    </row>
    <row r="9181" spans="1:4" x14ac:dyDescent="0.3">
      <c r="A9181" s="5" t="s">
        <v>286</v>
      </c>
      <c r="B9181" s="5" t="s">
        <v>287</v>
      </c>
      <c r="C9181" s="6">
        <v>1974</v>
      </c>
      <c r="D9181" s="7">
        <v>3023700</v>
      </c>
    </row>
    <row r="9182" spans="1:4" x14ac:dyDescent="0.3">
      <c r="A9182" s="2" t="s">
        <v>286</v>
      </c>
      <c r="B9182" s="2" t="s">
        <v>287</v>
      </c>
      <c r="C9182" s="3">
        <v>1975</v>
      </c>
      <c r="D9182" s="4">
        <v>3083100</v>
      </c>
    </row>
    <row r="9183" spans="1:4" x14ac:dyDescent="0.3">
      <c r="A9183" s="5" t="s">
        <v>286</v>
      </c>
      <c r="B9183" s="5" t="s">
        <v>287</v>
      </c>
      <c r="C9183" s="6">
        <v>1976</v>
      </c>
      <c r="D9183" s="7">
        <v>3110500</v>
      </c>
    </row>
    <row r="9184" spans="1:4" x14ac:dyDescent="0.3">
      <c r="A9184" s="2" t="s">
        <v>286</v>
      </c>
      <c r="B9184" s="2" t="s">
        <v>287</v>
      </c>
      <c r="C9184" s="3">
        <v>1977</v>
      </c>
      <c r="D9184" s="4">
        <v>3120200</v>
      </c>
    </row>
    <row r="9185" spans="1:4" x14ac:dyDescent="0.3">
      <c r="A9185" s="5" t="s">
        <v>286</v>
      </c>
      <c r="B9185" s="5" t="s">
        <v>287</v>
      </c>
      <c r="C9185" s="6">
        <v>1978</v>
      </c>
      <c r="D9185" s="7">
        <v>3121200</v>
      </c>
    </row>
    <row r="9186" spans="1:4" x14ac:dyDescent="0.3">
      <c r="A9186" s="2" t="s">
        <v>286</v>
      </c>
      <c r="B9186" s="2" t="s">
        <v>287</v>
      </c>
      <c r="C9186" s="3">
        <v>1979</v>
      </c>
      <c r="D9186" s="4">
        <v>3109000</v>
      </c>
    </row>
    <row r="9187" spans="1:4" x14ac:dyDescent="0.3">
      <c r="A9187" s="5" t="s">
        <v>286</v>
      </c>
      <c r="B9187" s="5" t="s">
        <v>287</v>
      </c>
      <c r="C9187" s="6">
        <v>1980</v>
      </c>
      <c r="D9187" s="7">
        <v>3112900</v>
      </c>
    </row>
    <row r="9188" spans="1:4" x14ac:dyDescent="0.3">
      <c r="A9188" s="2" t="s">
        <v>286</v>
      </c>
      <c r="B9188" s="2" t="s">
        <v>287</v>
      </c>
      <c r="C9188" s="3">
        <v>1981</v>
      </c>
      <c r="D9188" s="4">
        <v>3124900</v>
      </c>
    </row>
    <row r="9189" spans="1:4" x14ac:dyDescent="0.3">
      <c r="A9189" s="5" t="s">
        <v>286</v>
      </c>
      <c r="B9189" s="5" t="s">
        <v>287</v>
      </c>
      <c r="C9189" s="6">
        <v>1982</v>
      </c>
      <c r="D9189" s="7">
        <v>3156100</v>
      </c>
    </row>
    <row r="9190" spans="1:4" x14ac:dyDescent="0.3">
      <c r="A9190" s="2" t="s">
        <v>286</v>
      </c>
      <c r="B9190" s="2" t="s">
        <v>287</v>
      </c>
      <c r="C9190" s="3">
        <v>1983</v>
      </c>
      <c r="D9190" s="4">
        <v>3199300</v>
      </c>
    </row>
    <row r="9191" spans="1:4" x14ac:dyDescent="0.3">
      <c r="A9191" s="5" t="s">
        <v>286</v>
      </c>
      <c r="B9191" s="5" t="s">
        <v>287</v>
      </c>
      <c r="C9191" s="6">
        <v>1984</v>
      </c>
      <c r="D9191" s="7">
        <v>3227100</v>
      </c>
    </row>
    <row r="9192" spans="1:4" x14ac:dyDescent="0.3">
      <c r="A9192" s="2" t="s">
        <v>286</v>
      </c>
      <c r="B9192" s="2" t="s">
        <v>287</v>
      </c>
      <c r="C9192" s="3">
        <v>1985</v>
      </c>
      <c r="D9192" s="4">
        <v>3247100</v>
      </c>
    </row>
    <row r="9193" spans="1:4" x14ac:dyDescent="0.3">
      <c r="A9193" s="5" t="s">
        <v>286</v>
      </c>
      <c r="B9193" s="5" t="s">
        <v>287</v>
      </c>
      <c r="C9193" s="6">
        <v>1986</v>
      </c>
      <c r="D9193" s="7">
        <v>3246300</v>
      </c>
    </row>
    <row r="9194" spans="1:4" x14ac:dyDescent="0.3">
      <c r="A9194" s="2" t="s">
        <v>286</v>
      </c>
      <c r="B9194" s="2" t="s">
        <v>287</v>
      </c>
      <c r="C9194" s="3">
        <v>1987</v>
      </c>
      <c r="D9194" s="4">
        <v>3274400</v>
      </c>
    </row>
    <row r="9195" spans="1:4" x14ac:dyDescent="0.3">
      <c r="A9195" s="5" t="s">
        <v>286</v>
      </c>
      <c r="B9195" s="5" t="s">
        <v>287</v>
      </c>
      <c r="C9195" s="6">
        <v>1988</v>
      </c>
      <c r="D9195" s="7">
        <v>3283400</v>
      </c>
    </row>
    <row r="9196" spans="1:4" x14ac:dyDescent="0.3">
      <c r="A9196" s="2" t="s">
        <v>286</v>
      </c>
      <c r="B9196" s="2" t="s">
        <v>287</v>
      </c>
      <c r="C9196" s="3">
        <v>1989</v>
      </c>
      <c r="D9196" s="4">
        <v>3299200</v>
      </c>
    </row>
    <row r="9197" spans="1:4" x14ac:dyDescent="0.3">
      <c r="A9197" s="5" t="s">
        <v>286</v>
      </c>
      <c r="B9197" s="5" t="s">
        <v>287</v>
      </c>
      <c r="C9197" s="6">
        <v>1990</v>
      </c>
      <c r="D9197" s="7">
        <v>3329800</v>
      </c>
    </row>
    <row r="9198" spans="1:4" x14ac:dyDescent="0.3">
      <c r="A9198" s="2" t="s">
        <v>286</v>
      </c>
      <c r="B9198" s="2" t="s">
        <v>287</v>
      </c>
      <c r="C9198" s="3">
        <v>1991</v>
      </c>
      <c r="D9198" s="4">
        <v>3495100</v>
      </c>
    </row>
    <row r="9199" spans="1:4" x14ac:dyDescent="0.3">
      <c r="A9199" s="5" t="s">
        <v>286</v>
      </c>
      <c r="B9199" s="5" t="s">
        <v>287</v>
      </c>
      <c r="C9199" s="6">
        <v>1992</v>
      </c>
      <c r="D9199" s="7">
        <v>3531700</v>
      </c>
    </row>
    <row r="9200" spans="1:4" x14ac:dyDescent="0.3">
      <c r="A9200" s="2" t="s">
        <v>286</v>
      </c>
      <c r="B9200" s="2" t="s">
        <v>287</v>
      </c>
      <c r="C9200" s="3">
        <v>1993</v>
      </c>
      <c r="D9200" s="4">
        <v>3572200</v>
      </c>
    </row>
    <row r="9201" spans="1:4" x14ac:dyDescent="0.3">
      <c r="A9201" s="5" t="s">
        <v>286</v>
      </c>
      <c r="B9201" s="5" t="s">
        <v>287</v>
      </c>
      <c r="C9201" s="6">
        <v>1994</v>
      </c>
      <c r="D9201" s="7">
        <v>3620000</v>
      </c>
    </row>
    <row r="9202" spans="1:4" x14ac:dyDescent="0.3">
      <c r="A9202" s="2" t="s">
        <v>286</v>
      </c>
      <c r="B9202" s="2" t="s">
        <v>287</v>
      </c>
      <c r="C9202" s="3">
        <v>1995</v>
      </c>
      <c r="D9202" s="4">
        <v>3673400</v>
      </c>
    </row>
    <row r="9203" spans="1:4" x14ac:dyDescent="0.3">
      <c r="A9203" s="5" t="s">
        <v>286</v>
      </c>
      <c r="B9203" s="5" t="s">
        <v>287</v>
      </c>
      <c r="C9203" s="6">
        <v>1996</v>
      </c>
      <c r="D9203" s="7">
        <v>3732000</v>
      </c>
    </row>
    <row r="9204" spans="1:4" x14ac:dyDescent="0.3">
      <c r="A9204" s="2" t="s">
        <v>286</v>
      </c>
      <c r="B9204" s="2" t="s">
        <v>287</v>
      </c>
      <c r="C9204" s="3">
        <v>1997</v>
      </c>
      <c r="D9204" s="4">
        <v>3781300</v>
      </c>
    </row>
    <row r="9205" spans="1:4" x14ac:dyDescent="0.3">
      <c r="A9205" s="5" t="s">
        <v>286</v>
      </c>
      <c r="B9205" s="5" t="s">
        <v>287</v>
      </c>
      <c r="C9205" s="6">
        <v>1998</v>
      </c>
      <c r="D9205" s="7">
        <v>3815000</v>
      </c>
    </row>
    <row r="9206" spans="1:4" x14ac:dyDescent="0.3">
      <c r="A9206" s="2" t="s">
        <v>286</v>
      </c>
      <c r="B9206" s="2" t="s">
        <v>287</v>
      </c>
      <c r="C9206" s="3">
        <v>1999</v>
      </c>
      <c r="D9206" s="4">
        <v>3835100</v>
      </c>
    </row>
    <row r="9207" spans="1:4" x14ac:dyDescent="0.3">
      <c r="A9207" s="5" t="s">
        <v>286</v>
      </c>
      <c r="B9207" s="5" t="s">
        <v>287</v>
      </c>
      <c r="C9207" s="6">
        <v>2000</v>
      </c>
      <c r="D9207" s="7">
        <v>3857700</v>
      </c>
    </row>
    <row r="9208" spans="1:4" x14ac:dyDescent="0.3">
      <c r="A9208" s="2" t="s">
        <v>286</v>
      </c>
      <c r="B9208" s="2" t="s">
        <v>287</v>
      </c>
      <c r="C9208" s="3">
        <v>2001</v>
      </c>
      <c r="D9208" s="4">
        <v>3880500</v>
      </c>
    </row>
    <row r="9209" spans="1:4" x14ac:dyDescent="0.3">
      <c r="A9209" s="5" t="s">
        <v>286</v>
      </c>
      <c r="B9209" s="5" t="s">
        <v>287</v>
      </c>
      <c r="C9209" s="6">
        <v>2002</v>
      </c>
      <c r="D9209" s="7">
        <v>3948500</v>
      </c>
    </row>
    <row r="9210" spans="1:4" x14ac:dyDescent="0.3">
      <c r="A9210" s="2" t="s">
        <v>286</v>
      </c>
      <c r="B9210" s="2" t="s">
        <v>287</v>
      </c>
      <c r="C9210" s="3">
        <v>2003</v>
      </c>
      <c r="D9210" s="4">
        <v>4027200</v>
      </c>
    </row>
    <row r="9211" spans="1:4" x14ac:dyDescent="0.3">
      <c r="A9211" s="5" t="s">
        <v>286</v>
      </c>
      <c r="B9211" s="5" t="s">
        <v>287</v>
      </c>
      <c r="C9211" s="6">
        <v>2004</v>
      </c>
      <c r="D9211" s="7">
        <v>4087500</v>
      </c>
    </row>
    <row r="9212" spans="1:4" x14ac:dyDescent="0.3">
      <c r="A9212" s="2" t="s">
        <v>286</v>
      </c>
      <c r="B9212" s="2" t="s">
        <v>287</v>
      </c>
      <c r="C9212" s="3">
        <v>2005</v>
      </c>
      <c r="D9212" s="4">
        <v>4133900</v>
      </c>
    </row>
    <row r="9213" spans="1:4" x14ac:dyDescent="0.3">
      <c r="A9213" s="5" t="s">
        <v>286</v>
      </c>
      <c r="B9213" s="5" t="s">
        <v>287</v>
      </c>
      <c r="C9213" s="6">
        <v>2006</v>
      </c>
      <c r="D9213" s="7">
        <v>4184600</v>
      </c>
    </row>
    <row r="9214" spans="1:4" x14ac:dyDescent="0.3">
      <c r="A9214" s="2" t="s">
        <v>286</v>
      </c>
      <c r="B9214" s="2" t="s">
        <v>287</v>
      </c>
      <c r="C9214" s="3">
        <v>2007</v>
      </c>
      <c r="D9214" s="4">
        <v>4223800</v>
      </c>
    </row>
    <row r="9215" spans="1:4" x14ac:dyDescent="0.3">
      <c r="A9215" s="5" t="s">
        <v>286</v>
      </c>
      <c r="B9215" s="5" t="s">
        <v>287</v>
      </c>
      <c r="C9215" s="6">
        <v>2008</v>
      </c>
      <c r="D9215" s="7">
        <v>4259800</v>
      </c>
    </row>
    <row r="9216" spans="1:4" x14ac:dyDescent="0.3">
      <c r="A9216" s="2" t="s">
        <v>286</v>
      </c>
      <c r="B9216" s="2" t="s">
        <v>287</v>
      </c>
      <c r="C9216" s="3">
        <v>2009</v>
      </c>
      <c r="D9216" s="4">
        <v>4302600</v>
      </c>
    </row>
    <row r="9217" spans="1:4" x14ac:dyDescent="0.3">
      <c r="A9217" s="5" t="s">
        <v>286</v>
      </c>
      <c r="B9217" s="5" t="s">
        <v>287</v>
      </c>
      <c r="C9217" s="6">
        <v>2010</v>
      </c>
      <c r="D9217" s="7">
        <v>4350700</v>
      </c>
    </row>
    <row r="9218" spans="1:4" x14ac:dyDescent="0.3">
      <c r="A9218" s="2" t="s">
        <v>286</v>
      </c>
      <c r="B9218" s="2" t="s">
        <v>287</v>
      </c>
      <c r="C9218" s="3">
        <v>2011</v>
      </c>
      <c r="D9218" s="4">
        <v>4384000</v>
      </c>
    </row>
    <row r="9219" spans="1:4" x14ac:dyDescent="0.3">
      <c r="A9219" s="5" t="s">
        <v>286</v>
      </c>
      <c r="B9219" s="5" t="s">
        <v>287</v>
      </c>
      <c r="C9219" s="6">
        <v>2012</v>
      </c>
      <c r="D9219" s="7">
        <v>4408100</v>
      </c>
    </row>
    <row r="9220" spans="1:4" x14ac:dyDescent="0.3">
      <c r="A9220" s="2" t="s">
        <v>286</v>
      </c>
      <c r="B9220" s="2" t="s">
        <v>287</v>
      </c>
      <c r="C9220" s="3">
        <v>2013</v>
      </c>
      <c r="D9220" s="4">
        <v>4442100</v>
      </c>
    </row>
    <row r="9221" spans="1:4" x14ac:dyDescent="0.3">
      <c r="A9221" s="5" t="s">
        <v>286</v>
      </c>
      <c r="B9221" s="5" t="s">
        <v>287</v>
      </c>
      <c r="C9221" s="6">
        <v>2014</v>
      </c>
      <c r="D9221" s="7">
        <v>4516500</v>
      </c>
    </row>
    <row r="9222" spans="1:4" x14ac:dyDescent="0.3">
      <c r="A9222" s="2" t="s">
        <v>286</v>
      </c>
      <c r="B9222" s="2" t="s">
        <v>287</v>
      </c>
      <c r="C9222" s="3">
        <v>2015</v>
      </c>
      <c r="D9222" s="4">
        <v>4609400</v>
      </c>
    </row>
    <row r="9223" spans="1:4" x14ac:dyDescent="0.3">
      <c r="A9223" s="5" t="s">
        <v>286</v>
      </c>
      <c r="B9223" s="5" t="s">
        <v>287</v>
      </c>
      <c r="C9223" s="6">
        <v>2016</v>
      </c>
      <c r="D9223" s="7">
        <v>4714100</v>
      </c>
    </row>
    <row r="9224" spans="1:4" x14ac:dyDescent="0.3">
      <c r="A9224" s="2" t="s">
        <v>286</v>
      </c>
      <c r="B9224" s="2" t="s">
        <v>287</v>
      </c>
      <c r="C9224" s="3">
        <v>2017</v>
      </c>
      <c r="D9224" s="4">
        <v>4813600</v>
      </c>
    </row>
    <row r="9225" spans="1:4" x14ac:dyDescent="0.3">
      <c r="A9225" s="5" t="s">
        <v>286</v>
      </c>
      <c r="B9225" s="5" t="s">
        <v>287</v>
      </c>
      <c r="C9225" s="6">
        <v>2018</v>
      </c>
      <c r="D9225" s="7">
        <v>4900600</v>
      </c>
    </row>
    <row r="9226" spans="1:4" x14ac:dyDescent="0.3">
      <c r="A9226" s="2" t="s">
        <v>286</v>
      </c>
      <c r="B9226" s="2" t="s">
        <v>287</v>
      </c>
      <c r="C9226" s="3">
        <v>2019</v>
      </c>
      <c r="D9226" s="4">
        <v>4979200</v>
      </c>
    </row>
    <row r="9227" spans="1:4" x14ac:dyDescent="0.3">
      <c r="A9227" s="5" t="s">
        <v>286</v>
      </c>
      <c r="B9227" s="5" t="s">
        <v>287</v>
      </c>
      <c r="C9227" s="6">
        <v>2020</v>
      </c>
      <c r="D9227" s="7">
        <v>5090200</v>
      </c>
    </row>
    <row r="9228" spans="1:4" x14ac:dyDescent="0.3">
      <c r="A9228" s="2" t="s">
        <v>286</v>
      </c>
      <c r="B9228" s="2" t="s">
        <v>287</v>
      </c>
      <c r="C9228" s="3">
        <v>2021</v>
      </c>
      <c r="D9228" s="4">
        <v>5111300</v>
      </c>
    </row>
    <row r="9229" spans="1:4" x14ac:dyDescent="0.3">
      <c r="A9229" s="5" t="s">
        <v>286</v>
      </c>
      <c r="B9229" s="5" t="s">
        <v>287</v>
      </c>
      <c r="C9229" s="6">
        <v>2022</v>
      </c>
      <c r="D9229" s="7">
        <v>5117100</v>
      </c>
    </row>
    <row r="9230" spans="1:4" x14ac:dyDescent="0.3">
      <c r="A9230" s="2" t="s">
        <v>286</v>
      </c>
      <c r="B9230" s="2" t="s">
        <v>287</v>
      </c>
      <c r="C9230" s="3">
        <v>2023</v>
      </c>
      <c r="D9230" s="4">
        <v>5245000</v>
      </c>
    </row>
    <row r="9231" spans="1:4" x14ac:dyDescent="0.3">
      <c r="A9231" s="5" t="s">
        <v>286</v>
      </c>
      <c r="B9231" s="5" t="s">
        <v>287</v>
      </c>
      <c r="C9231" s="6">
        <v>2024</v>
      </c>
      <c r="D9231" s="7">
        <v>5338500</v>
      </c>
    </row>
    <row r="9232" spans="1:4" x14ac:dyDescent="0.3">
      <c r="A9232" s="2" t="s">
        <v>288</v>
      </c>
      <c r="B9232" s="2" t="s">
        <v>289</v>
      </c>
      <c r="C9232" s="3">
        <v>1960</v>
      </c>
      <c r="D9232" s="4">
        <v>1782370</v>
      </c>
    </row>
    <row r="9233" spans="1:4" x14ac:dyDescent="0.3">
      <c r="A9233" s="5" t="s">
        <v>288</v>
      </c>
      <c r="B9233" s="5" t="s">
        <v>289</v>
      </c>
      <c r="C9233" s="6">
        <v>1961</v>
      </c>
      <c r="D9233" s="7">
        <v>1836451</v>
      </c>
    </row>
    <row r="9234" spans="1:4" x14ac:dyDescent="0.3">
      <c r="A9234" s="2" t="s">
        <v>288</v>
      </c>
      <c r="B9234" s="2" t="s">
        <v>289</v>
      </c>
      <c r="C9234" s="3">
        <v>1962</v>
      </c>
      <c r="D9234" s="4">
        <v>1892320</v>
      </c>
    </row>
    <row r="9235" spans="1:4" x14ac:dyDescent="0.3">
      <c r="A9235" s="5" t="s">
        <v>288</v>
      </c>
      <c r="B9235" s="5" t="s">
        <v>289</v>
      </c>
      <c r="C9235" s="6">
        <v>1963</v>
      </c>
      <c r="D9235" s="7">
        <v>1950159</v>
      </c>
    </row>
    <row r="9236" spans="1:4" x14ac:dyDescent="0.3">
      <c r="A9236" s="2" t="s">
        <v>288</v>
      </c>
      <c r="B9236" s="2" t="s">
        <v>289</v>
      </c>
      <c r="C9236" s="3">
        <v>1964</v>
      </c>
      <c r="D9236" s="4">
        <v>2010176</v>
      </c>
    </row>
    <row r="9237" spans="1:4" x14ac:dyDescent="0.3">
      <c r="A9237" s="5" t="s">
        <v>288</v>
      </c>
      <c r="B9237" s="5" t="s">
        <v>289</v>
      </c>
      <c r="C9237" s="6">
        <v>1965</v>
      </c>
      <c r="D9237" s="7">
        <v>2072681</v>
      </c>
    </row>
    <row r="9238" spans="1:4" x14ac:dyDescent="0.3">
      <c r="A9238" s="2" t="s">
        <v>288</v>
      </c>
      <c r="B9238" s="2" t="s">
        <v>289</v>
      </c>
      <c r="C9238" s="3">
        <v>1966</v>
      </c>
      <c r="D9238" s="4">
        <v>2137820</v>
      </c>
    </row>
    <row r="9239" spans="1:4" x14ac:dyDescent="0.3">
      <c r="A9239" s="5" t="s">
        <v>288</v>
      </c>
      <c r="B9239" s="5" t="s">
        <v>289</v>
      </c>
      <c r="C9239" s="6">
        <v>1967</v>
      </c>
      <c r="D9239" s="7">
        <v>2205567</v>
      </c>
    </row>
    <row r="9240" spans="1:4" x14ac:dyDescent="0.3">
      <c r="A9240" s="2" t="s">
        <v>288</v>
      </c>
      <c r="B9240" s="2" t="s">
        <v>289</v>
      </c>
      <c r="C9240" s="3">
        <v>1968</v>
      </c>
      <c r="D9240" s="4">
        <v>2275836</v>
      </c>
    </row>
    <row r="9241" spans="1:4" x14ac:dyDescent="0.3">
      <c r="A9241" s="5" t="s">
        <v>288</v>
      </c>
      <c r="B9241" s="5" t="s">
        <v>289</v>
      </c>
      <c r="C9241" s="6">
        <v>1969</v>
      </c>
      <c r="D9241" s="7">
        <v>2348398</v>
      </c>
    </row>
    <row r="9242" spans="1:4" x14ac:dyDescent="0.3">
      <c r="A9242" s="2" t="s">
        <v>288</v>
      </c>
      <c r="B9242" s="2" t="s">
        <v>289</v>
      </c>
      <c r="C9242" s="3">
        <v>1970</v>
      </c>
      <c r="D9242" s="4">
        <v>2423065</v>
      </c>
    </row>
    <row r="9243" spans="1:4" x14ac:dyDescent="0.3">
      <c r="A9243" s="5" t="s">
        <v>288</v>
      </c>
      <c r="B9243" s="5" t="s">
        <v>289</v>
      </c>
      <c r="C9243" s="6">
        <v>1971</v>
      </c>
      <c r="D9243" s="7">
        <v>2499825</v>
      </c>
    </row>
    <row r="9244" spans="1:4" x14ac:dyDescent="0.3">
      <c r="A9244" s="2" t="s">
        <v>288</v>
      </c>
      <c r="B9244" s="2" t="s">
        <v>289</v>
      </c>
      <c r="C9244" s="3">
        <v>1972</v>
      </c>
      <c r="D9244" s="4">
        <v>2573578</v>
      </c>
    </row>
    <row r="9245" spans="1:4" x14ac:dyDescent="0.3">
      <c r="A9245" s="5" t="s">
        <v>288</v>
      </c>
      <c r="B9245" s="5" t="s">
        <v>289</v>
      </c>
      <c r="C9245" s="6">
        <v>1973</v>
      </c>
      <c r="D9245" s="7">
        <v>2649278</v>
      </c>
    </row>
    <row r="9246" spans="1:4" x14ac:dyDescent="0.3">
      <c r="A9246" s="2" t="s">
        <v>288</v>
      </c>
      <c r="B9246" s="2" t="s">
        <v>289</v>
      </c>
      <c r="C9246" s="3">
        <v>1974</v>
      </c>
      <c r="D9246" s="4">
        <v>2732075</v>
      </c>
    </row>
    <row r="9247" spans="1:4" x14ac:dyDescent="0.3">
      <c r="A9247" s="5" t="s">
        <v>288</v>
      </c>
      <c r="B9247" s="5" t="s">
        <v>289</v>
      </c>
      <c r="C9247" s="6">
        <v>1975</v>
      </c>
      <c r="D9247" s="7">
        <v>2816943</v>
      </c>
    </row>
    <row r="9248" spans="1:4" x14ac:dyDescent="0.3">
      <c r="A9248" s="2" t="s">
        <v>288</v>
      </c>
      <c r="B9248" s="2" t="s">
        <v>289</v>
      </c>
      <c r="C9248" s="3">
        <v>1976</v>
      </c>
      <c r="D9248" s="4">
        <v>2903851</v>
      </c>
    </row>
    <row r="9249" spans="1:4" x14ac:dyDescent="0.3">
      <c r="A9249" s="5" t="s">
        <v>288</v>
      </c>
      <c r="B9249" s="5" t="s">
        <v>289</v>
      </c>
      <c r="C9249" s="6">
        <v>1977</v>
      </c>
      <c r="D9249" s="7">
        <v>2992534</v>
      </c>
    </row>
    <row r="9250" spans="1:4" x14ac:dyDescent="0.3">
      <c r="A9250" s="2" t="s">
        <v>288</v>
      </c>
      <c r="B9250" s="2" t="s">
        <v>289</v>
      </c>
      <c r="C9250" s="3">
        <v>1978</v>
      </c>
      <c r="D9250" s="4">
        <v>3080314</v>
      </c>
    </row>
    <row r="9251" spans="1:4" x14ac:dyDescent="0.3">
      <c r="A9251" s="5" t="s">
        <v>288</v>
      </c>
      <c r="B9251" s="5" t="s">
        <v>289</v>
      </c>
      <c r="C9251" s="6">
        <v>1979</v>
      </c>
      <c r="D9251" s="7">
        <v>3164525</v>
      </c>
    </row>
    <row r="9252" spans="1:4" x14ac:dyDescent="0.3">
      <c r="A9252" s="2" t="s">
        <v>288</v>
      </c>
      <c r="B9252" s="2" t="s">
        <v>289</v>
      </c>
      <c r="C9252" s="3">
        <v>1980</v>
      </c>
      <c r="D9252" s="4">
        <v>3252403</v>
      </c>
    </row>
    <row r="9253" spans="1:4" x14ac:dyDescent="0.3">
      <c r="A9253" s="5" t="s">
        <v>288</v>
      </c>
      <c r="B9253" s="5" t="s">
        <v>289</v>
      </c>
      <c r="C9253" s="6">
        <v>1981</v>
      </c>
      <c r="D9253" s="7">
        <v>3345674</v>
      </c>
    </row>
    <row r="9254" spans="1:4" x14ac:dyDescent="0.3">
      <c r="A9254" s="2" t="s">
        <v>288</v>
      </c>
      <c r="B9254" s="2" t="s">
        <v>289</v>
      </c>
      <c r="C9254" s="3">
        <v>1982</v>
      </c>
      <c r="D9254" s="4">
        <v>3438745</v>
      </c>
    </row>
    <row r="9255" spans="1:4" x14ac:dyDescent="0.3">
      <c r="A9255" s="5" t="s">
        <v>288</v>
      </c>
      <c r="B9255" s="5" t="s">
        <v>289</v>
      </c>
      <c r="C9255" s="6">
        <v>1983</v>
      </c>
      <c r="D9255" s="7">
        <v>3530282</v>
      </c>
    </row>
    <row r="9256" spans="1:4" x14ac:dyDescent="0.3">
      <c r="A9256" s="2" t="s">
        <v>288</v>
      </c>
      <c r="B9256" s="2" t="s">
        <v>289</v>
      </c>
      <c r="C9256" s="3">
        <v>1984</v>
      </c>
      <c r="D9256" s="4">
        <v>3619104</v>
      </c>
    </row>
    <row r="9257" spans="1:4" x14ac:dyDescent="0.3">
      <c r="A9257" s="5" t="s">
        <v>288</v>
      </c>
      <c r="B9257" s="5" t="s">
        <v>289</v>
      </c>
      <c r="C9257" s="6">
        <v>1985</v>
      </c>
      <c r="D9257" s="7">
        <v>3706479</v>
      </c>
    </row>
    <row r="9258" spans="1:4" x14ac:dyDescent="0.3">
      <c r="A9258" s="2" t="s">
        <v>288</v>
      </c>
      <c r="B9258" s="2" t="s">
        <v>289</v>
      </c>
      <c r="C9258" s="3">
        <v>1986</v>
      </c>
      <c r="D9258" s="4">
        <v>3794157</v>
      </c>
    </row>
    <row r="9259" spans="1:4" x14ac:dyDescent="0.3">
      <c r="A9259" s="5" t="s">
        <v>288</v>
      </c>
      <c r="B9259" s="5" t="s">
        <v>289</v>
      </c>
      <c r="C9259" s="6">
        <v>1987</v>
      </c>
      <c r="D9259" s="7">
        <v>3882164</v>
      </c>
    </row>
    <row r="9260" spans="1:4" x14ac:dyDescent="0.3">
      <c r="A9260" s="2" t="s">
        <v>288</v>
      </c>
      <c r="B9260" s="2" t="s">
        <v>289</v>
      </c>
      <c r="C9260" s="3">
        <v>1988</v>
      </c>
      <c r="D9260" s="4">
        <v>3972320</v>
      </c>
    </row>
    <row r="9261" spans="1:4" x14ac:dyDescent="0.3">
      <c r="A9261" s="5" t="s">
        <v>288</v>
      </c>
      <c r="B9261" s="5" t="s">
        <v>289</v>
      </c>
      <c r="C9261" s="6">
        <v>1989</v>
      </c>
      <c r="D9261" s="7">
        <v>4066476</v>
      </c>
    </row>
    <row r="9262" spans="1:4" x14ac:dyDescent="0.3">
      <c r="A9262" s="2" t="s">
        <v>288</v>
      </c>
      <c r="B9262" s="2" t="s">
        <v>289</v>
      </c>
      <c r="C9262" s="3">
        <v>1990</v>
      </c>
      <c r="D9262" s="4">
        <v>4162559</v>
      </c>
    </row>
    <row r="9263" spans="1:4" x14ac:dyDescent="0.3">
      <c r="A9263" s="5" t="s">
        <v>288</v>
      </c>
      <c r="B9263" s="5" t="s">
        <v>289</v>
      </c>
      <c r="C9263" s="6">
        <v>1991</v>
      </c>
      <c r="D9263" s="7">
        <v>4259637</v>
      </c>
    </row>
    <row r="9264" spans="1:4" x14ac:dyDescent="0.3">
      <c r="A9264" s="2" t="s">
        <v>288</v>
      </c>
      <c r="B9264" s="2" t="s">
        <v>289</v>
      </c>
      <c r="C9264" s="3">
        <v>1992</v>
      </c>
      <c r="D9264" s="4">
        <v>4357026</v>
      </c>
    </row>
    <row r="9265" spans="1:4" x14ac:dyDescent="0.3">
      <c r="A9265" s="5" t="s">
        <v>288</v>
      </c>
      <c r="B9265" s="5" t="s">
        <v>289</v>
      </c>
      <c r="C9265" s="6">
        <v>1993</v>
      </c>
      <c r="D9265" s="7">
        <v>4453732</v>
      </c>
    </row>
    <row r="9266" spans="1:4" x14ac:dyDescent="0.3">
      <c r="A9266" s="2" t="s">
        <v>288</v>
      </c>
      <c r="B9266" s="2" t="s">
        <v>289</v>
      </c>
      <c r="C9266" s="3">
        <v>1994</v>
      </c>
      <c r="D9266" s="4">
        <v>4549316</v>
      </c>
    </row>
    <row r="9267" spans="1:4" x14ac:dyDescent="0.3">
      <c r="A9267" s="5" t="s">
        <v>288</v>
      </c>
      <c r="B9267" s="5" t="s">
        <v>289</v>
      </c>
      <c r="C9267" s="6">
        <v>1995</v>
      </c>
      <c r="D9267" s="7">
        <v>4642931</v>
      </c>
    </row>
    <row r="9268" spans="1:4" x14ac:dyDescent="0.3">
      <c r="A9268" s="2" t="s">
        <v>288</v>
      </c>
      <c r="B9268" s="2" t="s">
        <v>289</v>
      </c>
      <c r="C9268" s="3">
        <v>1996</v>
      </c>
      <c r="D9268" s="4">
        <v>4729974</v>
      </c>
    </row>
    <row r="9269" spans="1:4" x14ac:dyDescent="0.3">
      <c r="A9269" s="5" t="s">
        <v>288</v>
      </c>
      <c r="B9269" s="5" t="s">
        <v>289</v>
      </c>
      <c r="C9269" s="6">
        <v>1997</v>
      </c>
      <c r="D9269" s="7">
        <v>4809573</v>
      </c>
    </row>
    <row r="9270" spans="1:4" x14ac:dyDescent="0.3">
      <c r="A9270" s="2" t="s">
        <v>288</v>
      </c>
      <c r="B9270" s="2" t="s">
        <v>289</v>
      </c>
      <c r="C9270" s="3">
        <v>1998</v>
      </c>
      <c r="D9270" s="4">
        <v>4883655</v>
      </c>
    </row>
    <row r="9271" spans="1:4" x14ac:dyDescent="0.3">
      <c r="A9271" s="5" t="s">
        <v>288</v>
      </c>
      <c r="B9271" s="5" t="s">
        <v>289</v>
      </c>
      <c r="C9271" s="6">
        <v>1999</v>
      </c>
      <c r="D9271" s="7">
        <v>4954018</v>
      </c>
    </row>
    <row r="9272" spans="1:4" x14ac:dyDescent="0.3">
      <c r="A9272" s="2" t="s">
        <v>288</v>
      </c>
      <c r="B9272" s="2" t="s">
        <v>289</v>
      </c>
      <c r="C9272" s="3">
        <v>2000</v>
      </c>
      <c r="D9272" s="4">
        <v>5022633</v>
      </c>
    </row>
    <row r="9273" spans="1:4" x14ac:dyDescent="0.3">
      <c r="A9273" s="5" t="s">
        <v>288</v>
      </c>
      <c r="B9273" s="5" t="s">
        <v>289</v>
      </c>
      <c r="C9273" s="6">
        <v>2001</v>
      </c>
      <c r="D9273" s="7">
        <v>5087825</v>
      </c>
    </row>
    <row r="9274" spans="1:4" x14ac:dyDescent="0.3">
      <c r="A9274" s="2" t="s">
        <v>288</v>
      </c>
      <c r="B9274" s="2" t="s">
        <v>289</v>
      </c>
      <c r="C9274" s="3">
        <v>2002</v>
      </c>
      <c r="D9274" s="4">
        <v>5149909</v>
      </c>
    </row>
    <row r="9275" spans="1:4" x14ac:dyDescent="0.3">
      <c r="A9275" s="5" t="s">
        <v>288</v>
      </c>
      <c r="B9275" s="5" t="s">
        <v>289</v>
      </c>
      <c r="C9275" s="6">
        <v>2003</v>
      </c>
      <c r="D9275" s="7">
        <v>5210963</v>
      </c>
    </row>
    <row r="9276" spans="1:4" x14ac:dyDescent="0.3">
      <c r="A9276" s="2" t="s">
        <v>288</v>
      </c>
      <c r="B9276" s="2" t="s">
        <v>289</v>
      </c>
      <c r="C9276" s="3">
        <v>2004</v>
      </c>
      <c r="D9276" s="4">
        <v>5272912</v>
      </c>
    </row>
    <row r="9277" spans="1:4" x14ac:dyDescent="0.3">
      <c r="A9277" s="5" t="s">
        <v>288</v>
      </c>
      <c r="B9277" s="5" t="s">
        <v>289</v>
      </c>
      <c r="C9277" s="6">
        <v>2005</v>
      </c>
      <c r="D9277" s="7">
        <v>5342105</v>
      </c>
    </row>
    <row r="9278" spans="1:4" x14ac:dyDescent="0.3">
      <c r="A9278" s="2" t="s">
        <v>288</v>
      </c>
      <c r="B9278" s="2" t="s">
        <v>289</v>
      </c>
      <c r="C9278" s="3">
        <v>2006</v>
      </c>
      <c r="D9278" s="4">
        <v>5418855</v>
      </c>
    </row>
    <row r="9279" spans="1:4" x14ac:dyDescent="0.3">
      <c r="A9279" s="5" t="s">
        <v>288</v>
      </c>
      <c r="B9279" s="5" t="s">
        <v>289</v>
      </c>
      <c r="C9279" s="6">
        <v>2007</v>
      </c>
      <c r="D9279" s="7">
        <v>5497243</v>
      </c>
    </row>
    <row r="9280" spans="1:4" x14ac:dyDescent="0.3">
      <c r="A9280" s="2" t="s">
        <v>288</v>
      </c>
      <c r="B9280" s="2" t="s">
        <v>289</v>
      </c>
      <c r="C9280" s="3">
        <v>2008</v>
      </c>
      <c r="D9280" s="4">
        <v>5576593</v>
      </c>
    </row>
    <row r="9281" spans="1:4" x14ac:dyDescent="0.3">
      <c r="A9281" s="5" t="s">
        <v>288</v>
      </c>
      <c r="B9281" s="5" t="s">
        <v>289</v>
      </c>
      <c r="C9281" s="6">
        <v>2009</v>
      </c>
      <c r="D9281" s="7">
        <v>5656601</v>
      </c>
    </row>
    <row r="9282" spans="1:4" x14ac:dyDescent="0.3">
      <c r="A9282" s="2" t="s">
        <v>288</v>
      </c>
      <c r="B9282" s="2" t="s">
        <v>289</v>
      </c>
      <c r="C9282" s="3">
        <v>2010</v>
      </c>
      <c r="D9282" s="4">
        <v>5737450</v>
      </c>
    </row>
    <row r="9283" spans="1:4" x14ac:dyDescent="0.3">
      <c r="A9283" s="5" t="s">
        <v>288</v>
      </c>
      <c r="B9283" s="5" t="s">
        <v>289</v>
      </c>
      <c r="C9283" s="6">
        <v>2011</v>
      </c>
      <c r="D9283" s="7">
        <v>5819051</v>
      </c>
    </row>
    <row r="9284" spans="1:4" x14ac:dyDescent="0.3">
      <c r="A9284" s="2" t="s">
        <v>288</v>
      </c>
      <c r="B9284" s="2" t="s">
        <v>289</v>
      </c>
      <c r="C9284" s="3">
        <v>2012</v>
      </c>
      <c r="D9284" s="4">
        <v>5901287</v>
      </c>
    </row>
    <row r="9285" spans="1:4" x14ac:dyDescent="0.3">
      <c r="A9285" s="5" t="s">
        <v>288</v>
      </c>
      <c r="B9285" s="5" t="s">
        <v>289</v>
      </c>
      <c r="C9285" s="6">
        <v>2013</v>
      </c>
      <c r="D9285" s="7">
        <v>5983845</v>
      </c>
    </row>
    <row r="9286" spans="1:4" x14ac:dyDescent="0.3">
      <c r="A9286" s="2" t="s">
        <v>288</v>
      </c>
      <c r="B9286" s="2" t="s">
        <v>289</v>
      </c>
      <c r="C9286" s="3">
        <v>2014</v>
      </c>
      <c r="D9286" s="4">
        <v>6066492</v>
      </c>
    </row>
    <row r="9287" spans="1:4" x14ac:dyDescent="0.3">
      <c r="A9287" s="5" t="s">
        <v>288</v>
      </c>
      <c r="B9287" s="5" t="s">
        <v>289</v>
      </c>
      <c r="C9287" s="6">
        <v>2015</v>
      </c>
      <c r="D9287" s="7">
        <v>6149417</v>
      </c>
    </row>
    <row r="9288" spans="1:4" x14ac:dyDescent="0.3">
      <c r="A9288" s="2" t="s">
        <v>288</v>
      </c>
      <c r="B9288" s="2" t="s">
        <v>289</v>
      </c>
      <c r="C9288" s="3">
        <v>2016</v>
      </c>
      <c r="D9288" s="4">
        <v>6232666</v>
      </c>
    </row>
    <row r="9289" spans="1:4" x14ac:dyDescent="0.3">
      <c r="A9289" s="5" t="s">
        <v>288</v>
      </c>
      <c r="B9289" s="5" t="s">
        <v>289</v>
      </c>
      <c r="C9289" s="6">
        <v>2017</v>
      </c>
      <c r="D9289" s="7">
        <v>6316231</v>
      </c>
    </row>
    <row r="9290" spans="1:4" x14ac:dyDescent="0.3">
      <c r="A9290" s="2" t="s">
        <v>288</v>
      </c>
      <c r="B9290" s="2" t="s">
        <v>289</v>
      </c>
      <c r="C9290" s="3">
        <v>2018</v>
      </c>
      <c r="D9290" s="4">
        <v>6400080</v>
      </c>
    </row>
    <row r="9291" spans="1:4" x14ac:dyDescent="0.3">
      <c r="A9291" s="5" t="s">
        <v>288</v>
      </c>
      <c r="B9291" s="5" t="s">
        <v>289</v>
      </c>
      <c r="C9291" s="6">
        <v>2019</v>
      </c>
      <c r="D9291" s="7">
        <v>6483657</v>
      </c>
    </row>
    <row r="9292" spans="1:4" x14ac:dyDescent="0.3">
      <c r="A9292" s="2" t="s">
        <v>288</v>
      </c>
      <c r="B9292" s="2" t="s">
        <v>289</v>
      </c>
      <c r="C9292" s="3">
        <v>2020</v>
      </c>
      <c r="D9292" s="4">
        <v>6565267</v>
      </c>
    </row>
    <row r="9293" spans="1:4" x14ac:dyDescent="0.3">
      <c r="A9293" s="5" t="s">
        <v>288</v>
      </c>
      <c r="B9293" s="5" t="s">
        <v>289</v>
      </c>
      <c r="C9293" s="6">
        <v>2021</v>
      </c>
      <c r="D9293" s="7">
        <v>6644741</v>
      </c>
    </row>
    <row r="9294" spans="1:4" x14ac:dyDescent="0.3">
      <c r="A9294" s="2" t="s">
        <v>288</v>
      </c>
      <c r="B9294" s="2" t="s">
        <v>289</v>
      </c>
      <c r="C9294" s="3">
        <v>2022</v>
      </c>
      <c r="D9294" s="4">
        <v>6730654</v>
      </c>
    </row>
    <row r="9295" spans="1:4" x14ac:dyDescent="0.3">
      <c r="A9295" s="5" t="s">
        <v>288</v>
      </c>
      <c r="B9295" s="5" t="s">
        <v>289</v>
      </c>
      <c r="C9295" s="6">
        <v>2023</v>
      </c>
      <c r="D9295" s="7">
        <v>6823613</v>
      </c>
    </row>
    <row r="9296" spans="1:4" x14ac:dyDescent="0.3">
      <c r="A9296" s="2" t="s">
        <v>288</v>
      </c>
      <c r="B9296" s="2" t="s">
        <v>289</v>
      </c>
      <c r="C9296" s="3">
        <v>2024</v>
      </c>
      <c r="D9296" s="4">
        <v>6916140</v>
      </c>
    </row>
    <row r="9297" spans="1:4" x14ac:dyDescent="0.3">
      <c r="A9297" s="5" t="s">
        <v>290</v>
      </c>
      <c r="B9297" s="5" t="s">
        <v>291</v>
      </c>
      <c r="C9297" s="6">
        <v>1960</v>
      </c>
      <c r="D9297" s="7">
        <v>3505050</v>
      </c>
    </row>
    <row r="9298" spans="1:4" x14ac:dyDescent="0.3">
      <c r="A9298" s="2" t="s">
        <v>290</v>
      </c>
      <c r="B9298" s="2" t="s">
        <v>291</v>
      </c>
      <c r="C9298" s="3">
        <v>1961</v>
      </c>
      <c r="D9298" s="4">
        <v>3608162</v>
      </c>
    </row>
    <row r="9299" spans="1:4" x14ac:dyDescent="0.3">
      <c r="A9299" s="5" t="s">
        <v>290</v>
      </c>
      <c r="B9299" s="5" t="s">
        <v>291</v>
      </c>
      <c r="C9299" s="6">
        <v>1962</v>
      </c>
      <c r="D9299" s="7">
        <v>3714520</v>
      </c>
    </row>
    <row r="9300" spans="1:4" x14ac:dyDescent="0.3">
      <c r="A9300" s="2" t="s">
        <v>290</v>
      </c>
      <c r="B9300" s="2" t="s">
        <v>291</v>
      </c>
      <c r="C9300" s="3">
        <v>1963</v>
      </c>
      <c r="D9300" s="4">
        <v>3823873</v>
      </c>
    </row>
    <row r="9301" spans="1:4" x14ac:dyDescent="0.3">
      <c r="A9301" s="5" t="s">
        <v>290</v>
      </c>
      <c r="B9301" s="5" t="s">
        <v>291</v>
      </c>
      <c r="C9301" s="6">
        <v>1964</v>
      </c>
      <c r="D9301" s="7">
        <v>3935814</v>
      </c>
    </row>
    <row r="9302" spans="1:4" x14ac:dyDescent="0.3">
      <c r="A9302" s="2" t="s">
        <v>290</v>
      </c>
      <c r="B9302" s="2" t="s">
        <v>291</v>
      </c>
      <c r="C9302" s="3">
        <v>1965</v>
      </c>
      <c r="D9302" s="4">
        <v>4049695</v>
      </c>
    </row>
    <row r="9303" spans="1:4" x14ac:dyDescent="0.3">
      <c r="A9303" s="5" t="s">
        <v>290</v>
      </c>
      <c r="B9303" s="5" t="s">
        <v>291</v>
      </c>
      <c r="C9303" s="6">
        <v>1966</v>
      </c>
      <c r="D9303" s="7">
        <v>4165544</v>
      </c>
    </row>
    <row r="9304" spans="1:4" x14ac:dyDescent="0.3">
      <c r="A9304" s="2" t="s">
        <v>290</v>
      </c>
      <c r="B9304" s="2" t="s">
        <v>291</v>
      </c>
      <c r="C9304" s="3">
        <v>1967</v>
      </c>
      <c r="D9304" s="4">
        <v>4283590</v>
      </c>
    </row>
    <row r="9305" spans="1:4" x14ac:dyDescent="0.3">
      <c r="A9305" s="5" t="s">
        <v>290</v>
      </c>
      <c r="B9305" s="5" t="s">
        <v>291</v>
      </c>
      <c r="C9305" s="6">
        <v>1968</v>
      </c>
      <c r="D9305" s="7">
        <v>4403637</v>
      </c>
    </row>
    <row r="9306" spans="1:4" x14ac:dyDescent="0.3">
      <c r="A9306" s="2" t="s">
        <v>290</v>
      </c>
      <c r="B9306" s="2" t="s">
        <v>291</v>
      </c>
      <c r="C9306" s="3">
        <v>1969</v>
      </c>
      <c r="D9306" s="4">
        <v>4525725</v>
      </c>
    </row>
    <row r="9307" spans="1:4" x14ac:dyDescent="0.3">
      <c r="A9307" s="5" t="s">
        <v>290</v>
      </c>
      <c r="B9307" s="5" t="s">
        <v>291</v>
      </c>
      <c r="C9307" s="6">
        <v>1970</v>
      </c>
      <c r="D9307" s="7">
        <v>4650275</v>
      </c>
    </row>
    <row r="9308" spans="1:4" x14ac:dyDescent="0.3">
      <c r="A9308" s="2" t="s">
        <v>290</v>
      </c>
      <c r="B9308" s="2" t="s">
        <v>291</v>
      </c>
      <c r="C9308" s="3">
        <v>1971</v>
      </c>
      <c r="D9308" s="4">
        <v>4776225</v>
      </c>
    </row>
    <row r="9309" spans="1:4" x14ac:dyDescent="0.3">
      <c r="A9309" s="5" t="s">
        <v>290</v>
      </c>
      <c r="B9309" s="5" t="s">
        <v>291</v>
      </c>
      <c r="C9309" s="6">
        <v>1972</v>
      </c>
      <c r="D9309" s="7">
        <v>4904845</v>
      </c>
    </row>
    <row r="9310" spans="1:4" x14ac:dyDescent="0.3">
      <c r="A9310" s="2" t="s">
        <v>290</v>
      </c>
      <c r="B9310" s="2" t="s">
        <v>291</v>
      </c>
      <c r="C9310" s="3">
        <v>1973</v>
      </c>
      <c r="D9310" s="4">
        <v>5037865</v>
      </c>
    </row>
    <row r="9311" spans="1:4" x14ac:dyDescent="0.3">
      <c r="A9311" s="5" t="s">
        <v>290</v>
      </c>
      <c r="B9311" s="5" t="s">
        <v>291</v>
      </c>
      <c r="C9311" s="6">
        <v>1974</v>
      </c>
      <c r="D9311" s="7">
        <v>5174953</v>
      </c>
    </row>
    <row r="9312" spans="1:4" x14ac:dyDescent="0.3">
      <c r="A9312" s="2" t="s">
        <v>290</v>
      </c>
      <c r="B9312" s="2" t="s">
        <v>291</v>
      </c>
      <c r="C9312" s="3">
        <v>1975</v>
      </c>
      <c r="D9312" s="4">
        <v>5317019</v>
      </c>
    </row>
    <row r="9313" spans="1:4" x14ac:dyDescent="0.3">
      <c r="A9313" s="5" t="s">
        <v>290</v>
      </c>
      <c r="B9313" s="5" t="s">
        <v>291</v>
      </c>
      <c r="C9313" s="6">
        <v>1976</v>
      </c>
      <c r="D9313" s="7">
        <v>5464962</v>
      </c>
    </row>
    <row r="9314" spans="1:4" x14ac:dyDescent="0.3">
      <c r="A9314" s="2" t="s">
        <v>290</v>
      </c>
      <c r="B9314" s="2" t="s">
        <v>291</v>
      </c>
      <c r="C9314" s="3">
        <v>1977</v>
      </c>
      <c r="D9314" s="4">
        <v>5619716</v>
      </c>
    </row>
    <row r="9315" spans="1:4" x14ac:dyDescent="0.3">
      <c r="A9315" s="5" t="s">
        <v>290</v>
      </c>
      <c r="B9315" s="5" t="s">
        <v>291</v>
      </c>
      <c r="C9315" s="6">
        <v>1978</v>
      </c>
      <c r="D9315" s="7">
        <v>5782932</v>
      </c>
    </row>
    <row r="9316" spans="1:4" x14ac:dyDescent="0.3">
      <c r="A9316" s="2" t="s">
        <v>290</v>
      </c>
      <c r="B9316" s="2" t="s">
        <v>291</v>
      </c>
      <c r="C9316" s="3">
        <v>1979</v>
      </c>
      <c r="D9316" s="4">
        <v>5955556</v>
      </c>
    </row>
    <row r="9317" spans="1:4" x14ac:dyDescent="0.3">
      <c r="A9317" s="5" t="s">
        <v>290</v>
      </c>
      <c r="B9317" s="5" t="s">
        <v>291</v>
      </c>
      <c r="C9317" s="6">
        <v>1980</v>
      </c>
      <c r="D9317" s="7">
        <v>6135971</v>
      </c>
    </row>
    <row r="9318" spans="1:4" x14ac:dyDescent="0.3">
      <c r="A9318" s="2" t="s">
        <v>290</v>
      </c>
      <c r="B9318" s="2" t="s">
        <v>291</v>
      </c>
      <c r="C9318" s="3">
        <v>1981</v>
      </c>
      <c r="D9318" s="4">
        <v>6322006</v>
      </c>
    </row>
    <row r="9319" spans="1:4" x14ac:dyDescent="0.3">
      <c r="A9319" s="5" t="s">
        <v>290</v>
      </c>
      <c r="B9319" s="5" t="s">
        <v>291</v>
      </c>
      <c r="C9319" s="6">
        <v>1982</v>
      </c>
      <c r="D9319" s="7">
        <v>6512732</v>
      </c>
    </row>
    <row r="9320" spans="1:4" x14ac:dyDescent="0.3">
      <c r="A9320" s="2" t="s">
        <v>290</v>
      </c>
      <c r="B9320" s="2" t="s">
        <v>291</v>
      </c>
      <c r="C9320" s="3">
        <v>1983</v>
      </c>
      <c r="D9320" s="4">
        <v>6708644</v>
      </c>
    </row>
    <row r="9321" spans="1:4" x14ac:dyDescent="0.3">
      <c r="A9321" s="5" t="s">
        <v>290</v>
      </c>
      <c r="B9321" s="5" t="s">
        <v>291</v>
      </c>
      <c r="C9321" s="6">
        <v>1984</v>
      </c>
      <c r="D9321" s="7">
        <v>6909971</v>
      </c>
    </row>
    <row r="9322" spans="1:4" x14ac:dyDescent="0.3">
      <c r="A9322" s="2" t="s">
        <v>290</v>
      </c>
      <c r="B9322" s="2" t="s">
        <v>291</v>
      </c>
      <c r="C9322" s="3">
        <v>1985</v>
      </c>
      <c r="D9322" s="4">
        <v>7118457</v>
      </c>
    </row>
    <row r="9323" spans="1:4" x14ac:dyDescent="0.3">
      <c r="A9323" s="5" t="s">
        <v>290</v>
      </c>
      <c r="B9323" s="5" t="s">
        <v>291</v>
      </c>
      <c r="C9323" s="6">
        <v>1986</v>
      </c>
      <c r="D9323" s="7">
        <v>7335811</v>
      </c>
    </row>
    <row r="9324" spans="1:4" x14ac:dyDescent="0.3">
      <c r="A9324" s="2" t="s">
        <v>290</v>
      </c>
      <c r="B9324" s="2" t="s">
        <v>291</v>
      </c>
      <c r="C9324" s="3">
        <v>1987</v>
      </c>
      <c r="D9324" s="4">
        <v>7561150</v>
      </c>
    </row>
    <row r="9325" spans="1:4" x14ac:dyDescent="0.3">
      <c r="A9325" s="5" t="s">
        <v>290</v>
      </c>
      <c r="B9325" s="5" t="s">
        <v>291</v>
      </c>
      <c r="C9325" s="6">
        <v>1988</v>
      </c>
      <c r="D9325" s="7">
        <v>7793748</v>
      </c>
    </row>
    <row r="9326" spans="1:4" x14ac:dyDescent="0.3">
      <c r="A9326" s="2" t="s">
        <v>290</v>
      </c>
      <c r="B9326" s="2" t="s">
        <v>291</v>
      </c>
      <c r="C9326" s="3">
        <v>1989</v>
      </c>
      <c r="D9326" s="4">
        <v>8034780</v>
      </c>
    </row>
    <row r="9327" spans="1:4" x14ac:dyDescent="0.3">
      <c r="A9327" s="5" t="s">
        <v>290</v>
      </c>
      <c r="B9327" s="5" t="s">
        <v>291</v>
      </c>
      <c r="C9327" s="6">
        <v>1990</v>
      </c>
      <c r="D9327" s="7">
        <v>8286059</v>
      </c>
    </row>
    <row r="9328" spans="1:4" x14ac:dyDescent="0.3">
      <c r="A9328" s="2" t="s">
        <v>290</v>
      </c>
      <c r="B9328" s="2" t="s">
        <v>291</v>
      </c>
      <c r="C9328" s="3">
        <v>1991</v>
      </c>
      <c r="D9328" s="4">
        <v>8546900</v>
      </c>
    </row>
    <row r="9329" spans="1:4" x14ac:dyDescent="0.3">
      <c r="A9329" s="5" t="s">
        <v>290</v>
      </c>
      <c r="B9329" s="5" t="s">
        <v>291</v>
      </c>
      <c r="C9329" s="6">
        <v>1992</v>
      </c>
      <c r="D9329" s="7">
        <v>8817633</v>
      </c>
    </row>
    <row r="9330" spans="1:4" x14ac:dyDescent="0.3">
      <c r="A9330" s="2" t="s">
        <v>290</v>
      </c>
      <c r="B9330" s="2" t="s">
        <v>291</v>
      </c>
      <c r="C9330" s="3">
        <v>1993</v>
      </c>
      <c r="D9330" s="4">
        <v>9100789</v>
      </c>
    </row>
    <row r="9331" spans="1:4" x14ac:dyDescent="0.3">
      <c r="A9331" s="5" t="s">
        <v>290</v>
      </c>
      <c r="B9331" s="5" t="s">
        <v>291</v>
      </c>
      <c r="C9331" s="6">
        <v>1994</v>
      </c>
      <c r="D9331" s="7">
        <v>9398258</v>
      </c>
    </row>
    <row r="9332" spans="1:4" x14ac:dyDescent="0.3">
      <c r="A9332" s="2" t="s">
        <v>290</v>
      </c>
      <c r="B9332" s="2" t="s">
        <v>291</v>
      </c>
      <c r="C9332" s="3">
        <v>1995</v>
      </c>
      <c r="D9332" s="4">
        <v>9714529</v>
      </c>
    </row>
    <row r="9333" spans="1:4" x14ac:dyDescent="0.3">
      <c r="A9333" s="5" t="s">
        <v>290</v>
      </c>
      <c r="B9333" s="5" t="s">
        <v>291</v>
      </c>
      <c r="C9333" s="6">
        <v>1996</v>
      </c>
      <c r="D9333" s="7">
        <v>10044852</v>
      </c>
    </row>
    <row r="9334" spans="1:4" x14ac:dyDescent="0.3">
      <c r="A9334" s="2" t="s">
        <v>290</v>
      </c>
      <c r="B9334" s="2" t="s">
        <v>291</v>
      </c>
      <c r="C9334" s="3">
        <v>1997</v>
      </c>
      <c r="D9334" s="4">
        <v>10383969</v>
      </c>
    </row>
    <row r="9335" spans="1:4" x14ac:dyDescent="0.3">
      <c r="A9335" s="5" t="s">
        <v>290</v>
      </c>
      <c r="B9335" s="5" t="s">
        <v>291</v>
      </c>
      <c r="C9335" s="6">
        <v>1998</v>
      </c>
      <c r="D9335" s="7">
        <v>10741413</v>
      </c>
    </row>
    <row r="9336" spans="1:4" x14ac:dyDescent="0.3">
      <c r="A9336" s="2" t="s">
        <v>290</v>
      </c>
      <c r="B9336" s="2" t="s">
        <v>291</v>
      </c>
      <c r="C9336" s="3">
        <v>1999</v>
      </c>
      <c r="D9336" s="4">
        <v>11117411</v>
      </c>
    </row>
    <row r="9337" spans="1:4" x14ac:dyDescent="0.3">
      <c r="A9337" s="5" t="s">
        <v>290</v>
      </c>
      <c r="B9337" s="5" t="s">
        <v>291</v>
      </c>
      <c r="C9337" s="6">
        <v>2000</v>
      </c>
      <c r="D9337" s="7">
        <v>11509630</v>
      </c>
    </row>
    <row r="9338" spans="1:4" x14ac:dyDescent="0.3">
      <c r="A9338" s="2" t="s">
        <v>290</v>
      </c>
      <c r="B9338" s="2" t="s">
        <v>291</v>
      </c>
      <c r="C9338" s="3">
        <v>2001</v>
      </c>
      <c r="D9338" s="4">
        <v>11920647</v>
      </c>
    </row>
    <row r="9339" spans="1:4" x14ac:dyDescent="0.3">
      <c r="A9339" s="5" t="s">
        <v>290</v>
      </c>
      <c r="B9339" s="5" t="s">
        <v>291</v>
      </c>
      <c r="C9339" s="6">
        <v>2002</v>
      </c>
      <c r="D9339" s="7">
        <v>12349144</v>
      </c>
    </row>
    <row r="9340" spans="1:4" x14ac:dyDescent="0.3">
      <c r="A9340" s="2" t="s">
        <v>290</v>
      </c>
      <c r="B9340" s="2" t="s">
        <v>291</v>
      </c>
      <c r="C9340" s="3">
        <v>2003</v>
      </c>
      <c r="D9340" s="4">
        <v>12796984</v>
      </c>
    </row>
    <row r="9341" spans="1:4" x14ac:dyDescent="0.3">
      <c r="A9341" s="5" t="s">
        <v>290</v>
      </c>
      <c r="B9341" s="5" t="s">
        <v>291</v>
      </c>
      <c r="C9341" s="6">
        <v>2004</v>
      </c>
      <c r="D9341" s="7">
        <v>13265836</v>
      </c>
    </row>
    <row r="9342" spans="1:4" x14ac:dyDescent="0.3">
      <c r="A9342" s="2" t="s">
        <v>290</v>
      </c>
      <c r="B9342" s="2" t="s">
        <v>291</v>
      </c>
      <c r="C9342" s="3">
        <v>2005</v>
      </c>
      <c r="D9342" s="4">
        <v>13756192</v>
      </c>
    </row>
    <row r="9343" spans="1:4" x14ac:dyDescent="0.3">
      <c r="A9343" s="5" t="s">
        <v>290</v>
      </c>
      <c r="B9343" s="5" t="s">
        <v>291</v>
      </c>
      <c r="C9343" s="6">
        <v>2006</v>
      </c>
      <c r="D9343" s="7">
        <v>14268581</v>
      </c>
    </row>
    <row r="9344" spans="1:4" x14ac:dyDescent="0.3">
      <c r="A9344" s="2" t="s">
        <v>290</v>
      </c>
      <c r="B9344" s="2" t="s">
        <v>291</v>
      </c>
      <c r="C9344" s="3">
        <v>2007</v>
      </c>
      <c r="D9344" s="4">
        <v>14803610</v>
      </c>
    </row>
    <row r="9345" spans="1:4" x14ac:dyDescent="0.3">
      <c r="A9345" s="5" t="s">
        <v>290</v>
      </c>
      <c r="B9345" s="5" t="s">
        <v>291</v>
      </c>
      <c r="C9345" s="6">
        <v>2008</v>
      </c>
      <c r="D9345" s="7">
        <v>15361915</v>
      </c>
    </row>
    <row r="9346" spans="1:4" x14ac:dyDescent="0.3">
      <c r="A9346" s="2" t="s">
        <v>290</v>
      </c>
      <c r="B9346" s="2" t="s">
        <v>291</v>
      </c>
      <c r="C9346" s="3">
        <v>2009</v>
      </c>
      <c r="D9346" s="4">
        <v>15943675</v>
      </c>
    </row>
    <row r="9347" spans="1:4" x14ac:dyDescent="0.3">
      <c r="A9347" s="5" t="s">
        <v>290</v>
      </c>
      <c r="B9347" s="5" t="s">
        <v>291</v>
      </c>
      <c r="C9347" s="6">
        <v>2010</v>
      </c>
      <c r="D9347" s="7">
        <v>16548835</v>
      </c>
    </row>
    <row r="9348" spans="1:4" x14ac:dyDescent="0.3">
      <c r="A9348" s="2" t="s">
        <v>290</v>
      </c>
      <c r="B9348" s="2" t="s">
        <v>291</v>
      </c>
      <c r="C9348" s="3">
        <v>2011</v>
      </c>
      <c r="D9348" s="4">
        <v>17176283</v>
      </c>
    </row>
    <row r="9349" spans="1:4" x14ac:dyDescent="0.3">
      <c r="A9349" s="5" t="s">
        <v>290</v>
      </c>
      <c r="B9349" s="5" t="s">
        <v>291</v>
      </c>
      <c r="C9349" s="6">
        <v>2012</v>
      </c>
      <c r="D9349" s="7">
        <v>17836769</v>
      </c>
    </row>
    <row r="9350" spans="1:4" x14ac:dyDescent="0.3">
      <c r="A9350" s="2" t="s">
        <v>290</v>
      </c>
      <c r="B9350" s="2" t="s">
        <v>291</v>
      </c>
      <c r="C9350" s="3">
        <v>2013</v>
      </c>
      <c r="D9350" s="4">
        <v>18519898</v>
      </c>
    </row>
    <row r="9351" spans="1:4" x14ac:dyDescent="0.3">
      <c r="A9351" s="5" t="s">
        <v>290</v>
      </c>
      <c r="B9351" s="5" t="s">
        <v>291</v>
      </c>
      <c r="C9351" s="6">
        <v>2014</v>
      </c>
      <c r="D9351" s="7">
        <v>19215909</v>
      </c>
    </row>
    <row r="9352" spans="1:4" x14ac:dyDescent="0.3">
      <c r="A9352" s="2" t="s">
        <v>290</v>
      </c>
      <c r="B9352" s="2" t="s">
        <v>291</v>
      </c>
      <c r="C9352" s="3">
        <v>2015</v>
      </c>
      <c r="D9352" s="4">
        <v>19939498</v>
      </c>
    </row>
    <row r="9353" spans="1:4" x14ac:dyDescent="0.3">
      <c r="A9353" s="5" t="s">
        <v>290</v>
      </c>
      <c r="B9353" s="5" t="s">
        <v>291</v>
      </c>
      <c r="C9353" s="6">
        <v>2016</v>
      </c>
      <c r="D9353" s="7">
        <v>20685753</v>
      </c>
    </row>
    <row r="9354" spans="1:4" x14ac:dyDescent="0.3">
      <c r="A9354" s="2" t="s">
        <v>290</v>
      </c>
      <c r="B9354" s="2" t="s">
        <v>291</v>
      </c>
      <c r="C9354" s="3">
        <v>2017</v>
      </c>
      <c r="D9354" s="4">
        <v>21435446</v>
      </c>
    </row>
    <row r="9355" spans="1:4" x14ac:dyDescent="0.3">
      <c r="A9355" s="5" t="s">
        <v>290</v>
      </c>
      <c r="B9355" s="5" t="s">
        <v>291</v>
      </c>
      <c r="C9355" s="6">
        <v>2018</v>
      </c>
      <c r="D9355" s="7">
        <v>22188069</v>
      </c>
    </row>
    <row r="9356" spans="1:4" x14ac:dyDescent="0.3">
      <c r="A9356" s="2" t="s">
        <v>290</v>
      </c>
      <c r="B9356" s="2" t="s">
        <v>291</v>
      </c>
      <c r="C9356" s="3">
        <v>2019</v>
      </c>
      <c r="D9356" s="4">
        <v>22947757</v>
      </c>
    </row>
    <row r="9357" spans="1:4" x14ac:dyDescent="0.3">
      <c r="A9357" s="5" t="s">
        <v>290</v>
      </c>
      <c r="B9357" s="5" t="s">
        <v>291</v>
      </c>
      <c r="C9357" s="6">
        <v>2020</v>
      </c>
      <c r="D9357" s="7">
        <v>23717613</v>
      </c>
    </row>
    <row r="9358" spans="1:4" x14ac:dyDescent="0.3">
      <c r="A9358" s="2" t="s">
        <v>290</v>
      </c>
      <c r="B9358" s="2" t="s">
        <v>291</v>
      </c>
      <c r="C9358" s="3">
        <v>2021</v>
      </c>
      <c r="D9358" s="4">
        <v>24502140</v>
      </c>
    </row>
    <row r="9359" spans="1:4" x14ac:dyDescent="0.3">
      <c r="A9359" s="5" t="s">
        <v>290</v>
      </c>
      <c r="B9359" s="5" t="s">
        <v>291</v>
      </c>
      <c r="C9359" s="6">
        <v>2022</v>
      </c>
      <c r="D9359" s="7">
        <v>25311973</v>
      </c>
    </row>
    <row r="9360" spans="1:4" x14ac:dyDescent="0.3">
      <c r="A9360" s="2" t="s">
        <v>290</v>
      </c>
      <c r="B9360" s="2" t="s">
        <v>291</v>
      </c>
      <c r="C9360" s="3">
        <v>2023</v>
      </c>
      <c r="D9360" s="4">
        <v>26159867</v>
      </c>
    </row>
    <row r="9361" spans="1:4" x14ac:dyDescent="0.3">
      <c r="A9361" s="5" t="s">
        <v>290</v>
      </c>
      <c r="B9361" s="5" t="s">
        <v>291</v>
      </c>
      <c r="C9361" s="6">
        <v>2024</v>
      </c>
      <c r="D9361" s="7">
        <v>27032412</v>
      </c>
    </row>
    <row r="9362" spans="1:4" x14ac:dyDescent="0.3">
      <c r="A9362" s="2" t="s">
        <v>292</v>
      </c>
      <c r="B9362" s="2" t="s">
        <v>293</v>
      </c>
      <c r="C9362" s="3">
        <v>1960</v>
      </c>
      <c r="D9362" s="4">
        <v>45053782</v>
      </c>
    </row>
    <row r="9363" spans="1:4" x14ac:dyDescent="0.3">
      <c r="A9363" s="5" t="s">
        <v>292</v>
      </c>
      <c r="B9363" s="5" t="s">
        <v>293</v>
      </c>
      <c r="C9363" s="6">
        <v>1961</v>
      </c>
      <c r="D9363" s="7">
        <v>45989310</v>
      </c>
    </row>
    <row r="9364" spans="1:4" x14ac:dyDescent="0.3">
      <c r="A9364" s="2" t="s">
        <v>292</v>
      </c>
      <c r="B9364" s="2" t="s">
        <v>293</v>
      </c>
      <c r="C9364" s="3">
        <v>1962</v>
      </c>
      <c r="D9364" s="4">
        <v>46965292</v>
      </c>
    </row>
    <row r="9365" spans="1:4" x14ac:dyDescent="0.3">
      <c r="A9365" s="5" t="s">
        <v>292</v>
      </c>
      <c r="B9365" s="5" t="s">
        <v>293</v>
      </c>
      <c r="C9365" s="6">
        <v>1963</v>
      </c>
      <c r="D9365" s="7">
        <v>47973575</v>
      </c>
    </row>
    <row r="9366" spans="1:4" x14ac:dyDescent="0.3">
      <c r="A9366" s="2" t="s">
        <v>292</v>
      </c>
      <c r="B9366" s="2" t="s">
        <v>293</v>
      </c>
      <c r="C9366" s="3">
        <v>1964</v>
      </c>
      <c r="D9366" s="4">
        <v>49012016</v>
      </c>
    </row>
    <row r="9367" spans="1:4" x14ac:dyDescent="0.3">
      <c r="A9367" s="5" t="s">
        <v>292</v>
      </c>
      <c r="B9367" s="5" t="s">
        <v>293</v>
      </c>
      <c r="C9367" s="6">
        <v>1965</v>
      </c>
      <c r="D9367" s="7">
        <v>50086764</v>
      </c>
    </row>
    <row r="9368" spans="1:4" x14ac:dyDescent="0.3">
      <c r="A9368" s="2" t="s">
        <v>292</v>
      </c>
      <c r="B9368" s="2" t="s">
        <v>293</v>
      </c>
      <c r="C9368" s="3">
        <v>1966</v>
      </c>
      <c r="D9368" s="4">
        <v>51188234</v>
      </c>
    </row>
    <row r="9369" spans="1:4" x14ac:dyDescent="0.3">
      <c r="A9369" s="5" t="s">
        <v>292</v>
      </c>
      <c r="B9369" s="5" t="s">
        <v>293</v>
      </c>
      <c r="C9369" s="6">
        <v>1967</v>
      </c>
      <c r="D9369" s="7">
        <v>52293065</v>
      </c>
    </row>
    <row r="9370" spans="1:4" x14ac:dyDescent="0.3">
      <c r="A9370" s="2" t="s">
        <v>292</v>
      </c>
      <c r="B9370" s="2" t="s">
        <v>293</v>
      </c>
      <c r="C9370" s="3">
        <v>1968</v>
      </c>
      <c r="D9370" s="4">
        <v>53432783</v>
      </c>
    </row>
    <row r="9371" spans="1:4" x14ac:dyDescent="0.3">
      <c r="A9371" s="5" t="s">
        <v>292</v>
      </c>
      <c r="B9371" s="5" t="s">
        <v>293</v>
      </c>
      <c r="C9371" s="6">
        <v>1969</v>
      </c>
      <c r="D9371" s="7">
        <v>54631914</v>
      </c>
    </row>
    <row r="9372" spans="1:4" x14ac:dyDescent="0.3">
      <c r="A9372" s="2" t="s">
        <v>292</v>
      </c>
      <c r="B9372" s="2" t="s">
        <v>293</v>
      </c>
      <c r="C9372" s="3">
        <v>1970</v>
      </c>
      <c r="D9372" s="4">
        <v>55893838</v>
      </c>
    </row>
    <row r="9373" spans="1:4" x14ac:dyDescent="0.3">
      <c r="A9373" s="5" t="s">
        <v>292</v>
      </c>
      <c r="B9373" s="5" t="s">
        <v>293</v>
      </c>
      <c r="C9373" s="6">
        <v>1971</v>
      </c>
      <c r="D9373" s="7">
        <v>57214684</v>
      </c>
    </row>
    <row r="9374" spans="1:4" x14ac:dyDescent="0.3">
      <c r="A9374" s="2" t="s">
        <v>292</v>
      </c>
      <c r="B9374" s="2" t="s">
        <v>293</v>
      </c>
      <c r="C9374" s="3">
        <v>1972</v>
      </c>
      <c r="D9374" s="4">
        <v>58601748</v>
      </c>
    </row>
    <row r="9375" spans="1:4" x14ac:dyDescent="0.3">
      <c r="A9375" s="5" t="s">
        <v>292</v>
      </c>
      <c r="B9375" s="5" t="s">
        <v>293</v>
      </c>
      <c r="C9375" s="6">
        <v>1973</v>
      </c>
      <c r="D9375" s="7">
        <v>60082139</v>
      </c>
    </row>
    <row r="9376" spans="1:4" x14ac:dyDescent="0.3">
      <c r="A9376" s="2" t="s">
        <v>292</v>
      </c>
      <c r="B9376" s="2" t="s">
        <v>293</v>
      </c>
      <c r="C9376" s="3">
        <v>1974</v>
      </c>
      <c r="D9376" s="4">
        <v>61679144</v>
      </c>
    </row>
    <row r="9377" spans="1:4" x14ac:dyDescent="0.3">
      <c r="A9377" s="5" t="s">
        <v>292</v>
      </c>
      <c r="B9377" s="5" t="s">
        <v>293</v>
      </c>
      <c r="C9377" s="6">
        <v>1975</v>
      </c>
      <c r="D9377" s="7">
        <v>63410815</v>
      </c>
    </row>
    <row r="9378" spans="1:4" x14ac:dyDescent="0.3">
      <c r="A9378" s="2" t="s">
        <v>292</v>
      </c>
      <c r="B9378" s="2" t="s">
        <v>293</v>
      </c>
      <c r="C9378" s="3">
        <v>1976</v>
      </c>
      <c r="D9378" s="4">
        <v>65258009</v>
      </c>
    </row>
    <row r="9379" spans="1:4" x14ac:dyDescent="0.3">
      <c r="A9379" s="5" t="s">
        <v>292</v>
      </c>
      <c r="B9379" s="5" t="s">
        <v>293</v>
      </c>
      <c r="C9379" s="6">
        <v>1977</v>
      </c>
      <c r="D9379" s="7">
        <v>67234590</v>
      </c>
    </row>
    <row r="9380" spans="1:4" x14ac:dyDescent="0.3">
      <c r="A9380" s="2" t="s">
        <v>292</v>
      </c>
      <c r="B9380" s="2" t="s">
        <v>293</v>
      </c>
      <c r="C9380" s="3">
        <v>1978</v>
      </c>
      <c r="D9380" s="4">
        <v>69326532</v>
      </c>
    </row>
    <row r="9381" spans="1:4" x14ac:dyDescent="0.3">
      <c r="A9381" s="5" t="s">
        <v>292</v>
      </c>
      <c r="B9381" s="5" t="s">
        <v>293</v>
      </c>
      <c r="C9381" s="6">
        <v>1979</v>
      </c>
      <c r="D9381" s="7">
        <v>71498242</v>
      </c>
    </row>
    <row r="9382" spans="1:4" x14ac:dyDescent="0.3">
      <c r="A9382" s="2" t="s">
        <v>292</v>
      </c>
      <c r="B9382" s="2" t="s">
        <v>293</v>
      </c>
      <c r="C9382" s="3">
        <v>1980</v>
      </c>
      <c r="D9382" s="4">
        <v>73764641</v>
      </c>
    </row>
    <row r="9383" spans="1:4" x14ac:dyDescent="0.3">
      <c r="A9383" s="5" t="s">
        <v>292</v>
      </c>
      <c r="B9383" s="5" t="s">
        <v>293</v>
      </c>
      <c r="C9383" s="6">
        <v>1981</v>
      </c>
      <c r="D9383" s="7">
        <v>76068103</v>
      </c>
    </row>
    <row r="9384" spans="1:4" x14ac:dyDescent="0.3">
      <c r="A9384" s="2" t="s">
        <v>292</v>
      </c>
      <c r="B9384" s="2" t="s">
        <v>293</v>
      </c>
      <c r="C9384" s="3">
        <v>1982</v>
      </c>
      <c r="D9384" s="4">
        <v>78378701</v>
      </c>
    </row>
    <row r="9385" spans="1:4" x14ac:dyDescent="0.3">
      <c r="A9385" s="5" t="s">
        <v>292</v>
      </c>
      <c r="B9385" s="5" t="s">
        <v>293</v>
      </c>
      <c r="C9385" s="6">
        <v>1983</v>
      </c>
      <c r="D9385" s="7">
        <v>80438260</v>
      </c>
    </row>
    <row r="9386" spans="1:4" x14ac:dyDescent="0.3">
      <c r="A9386" s="2" t="s">
        <v>292</v>
      </c>
      <c r="B9386" s="2" t="s">
        <v>293</v>
      </c>
      <c r="C9386" s="3">
        <v>1984</v>
      </c>
      <c r="D9386" s="4">
        <v>82526443</v>
      </c>
    </row>
    <row r="9387" spans="1:4" x14ac:dyDescent="0.3">
      <c r="A9387" s="5" t="s">
        <v>292</v>
      </c>
      <c r="B9387" s="5" t="s">
        <v>293</v>
      </c>
      <c r="C9387" s="6">
        <v>1985</v>
      </c>
      <c r="D9387" s="7">
        <v>84897973</v>
      </c>
    </row>
    <row r="9388" spans="1:4" x14ac:dyDescent="0.3">
      <c r="A9388" s="2" t="s">
        <v>292</v>
      </c>
      <c r="B9388" s="2" t="s">
        <v>293</v>
      </c>
      <c r="C9388" s="3">
        <v>1986</v>
      </c>
      <c r="D9388" s="4">
        <v>87235953</v>
      </c>
    </row>
    <row r="9389" spans="1:4" x14ac:dyDescent="0.3">
      <c r="A9389" s="5" t="s">
        <v>292</v>
      </c>
      <c r="B9389" s="5" t="s">
        <v>293</v>
      </c>
      <c r="C9389" s="6">
        <v>1987</v>
      </c>
      <c r="D9389" s="7">
        <v>89591716</v>
      </c>
    </row>
    <row r="9390" spans="1:4" x14ac:dyDescent="0.3">
      <c r="A9390" s="2" t="s">
        <v>292</v>
      </c>
      <c r="B9390" s="2" t="s">
        <v>293</v>
      </c>
      <c r="C9390" s="3">
        <v>1988</v>
      </c>
      <c r="D9390" s="4">
        <v>92020090</v>
      </c>
    </row>
    <row r="9391" spans="1:4" x14ac:dyDescent="0.3">
      <c r="A9391" s="5" t="s">
        <v>292</v>
      </c>
      <c r="B9391" s="5" t="s">
        <v>293</v>
      </c>
      <c r="C9391" s="6">
        <v>1989</v>
      </c>
      <c r="D9391" s="7">
        <v>94531014</v>
      </c>
    </row>
    <row r="9392" spans="1:4" x14ac:dyDescent="0.3">
      <c r="A9392" s="2" t="s">
        <v>292</v>
      </c>
      <c r="B9392" s="2" t="s">
        <v>293</v>
      </c>
      <c r="C9392" s="3">
        <v>1990</v>
      </c>
      <c r="D9392" s="4">
        <v>97120925</v>
      </c>
    </row>
    <row r="9393" spans="1:4" x14ac:dyDescent="0.3">
      <c r="A9393" s="5" t="s">
        <v>292</v>
      </c>
      <c r="B9393" s="5" t="s">
        <v>293</v>
      </c>
      <c r="C9393" s="6">
        <v>1991</v>
      </c>
      <c r="D9393" s="7">
        <v>99720162</v>
      </c>
    </row>
    <row r="9394" spans="1:4" x14ac:dyDescent="0.3">
      <c r="A9394" s="2" t="s">
        <v>292</v>
      </c>
      <c r="B9394" s="2" t="s">
        <v>293</v>
      </c>
      <c r="C9394" s="3">
        <v>1992</v>
      </c>
      <c r="D9394" s="4">
        <v>102372770</v>
      </c>
    </row>
    <row r="9395" spans="1:4" x14ac:dyDescent="0.3">
      <c r="A9395" s="5" t="s">
        <v>292</v>
      </c>
      <c r="B9395" s="5" t="s">
        <v>293</v>
      </c>
      <c r="C9395" s="6">
        <v>1993</v>
      </c>
      <c r="D9395" s="7">
        <v>105122069</v>
      </c>
    </row>
    <row r="9396" spans="1:4" x14ac:dyDescent="0.3">
      <c r="A9396" s="2" t="s">
        <v>292</v>
      </c>
      <c r="B9396" s="2" t="s">
        <v>293</v>
      </c>
      <c r="C9396" s="3">
        <v>1994</v>
      </c>
      <c r="D9396" s="4">
        <v>107935714</v>
      </c>
    </row>
    <row r="9397" spans="1:4" x14ac:dyDescent="0.3">
      <c r="A9397" s="5" t="s">
        <v>292</v>
      </c>
      <c r="B9397" s="5" t="s">
        <v>293</v>
      </c>
      <c r="C9397" s="6">
        <v>1995</v>
      </c>
      <c r="D9397" s="7">
        <v>110819428</v>
      </c>
    </row>
    <row r="9398" spans="1:4" x14ac:dyDescent="0.3">
      <c r="A9398" s="2" t="s">
        <v>292</v>
      </c>
      <c r="B9398" s="2" t="s">
        <v>293</v>
      </c>
      <c r="C9398" s="3">
        <v>1996</v>
      </c>
      <c r="D9398" s="4">
        <v>113754779</v>
      </c>
    </row>
    <row r="9399" spans="1:4" x14ac:dyDescent="0.3">
      <c r="A9399" s="5" t="s">
        <v>292</v>
      </c>
      <c r="B9399" s="5" t="s">
        <v>293</v>
      </c>
      <c r="C9399" s="6">
        <v>1997</v>
      </c>
      <c r="D9399" s="7">
        <v>116754792</v>
      </c>
    </row>
    <row r="9400" spans="1:4" x14ac:dyDescent="0.3">
      <c r="A9400" s="2" t="s">
        <v>292</v>
      </c>
      <c r="B9400" s="2" t="s">
        <v>293</v>
      </c>
      <c r="C9400" s="3">
        <v>1998</v>
      </c>
      <c r="D9400" s="4">
        <v>119846254</v>
      </c>
    </row>
    <row r="9401" spans="1:4" x14ac:dyDescent="0.3">
      <c r="A9401" s="5" t="s">
        <v>292</v>
      </c>
      <c r="B9401" s="5" t="s">
        <v>293</v>
      </c>
      <c r="C9401" s="6">
        <v>1999</v>
      </c>
      <c r="D9401" s="7">
        <v>123047320</v>
      </c>
    </row>
    <row r="9402" spans="1:4" x14ac:dyDescent="0.3">
      <c r="A9402" s="2" t="s">
        <v>292</v>
      </c>
      <c r="B9402" s="2" t="s">
        <v>293</v>
      </c>
      <c r="C9402" s="3">
        <v>2000</v>
      </c>
      <c r="D9402" s="4">
        <v>126382494</v>
      </c>
    </row>
    <row r="9403" spans="1:4" x14ac:dyDescent="0.3">
      <c r="A9403" s="5" t="s">
        <v>292</v>
      </c>
      <c r="B9403" s="5" t="s">
        <v>293</v>
      </c>
      <c r="C9403" s="6">
        <v>2001</v>
      </c>
      <c r="D9403" s="7">
        <v>129862595</v>
      </c>
    </row>
    <row r="9404" spans="1:4" x14ac:dyDescent="0.3">
      <c r="A9404" s="2" t="s">
        <v>292</v>
      </c>
      <c r="B9404" s="2" t="s">
        <v>293</v>
      </c>
      <c r="C9404" s="3">
        <v>2002</v>
      </c>
      <c r="D9404" s="4">
        <v>133471989</v>
      </c>
    </row>
    <row r="9405" spans="1:4" x14ac:dyDescent="0.3">
      <c r="A9405" s="5" t="s">
        <v>292</v>
      </c>
      <c r="B9405" s="5" t="s">
        <v>293</v>
      </c>
      <c r="C9405" s="6">
        <v>2003</v>
      </c>
      <c r="D9405" s="7">
        <v>137202644</v>
      </c>
    </row>
    <row r="9406" spans="1:4" x14ac:dyDescent="0.3">
      <c r="A9406" s="2" t="s">
        <v>292</v>
      </c>
      <c r="B9406" s="2" t="s">
        <v>293</v>
      </c>
      <c r="C9406" s="3">
        <v>2004</v>
      </c>
      <c r="D9406" s="4">
        <v>141057045</v>
      </c>
    </row>
    <row r="9407" spans="1:4" x14ac:dyDescent="0.3">
      <c r="A9407" s="5" t="s">
        <v>292</v>
      </c>
      <c r="B9407" s="5" t="s">
        <v>293</v>
      </c>
      <c r="C9407" s="6">
        <v>2005</v>
      </c>
      <c r="D9407" s="7">
        <v>145017253</v>
      </c>
    </row>
    <row r="9408" spans="1:4" x14ac:dyDescent="0.3">
      <c r="A9408" s="2" t="s">
        <v>292</v>
      </c>
      <c r="B9408" s="2" t="s">
        <v>293</v>
      </c>
      <c r="C9408" s="3">
        <v>2006</v>
      </c>
      <c r="D9408" s="4">
        <v>149077334</v>
      </c>
    </row>
    <row r="9409" spans="1:4" x14ac:dyDescent="0.3">
      <c r="A9409" s="5" t="s">
        <v>292</v>
      </c>
      <c r="B9409" s="5" t="s">
        <v>293</v>
      </c>
      <c r="C9409" s="6">
        <v>2007</v>
      </c>
      <c r="D9409" s="7">
        <v>153267261</v>
      </c>
    </row>
    <row r="9410" spans="1:4" x14ac:dyDescent="0.3">
      <c r="A9410" s="2" t="s">
        <v>292</v>
      </c>
      <c r="B9410" s="2" t="s">
        <v>293</v>
      </c>
      <c r="C9410" s="3">
        <v>2008</v>
      </c>
      <c r="D9410" s="4">
        <v>157595014</v>
      </c>
    </row>
    <row r="9411" spans="1:4" x14ac:dyDescent="0.3">
      <c r="A9411" s="5" t="s">
        <v>292</v>
      </c>
      <c r="B9411" s="5" t="s">
        <v>293</v>
      </c>
      <c r="C9411" s="6">
        <v>2009</v>
      </c>
      <c r="D9411" s="7">
        <v>162049464</v>
      </c>
    </row>
    <row r="9412" spans="1:4" x14ac:dyDescent="0.3">
      <c r="A9412" s="2" t="s">
        <v>292</v>
      </c>
      <c r="B9412" s="2" t="s">
        <v>293</v>
      </c>
      <c r="C9412" s="3">
        <v>2010</v>
      </c>
      <c r="D9412" s="4">
        <v>166642886</v>
      </c>
    </row>
    <row r="9413" spans="1:4" x14ac:dyDescent="0.3">
      <c r="A9413" s="5" t="s">
        <v>292</v>
      </c>
      <c r="B9413" s="5" t="s">
        <v>293</v>
      </c>
      <c r="C9413" s="6">
        <v>2011</v>
      </c>
      <c r="D9413" s="7">
        <v>171379598</v>
      </c>
    </row>
    <row r="9414" spans="1:4" x14ac:dyDescent="0.3">
      <c r="A9414" s="2" t="s">
        <v>292</v>
      </c>
      <c r="B9414" s="2" t="s">
        <v>293</v>
      </c>
      <c r="C9414" s="3">
        <v>2012</v>
      </c>
      <c r="D9414" s="4">
        <v>176200625</v>
      </c>
    </row>
    <row r="9415" spans="1:4" x14ac:dyDescent="0.3">
      <c r="A9415" s="5" t="s">
        <v>292</v>
      </c>
      <c r="B9415" s="5" t="s">
        <v>293</v>
      </c>
      <c r="C9415" s="6">
        <v>2013</v>
      </c>
      <c r="D9415" s="7">
        <v>181049443</v>
      </c>
    </row>
    <row r="9416" spans="1:4" x14ac:dyDescent="0.3">
      <c r="A9416" s="2" t="s">
        <v>292</v>
      </c>
      <c r="B9416" s="2" t="s">
        <v>293</v>
      </c>
      <c r="C9416" s="3">
        <v>2014</v>
      </c>
      <c r="D9416" s="4">
        <v>185896915</v>
      </c>
    </row>
    <row r="9417" spans="1:4" x14ac:dyDescent="0.3">
      <c r="A9417" s="5" t="s">
        <v>292</v>
      </c>
      <c r="B9417" s="5" t="s">
        <v>293</v>
      </c>
      <c r="C9417" s="6">
        <v>2015</v>
      </c>
      <c r="D9417" s="7">
        <v>190671878</v>
      </c>
    </row>
    <row r="9418" spans="1:4" x14ac:dyDescent="0.3">
      <c r="A9418" s="2" t="s">
        <v>292</v>
      </c>
      <c r="B9418" s="2" t="s">
        <v>293</v>
      </c>
      <c r="C9418" s="3">
        <v>2016</v>
      </c>
      <c r="D9418" s="4">
        <v>195443700</v>
      </c>
    </row>
    <row r="9419" spans="1:4" x14ac:dyDescent="0.3">
      <c r="A9419" s="5" t="s">
        <v>292</v>
      </c>
      <c r="B9419" s="5" t="s">
        <v>293</v>
      </c>
      <c r="C9419" s="6">
        <v>2017</v>
      </c>
      <c r="D9419" s="7">
        <v>200254579</v>
      </c>
    </row>
    <row r="9420" spans="1:4" x14ac:dyDescent="0.3">
      <c r="A9420" s="2" t="s">
        <v>292</v>
      </c>
      <c r="B9420" s="2" t="s">
        <v>293</v>
      </c>
      <c r="C9420" s="3">
        <v>2018</v>
      </c>
      <c r="D9420" s="4">
        <v>204938755</v>
      </c>
    </row>
    <row r="9421" spans="1:4" x14ac:dyDescent="0.3">
      <c r="A9421" s="5" t="s">
        <v>292</v>
      </c>
      <c r="B9421" s="5" t="s">
        <v>293</v>
      </c>
      <c r="C9421" s="6">
        <v>2019</v>
      </c>
      <c r="D9421" s="7">
        <v>209485641</v>
      </c>
    </row>
    <row r="9422" spans="1:4" x14ac:dyDescent="0.3">
      <c r="A9422" s="2" t="s">
        <v>292</v>
      </c>
      <c r="B9422" s="2" t="s">
        <v>293</v>
      </c>
      <c r="C9422" s="3">
        <v>2020</v>
      </c>
      <c r="D9422" s="4">
        <v>213996181</v>
      </c>
    </row>
    <row r="9423" spans="1:4" x14ac:dyDescent="0.3">
      <c r="A9423" s="5" t="s">
        <v>292</v>
      </c>
      <c r="B9423" s="5" t="s">
        <v>293</v>
      </c>
      <c r="C9423" s="6">
        <v>2021</v>
      </c>
      <c r="D9423" s="7">
        <v>218529286</v>
      </c>
    </row>
    <row r="9424" spans="1:4" x14ac:dyDescent="0.3">
      <c r="A9424" s="2" t="s">
        <v>292</v>
      </c>
      <c r="B9424" s="2" t="s">
        <v>293</v>
      </c>
      <c r="C9424" s="3">
        <v>2022</v>
      </c>
      <c r="D9424" s="4">
        <v>223150896</v>
      </c>
    </row>
    <row r="9425" spans="1:4" x14ac:dyDescent="0.3">
      <c r="A9425" s="5" t="s">
        <v>292</v>
      </c>
      <c r="B9425" s="5" t="s">
        <v>293</v>
      </c>
      <c r="C9425" s="6">
        <v>2023</v>
      </c>
      <c r="D9425" s="7">
        <v>227882945</v>
      </c>
    </row>
    <row r="9426" spans="1:4" x14ac:dyDescent="0.3">
      <c r="A9426" s="2" t="s">
        <v>292</v>
      </c>
      <c r="B9426" s="2" t="s">
        <v>293</v>
      </c>
      <c r="C9426" s="3">
        <v>2024</v>
      </c>
      <c r="D9426" s="4">
        <v>232679478</v>
      </c>
    </row>
    <row r="9427" spans="1:4" x14ac:dyDescent="0.3">
      <c r="A9427" s="5" t="s">
        <v>294</v>
      </c>
      <c r="B9427" s="5" t="s">
        <v>295</v>
      </c>
      <c r="C9427" s="6">
        <v>1960</v>
      </c>
      <c r="D9427" s="7">
        <v>1435059</v>
      </c>
    </row>
    <row r="9428" spans="1:4" x14ac:dyDescent="0.3">
      <c r="A9428" s="2" t="s">
        <v>294</v>
      </c>
      <c r="B9428" s="2" t="s">
        <v>295</v>
      </c>
      <c r="C9428" s="3">
        <v>1961</v>
      </c>
      <c r="D9428" s="4">
        <v>1455171</v>
      </c>
    </row>
    <row r="9429" spans="1:4" x14ac:dyDescent="0.3">
      <c r="A9429" s="5" t="s">
        <v>294</v>
      </c>
      <c r="B9429" s="5" t="s">
        <v>295</v>
      </c>
      <c r="C9429" s="6">
        <v>1962</v>
      </c>
      <c r="D9429" s="7">
        <v>1471745</v>
      </c>
    </row>
    <row r="9430" spans="1:4" x14ac:dyDescent="0.3">
      <c r="A9430" s="2" t="s">
        <v>294</v>
      </c>
      <c r="B9430" s="2" t="s">
        <v>295</v>
      </c>
      <c r="C9430" s="3">
        <v>1963</v>
      </c>
      <c r="D9430" s="4">
        <v>1488737</v>
      </c>
    </row>
    <row r="9431" spans="1:4" x14ac:dyDescent="0.3">
      <c r="A9431" s="5" t="s">
        <v>294</v>
      </c>
      <c r="B9431" s="5" t="s">
        <v>295</v>
      </c>
      <c r="C9431" s="6">
        <v>1964</v>
      </c>
      <c r="D9431" s="7">
        <v>1510900</v>
      </c>
    </row>
    <row r="9432" spans="1:4" x14ac:dyDescent="0.3">
      <c r="A9432" s="2" t="s">
        <v>294</v>
      </c>
      <c r="B9432" s="2" t="s">
        <v>295</v>
      </c>
      <c r="C9432" s="3">
        <v>1965</v>
      </c>
      <c r="D9432" s="4">
        <v>1533466</v>
      </c>
    </row>
    <row r="9433" spans="1:4" x14ac:dyDescent="0.3">
      <c r="A9433" s="5" t="s">
        <v>294</v>
      </c>
      <c r="B9433" s="5" t="s">
        <v>295</v>
      </c>
      <c r="C9433" s="6">
        <v>1966</v>
      </c>
      <c r="D9433" s="7">
        <v>1557349</v>
      </c>
    </row>
    <row r="9434" spans="1:4" x14ac:dyDescent="0.3">
      <c r="A9434" s="2" t="s">
        <v>294</v>
      </c>
      <c r="B9434" s="2" t="s">
        <v>295</v>
      </c>
      <c r="C9434" s="3">
        <v>1967</v>
      </c>
      <c r="D9434" s="4">
        <v>1582492</v>
      </c>
    </row>
    <row r="9435" spans="1:4" x14ac:dyDescent="0.3">
      <c r="A9435" s="5" t="s">
        <v>294</v>
      </c>
      <c r="B9435" s="5" t="s">
        <v>295</v>
      </c>
      <c r="C9435" s="6">
        <v>1968</v>
      </c>
      <c r="D9435" s="7">
        <v>1608930</v>
      </c>
    </row>
    <row r="9436" spans="1:4" x14ac:dyDescent="0.3">
      <c r="A9436" s="2" t="s">
        <v>294</v>
      </c>
      <c r="B9436" s="2" t="s">
        <v>295</v>
      </c>
      <c r="C9436" s="3">
        <v>1969</v>
      </c>
      <c r="D9436" s="4">
        <v>1636345</v>
      </c>
    </row>
    <row r="9437" spans="1:4" x14ac:dyDescent="0.3">
      <c r="A9437" s="5" t="s">
        <v>294</v>
      </c>
      <c r="B9437" s="5" t="s">
        <v>295</v>
      </c>
      <c r="C9437" s="6">
        <v>1970</v>
      </c>
      <c r="D9437" s="7">
        <v>1664208</v>
      </c>
    </row>
    <row r="9438" spans="1:4" x14ac:dyDescent="0.3">
      <c r="A9438" s="2" t="s">
        <v>294</v>
      </c>
      <c r="B9438" s="2" t="s">
        <v>295</v>
      </c>
      <c r="C9438" s="3">
        <v>1971</v>
      </c>
      <c r="D9438" s="4">
        <v>1691216</v>
      </c>
    </row>
    <row r="9439" spans="1:4" x14ac:dyDescent="0.3">
      <c r="A9439" s="5" t="s">
        <v>294</v>
      </c>
      <c r="B9439" s="5" t="s">
        <v>295</v>
      </c>
      <c r="C9439" s="6">
        <v>1972</v>
      </c>
      <c r="D9439" s="7">
        <v>1717395</v>
      </c>
    </row>
    <row r="9440" spans="1:4" x14ac:dyDescent="0.3">
      <c r="A9440" s="2" t="s">
        <v>294</v>
      </c>
      <c r="B9440" s="2" t="s">
        <v>295</v>
      </c>
      <c r="C9440" s="3">
        <v>1973</v>
      </c>
      <c r="D9440" s="4">
        <v>1743816</v>
      </c>
    </row>
    <row r="9441" spans="1:4" x14ac:dyDescent="0.3">
      <c r="A9441" s="5" t="s">
        <v>294</v>
      </c>
      <c r="B9441" s="5" t="s">
        <v>295</v>
      </c>
      <c r="C9441" s="6">
        <v>1974</v>
      </c>
      <c r="D9441" s="7">
        <v>1770545</v>
      </c>
    </row>
    <row r="9442" spans="1:4" x14ac:dyDescent="0.3">
      <c r="A9442" s="2" t="s">
        <v>294</v>
      </c>
      <c r="B9442" s="2" t="s">
        <v>295</v>
      </c>
      <c r="C9442" s="3">
        <v>1975</v>
      </c>
      <c r="D9442" s="4">
        <v>1797972</v>
      </c>
    </row>
    <row r="9443" spans="1:4" x14ac:dyDescent="0.3">
      <c r="A9443" s="5" t="s">
        <v>294</v>
      </c>
      <c r="B9443" s="5" t="s">
        <v>295</v>
      </c>
      <c r="C9443" s="6">
        <v>1976</v>
      </c>
      <c r="D9443" s="7">
        <v>1825830</v>
      </c>
    </row>
    <row r="9444" spans="1:4" x14ac:dyDescent="0.3">
      <c r="A9444" s="2" t="s">
        <v>294</v>
      </c>
      <c r="B9444" s="2" t="s">
        <v>295</v>
      </c>
      <c r="C9444" s="3">
        <v>1977</v>
      </c>
      <c r="D9444" s="4">
        <v>1853138</v>
      </c>
    </row>
    <row r="9445" spans="1:4" x14ac:dyDescent="0.3">
      <c r="A9445" s="5" t="s">
        <v>294</v>
      </c>
      <c r="B9445" s="5" t="s">
        <v>295</v>
      </c>
      <c r="C9445" s="6">
        <v>1978</v>
      </c>
      <c r="D9445" s="7">
        <v>1879847</v>
      </c>
    </row>
    <row r="9446" spans="1:4" x14ac:dyDescent="0.3">
      <c r="A9446" s="2" t="s">
        <v>294</v>
      </c>
      <c r="B9446" s="2" t="s">
        <v>295</v>
      </c>
      <c r="C9446" s="3">
        <v>1979</v>
      </c>
      <c r="D9446" s="4">
        <v>1906523</v>
      </c>
    </row>
    <row r="9447" spans="1:4" x14ac:dyDescent="0.3">
      <c r="A9447" s="5" t="s">
        <v>294</v>
      </c>
      <c r="B9447" s="5" t="s">
        <v>295</v>
      </c>
      <c r="C9447" s="6">
        <v>1980</v>
      </c>
      <c r="D9447" s="7">
        <v>1933038</v>
      </c>
    </row>
    <row r="9448" spans="1:4" x14ac:dyDescent="0.3">
      <c r="A9448" s="2" t="s">
        <v>294</v>
      </c>
      <c r="B9448" s="2" t="s">
        <v>295</v>
      </c>
      <c r="C9448" s="3">
        <v>1981</v>
      </c>
      <c r="D9448" s="4">
        <v>1959065</v>
      </c>
    </row>
    <row r="9449" spans="1:4" x14ac:dyDescent="0.3">
      <c r="A9449" s="5" t="s">
        <v>294</v>
      </c>
      <c r="B9449" s="5" t="s">
        <v>295</v>
      </c>
      <c r="C9449" s="6">
        <v>1982</v>
      </c>
      <c r="D9449" s="7">
        <v>1978956</v>
      </c>
    </row>
    <row r="9450" spans="1:4" x14ac:dyDescent="0.3">
      <c r="A9450" s="2" t="s">
        <v>294</v>
      </c>
      <c r="B9450" s="2" t="s">
        <v>295</v>
      </c>
      <c r="C9450" s="3">
        <v>1983</v>
      </c>
      <c r="D9450" s="4">
        <v>1991901</v>
      </c>
    </row>
    <row r="9451" spans="1:4" x14ac:dyDescent="0.3">
      <c r="A9451" s="5" t="s">
        <v>294</v>
      </c>
      <c r="B9451" s="5" t="s">
        <v>295</v>
      </c>
      <c r="C9451" s="6">
        <v>1984</v>
      </c>
      <c r="D9451" s="7">
        <v>2003399</v>
      </c>
    </row>
    <row r="9452" spans="1:4" x14ac:dyDescent="0.3">
      <c r="A9452" s="2" t="s">
        <v>294</v>
      </c>
      <c r="B9452" s="2" t="s">
        <v>295</v>
      </c>
      <c r="C9452" s="3">
        <v>1985</v>
      </c>
      <c r="D9452" s="4">
        <v>2014331</v>
      </c>
    </row>
    <row r="9453" spans="1:4" x14ac:dyDescent="0.3">
      <c r="A9453" s="5" t="s">
        <v>294</v>
      </c>
      <c r="B9453" s="5" t="s">
        <v>295</v>
      </c>
      <c r="C9453" s="6">
        <v>1986</v>
      </c>
      <c r="D9453" s="7">
        <v>2024732</v>
      </c>
    </row>
    <row r="9454" spans="1:4" x14ac:dyDescent="0.3">
      <c r="A9454" s="2" t="s">
        <v>294</v>
      </c>
      <c r="B9454" s="2" t="s">
        <v>295</v>
      </c>
      <c r="C9454" s="3">
        <v>1987</v>
      </c>
      <c r="D9454" s="4">
        <v>2035157</v>
      </c>
    </row>
    <row r="9455" spans="1:4" x14ac:dyDescent="0.3">
      <c r="A9455" s="5" t="s">
        <v>294</v>
      </c>
      <c r="B9455" s="5" t="s">
        <v>295</v>
      </c>
      <c r="C9455" s="6">
        <v>1988</v>
      </c>
      <c r="D9455" s="7">
        <v>2045737</v>
      </c>
    </row>
    <row r="9456" spans="1:4" x14ac:dyDescent="0.3">
      <c r="A9456" s="2" t="s">
        <v>294</v>
      </c>
      <c r="B9456" s="2" t="s">
        <v>295</v>
      </c>
      <c r="C9456" s="3">
        <v>1989</v>
      </c>
      <c r="D9456" s="4">
        <v>2055649</v>
      </c>
    </row>
    <row r="9457" spans="1:4" x14ac:dyDescent="0.3">
      <c r="A9457" s="5" t="s">
        <v>294</v>
      </c>
      <c r="B9457" s="5" t="s">
        <v>295</v>
      </c>
      <c r="C9457" s="6">
        <v>1990</v>
      </c>
      <c r="D9457" s="7">
        <v>2063689</v>
      </c>
    </row>
    <row r="9458" spans="1:4" x14ac:dyDescent="0.3">
      <c r="A9458" s="2" t="s">
        <v>294</v>
      </c>
      <c r="B9458" s="2" t="s">
        <v>295</v>
      </c>
      <c r="C9458" s="3">
        <v>1991</v>
      </c>
      <c r="D9458" s="4">
        <v>2055994</v>
      </c>
    </row>
    <row r="9459" spans="1:4" x14ac:dyDescent="0.3">
      <c r="A9459" s="5" t="s">
        <v>294</v>
      </c>
      <c r="B9459" s="5" t="s">
        <v>295</v>
      </c>
      <c r="C9459" s="6">
        <v>1992</v>
      </c>
      <c r="D9459" s="7">
        <v>2032523</v>
      </c>
    </row>
    <row r="9460" spans="1:4" x14ac:dyDescent="0.3">
      <c r="A9460" s="2" t="s">
        <v>294</v>
      </c>
      <c r="B9460" s="2" t="s">
        <v>295</v>
      </c>
      <c r="C9460" s="3">
        <v>1993</v>
      </c>
      <c r="D9460" s="4">
        <v>2006854</v>
      </c>
    </row>
    <row r="9461" spans="1:4" x14ac:dyDescent="0.3">
      <c r="A9461" s="5" t="s">
        <v>294</v>
      </c>
      <c r="B9461" s="5" t="s">
        <v>295</v>
      </c>
      <c r="C9461" s="6">
        <v>1994</v>
      </c>
      <c r="D9461" s="7">
        <v>1992666</v>
      </c>
    </row>
    <row r="9462" spans="1:4" x14ac:dyDescent="0.3">
      <c r="A9462" s="2" t="s">
        <v>294</v>
      </c>
      <c r="B9462" s="2" t="s">
        <v>295</v>
      </c>
      <c r="C9462" s="3">
        <v>1995</v>
      </c>
      <c r="D9462" s="4">
        <v>1998534</v>
      </c>
    </row>
    <row r="9463" spans="1:4" x14ac:dyDescent="0.3">
      <c r="A9463" s="5" t="s">
        <v>294</v>
      </c>
      <c r="B9463" s="5" t="s">
        <v>295</v>
      </c>
      <c r="C9463" s="6">
        <v>1996</v>
      </c>
      <c r="D9463" s="7">
        <v>2012553</v>
      </c>
    </row>
    <row r="9464" spans="1:4" x14ac:dyDescent="0.3">
      <c r="A9464" s="2" t="s">
        <v>294</v>
      </c>
      <c r="B9464" s="2" t="s">
        <v>295</v>
      </c>
      <c r="C9464" s="3">
        <v>1997</v>
      </c>
      <c r="D9464" s="4">
        <v>1996869</v>
      </c>
    </row>
    <row r="9465" spans="1:4" x14ac:dyDescent="0.3">
      <c r="A9465" s="5" t="s">
        <v>294</v>
      </c>
      <c r="B9465" s="5" t="s">
        <v>295</v>
      </c>
      <c r="C9465" s="6">
        <v>1998</v>
      </c>
      <c r="D9465" s="7">
        <v>2007523</v>
      </c>
    </row>
    <row r="9466" spans="1:4" x14ac:dyDescent="0.3">
      <c r="A9466" s="2" t="s">
        <v>294</v>
      </c>
      <c r="B9466" s="2" t="s">
        <v>295</v>
      </c>
      <c r="C9466" s="3">
        <v>1999</v>
      </c>
      <c r="D9466" s="4">
        <v>2017142</v>
      </c>
    </row>
    <row r="9467" spans="1:4" x14ac:dyDescent="0.3">
      <c r="A9467" s="5" t="s">
        <v>294</v>
      </c>
      <c r="B9467" s="5" t="s">
        <v>295</v>
      </c>
      <c r="C9467" s="6">
        <v>2000</v>
      </c>
      <c r="D9467" s="7">
        <v>2026350</v>
      </c>
    </row>
    <row r="9468" spans="1:4" x14ac:dyDescent="0.3">
      <c r="A9468" s="2" t="s">
        <v>294</v>
      </c>
      <c r="B9468" s="2" t="s">
        <v>295</v>
      </c>
      <c r="C9468" s="3">
        <v>2001</v>
      </c>
      <c r="D9468" s="4">
        <v>2034882</v>
      </c>
    </row>
    <row r="9469" spans="1:4" x14ac:dyDescent="0.3">
      <c r="A9469" s="5" t="s">
        <v>294</v>
      </c>
      <c r="B9469" s="5" t="s">
        <v>295</v>
      </c>
      <c r="C9469" s="6">
        <v>2002</v>
      </c>
      <c r="D9469" s="7">
        <v>2020157</v>
      </c>
    </row>
    <row r="9470" spans="1:4" x14ac:dyDescent="0.3">
      <c r="A9470" s="2" t="s">
        <v>294</v>
      </c>
      <c r="B9470" s="2" t="s">
        <v>295</v>
      </c>
      <c r="C9470" s="3">
        <v>2003</v>
      </c>
      <c r="D9470" s="4">
        <v>2022725</v>
      </c>
    </row>
    <row r="9471" spans="1:4" x14ac:dyDescent="0.3">
      <c r="A9471" s="5" t="s">
        <v>294</v>
      </c>
      <c r="B9471" s="5" t="s">
        <v>295</v>
      </c>
      <c r="C9471" s="6">
        <v>2004</v>
      </c>
      <c r="D9471" s="7">
        <v>2016186</v>
      </c>
    </row>
    <row r="9472" spans="1:4" x14ac:dyDescent="0.3">
      <c r="A9472" s="2" t="s">
        <v>294</v>
      </c>
      <c r="B9472" s="2" t="s">
        <v>295</v>
      </c>
      <c r="C9472" s="3">
        <v>2005</v>
      </c>
      <c r="D9472" s="4">
        <v>2005330</v>
      </c>
    </row>
    <row r="9473" spans="1:4" x14ac:dyDescent="0.3">
      <c r="A9473" s="5" t="s">
        <v>294</v>
      </c>
      <c r="B9473" s="5" t="s">
        <v>295</v>
      </c>
      <c r="C9473" s="6">
        <v>2006</v>
      </c>
      <c r="D9473" s="7">
        <v>1994287</v>
      </c>
    </row>
    <row r="9474" spans="1:4" x14ac:dyDescent="0.3">
      <c r="A9474" s="2" t="s">
        <v>294</v>
      </c>
      <c r="B9474" s="2" t="s">
        <v>295</v>
      </c>
      <c r="C9474" s="3">
        <v>2007</v>
      </c>
      <c r="D9474" s="4">
        <v>1982933</v>
      </c>
    </row>
    <row r="9475" spans="1:4" x14ac:dyDescent="0.3">
      <c r="A9475" s="5" t="s">
        <v>294</v>
      </c>
      <c r="B9475" s="5" t="s">
        <v>295</v>
      </c>
      <c r="C9475" s="6">
        <v>2008</v>
      </c>
      <c r="D9475" s="7">
        <v>1971493</v>
      </c>
    </row>
    <row r="9476" spans="1:4" x14ac:dyDescent="0.3">
      <c r="A9476" s="2" t="s">
        <v>294</v>
      </c>
      <c r="B9476" s="2" t="s">
        <v>295</v>
      </c>
      <c r="C9476" s="3">
        <v>2009</v>
      </c>
      <c r="D9476" s="4">
        <v>1958782</v>
      </c>
    </row>
    <row r="9477" spans="1:4" x14ac:dyDescent="0.3">
      <c r="A9477" s="5" t="s">
        <v>294</v>
      </c>
      <c r="B9477" s="5" t="s">
        <v>295</v>
      </c>
      <c r="C9477" s="6">
        <v>2010</v>
      </c>
      <c r="D9477" s="7">
        <v>1946298</v>
      </c>
    </row>
    <row r="9478" spans="1:4" x14ac:dyDescent="0.3">
      <c r="A9478" s="2" t="s">
        <v>294</v>
      </c>
      <c r="B9478" s="2" t="s">
        <v>295</v>
      </c>
      <c r="C9478" s="3">
        <v>2011</v>
      </c>
      <c r="D9478" s="4">
        <v>1937398</v>
      </c>
    </row>
    <row r="9479" spans="1:4" x14ac:dyDescent="0.3">
      <c r="A9479" s="5" t="s">
        <v>294</v>
      </c>
      <c r="B9479" s="5" t="s">
        <v>295</v>
      </c>
      <c r="C9479" s="6">
        <v>2012</v>
      </c>
      <c r="D9479" s="7">
        <v>1929821</v>
      </c>
    </row>
    <row r="9480" spans="1:4" x14ac:dyDescent="0.3">
      <c r="A9480" s="2" t="s">
        <v>294</v>
      </c>
      <c r="B9480" s="2" t="s">
        <v>295</v>
      </c>
      <c r="C9480" s="3">
        <v>2013</v>
      </c>
      <c r="D9480" s="4">
        <v>1922716</v>
      </c>
    </row>
    <row r="9481" spans="1:4" x14ac:dyDescent="0.3">
      <c r="A9481" s="5" t="s">
        <v>294</v>
      </c>
      <c r="B9481" s="5" t="s">
        <v>295</v>
      </c>
      <c r="C9481" s="6">
        <v>2014</v>
      </c>
      <c r="D9481" s="7">
        <v>1917557</v>
      </c>
    </row>
    <row r="9482" spans="1:4" x14ac:dyDescent="0.3">
      <c r="A9482" s="2" t="s">
        <v>294</v>
      </c>
      <c r="B9482" s="2" t="s">
        <v>295</v>
      </c>
      <c r="C9482" s="3">
        <v>2015</v>
      </c>
      <c r="D9482" s="4">
        <v>1912430</v>
      </c>
    </row>
    <row r="9483" spans="1:4" x14ac:dyDescent="0.3">
      <c r="A9483" s="5" t="s">
        <v>294</v>
      </c>
      <c r="B9483" s="5" t="s">
        <v>295</v>
      </c>
      <c r="C9483" s="6">
        <v>2016</v>
      </c>
      <c r="D9483" s="7">
        <v>1906313</v>
      </c>
    </row>
    <row r="9484" spans="1:4" x14ac:dyDescent="0.3">
      <c r="A9484" s="2" t="s">
        <v>294</v>
      </c>
      <c r="B9484" s="2" t="s">
        <v>295</v>
      </c>
      <c r="C9484" s="3">
        <v>2017</v>
      </c>
      <c r="D9484" s="4">
        <v>1898657</v>
      </c>
    </row>
    <row r="9485" spans="1:4" x14ac:dyDescent="0.3">
      <c r="A9485" s="5" t="s">
        <v>294</v>
      </c>
      <c r="B9485" s="5" t="s">
        <v>295</v>
      </c>
      <c r="C9485" s="6">
        <v>2018</v>
      </c>
      <c r="D9485" s="7">
        <v>1889051</v>
      </c>
    </row>
    <row r="9486" spans="1:4" x14ac:dyDescent="0.3">
      <c r="A9486" s="2" t="s">
        <v>294</v>
      </c>
      <c r="B9486" s="2" t="s">
        <v>295</v>
      </c>
      <c r="C9486" s="3">
        <v>2019</v>
      </c>
      <c r="D9486" s="4">
        <v>1876262</v>
      </c>
    </row>
    <row r="9487" spans="1:4" x14ac:dyDescent="0.3">
      <c r="A9487" s="5" t="s">
        <v>294</v>
      </c>
      <c r="B9487" s="5" t="s">
        <v>295</v>
      </c>
      <c r="C9487" s="6">
        <v>2020</v>
      </c>
      <c r="D9487" s="7">
        <v>1856124</v>
      </c>
    </row>
    <row r="9488" spans="1:4" x14ac:dyDescent="0.3">
      <c r="A9488" s="2" t="s">
        <v>294</v>
      </c>
      <c r="B9488" s="2" t="s">
        <v>295</v>
      </c>
      <c r="C9488" s="3">
        <v>2021</v>
      </c>
      <c r="D9488" s="4">
        <v>1837114</v>
      </c>
    </row>
    <row r="9489" spans="1:4" x14ac:dyDescent="0.3">
      <c r="A9489" s="5" t="s">
        <v>294</v>
      </c>
      <c r="B9489" s="5" t="s">
        <v>295</v>
      </c>
      <c r="C9489" s="6">
        <v>2022</v>
      </c>
      <c r="D9489" s="7">
        <v>1831712</v>
      </c>
    </row>
    <row r="9490" spans="1:4" x14ac:dyDescent="0.3">
      <c r="A9490" s="2" t="s">
        <v>294</v>
      </c>
      <c r="B9490" s="2" t="s">
        <v>295</v>
      </c>
      <c r="C9490" s="3">
        <v>2023</v>
      </c>
      <c r="D9490" s="4">
        <v>1827816</v>
      </c>
    </row>
    <row r="9491" spans="1:4" x14ac:dyDescent="0.3">
      <c r="A9491" s="5" t="s">
        <v>294</v>
      </c>
      <c r="B9491" s="5" t="s">
        <v>295</v>
      </c>
      <c r="C9491" s="6">
        <v>2024</v>
      </c>
      <c r="D9491" s="7">
        <v>1792179</v>
      </c>
    </row>
    <row r="9492" spans="1:4" x14ac:dyDescent="0.3">
      <c r="A9492" s="2" t="s">
        <v>296</v>
      </c>
      <c r="B9492" s="2" t="s">
        <v>297</v>
      </c>
      <c r="C9492" s="3">
        <v>1960</v>
      </c>
      <c r="D9492" s="4">
        <v>8736</v>
      </c>
    </row>
    <row r="9493" spans="1:4" x14ac:dyDescent="0.3">
      <c r="A9493" s="5" t="s">
        <v>296</v>
      </c>
      <c r="B9493" s="5" t="s">
        <v>297</v>
      </c>
      <c r="C9493" s="6">
        <v>1961</v>
      </c>
      <c r="D9493" s="7">
        <v>8995</v>
      </c>
    </row>
    <row r="9494" spans="1:4" x14ac:dyDescent="0.3">
      <c r="A9494" s="2" t="s">
        <v>296</v>
      </c>
      <c r="B9494" s="2" t="s">
        <v>297</v>
      </c>
      <c r="C9494" s="3">
        <v>1962</v>
      </c>
      <c r="D9494" s="4">
        <v>9280</v>
      </c>
    </row>
    <row r="9495" spans="1:4" x14ac:dyDescent="0.3">
      <c r="A9495" s="5" t="s">
        <v>296</v>
      </c>
      <c r="B9495" s="5" t="s">
        <v>297</v>
      </c>
      <c r="C9495" s="6">
        <v>1963</v>
      </c>
      <c r="D9495" s="7">
        <v>9595</v>
      </c>
    </row>
    <row r="9496" spans="1:4" x14ac:dyDescent="0.3">
      <c r="A9496" s="2" t="s">
        <v>296</v>
      </c>
      <c r="B9496" s="2" t="s">
        <v>297</v>
      </c>
      <c r="C9496" s="3">
        <v>1964</v>
      </c>
      <c r="D9496" s="4">
        <v>9925</v>
      </c>
    </row>
    <row r="9497" spans="1:4" x14ac:dyDescent="0.3">
      <c r="A9497" s="5" t="s">
        <v>296</v>
      </c>
      <c r="B9497" s="5" t="s">
        <v>297</v>
      </c>
      <c r="C9497" s="6">
        <v>1965</v>
      </c>
      <c r="D9497" s="7">
        <v>10264</v>
      </c>
    </row>
    <row r="9498" spans="1:4" x14ac:dyDescent="0.3">
      <c r="A9498" s="2" t="s">
        <v>296</v>
      </c>
      <c r="B9498" s="2" t="s">
        <v>297</v>
      </c>
      <c r="C9498" s="3">
        <v>1966</v>
      </c>
      <c r="D9498" s="4">
        <v>10612</v>
      </c>
    </row>
    <row r="9499" spans="1:4" x14ac:dyDescent="0.3">
      <c r="A9499" s="5" t="s">
        <v>296</v>
      </c>
      <c r="B9499" s="5" t="s">
        <v>297</v>
      </c>
      <c r="C9499" s="6">
        <v>1967</v>
      </c>
      <c r="D9499" s="7">
        <v>10749</v>
      </c>
    </row>
    <row r="9500" spans="1:4" x14ac:dyDescent="0.3">
      <c r="A9500" s="2" t="s">
        <v>296</v>
      </c>
      <c r="B9500" s="2" t="s">
        <v>297</v>
      </c>
      <c r="C9500" s="3">
        <v>1968</v>
      </c>
      <c r="D9500" s="4">
        <v>10468</v>
      </c>
    </row>
    <row r="9501" spans="1:4" x14ac:dyDescent="0.3">
      <c r="A9501" s="5" t="s">
        <v>296</v>
      </c>
      <c r="B9501" s="5" t="s">
        <v>297</v>
      </c>
      <c r="C9501" s="6">
        <v>1969</v>
      </c>
      <c r="D9501" s="7">
        <v>9989</v>
      </c>
    </row>
    <row r="9502" spans="1:4" x14ac:dyDescent="0.3">
      <c r="A9502" s="2" t="s">
        <v>296</v>
      </c>
      <c r="B9502" s="2" t="s">
        <v>297</v>
      </c>
      <c r="C9502" s="3">
        <v>1970</v>
      </c>
      <c r="D9502" s="4">
        <v>10170</v>
      </c>
    </row>
    <row r="9503" spans="1:4" x14ac:dyDescent="0.3">
      <c r="A9503" s="5" t="s">
        <v>296</v>
      </c>
      <c r="B9503" s="5" t="s">
        <v>297</v>
      </c>
      <c r="C9503" s="6">
        <v>1971</v>
      </c>
      <c r="D9503" s="7">
        <v>11271</v>
      </c>
    </row>
    <row r="9504" spans="1:4" x14ac:dyDescent="0.3">
      <c r="A9504" s="2" t="s">
        <v>296</v>
      </c>
      <c r="B9504" s="2" t="s">
        <v>297</v>
      </c>
      <c r="C9504" s="3">
        <v>1972</v>
      </c>
      <c r="D9504" s="4">
        <v>12636</v>
      </c>
    </row>
    <row r="9505" spans="1:4" x14ac:dyDescent="0.3">
      <c r="A9505" s="5" t="s">
        <v>296</v>
      </c>
      <c r="B9505" s="5" t="s">
        <v>297</v>
      </c>
      <c r="C9505" s="6">
        <v>1973</v>
      </c>
      <c r="D9505" s="7">
        <v>13880</v>
      </c>
    </row>
    <row r="9506" spans="1:4" x14ac:dyDescent="0.3">
      <c r="A9506" s="2" t="s">
        <v>296</v>
      </c>
      <c r="B9506" s="2" t="s">
        <v>297</v>
      </c>
      <c r="C9506" s="3">
        <v>1974</v>
      </c>
      <c r="D9506" s="4">
        <v>14655</v>
      </c>
    </row>
    <row r="9507" spans="1:4" x14ac:dyDescent="0.3">
      <c r="A9507" s="5" t="s">
        <v>296</v>
      </c>
      <c r="B9507" s="5" t="s">
        <v>297</v>
      </c>
      <c r="C9507" s="6">
        <v>1975</v>
      </c>
      <c r="D9507" s="7">
        <v>15065</v>
      </c>
    </row>
    <row r="9508" spans="1:4" x14ac:dyDescent="0.3">
      <c r="A9508" s="2" t="s">
        <v>296</v>
      </c>
      <c r="B9508" s="2" t="s">
        <v>297</v>
      </c>
      <c r="C9508" s="3">
        <v>1976</v>
      </c>
      <c r="D9508" s="4">
        <v>15438</v>
      </c>
    </row>
    <row r="9509" spans="1:4" x14ac:dyDescent="0.3">
      <c r="A9509" s="5" t="s">
        <v>296</v>
      </c>
      <c r="B9509" s="5" t="s">
        <v>297</v>
      </c>
      <c r="C9509" s="6">
        <v>1977</v>
      </c>
      <c r="D9509" s="7">
        <v>15787</v>
      </c>
    </row>
    <row r="9510" spans="1:4" x14ac:dyDescent="0.3">
      <c r="A9510" s="2" t="s">
        <v>296</v>
      </c>
      <c r="B9510" s="2" t="s">
        <v>297</v>
      </c>
      <c r="C9510" s="3">
        <v>1978</v>
      </c>
      <c r="D9510" s="4">
        <v>16130</v>
      </c>
    </row>
    <row r="9511" spans="1:4" x14ac:dyDescent="0.3">
      <c r="A9511" s="5" t="s">
        <v>296</v>
      </c>
      <c r="B9511" s="5" t="s">
        <v>297</v>
      </c>
      <c r="C9511" s="6">
        <v>1979</v>
      </c>
      <c r="D9511" s="7">
        <v>16488</v>
      </c>
    </row>
    <row r="9512" spans="1:4" x14ac:dyDescent="0.3">
      <c r="A9512" s="2" t="s">
        <v>296</v>
      </c>
      <c r="B9512" s="2" t="s">
        <v>297</v>
      </c>
      <c r="C9512" s="3">
        <v>1980</v>
      </c>
      <c r="D9512" s="4">
        <v>17625</v>
      </c>
    </row>
    <row r="9513" spans="1:4" x14ac:dyDescent="0.3">
      <c r="A9513" s="5" t="s">
        <v>296</v>
      </c>
      <c r="B9513" s="5" t="s">
        <v>297</v>
      </c>
      <c r="C9513" s="6">
        <v>1981</v>
      </c>
      <c r="D9513" s="7">
        <v>19826</v>
      </c>
    </row>
    <row r="9514" spans="1:4" x14ac:dyDescent="0.3">
      <c r="A9514" s="2" t="s">
        <v>296</v>
      </c>
      <c r="B9514" s="2" t="s">
        <v>297</v>
      </c>
      <c r="C9514" s="3">
        <v>1982</v>
      </c>
      <c r="D9514" s="4">
        <v>22350</v>
      </c>
    </row>
    <row r="9515" spans="1:4" x14ac:dyDescent="0.3">
      <c r="A9515" s="5" t="s">
        <v>296</v>
      </c>
      <c r="B9515" s="5" t="s">
        <v>297</v>
      </c>
      <c r="C9515" s="6">
        <v>1983</v>
      </c>
      <c r="D9515" s="7">
        <v>24936</v>
      </c>
    </row>
    <row r="9516" spans="1:4" x14ac:dyDescent="0.3">
      <c r="A9516" s="2" t="s">
        <v>296</v>
      </c>
      <c r="B9516" s="2" t="s">
        <v>297</v>
      </c>
      <c r="C9516" s="3">
        <v>1984</v>
      </c>
      <c r="D9516" s="4">
        <v>27575</v>
      </c>
    </row>
    <row r="9517" spans="1:4" x14ac:dyDescent="0.3">
      <c r="A9517" s="5" t="s">
        <v>296</v>
      </c>
      <c r="B9517" s="5" t="s">
        <v>297</v>
      </c>
      <c r="C9517" s="6">
        <v>1985</v>
      </c>
      <c r="D9517" s="7">
        <v>30258</v>
      </c>
    </row>
    <row r="9518" spans="1:4" x14ac:dyDescent="0.3">
      <c r="A9518" s="2" t="s">
        <v>296</v>
      </c>
      <c r="B9518" s="2" t="s">
        <v>297</v>
      </c>
      <c r="C9518" s="3">
        <v>1986</v>
      </c>
      <c r="D9518" s="4">
        <v>32980</v>
      </c>
    </row>
    <row r="9519" spans="1:4" x14ac:dyDescent="0.3">
      <c r="A9519" s="5" t="s">
        <v>296</v>
      </c>
      <c r="B9519" s="5" t="s">
        <v>297</v>
      </c>
      <c r="C9519" s="6">
        <v>1987</v>
      </c>
      <c r="D9519" s="7">
        <v>35736</v>
      </c>
    </row>
    <row r="9520" spans="1:4" x14ac:dyDescent="0.3">
      <c r="A9520" s="2" t="s">
        <v>296</v>
      </c>
      <c r="B9520" s="2" t="s">
        <v>297</v>
      </c>
      <c r="C9520" s="3">
        <v>1988</v>
      </c>
      <c r="D9520" s="4">
        <v>38519</v>
      </c>
    </row>
    <row r="9521" spans="1:4" x14ac:dyDescent="0.3">
      <c r="A9521" s="5" t="s">
        <v>296</v>
      </c>
      <c r="B9521" s="5" t="s">
        <v>297</v>
      </c>
      <c r="C9521" s="6">
        <v>1989</v>
      </c>
      <c r="D9521" s="7">
        <v>41303</v>
      </c>
    </row>
    <row r="9522" spans="1:4" x14ac:dyDescent="0.3">
      <c r="A9522" s="2" t="s">
        <v>296</v>
      </c>
      <c r="B9522" s="2" t="s">
        <v>297</v>
      </c>
      <c r="C9522" s="3">
        <v>1990</v>
      </c>
      <c r="D9522" s="4">
        <v>43342</v>
      </c>
    </row>
    <row r="9523" spans="1:4" x14ac:dyDescent="0.3">
      <c r="A9523" s="5" t="s">
        <v>296</v>
      </c>
      <c r="B9523" s="5" t="s">
        <v>297</v>
      </c>
      <c r="C9523" s="6">
        <v>1991</v>
      </c>
      <c r="D9523" s="7">
        <v>44393</v>
      </c>
    </row>
    <row r="9524" spans="1:4" x14ac:dyDescent="0.3">
      <c r="A9524" s="2" t="s">
        <v>296</v>
      </c>
      <c r="B9524" s="2" t="s">
        <v>297</v>
      </c>
      <c r="C9524" s="3">
        <v>1992</v>
      </c>
      <c r="D9524" s="4">
        <v>45181</v>
      </c>
    </row>
    <row r="9525" spans="1:4" x14ac:dyDescent="0.3">
      <c r="A9525" s="5" t="s">
        <v>296</v>
      </c>
      <c r="B9525" s="5" t="s">
        <v>297</v>
      </c>
      <c r="C9525" s="6">
        <v>1993</v>
      </c>
      <c r="D9525" s="7">
        <v>45952</v>
      </c>
    </row>
    <row r="9526" spans="1:4" x14ac:dyDescent="0.3">
      <c r="A9526" s="2" t="s">
        <v>296</v>
      </c>
      <c r="B9526" s="2" t="s">
        <v>297</v>
      </c>
      <c r="C9526" s="3">
        <v>1994</v>
      </c>
      <c r="D9526" s="4">
        <v>46730</v>
      </c>
    </row>
    <row r="9527" spans="1:4" x14ac:dyDescent="0.3">
      <c r="A9527" s="5" t="s">
        <v>296</v>
      </c>
      <c r="B9527" s="5" t="s">
        <v>297</v>
      </c>
      <c r="C9527" s="6">
        <v>1995</v>
      </c>
      <c r="D9527" s="7">
        <v>48176</v>
      </c>
    </row>
    <row r="9528" spans="1:4" x14ac:dyDescent="0.3">
      <c r="A9528" s="2" t="s">
        <v>296</v>
      </c>
      <c r="B9528" s="2" t="s">
        <v>297</v>
      </c>
      <c r="C9528" s="3">
        <v>1996</v>
      </c>
      <c r="D9528" s="4">
        <v>51706</v>
      </c>
    </row>
    <row r="9529" spans="1:4" x14ac:dyDescent="0.3">
      <c r="A9529" s="5" t="s">
        <v>296</v>
      </c>
      <c r="B9529" s="5" t="s">
        <v>297</v>
      </c>
      <c r="C9529" s="6">
        <v>1997</v>
      </c>
      <c r="D9529" s="7">
        <v>56596</v>
      </c>
    </row>
    <row r="9530" spans="1:4" x14ac:dyDescent="0.3">
      <c r="A9530" s="2" t="s">
        <v>296</v>
      </c>
      <c r="B9530" s="2" t="s">
        <v>297</v>
      </c>
      <c r="C9530" s="3">
        <v>1998</v>
      </c>
      <c r="D9530" s="4">
        <v>61337</v>
      </c>
    </row>
    <row r="9531" spans="1:4" x14ac:dyDescent="0.3">
      <c r="A9531" s="5" t="s">
        <v>296</v>
      </c>
      <c r="B9531" s="5" t="s">
        <v>297</v>
      </c>
      <c r="C9531" s="6">
        <v>1999</v>
      </c>
      <c r="D9531" s="7">
        <v>65916</v>
      </c>
    </row>
    <row r="9532" spans="1:4" x14ac:dyDescent="0.3">
      <c r="A9532" s="2" t="s">
        <v>296</v>
      </c>
      <c r="B9532" s="2" t="s">
        <v>297</v>
      </c>
      <c r="C9532" s="3">
        <v>2000</v>
      </c>
      <c r="D9532" s="4">
        <v>68356</v>
      </c>
    </row>
    <row r="9533" spans="1:4" x14ac:dyDescent="0.3">
      <c r="A9533" s="5" t="s">
        <v>296</v>
      </c>
      <c r="B9533" s="5" t="s">
        <v>297</v>
      </c>
      <c r="C9533" s="6">
        <v>2001</v>
      </c>
      <c r="D9533" s="7">
        <v>67984</v>
      </c>
    </row>
    <row r="9534" spans="1:4" x14ac:dyDescent="0.3">
      <c r="A9534" s="2" t="s">
        <v>296</v>
      </c>
      <c r="B9534" s="2" t="s">
        <v>297</v>
      </c>
      <c r="C9534" s="3">
        <v>2002</v>
      </c>
      <c r="D9534" s="4">
        <v>66778</v>
      </c>
    </row>
    <row r="9535" spans="1:4" x14ac:dyDescent="0.3">
      <c r="A9535" s="5" t="s">
        <v>296</v>
      </c>
      <c r="B9535" s="5" t="s">
        <v>297</v>
      </c>
      <c r="C9535" s="6">
        <v>2003</v>
      </c>
      <c r="D9535" s="7">
        <v>65421</v>
      </c>
    </row>
    <row r="9536" spans="1:4" x14ac:dyDescent="0.3">
      <c r="A9536" s="2" t="s">
        <v>296</v>
      </c>
      <c r="B9536" s="2" t="s">
        <v>297</v>
      </c>
      <c r="C9536" s="3">
        <v>2004</v>
      </c>
      <c r="D9536" s="4">
        <v>63938</v>
      </c>
    </row>
    <row r="9537" spans="1:4" x14ac:dyDescent="0.3">
      <c r="A9537" s="5" t="s">
        <v>296</v>
      </c>
      <c r="B9537" s="5" t="s">
        <v>297</v>
      </c>
      <c r="C9537" s="6">
        <v>2005</v>
      </c>
      <c r="D9537" s="7">
        <v>62354</v>
      </c>
    </row>
    <row r="9538" spans="1:4" x14ac:dyDescent="0.3">
      <c r="A9538" s="2" t="s">
        <v>296</v>
      </c>
      <c r="B9538" s="2" t="s">
        <v>297</v>
      </c>
      <c r="C9538" s="3">
        <v>2006</v>
      </c>
      <c r="D9538" s="4">
        <v>60682</v>
      </c>
    </row>
    <row r="9539" spans="1:4" x14ac:dyDescent="0.3">
      <c r="A9539" s="5" t="s">
        <v>296</v>
      </c>
      <c r="B9539" s="5" t="s">
        <v>297</v>
      </c>
      <c r="C9539" s="6">
        <v>2007</v>
      </c>
      <c r="D9539" s="7">
        <v>58941</v>
      </c>
    </row>
    <row r="9540" spans="1:4" x14ac:dyDescent="0.3">
      <c r="A9540" s="2" t="s">
        <v>296</v>
      </c>
      <c r="B9540" s="2" t="s">
        <v>297</v>
      </c>
      <c r="C9540" s="3">
        <v>2008</v>
      </c>
      <c r="D9540" s="4">
        <v>57150</v>
      </c>
    </row>
    <row r="9541" spans="1:4" x14ac:dyDescent="0.3">
      <c r="A9541" s="5" t="s">
        <v>296</v>
      </c>
      <c r="B9541" s="5" t="s">
        <v>297</v>
      </c>
      <c r="C9541" s="6">
        <v>2009</v>
      </c>
      <c r="D9541" s="7">
        <v>55325</v>
      </c>
    </row>
    <row r="9542" spans="1:4" x14ac:dyDescent="0.3">
      <c r="A9542" s="2" t="s">
        <v>296</v>
      </c>
      <c r="B9542" s="2" t="s">
        <v>297</v>
      </c>
      <c r="C9542" s="3">
        <v>2010</v>
      </c>
      <c r="D9542" s="4">
        <v>54091</v>
      </c>
    </row>
    <row r="9543" spans="1:4" x14ac:dyDescent="0.3">
      <c r="A9543" s="5" t="s">
        <v>296</v>
      </c>
      <c r="B9543" s="5" t="s">
        <v>297</v>
      </c>
      <c r="C9543" s="6">
        <v>2011</v>
      </c>
      <c r="D9543" s="7">
        <v>53608</v>
      </c>
    </row>
    <row r="9544" spans="1:4" x14ac:dyDescent="0.3">
      <c r="A9544" s="2" t="s">
        <v>296</v>
      </c>
      <c r="B9544" s="2" t="s">
        <v>297</v>
      </c>
      <c r="C9544" s="3">
        <v>2012</v>
      </c>
      <c r="D9544" s="4">
        <v>53234</v>
      </c>
    </row>
    <row r="9545" spans="1:4" x14ac:dyDescent="0.3">
      <c r="A9545" s="5" t="s">
        <v>296</v>
      </c>
      <c r="B9545" s="5" t="s">
        <v>297</v>
      </c>
      <c r="C9545" s="6">
        <v>2013</v>
      </c>
      <c r="D9545" s="7">
        <v>52758</v>
      </c>
    </row>
    <row r="9546" spans="1:4" x14ac:dyDescent="0.3">
      <c r="A9546" s="2" t="s">
        <v>296</v>
      </c>
      <c r="B9546" s="2" t="s">
        <v>297</v>
      </c>
      <c r="C9546" s="3">
        <v>2014</v>
      </c>
      <c r="D9546" s="4">
        <v>52178</v>
      </c>
    </row>
    <row r="9547" spans="1:4" x14ac:dyDescent="0.3">
      <c r="A9547" s="5" t="s">
        <v>296</v>
      </c>
      <c r="B9547" s="5" t="s">
        <v>297</v>
      </c>
      <c r="C9547" s="6">
        <v>2015</v>
      </c>
      <c r="D9547" s="7">
        <v>51514</v>
      </c>
    </row>
    <row r="9548" spans="1:4" x14ac:dyDescent="0.3">
      <c r="A9548" s="2" t="s">
        <v>296</v>
      </c>
      <c r="B9548" s="2" t="s">
        <v>297</v>
      </c>
      <c r="C9548" s="3">
        <v>2016</v>
      </c>
      <c r="D9548" s="4">
        <v>50773</v>
      </c>
    </row>
    <row r="9549" spans="1:4" x14ac:dyDescent="0.3">
      <c r="A9549" s="5" t="s">
        <v>296</v>
      </c>
      <c r="B9549" s="5" t="s">
        <v>297</v>
      </c>
      <c r="C9549" s="6">
        <v>2017</v>
      </c>
      <c r="D9549" s="7">
        <v>49959</v>
      </c>
    </row>
    <row r="9550" spans="1:4" x14ac:dyDescent="0.3">
      <c r="A9550" s="2" t="s">
        <v>296</v>
      </c>
      <c r="B9550" s="2" t="s">
        <v>297</v>
      </c>
      <c r="C9550" s="3">
        <v>2018</v>
      </c>
      <c r="D9550" s="4">
        <v>49077</v>
      </c>
    </row>
    <row r="9551" spans="1:4" x14ac:dyDescent="0.3">
      <c r="A9551" s="5" t="s">
        <v>296</v>
      </c>
      <c r="B9551" s="5" t="s">
        <v>297</v>
      </c>
      <c r="C9551" s="6">
        <v>2019</v>
      </c>
      <c r="D9551" s="7">
        <v>48129</v>
      </c>
    </row>
    <row r="9552" spans="1:4" x14ac:dyDescent="0.3">
      <c r="A9552" s="2" t="s">
        <v>296</v>
      </c>
      <c r="B9552" s="2" t="s">
        <v>297</v>
      </c>
      <c r="C9552" s="3">
        <v>2020</v>
      </c>
      <c r="D9552" s="4">
        <v>47528</v>
      </c>
    </row>
    <row r="9553" spans="1:4" x14ac:dyDescent="0.3">
      <c r="A9553" s="5" t="s">
        <v>296</v>
      </c>
      <c r="B9553" s="5" t="s">
        <v>297</v>
      </c>
      <c r="C9553" s="6">
        <v>2021</v>
      </c>
      <c r="D9553" s="7">
        <v>46979</v>
      </c>
    </row>
    <row r="9554" spans="1:4" x14ac:dyDescent="0.3">
      <c r="A9554" s="2" t="s">
        <v>296</v>
      </c>
      <c r="B9554" s="2" t="s">
        <v>297</v>
      </c>
      <c r="C9554" s="3">
        <v>2022</v>
      </c>
      <c r="D9554" s="4">
        <v>46078</v>
      </c>
    </row>
    <row r="9555" spans="1:4" x14ac:dyDescent="0.3">
      <c r="A9555" s="5" t="s">
        <v>296</v>
      </c>
      <c r="B9555" s="5" t="s">
        <v>297</v>
      </c>
      <c r="C9555" s="6">
        <v>2023</v>
      </c>
      <c r="D9555" s="7">
        <v>45143</v>
      </c>
    </row>
    <row r="9556" spans="1:4" x14ac:dyDescent="0.3">
      <c r="A9556" s="2" t="s">
        <v>296</v>
      </c>
      <c r="B9556" s="2" t="s">
        <v>297</v>
      </c>
      <c r="C9556" s="3">
        <v>2024</v>
      </c>
      <c r="D9556" s="4">
        <v>44278</v>
      </c>
    </row>
    <row r="9557" spans="1:4" x14ac:dyDescent="0.3">
      <c r="A9557" s="5" t="s">
        <v>298</v>
      </c>
      <c r="B9557" s="5" t="s">
        <v>299</v>
      </c>
      <c r="C9557" s="6">
        <v>1960</v>
      </c>
      <c r="D9557" s="7">
        <v>3581239</v>
      </c>
    </row>
    <row r="9558" spans="1:4" x14ac:dyDescent="0.3">
      <c r="A9558" s="2" t="s">
        <v>298</v>
      </c>
      <c r="B9558" s="2" t="s">
        <v>299</v>
      </c>
      <c r="C9558" s="3">
        <v>1961</v>
      </c>
      <c r="D9558" s="4">
        <v>3609800</v>
      </c>
    </row>
    <row r="9559" spans="1:4" x14ac:dyDescent="0.3">
      <c r="A9559" s="5" t="s">
        <v>298</v>
      </c>
      <c r="B9559" s="5" t="s">
        <v>299</v>
      </c>
      <c r="C9559" s="6">
        <v>1962</v>
      </c>
      <c r="D9559" s="7">
        <v>3638918</v>
      </c>
    </row>
    <row r="9560" spans="1:4" x14ac:dyDescent="0.3">
      <c r="A9560" s="2" t="s">
        <v>298</v>
      </c>
      <c r="B9560" s="2" t="s">
        <v>299</v>
      </c>
      <c r="C9560" s="3">
        <v>1963</v>
      </c>
      <c r="D9560" s="4">
        <v>3666537</v>
      </c>
    </row>
    <row r="9561" spans="1:4" x14ac:dyDescent="0.3">
      <c r="A9561" s="5" t="s">
        <v>298</v>
      </c>
      <c r="B9561" s="5" t="s">
        <v>299</v>
      </c>
      <c r="C9561" s="6">
        <v>1964</v>
      </c>
      <c r="D9561" s="7">
        <v>3694339</v>
      </c>
    </row>
    <row r="9562" spans="1:4" x14ac:dyDescent="0.3">
      <c r="A9562" s="2" t="s">
        <v>298</v>
      </c>
      <c r="B9562" s="2" t="s">
        <v>299</v>
      </c>
      <c r="C9562" s="3">
        <v>1965</v>
      </c>
      <c r="D9562" s="4">
        <v>3723168</v>
      </c>
    </row>
    <row r="9563" spans="1:4" x14ac:dyDescent="0.3">
      <c r="A9563" s="5" t="s">
        <v>298</v>
      </c>
      <c r="B9563" s="5" t="s">
        <v>299</v>
      </c>
      <c r="C9563" s="6">
        <v>1966</v>
      </c>
      <c r="D9563" s="7">
        <v>3753012</v>
      </c>
    </row>
    <row r="9564" spans="1:4" x14ac:dyDescent="0.3">
      <c r="A9564" s="2" t="s">
        <v>298</v>
      </c>
      <c r="B9564" s="2" t="s">
        <v>299</v>
      </c>
      <c r="C9564" s="3">
        <v>1967</v>
      </c>
      <c r="D9564" s="4">
        <v>3784539</v>
      </c>
    </row>
    <row r="9565" spans="1:4" x14ac:dyDescent="0.3">
      <c r="A9565" s="5" t="s">
        <v>298</v>
      </c>
      <c r="B9565" s="5" t="s">
        <v>299</v>
      </c>
      <c r="C9565" s="6">
        <v>1968</v>
      </c>
      <c r="D9565" s="7">
        <v>3816486</v>
      </c>
    </row>
    <row r="9566" spans="1:4" x14ac:dyDescent="0.3">
      <c r="A9566" s="2" t="s">
        <v>298</v>
      </c>
      <c r="B9566" s="2" t="s">
        <v>299</v>
      </c>
      <c r="C9566" s="3">
        <v>1969</v>
      </c>
      <c r="D9566" s="4">
        <v>3847707</v>
      </c>
    </row>
    <row r="9567" spans="1:4" x14ac:dyDescent="0.3">
      <c r="A9567" s="5" t="s">
        <v>298</v>
      </c>
      <c r="B9567" s="5" t="s">
        <v>299</v>
      </c>
      <c r="C9567" s="6">
        <v>1970</v>
      </c>
      <c r="D9567" s="7">
        <v>3875763</v>
      </c>
    </row>
    <row r="9568" spans="1:4" x14ac:dyDescent="0.3">
      <c r="A9568" s="2" t="s">
        <v>298</v>
      </c>
      <c r="B9568" s="2" t="s">
        <v>299</v>
      </c>
      <c r="C9568" s="3">
        <v>1971</v>
      </c>
      <c r="D9568" s="4">
        <v>3903039</v>
      </c>
    </row>
    <row r="9569" spans="1:4" x14ac:dyDescent="0.3">
      <c r="A9569" s="5" t="s">
        <v>298</v>
      </c>
      <c r="B9569" s="5" t="s">
        <v>299</v>
      </c>
      <c r="C9569" s="6">
        <v>1972</v>
      </c>
      <c r="D9569" s="7">
        <v>3933004</v>
      </c>
    </row>
    <row r="9570" spans="1:4" x14ac:dyDescent="0.3">
      <c r="A9570" s="2" t="s">
        <v>298</v>
      </c>
      <c r="B9570" s="2" t="s">
        <v>299</v>
      </c>
      <c r="C9570" s="3">
        <v>1973</v>
      </c>
      <c r="D9570" s="4">
        <v>3960612</v>
      </c>
    </row>
    <row r="9571" spans="1:4" x14ac:dyDescent="0.3">
      <c r="A9571" s="5" t="s">
        <v>298</v>
      </c>
      <c r="B9571" s="5" t="s">
        <v>299</v>
      </c>
      <c r="C9571" s="6">
        <v>1974</v>
      </c>
      <c r="D9571" s="7">
        <v>3985258</v>
      </c>
    </row>
    <row r="9572" spans="1:4" x14ac:dyDescent="0.3">
      <c r="A9572" s="2" t="s">
        <v>298</v>
      </c>
      <c r="B9572" s="2" t="s">
        <v>299</v>
      </c>
      <c r="C9572" s="3">
        <v>1975</v>
      </c>
      <c r="D9572" s="4">
        <v>4007313</v>
      </c>
    </row>
    <row r="9573" spans="1:4" x14ac:dyDescent="0.3">
      <c r="A9573" s="5" t="s">
        <v>298</v>
      </c>
      <c r="B9573" s="5" t="s">
        <v>299</v>
      </c>
      <c r="C9573" s="6">
        <v>1976</v>
      </c>
      <c r="D9573" s="7">
        <v>4026152</v>
      </c>
    </row>
    <row r="9574" spans="1:4" x14ac:dyDescent="0.3">
      <c r="A9574" s="2" t="s">
        <v>298</v>
      </c>
      <c r="B9574" s="2" t="s">
        <v>299</v>
      </c>
      <c r="C9574" s="3">
        <v>1977</v>
      </c>
      <c r="D9574" s="4">
        <v>4043205</v>
      </c>
    </row>
    <row r="9575" spans="1:4" x14ac:dyDescent="0.3">
      <c r="A9575" s="5" t="s">
        <v>298</v>
      </c>
      <c r="B9575" s="5" t="s">
        <v>299</v>
      </c>
      <c r="C9575" s="6">
        <v>1978</v>
      </c>
      <c r="D9575" s="7">
        <v>4058671</v>
      </c>
    </row>
    <row r="9576" spans="1:4" x14ac:dyDescent="0.3">
      <c r="A9576" s="2" t="s">
        <v>298</v>
      </c>
      <c r="B9576" s="2" t="s">
        <v>299</v>
      </c>
      <c r="C9576" s="3">
        <v>1979</v>
      </c>
      <c r="D9576" s="4">
        <v>4072517</v>
      </c>
    </row>
    <row r="9577" spans="1:4" x14ac:dyDescent="0.3">
      <c r="A9577" s="5" t="s">
        <v>298</v>
      </c>
      <c r="B9577" s="5" t="s">
        <v>299</v>
      </c>
      <c r="C9577" s="6">
        <v>1980</v>
      </c>
      <c r="D9577" s="7">
        <v>4085620</v>
      </c>
    </row>
    <row r="9578" spans="1:4" x14ac:dyDescent="0.3">
      <c r="A9578" s="2" t="s">
        <v>298</v>
      </c>
      <c r="B9578" s="2" t="s">
        <v>299</v>
      </c>
      <c r="C9578" s="3">
        <v>1981</v>
      </c>
      <c r="D9578" s="4">
        <v>4099702</v>
      </c>
    </row>
    <row r="9579" spans="1:4" x14ac:dyDescent="0.3">
      <c r="A9579" s="5" t="s">
        <v>298</v>
      </c>
      <c r="B9579" s="5" t="s">
        <v>299</v>
      </c>
      <c r="C9579" s="6">
        <v>1982</v>
      </c>
      <c r="D9579" s="7">
        <v>4114787</v>
      </c>
    </row>
    <row r="9580" spans="1:4" x14ac:dyDescent="0.3">
      <c r="A9580" s="2" t="s">
        <v>298</v>
      </c>
      <c r="B9580" s="2" t="s">
        <v>299</v>
      </c>
      <c r="C9580" s="3">
        <v>1983</v>
      </c>
      <c r="D9580" s="4">
        <v>4128432</v>
      </c>
    </row>
    <row r="9581" spans="1:4" x14ac:dyDescent="0.3">
      <c r="A9581" s="5" t="s">
        <v>298</v>
      </c>
      <c r="B9581" s="5" t="s">
        <v>299</v>
      </c>
      <c r="C9581" s="6">
        <v>1984</v>
      </c>
      <c r="D9581" s="7">
        <v>4140099</v>
      </c>
    </row>
    <row r="9582" spans="1:4" x14ac:dyDescent="0.3">
      <c r="A9582" s="2" t="s">
        <v>298</v>
      </c>
      <c r="B9582" s="2" t="s">
        <v>299</v>
      </c>
      <c r="C9582" s="3">
        <v>1985</v>
      </c>
      <c r="D9582" s="4">
        <v>4152516</v>
      </c>
    </row>
    <row r="9583" spans="1:4" x14ac:dyDescent="0.3">
      <c r="A9583" s="5" t="s">
        <v>298</v>
      </c>
      <c r="B9583" s="5" t="s">
        <v>299</v>
      </c>
      <c r="C9583" s="6">
        <v>1986</v>
      </c>
      <c r="D9583" s="7">
        <v>4167354</v>
      </c>
    </row>
    <row r="9584" spans="1:4" x14ac:dyDescent="0.3">
      <c r="A9584" s="2" t="s">
        <v>298</v>
      </c>
      <c r="B9584" s="2" t="s">
        <v>299</v>
      </c>
      <c r="C9584" s="3">
        <v>1987</v>
      </c>
      <c r="D9584" s="4">
        <v>4186905</v>
      </c>
    </row>
    <row r="9585" spans="1:4" x14ac:dyDescent="0.3">
      <c r="A9585" s="5" t="s">
        <v>298</v>
      </c>
      <c r="B9585" s="5" t="s">
        <v>299</v>
      </c>
      <c r="C9585" s="6">
        <v>1988</v>
      </c>
      <c r="D9585" s="7">
        <v>4209488</v>
      </c>
    </row>
    <row r="9586" spans="1:4" x14ac:dyDescent="0.3">
      <c r="A9586" s="2" t="s">
        <v>298</v>
      </c>
      <c r="B9586" s="2" t="s">
        <v>299</v>
      </c>
      <c r="C9586" s="3">
        <v>1989</v>
      </c>
      <c r="D9586" s="4">
        <v>4226901</v>
      </c>
    </row>
    <row r="9587" spans="1:4" x14ac:dyDescent="0.3">
      <c r="A9587" s="5" t="s">
        <v>298</v>
      </c>
      <c r="B9587" s="5" t="s">
        <v>299</v>
      </c>
      <c r="C9587" s="6">
        <v>1990</v>
      </c>
      <c r="D9587" s="7">
        <v>4241473</v>
      </c>
    </row>
    <row r="9588" spans="1:4" x14ac:dyDescent="0.3">
      <c r="A9588" s="2" t="s">
        <v>298</v>
      </c>
      <c r="B9588" s="2" t="s">
        <v>299</v>
      </c>
      <c r="C9588" s="3">
        <v>1991</v>
      </c>
      <c r="D9588" s="4">
        <v>4261732</v>
      </c>
    </row>
    <row r="9589" spans="1:4" x14ac:dyDescent="0.3">
      <c r="A9589" s="5" t="s">
        <v>298</v>
      </c>
      <c r="B9589" s="5" t="s">
        <v>299</v>
      </c>
      <c r="C9589" s="6">
        <v>1992</v>
      </c>
      <c r="D9589" s="7">
        <v>4286401</v>
      </c>
    </row>
    <row r="9590" spans="1:4" x14ac:dyDescent="0.3">
      <c r="A9590" s="2" t="s">
        <v>298</v>
      </c>
      <c r="B9590" s="2" t="s">
        <v>299</v>
      </c>
      <c r="C9590" s="3">
        <v>1993</v>
      </c>
      <c r="D9590" s="4">
        <v>4311991</v>
      </c>
    </row>
    <row r="9591" spans="1:4" x14ac:dyDescent="0.3">
      <c r="A9591" s="5" t="s">
        <v>298</v>
      </c>
      <c r="B9591" s="5" t="s">
        <v>299</v>
      </c>
      <c r="C9591" s="6">
        <v>1994</v>
      </c>
      <c r="D9591" s="7">
        <v>4336613</v>
      </c>
    </row>
    <row r="9592" spans="1:4" x14ac:dyDescent="0.3">
      <c r="A9592" s="2" t="s">
        <v>298</v>
      </c>
      <c r="B9592" s="2" t="s">
        <v>299</v>
      </c>
      <c r="C9592" s="3">
        <v>1995</v>
      </c>
      <c r="D9592" s="4">
        <v>4359184</v>
      </c>
    </row>
    <row r="9593" spans="1:4" x14ac:dyDescent="0.3">
      <c r="A9593" s="5" t="s">
        <v>298</v>
      </c>
      <c r="B9593" s="5" t="s">
        <v>299</v>
      </c>
      <c r="C9593" s="6">
        <v>1996</v>
      </c>
      <c r="D9593" s="7">
        <v>4381336</v>
      </c>
    </row>
    <row r="9594" spans="1:4" x14ac:dyDescent="0.3">
      <c r="A9594" s="2" t="s">
        <v>298</v>
      </c>
      <c r="B9594" s="2" t="s">
        <v>299</v>
      </c>
      <c r="C9594" s="3">
        <v>1997</v>
      </c>
      <c r="D9594" s="4">
        <v>4405157</v>
      </c>
    </row>
    <row r="9595" spans="1:4" x14ac:dyDescent="0.3">
      <c r="A9595" s="5" t="s">
        <v>298</v>
      </c>
      <c r="B9595" s="5" t="s">
        <v>299</v>
      </c>
      <c r="C9595" s="6">
        <v>1998</v>
      </c>
      <c r="D9595" s="7">
        <v>4431464</v>
      </c>
    </row>
    <row r="9596" spans="1:4" x14ac:dyDescent="0.3">
      <c r="A9596" s="2" t="s">
        <v>298</v>
      </c>
      <c r="B9596" s="2" t="s">
        <v>299</v>
      </c>
      <c r="C9596" s="3">
        <v>1999</v>
      </c>
      <c r="D9596" s="4">
        <v>4461913</v>
      </c>
    </row>
    <row r="9597" spans="1:4" x14ac:dyDescent="0.3">
      <c r="A9597" s="5" t="s">
        <v>298</v>
      </c>
      <c r="B9597" s="5" t="s">
        <v>299</v>
      </c>
      <c r="C9597" s="6">
        <v>2000</v>
      </c>
      <c r="D9597" s="7">
        <v>4490967</v>
      </c>
    </row>
    <row r="9598" spans="1:4" x14ac:dyDescent="0.3">
      <c r="A9598" s="2" t="s">
        <v>298</v>
      </c>
      <c r="B9598" s="2" t="s">
        <v>299</v>
      </c>
      <c r="C9598" s="3">
        <v>2001</v>
      </c>
      <c r="D9598" s="4">
        <v>4513751</v>
      </c>
    </row>
    <row r="9599" spans="1:4" x14ac:dyDescent="0.3">
      <c r="A9599" s="5" t="s">
        <v>298</v>
      </c>
      <c r="B9599" s="5" t="s">
        <v>299</v>
      </c>
      <c r="C9599" s="6">
        <v>2002</v>
      </c>
      <c r="D9599" s="7">
        <v>4538159</v>
      </c>
    </row>
    <row r="9600" spans="1:4" x14ac:dyDescent="0.3">
      <c r="A9600" s="2" t="s">
        <v>298</v>
      </c>
      <c r="B9600" s="2" t="s">
        <v>299</v>
      </c>
      <c r="C9600" s="3">
        <v>2003</v>
      </c>
      <c r="D9600" s="4">
        <v>4564855</v>
      </c>
    </row>
    <row r="9601" spans="1:4" x14ac:dyDescent="0.3">
      <c r="A9601" s="5" t="s">
        <v>298</v>
      </c>
      <c r="B9601" s="5" t="s">
        <v>299</v>
      </c>
      <c r="C9601" s="6">
        <v>2004</v>
      </c>
      <c r="D9601" s="7">
        <v>4591910</v>
      </c>
    </row>
    <row r="9602" spans="1:4" x14ac:dyDescent="0.3">
      <c r="A9602" s="2" t="s">
        <v>298</v>
      </c>
      <c r="B9602" s="2" t="s">
        <v>299</v>
      </c>
      <c r="C9602" s="3">
        <v>2005</v>
      </c>
      <c r="D9602" s="4">
        <v>4623291</v>
      </c>
    </row>
    <row r="9603" spans="1:4" x14ac:dyDescent="0.3">
      <c r="A9603" s="5" t="s">
        <v>298</v>
      </c>
      <c r="B9603" s="5" t="s">
        <v>299</v>
      </c>
      <c r="C9603" s="6">
        <v>2006</v>
      </c>
      <c r="D9603" s="7">
        <v>4660677</v>
      </c>
    </row>
    <row r="9604" spans="1:4" x14ac:dyDescent="0.3">
      <c r="A9604" s="2" t="s">
        <v>298</v>
      </c>
      <c r="B9604" s="2" t="s">
        <v>299</v>
      </c>
      <c r="C9604" s="3">
        <v>2007</v>
      </c>
      <c r="D9604" s="4">
        <v>4709153</v>
      </c>
    </row>
    <row r="9605" spans="1:4" x14ac:dyDescent="0.3">
      <c r="A9605" s="5" t="s">
        <v>298</v>
      </c>
      <c r="B9605" s="5" t="s">
        <v>299</v>
      </c>
      <c r="C9605" s="6">
        <v>2008</v>
      </c>
      <c r="D9605" s="7">
        <v>4768212</v>
      </c>
    </row>
    <row r="9606" spans="1:4" x14ac:dyDescent="0.3">
      <c r="A9606" s="2" t="s">
        <v>298</v>
      </c>
      <c r="B9606" s="2" t="s">
        <v>299</v>
      </c>
      <c r="C9606" s="3">
        <v>2009</v>
      </c>
      <c r="D9606" s="4">
        <v>4828726</v>
      </c>
    </row>
    <row r="9607" spans="1:4" x14ac:dyDescent="0.3">
      <c r="A9607" s="5" t="s">
        <v>298</v>
      </c>
      <c r="B9607" s="5" t="s">
        <v>299</v>
      </c>
      <c r="C9607" s="6">
        <v>2010</v>
      </c>
      <c r="D9607" s="7">
        <v>4889252</v>
      </c>
    </row>
    <row r="9608" spans="1:4" x14ac:dyDescent="0.3">
      <c r="A9608" s="2" t="s">
        <v>298</v>
      </c>
      <c r="B9608" s="2" t="s">
        <v>299</v>
      </c>
      <c r="C9608" s="3">
        <v>2011</v>
      </c>
      <c r="D9608" s="4">
        <v>4953088</v>
      </c>
    </row>
    <row r="9609" spans="1:4" x14ac:dyDescent="0.3">
      <c r="A9609" s="5" t="s">
        <v>298</v>
      </c>
      <c r="B9609" s="5" t="s">
        <v>299</v>
      </c>
      <c r="C9609" s="6">
        <v>2012</v>
      </c>
      <c r="D9609" s="7">
        <v>5018573</v>
      </c>
    </row>
    <row r="9610" spans="1:4" x14ac:dyDescent="0.3">
      <c r="A9610" s="2" t="s">
        <v>298</v>
      </c>
      <c r="B9610" s="2" t="s">
        <v>299</v>
      </c>
      <c r="C9610" s="3">
        <v>2013</v>
      </c>
      <c r="D9610" s="4">
        <v>5079623</v>
      </c>
    </row>
    <row r="9611" spans="1:4" x14ac:dyDescent="0.3">
      <c r="A9611" s="5" t="s">
        <v>298</v>
      </c>
      <c r="B9611" s="5" t="s">
        <v>299</v>
      </c>
      <c r="C9611" s="6">
        <v>2014</v>
      </c>
      <c r="D9611" s="7">
        <v>5137232</v>
      </c>
    </row>
    <row r="9612" spans="1:4" x14ac:dyDescent="0.3">
      <c r="A9612" s="2" t="s">
        <v>298</v>
      </c>
      <c r="B9612" s="2" t="s">
        <v>299</v>
      </c>
      <c r="C9612" s="3">
        <v>2015</v>
      </c>
      <c r="D9612" s="4">
        <v>5188607</v>
      </c>
    </row>
    <row r="9613" spans="1:4" x14ac:dyDescent="0.3">
      <c r="A9613" s="5" t="s">
        <v>298</v>
      </c>
      <c r="B9613" s="5" t="s">
        <v>299</v>
      </c>
      <c r="C9613" s="6">
        <v>2016</v>
      </c>
      <c r="D9613" s="7">
        <v>5234519</v>
      </c>
    </row>
    <row r="9614" spans="1:4" x14ac:dyDescent="0.3">
      <c r="A9614" s="2" t="s">
        <v>298</v>
      </c>
      <c r="B9614" s="2" t="s">
        <v>299</v>
      </c>
      <c r="C9614" s="3">
        <v>2017</v>
      </c>
      <c r="D9614" s="4">
        <v>5276968</v>
      </c>
    </row>
    <row r="9615" spans="1:4" x14ac:dyDescent="0.3">
      <c r="A9615" s="5" t="s">
        <v>298</v>
      </c>
      <c r="B9615" s="5" t="s">
        <v>299</v>
      </c>
      <c r="C9615" s="6">
        <v>2018</v>
      </c>
      <c r="D9615" s="7">
        <v>5311916</v>
      </c>
    </row>
    <row r="9616" spans="1:4" x14ac:dyDescent="0.3">
      <c r="A9616" s="2" t="s">
        <v>298</v>
      </c>
      <c r="B9616" s="2" t="s">
        <v>299</v>
      </c>
      <c r="C9616" s="3">
        <v>2019</v>
      </c>
      <c r="D9616" s="4">
        <v>5347896</v>
      </c>
    </row>
    <row r="9617" spans="1:4" x14ac:dyDescent="0.3">
      <c r="A9617" s="5" t="s">
        <v>298</v>
      </c>
      <c r="B9617" s="5" t="s">
        <v>299</v>
      </c>
      <c r="C9617" s="6">
        <v>2020</v>
      </c>
      <c r="D9617" s="7">
        <v>5379475</v>
      </c>
    </row>
    <row r="9618" spans="1:4" x14ac:dyDescent="0.3">
      <c r="A9618" s="2" t="s">
        <v>298</v>
      </c>
      <c r="B9618" s="2" t="s">
        <v>299</v>
      </c>
      <c r="C9618" s="3">
        <v>2021</v>
      </c>
      <c r="D9618" s="4">
        <v>5408320</v>
      </c>
    </row>
    <row r="9619" spans="1:4" x14ac:dyDescent="0.3">
      <c r="A9619" s="5" t="s">
        <v>298</v>
      </c>
      <c r="B9619" s="5" t="s">
        <v>299</v>
      </c>
      <c r="C9619" s="6">
        <v>2022</v>
      </c>
      <c r="D9619" s="7">
        <v>5457127</v>
      </c>
    </row>
    <row r="9620" spans="1:4" x14ac:dyDescent="0.3">
      <c r="A9620" s="2" t="s">
        <v>298</v>
      </c>
      <c r="B9620" s="2" t="s">
        <v>299</v>
      </c>
      <c r="C9620" s="3">
        <v>2023</v>
      </c>
      <c r="D9620" s="4">
        <v>5519594</v>
      </c>
    </row>
    <row r="9621" spans="1:4" x14ac:dyDescent="0.3">
      <c r="A9621" s="5" t="s">
        <v>298</v>
      </c>
      <c r="B9621" s="5" t="s">
        <v>299</v>
      </c>
      <c r="C9621" s="6">
        <v>2024</v>
      </c>
      <c r="D9621" s="7">
        <v>5572272</v>
      </c>
    </row>
    <row r="9622" spans="1:4" x14ac:dyDescent="0.3">
      <c r="A9622" s="2" t="s">
        <v>300</v>
      </c>
      <c r="B9622" s="2" t="s">
        <v>301</v>
      </c>
      <c r="C9622" s="3">
        <v>1960</v>
      </c>
      <c r="D9622" s="4">
        <v>530485</v>
      </c>
    </row>
    <row r="9623" spans="1:4" x14ac:dyDescent="0.3">
      <c r="A9623" s="5" t="s">
        <v>300</v>
      </c>
      <c r="B9623" s="5" t="s">
        <v>301</v>
      </c>
      <c r="C9623" s="6">
        <v>1961</v>
      </c>
      <c r="D9623" s="7">
        <v>539854</v>
      </c>
    </row>
    <row r="9624" spans="1:4" x14ac:dyDescent="0.3">
      <c r="A9624" s="2" t="s">
        <v>300</v>
      </c>
      <c r="B9624" s="2" t="s">
        <v>301</v>
      </c>
      <c r="C9624" s="3">
        <v>1962</v>
      </c>
      <c r="D9624" s="4">
        <v>549941</v>
      </c>
    </row>
    <row r="9625" spans="1:4" x14ac:dyDescent="0.3">
      <c r="A9625" s="5" t="s">
        <v>300</v>
      </c>
      <c r="B9625" s="5" t="s">
        <v>301</v>
      </c>
      <c r="C9625" s="6">
        <v>1963</v>
      </c>
      <c r="D9625" s="7">
        <v>560827</v>
      </c>
    </row>
    <row r="9626" spans="1:4" x14ac:dyDescent="0.3">
      <c r="A9626" s="2" t="s">
        <v>300</v>
      </c>
      <c r="B9626" s="2" t="s">
        <v>301</v>
      </c>
      <c r="C9626" s="3">
        <v>1964</v>
      </c>
      <c r="D9626" s="4">
        <v>572577</v>
      </c>
    </row>
    <row r="9627" spans="1:4" x14ac:dyDescent="0.3">
      <c r="A9627" s="5" t="s">
        <v>300</v>
      </c>
      <c r="B9627" s="5" t="s">
        <v>301</v>
      </c>
      <c r="C9627" s="6">
        <v>1965</v>
      </c>
      <c r="D9627" s="7">
        <v>585236</v>
      </c>
    </row>
    <row r="9628" spans="1:4" x14ac:dyDescent="0.3">
      <c r="A9628" s="2" t="s">
        <v>300</v>
      </c>
      <c r="B9628" s="2" t="s">
        <v>301</v>
      </c>
      <c r="C9628" s="3">
        <v>1966</v>
      </c>
      <c r="D9628" s="4">
        <v>598804</v>
      </c>
    </row>
    <row r="9629" spans="1:4" x14ac:dyDescent="0.3">
      <c r="A9629" s="5" t="s">
        <v>300</v>
      </c>
      <c r="B9629" s="5" t="s">
        <v>301</v>
      </c>
      <c r="C9629" s="6">
        <v>1967</v>
      </c>
      <c r="D9629" s="7">
        <v>613318</v>
      </c>
    </row>
    <row r="9630" spans="1:4" x14ac:dyDescent="0.3">
      <c r="A9630" s="2" t="s">
        <v>300</v>
      </c>
      <c r="B9630" s="2" t="s">
        <v>301</v>
      </c>
      <c r="C9630" s="3">
        <v>1968</v>
      </c>
      <c r="D9630" s="4">
        <v>628798</v>
      </c>
    </row>
    <row r="9631" spans="1:4" x14ac:dyDescent="0.3">
      <c r="A9631" s="5" t="s">
        <v>300</v>
      </c>
      <c r="B9631" s="5" t="s">
        <v>301</v>
      </c>
      <c r="C9631" s="6">
        <v>1969</v>
      </c>
      <c r="D9631" s="7">
        <v>645255</v>
      </c>
    </row>
    <row r="9632" spans="1:4" x14ac:dyDescent="0.3">
      <c r="A9632" s="2" t="s">
        <v>300</v>
      </c>
      <c r="B9632" s="2" t="s">
        <v>301</v>
      </c>
      <c r="C9632" s="3">
        <v>1970</v>
      </c>
      <c r="D9632" s="4">
        <v>662680</v>
      </c>
    </row>
    <row r="9633" spans="1:4" x14ac:dyDescent="0.3">
      <c r="A9633" s="5" t="s">
        <v>300</v>
      </c>
      <c r="B9633" s="5" t="s">
        <v>301</v>
      </c>
      <c r="C9633" s="6">
        <v>1971</v>
      </c>
      <c r="D9633" s="7">
        <v>681119</v>
      </c>
    </row>
    <row r="9634" spans="1:4" x14ac:dyDescent="0.3">
      <c r="A9634" s="2" t="s">
        <v>300</v>
      </c>
      <c r="B9634" s="2" t="s">
        <v>301</v>
      </c>
      <c r="C9634" s="3">
        <v>1972</v>
      </c>
      <c r="D9634" s="4">
        <v>700593</v>
      </c>
    </row>
    <row r="9635" spans="1:4" x14ac:dyDescent="0.3">
      <c r="A9635" s="5" t="s">
        <v>300</v>
      </c>
      <c r="B9635" s="5" t="s">
        <v>301</v>
      </c>
      <c r="C9635" s="6">
        <v>1973</v>
      </c>
      <c r="D9635" s="7">
        <v>721179</v>
      </c>
    </row>
    <row r="9636" spans="1:4" x14ac:dyDescent="0.3">
      <c r="A9636" s="2" t="s">
        <v>300</v>
      </c>
      <c r="B9636" s="2" t="s">
        <v>301</v>
      </c>
      <c r="C9636" s="3">
        <v>1974</v>
      </c>
      <c r="D9636" s="4">
        <v>746988</v>
      </c>
    </row>
    <row r="9637" spans="1:4" x14ac:dyDescent="0.3">
      <c r="A9637" s="5" t="s">
        <v>300</v>
      </c>
      <c r="B9637" s="5" t="s">
        <v>301</v>
      </c>
      <c r="C9637" s="6">
        <v>1975</v>
      </c>
      <c r="D9637" s="7">
        <v>778864</v>
      </c>
    </row>
    <row r="9638" spans="1:4" x14ac:dyDescent="0.3">
      <c r="A9638" s="2" t="s">
        <v>300</v>
      </c>
      <c r="B9638" s="2" t="s">
        <v>301</v>
      </c>
      <c r="C9638" s="3">
        <v>1976</v>
      </c>
      <c r="D9638" s="4">
        <v>814701</v>
      </c>
    </row>
    <row r="9639" spans="1:4" x14ac:dyDescent="0.3">
      <c r="A9639" s="5" t="s">
        <v>300</v>
      </c>
      <c r="B9639" s="5" t="s">
        <v>301</v>
      </c>
      <c r="C9639" s="6">
        <v>1977</v>
      </c>
      <c r="D9639" s="7">
        <v>855314</v>
      </c>
    </row>
    <row r="9640" spans="1:4" x14ac:dyDescent="0.3">
      <c r="A9640" s="2" t="s">
        <v>300</v>
      </c>
      <c r="B9640" s="2" t="s">
        <v>301</v>
      </c>
      <c r="C9640" s="3">
        <v>1978</v>
      </c>
      <c r="D9640" s="4">
        <v>900304</v>
      </c>
    </row>
    <row r="9641" spans="1:4" x14ac:dyDescent="0.3">
      <c r="A9641" s="5" t="s">
        <v>300</v>
      </c>
      <c r="B9641" s="5" t="s">
        <v>301</v>
      </c>
      <c r="C9641" s="6">
        <v>1979</v>
      </c>
      <c r="D9641" s="7">
        <v>949116</v>
      </c>
    </row>
    <row r="9642" spans="1:4" x14ac:dyDescent="0.3">
      <c r="A9642" s="2" t="s">
        <v>300</v>
      </c>
      <c r="B9642" s="2" t="s">
        <v>301</v>
      </c>
      <c r="C9642" s="3">
        <v>1980</v>
      </c>
      <c r="D9642" s="4">
        <v>1001248</v>
      </c>
    </row>
    <row r="9643" spans="1:4" x14ac:dyDescent="0.3">
      <c r="A9643" s="5" t="s">
        <v>300</v>
      </c>
      <c r="B9643" s="5" t="s">
        <v>301</v>
      </c>
      <c r="C9643" s="6">
        <v>1981</v>
      </c>
      <c r="D9643" s="7">
        <v>1057320</v>
      </c>
    </row>
    <row r="9644" spans="1:4" x14ac:dyDescent="0.3">
      <c r="A9644" s="2" t="s">
        <v>300</v>
      </c>
      <c r="B9644" s="2" t="s">
        <v>301</v>
      </c>
      <c r="C9644" s="3">
        <v>1982</v>
      </c>
      <c r="D9644" s="4">
        <v>1117678</v>
      </c>
    </row>
    <row r="9645" spans="1:4" x14ac:dyDescent="0.3">
      <c r="A9645" s="5" t="s">
        <v>300</v>
      </c>
      <c r="B9645" s="5" t="s">
        <v>301</v>
      </c>
      <c r="C9645" s="6">
        <v>1983</v>
      </c>
      <c r="D9645" s="7">
        <v>1181459</v>
      </c>
    </row>
    <row r="9646" spans="1:4" x14ac:dyDescent="0.3">
      <c r="A9646" s="2" t="s">
        <v>300</v>
      </c>
      <c r="B9646" s="2" t="s">
        <v>301</v>
      </c>
      <c r="C9646" s="3">
        <v>1984</v>
      </c>
      <c r="D9646" s="4">
        <v>1247716</v>
      </c>
    </row>
    <row r="9647" spans="1:4" x14ac:dyDescent="0.3">
      <c r="A9647" s="5" t="s">
        <v>300</v>
      </c>
      <c r="B9647" s="5" t="s">
        <v>301</v>
      </c>
      <c r="C9647" s="6">
        <v>1985</v>
      </c>
      <c r="D9647" s="7">
        <v>1325480</v>
      </c>
    </row>
    <row r="9648" spans="1:4" x14ac:dyDescent="0.3">
      <c r="A9648" s="2" t="s">
        <v>300</v>
      </c>
      <c r="B9648" s="2" t="s">
        <v>301</v>
      </c>
      <c r="C9648" s="3">
        <v>1986</v>
      </c>
      <c r="D9648" s="4">
        <v>1413419</v>
      </c>
    </row>
    <row r="9649" spans="1:4" x14ac:dyDescent="0.3">
      <c r="A9649" s="5" t="s">
        <v>300</v>
      </c>
      <c r="B9649" s="5" t="s">
        <v>301</v>
      </c>
      <c r="C9649" s="6">
        <v>1987</v>
      </c>
      <c r="D9649" s="7">
        <v>1500996</v>
      </c>
    </row>
    <row r="9650" spans="1:4" x14ac:dyDescent="0.3">
      <c r="A9650" s="2" t="s">
        <v>300</v>
      </c>
      <c r="B9650" s="2" t="s">
        <v>301</v>
      </c>
      <c r="C9650" s="3">
        <v>1988</v>
      </c>
      <c r="D9650" s="4">
        <v>1588568</v>
      </c>
    </row>
    <row r="9651" spans="1:4" x14ac:dyDescent="0.3">
      <c r="A9651" s="5" t="s">
        <v>300</v>
      </c>
      <c r="B9651" s="5" t="s">
        <v>301</v>
      </c>
      <c r="C9651" s="6">
        <v>1989</v>
      </c>
      <c r="D9651" s="7">
        <v>1676228</v>
      </c>
    </row>
    <row r="9652" spans="1:4" x14ac:dyDescent="0.3">
      <c r="A9652" s="2" t="s">
        <v>300</v>
      </c>
      <c r="B9652" s="2" t="s">
        <v>301</v>
      </c>
      <c r="C9652" s="3">
        <v>1990</v>
      </c>
      <c r="D9652" s="4">
        <v>1763954</v>
      </c>
    </row>
    <row r="9653" spans="1:4" x14ac:dyDescent="0.3">
      <c r="A9653" s="5" t="s">
        <v>300</v>
      </c>
      <c r="B9653" s="5" t="s">
        <v>301</v>
      </c>
      <c r="C9653" s="6">
        <v>1991</v>
      </c>
      <c r="D9653" s="7">
        <v>1851473</v>
      </c>
    </row>
    <row r="9654" spans="1:4" x14ac:dyDescent="0.3">
      <c r="A9654" s="2" t="s">
        <v>300</v>
      </c>
      <c r="B9654" s="2" t="s">
        <v>301</v>
      </c>
      <c r="C9654" s="3">
        <v>1992</v>
      </c>
      <c r="D9654" s="4">
        <v>1938238</v>
      </c>
    </row>
    <row r="9655" spans="1:4" x14ac:dyDescent="0.3">
      <c r="A9655" s="5" t="s">
        <v>300</v>
      </c>
      <c r="B9655" s="5" t="s">
        <v>301</v>
      </c>
      <c r="C9655" s="6">
        <v>1993</v>
      </c>
      <c r="D9655" s="7">
        <v>2021675</v>
      </c>
    </row>
    <row r="9656" spans="1:4" x14ac:dyDescent="0.3">
      <c r="A9656" s="2" t="s">
        <v>300</v>
      </c>
      <c r="B9656" s="2" t="s">
        <v>301</v>
      </c>
      <c r="C9656" s="3">
        <v>1994</v>
      </c>
      <c r="D9656" s="4">
        <v>2081834</v>
      </c>
    </row>
    <row r="9657" spans="1:4" x14ac:dyDescent="0.3">
      <c r="A9657" s="5" t="s">
        <v>300</v>
      </c>
      <c r="B9657" s="5" t="s">
        <v>301</v>
      </c>
      <c r="C9657" s="6">
        <v>1995</v>
      </c>
      <c r="D9657" s="7">
        <v>2120528</v>
      </c>
    </row>
    <row r="9658" spans="1:4" x14ac:dyDescent="0.3">
      <c r="A9658" s="2" t="s">
        <v>300</v>
      </c>
      <c r="B9658" s="2" t="s">
        <v>301</v>
      </c>
      <c r="C9658" s="3">
        <v>1996</v>
      </c>
      <c r="D9658" s="4">
        <v>2156926</v>
      </c>
    </row>
    <row r="9659" spans="1:4" x14ac:dyDescent="0.3">
      <c r="A9659" s="5" t="s">
        <v>300</v>
      </c>
      <c r="B9659" s="5" t="s">
        <v>301</v>
      </c>
      <c r="C9659" s="6">
        <v>1997</v>
      </c>
      <c r="D9659" s="7">
        <v>2190720</v>
      </c>
    </row>
    <row r="9660" spans="1:4" x14ac:dyDescent="0.3">
      <c r="A9660" s="2" t="s">
        <v>300</v>
      </c>
      <c r="B9660" s="2" t="s">
        <v>301</v>
      </c>
      <c r="C9660" s="3">
        <v>1998</v>
      </c>
      <c r="D9660" s="4">
        <v>2222489</v>
      </c>
    </row>
    <row r="9661" spans="1:4" x14ac:dyDescent="0.3">
      <c r="A9661" s="5" t="s">
        <v>300</v>
      </c>
      <c r="B9661" s="5" t="s">
        <v>301</v>
      </c>
      <c r="C9661" s="6">
        <v>1999</v>
      </c>
      <c r="D9661" s="7">
        <v>2252909</v>
      </c>
    </row>
    <row r="9662" spans="1:4" x14ac:dyDescent="0.3">
      <c r="A9662" s="2" t="s">
        <v>300</v>
      </c>
      <c r="B9662" s="2" t="s">
        <v>301</v>
      </c>
      <c r="C9662" s="3">
        <v>2000</v>
      </c>
      <c r="D9662" s="4">
        <v>2282131</v>
      </c>
    </row>
    <row r="9663" spans="1:4" x14ac:dyDescent="0.3">
      <c r="A9663" s="5" t="s">
        <v>300</v>
      </c>
      <c r="B9663" s="5" t="s">
        <v>301</v>
      </c>
      <c r="C9663" s="6">
        <v>2001</v>
      </c>
      <c r="D9663" s="7">
        <v>2310217</v>
      </c>
    </row>
    <row r="9664" spans="1:4" x14ac:dyDescent="0.3">
      <c r="A9664" s="2" t="s">
        <v>300</v>
      </c>
      <c r="B9664" s="2" t="s">
        <v>301</v>
      </c>
      <c r="C9664" s="3">
        <v>2002</v>
      </c>
      <c r="D9664" s="4">
        <v>2337140</v>
      </c>
    </row>
    <row r="9665" spans="1:4" x14ac:dyDescent="0.3">
      <c r="A9665" s="5" t="s">
        <v>300</v>
      </c>
      <c r="B9665" s="5" t="s">
        <v>301</v>
      </c>
      <c r="C9665" s="6">
        <v>2003</v>
      </c>
      <c r="D9665" s="7">
        <v>2363796</v>
      </c>
    </row>
    <row r="9666" spans="1:4" x14ac:dyDescent="0.3">
      <c r="A9666" s="2" t="s">
        <v>300</v>
      </c>
      <c r="B9666" s="2" t="s">
        <v>301</v>
      </c>
      <c r="C9666" s="3">
        <v>2004</v>
      </c>
      <c r="D9666" s="4">
        <v>2404821</v>
      </c>
    </row>
    <row r="9667" spans="1:4" x14ac:dyDescent="0.3">
      <c r="A9667" s="5" t="s">
        <v>300</v>
      </c>
      <c r="B9667" s="5" t="s">
        <v>301</v>
      </c>
      <c r="C9667" s="6">
        <v>2005</v>
      </c>
      <c r="D9667" s="7">
        <v>2459802</v>
      </c>
    </row>
    <row r="9668" spans="1:4" x14ac:dyDescent="0.3">
      <c r="A9668" s="2" t="s">
        <v>300</v>
      </c>
      <c r="B9668" s="2" t="s">
        <v>301</v>
      </c>
      <c r="C9668" s="3">
        <v>2006</v>
      </c>
      <c r="D9668" s="4">
        <v>2514795</v>
      </c>
    </row>
    <row r="9669" spans="1:4" x14ac:dyDescent="0.3">
      <c r="A9669" s="5" t="s">
        <v>300</v>
      </c>
      <c r="B9669" s="5" t="s">
        <v>301</v>
      </c>
      <c r="C9669" s="6">
        <v>2007</v>
      </c>
      <c r="D9669" s="7">
        <v>2570174</v>
      </c>
    </row>
    <row r="9670" spans="1:4" x14ac:dyDescent="0.3">
      <c r="A9670" s="2" t="s">
        <v>300</v>
      </c>
      <c r="B9670" s="2" t="s">
        <v>301</v>
      </c>
      <c r="C9670" s="3">
        <v>2008</v>
      </c>
      <c r="D9670" s="4">
        <v>2626529</v>
      </c>
    </row>
    <row r="9671" spans="1:4" x14ac:dyDescent="0.3">
      <c r="A9671" s="5" t="s">
        <v>300</v>
      </c>
      <c r="B9671" s="5" t="s">
        <v>301</v>
      </c>
      <c r="C9671" s="6">
        <v>2009</v>
      </c>
      <c r="D9671" s="7">
        <v>2684659</v>
      </c>
    </row>
    <row r="9672" spans="1:4" x14ac:dyDescent="0.3">
      <c r="A9672" s="2" t="s">
        <v>300</v>
      </c>
      <c r="B9672" s="2" t="s">
        <v>301</v>
      </c>
      <c r="C9672" s="3">
        <v>2010</v>
      </c>
      <c r="D9672" s="4">
        <v>2757446</v>
      </c>
    </row>
    <row r="9673" spans="1:4" x14ac:dyDescent="0.3">
      <c r="A9673" s="5" t="s">
        <v>300</v>
      </c>
      <c r="B9673" s="5" t="s">
        <v>301</v>
      </c>
      <c r="C9673" s="6">
        <v>2011</v>
      </c>
      <c r="D9673" s="7">
        <v>3076763</v>
      </c>
    </row>
    <row r="9674" spans="1:4" x14ac:dyDescent="0.3">
      <c r="A9674" s="2" t="s">
        <v>300</v>
      </c>
      <c r="B9674" s="2" t="s">
        <v>301</v>
      </c>
      <c r="C9674" s="3">
        <v>2012</v>
      </c>
      <c r="D9674" s="4">
        <v>3547106</v>
      </c>
    </row>
    <row r="9675" spans="1:4" x14ac:dyDescent="0.3">
      <c r="A9675" s="5" t="s">
        <v>300</v>
      </c>
      <c r="B9675" s="5" t="s">
        <v>301</v>
      </c>
      <c r="C9675" s="6">
        <v>2013</v>
      </c>
      <c r="D9675" s="7">
        <v>3833913</v>
      </c>
    </row>
    <row r="9676" spans="1:4" x14ac:dyDescent="0.3">
      <c r="A9676" s="2" t="s">
        <v>300</v>
      </c>
      <c r="B9676" s="2" t="s">
        <v>301</v>
      </c>
      <c r="C9676" s="3">
        <v>2014</v>
      </c>
      <c r="D9676" s="4">
        <v>4002439</v>
      </c>
    </row>
    <row r="9677" spans="1:4" x14ac:dyDescent="0.3">
      <c r="A9677" s="5" t="s">
        <v>300</v>
      </c>
      <c r="B9677" s="5" t="s">
        <v>301</v>
      </c>
      <c r="C9677" s="6">
        <v>2015</v>
      </c>
      <c r="D9677" s="7">
        <v>4184895</v>
      </c>
    </row>
    <row r="9678" spans="1:4" x14ac:dyDescent="0.3">
      <c r="A9678" s="2" t="s">
        <v>300</v>
      </c>
      <c r="B9678" s="2" t="s">
        <v>301</v>
      </c>
      <c r="C9678" s="3">
        <v>2016</v>
      </c>
      <c r="D9678" s="4">
        <v>4390877</v>
      </c>
    </row>
    <row r="9679" spans="1:4" x14ac:dyDescent="0.3">
      <c r="A9679" s="5" t="s">
        <v>300</v>
      </c>
      <c r="B9679" s="5" t="s">
        <v>301</v>
      </c>
      <c r="C9679" s="6">
        <v>2017</v>
      </c>
      <c r="D9679" s="7">
        <v>4537396</v>
      </c>
    </row>
    <row r="9680" spans="1:4" x14ac:dyDescent="0.3">
      <c r="A9680" s="2" t="s">
        <v>300</v>
      </c>
      <c r="B9680" s="2" t="s">
        <v>301</v>
      </c>
      <c r="C9680" s="3">
        <v>2018</v>
      </c>
      <c r="D9680" s="4">
        <v>4597877</v>
      </c>
    </row>
    <row r="9681" spans="1:4" x14ac:dyDescent="0.3">
      <c r="A9681" s="5" t="s">
        <v>300</v>
      </c>
      <c r="B9681" s="5" t="s">
        <v>301</v>
      </c>
      <c r="C9681" s="6">
        <v>2019</v>
      </c>
      <c r="D9681" s="7">
        <v>4591241</v>
      </c>
    </row>
    <row r="9682" spans="1:4" x14ac:dyDescent="0.3">
      <c r="A9682" s="2" t="s">
        <v>300</v>
      </c>
      <c r="B9682" s="2" t="s">
        <v>301</v>
      </c>
      <c r="C9682" s="3">
        <v>2020</v>
      </c>
      <c r="D9682" s="4">
        <v>4522497</v>
      </c>
    </row>
    <row r="9683" spans="1:4" x14ac:dyDescent="0.3">
      <c r="A9683" s="5" t="s">
        <v>300</v>
      </c>
      <c r="B9683" s="5" t="s">
        <v>301</v>
      </c>
      <c r="C9683" s="6">
        <v>2021</v>
      </c>
      <c r="D9683" s="7">
        <v>4500424</v>
      </c>
    </row>
    <row r="9684" spans="1:4" x14ac:dyDescent="0.3">
      <c r="A9684" s="2" t="s">
        <v>300</v>
      </c>
      <c r="B9684" s="2" t="s">
        <v>301</v>
      </c>
      <c r="C9684" s="3">
        <v>2022</v>
      </c>
      <c r="D9684" s="4">
        <v>4730226</v>
      </c>
    </row>
    <row r="9685" spans="1:4" x14ac:dyDescent="0.3">
      <c r="A9685" s="5" t="s">
        <v>300</v>
      </c>
      <c r="B9685" s="5" t="s">
        <v>301</v>
      </c>
      <c r="C9685" s="6">
        <v>2023</v>
      </c>
      <c r="D9685" s="7">
        <v>5049269</v>
      </c>
    </row>
    <row r="9686" spans="1:4" x14ac:dyDescent="0.3">
      <c r="A9686" s="2" t="s">
        <v>300</v>
      </c>
      <c r="B9686" s="2" t="s">
        <v>301</v>
      </c>
      <c r="C9686" s="3">
        <v>2024</v>
      </c>
      <c r="D9686" s="4">
        <v>5281538</v>
      </c>
    </row>
    <row r="9687" spans="1:4" x14ac:dyDescent="0.3">
      <c r="A9687" s="5" t="s">
        <v>302</v>
      </c>
      <c r="B9687" s="5" t="s">
        <v>303</v>
      </c>
      <c r="C9687" s="6">
        <v>1960</v>
      </c>
      <c r="D9687" s="7">
        <v>45709310</v>
      </c>
    </row>
    <row r="9688" spans="1:4" x14ac:dyDescent="0.3">
      <c r="A9688" s="2" t="s">
        <v>302</v>
      </c>
      <c r="B9688" s="2" t="s">
        <v>303</v>
      </c>
      <c r="C9688" s="3">
        <v>1961</v>
      </c>
      <c r="D9688" s="4">
        <v>46921277</v>
      </c>
    </row>
    <row r="9689" spans="1:4" x14ac:dyDescent="0.3">
      <c r="A9689" s="5" t="s">
        <v>302</v>
      </c>
      <c r="B9689" s="5" t="s">
        <v>303</v>
      </c>
      <c r="C9689" s="6">
        <v>1962</v>
      </c>
      <c r="D9689" s="7">
        <v>48156128</v>
      </c>
    </row>
    <row r="9690" spans="1:4" x14ac:dyDescent="0.3">
      <c r="A9690" s="2" t="s">
        <v>302</v>
      </c>
      <c r="B9690" s="2" t="s">
        <v>303</v>
      </c>
      <c r="C9690" s="3">
        <v>1963</v>
      </c>
      <c r="D9690" s="4">
        <v>49447776</v>
      </c>
    </row>
    <row r="9691" spans="1:4" x14ac:dyDescent="0.3">
      <c r="A9691" s="5" t="s">
        <v>302</v>
      </c>
      <c r="B9691" s="5" t="s">
        <v>303</v>
      </c>
      <c r="C9691" s="6">
        <v>1964</v>
      </c>
      <c r="D9691" s="7">
        <v>50799999</v>
      </c>
    </row>
    <row r="9692" spans="1:4" x14ac:dyDescent="0.3">
      <c r="A9692" s="2" t="s">
        <v>302</v>
      </c>
      <c r="B9692" s="2" t="s">
        <v>303</v>
      </c>
      <c r="C9692" s="3">
        <v>1965</v>
      </c>
      <c r="D9692" s="4">
        <v>52209010</v>
      </c>
    </row>
    <row r="9693" spans="1:4" x14ac:dyDescent="0.3">
      <c r="A9693" s="5" t="s">
        <v>302</v>
      </c>
      <c r="B9693" s="5" t="s">
        <v>303</v>
      </c>
      <c r="C9693" s="6">
        <v>1966</v>
      </c>
      <c r="D9693" s="7">
        <v>53678667</v>
      </c>
    </row>
    <row r="9694" spans="1:4" x14ac:dyDescent="0.3">
      <c r="A9694" s="2" t="s">
        <v>302</v>
      </c>
      <c r="B9694" s="2" t="s">
        <v>303</v>
      </c>
      <c r="C9694" s="3">
        <v>1967</v>
      </c>
      <c r="D9694" s="4">
        <v>55214768</v>
      </c>
    </row>
    <row r="9695" spans="1:4" x14ac:dyDescent="0.3">
      <c r="A9695" s="5" t="s">
        <v>302</v>
      </c>
      <c r="B9695" s="5" t="s">
        <v>303</v>
      </c>
      <c r="C9695" s="6">
        <v>1968</v>
      </c>
      <c r="D9695" s="7">
        <v>56810507</v>
      </c>
    </row>
    <row r="9696" spans="1:4" x14ac:dyDescent="0.3">
      <c r="A9696" s="2" t="s">
        <v>302</v>
      </c>
      <c r="B9696" s="2" t="s">
        <v>303</v>
      </c>
      <c r="C9696" s="3">
        <v>1969</v>
      </c>
      <c r="D9696" s="4">
        <v>58460939</v>
      </c>
    </row>
    <row r="9697" spans="1:4" x14ac:dyDescent="0.3">
      <c r="A9697" s="5" t="s">
        <v>302</v>
      </c>
      <c r="B9697" s="5" t="s">
        <v>303</v>
      </c>
      <c r="C9697" s="6">
        <v>1970</v>
      </c>
      <c r="D9697" s="7">
        <v>60166719</v>
      </c>
    </row>
    <row r="9698" spans="1:4" x14ac:dyDescent="0.3">
      <c r="A9698" s="2" t="s">
        <v>302</v>
      </c>
      <c r="B9698" s="2" t="s">
        <v>303</v>
      </c>
      <c r="C9698" s="3">
        <v>1971</v>
      </c>
      <c r="D9698" s="4">
        <v>61847899</v>
      </c>
    </row>
    <row r="9699" spans="1:4" x14ac:dyDescent="0.3">
      <c r="A9699" s="5" t="s">
        <v>302</v>
      </c>
      <c r="B9699" s="5" t="s">
        <v>303</v>
      </c>
      <c r="C9699" s="6">
        <v>1972</v>
      </c>
      <c r="D9699" s="7">
        <v>63583194</v>
      </c>
    </row>
    <row r="9700" spans="1:4" x14ac:dyDescent="0.3">
      <c r="A9700" s="2" t="s">
        <v>302</v>
      </c>
      <c r="B9700" s="2" t="s">
        <v>303</v>
      </c>
      <c r="C9700" s="3">
        <v>1973</v>
      </c>
      <c r="D9700" s="4">
        <v>65461912</v>
      </c>
    </row>
    <row r="9701" spans="1:4" x14ac:dyDescent="0.3">
      <c r="A9701" s="5" t="s">
        <v>302</v>
      </c>
      <c r="B9701" s="5" t="s">
        <v>303</v>
      </c>
      <c r="C9701" s="6">
        <v>1974</v>
      </c>
      <c r="D9701" s="7">
        <v>67415487</v>
      </c>
    </row>
    <row r="9702" spans="1:4" x14ac:dyDescent="0.3">
      <c r="A9702" s="2" t="s">
        <v>302</v>
      </c>
      <c r="B9702" s="2" t="s">
        <v>303</v>
      </c>
      <c r="C9702" s="3">
        <v>1975</v>
      </c>
      <c r="D9702" s="4">
        <v>69461175</v>
      </c>
    </row>
    <row r="9703" spans="1:4" x14ac:dyDescent="0.3">
      <c r="A9703" s="5" t="s">
        <v>302</v>
      </c>
      <c r="B9703" s="5" t="s">
        <v>303</v>
      </c>
      <c r="C9703" s="6">
        <v>1976</v>
      </c>
      <c r="D9703" s="7">
        <v>71620254</v>
      </c>
    </row>
    <row r="9704" spans="1:4" x14ac:dyDescent="0.3">
      <c r="A9704" s="2" t="s">
        <v>302</v>
      </c>
      <c r="B9704" s="2" t="s">
        <v>303</v>
      </c>
      <c r="C9704" s="3">
        <v>1977</v>
      </c>
      <c r="D9704" s="4">
        <v>73901827</v>
      </c>
    </row>
    <row r="9705" spans="1:4" x14ac:dyDescent="0.3">
      <c r="A9705" s="5" t="s">
        <v>302</v>
      </c>
      <c r="B9705" s="5" t="s">
        <v>303</v>
      </c>
      <c r="C9705" s="6">
        <v>1978</v>
      </c>
      <c r="D9705" s="7">
        <v>76307379</v>
      </c>
    </row>
    <row r="9706" spans="1:4" x14ac:dyDescent="0.3">
      <c r="A9706" s="2" t="s">
        <v>302</v>
      </c>
      <c r="B9706" s="2" t="s">
        <v>303</v>
      </c>
      <c r="C9706" s="3">
        <v>1979</v>
      </c>
      <c r="D9706" s="4">
        <v>78997039</v>
      </c>
    </row>
    <row r="9707" spans="1:4" x14ac:dyDescent="0.3">
      <c r="A9707" s="5" t="s">
        <v>302</v>
      </c>
      <c r="B9707" s="5" t="s">
        <v>303</v>
      </c>
      <c r="C9707" s="6">
        <v>1980</v>
      </c>
      <c r="D9707" s="7">
        <v>82291010</v>
      </c>
    </row>
    <row r="9708" spans="1:4" x14ac:dyDescent="0.3">
      <c r="A9708" s="2" t="s">
        <v>302</v>
      </c>
      <c r="B9708" s="2" t="s">
        <v>303</v>
      </c>
      <c r="C9708" s="3">
        <v>1981</v>
      </c>
      <c r="D9708" s="4">
        <v>85802049</v>
      </c>
    </row>
    <row r="9709" spans="1:4" x14ac:dyDescent="0.3">
      <c r="A9709" s="5" t="s">
        <v>302</v>
      </c>
      <c r="B9709" s="5" t="s">
        <v>303</v>
      </c>
      <c r="C9709" s="6">
        <v>1982</v>
      </c>
      <c r="D9709" s="7">
        <v>89089246</v>
      </c>
    </row>
    <row r="9710" spans="1:4" x14ac:dyDescent="0.3">
      <c r="A9710" s="2" t="s">
        <v>302</v>
      </c>
      <c r="B9710" s="2" t="s">
        <v>303</v>
      </c>
      <c r="C9710" s="3">
        <v>1983</v>
      </c>
      <c r="D9710" s="4">
        <v>92227711</v>
      </c>
    </row>
    <row r="9711" spans="1:4" x14ac:dyDescent="0.3">
      <c r="A9711" s="5" t="s">
        <v>302</v>
      </c>
      <c r="B9711" s="5" t="s">
        <v>303</v>
      </c>
      <c r="C9711" s="6">
        <v>1984</v>
      </c>
      <c r="D9711" s="7">
        <v>95164936</v>
      </c>
    </row>
    <row r="9712" spans="1:4" x14ac:dyDescent="0.3">
      <c r="A9712" s="2" t="s">
        <v>302</v>
      </c>
      <c r="B9712" s="2" t="s">
        <v>303</v>
      </c>
      <c r="C9712" s="3">
        <v>1985</v>
      </c>
      <c r="D9712" s="4">
        <v>98229285</v>
      </c>
    </row>
    <row r="9713" spans="1:4" x14ac:dyDescent="0.3">
      <c r="A9713" s="5" t="s">
        <v>302</v>
      </c>
      <c r="B9713" s="5" t="s">
        <v>303</v>
      </c>
      <c r="C9713" s="6">
        <v>1986</v>
      </c>
      <c r="D9713" s="7">
        <v>101606764</v>
      </c>
    </row>
    <row r="9714" spans="1:4" x14ac:dyDescent="0.3">
      <c r="A9714" s="2" t="s">
        <v>302</v>
      </c>
      <c r="B9714" s="2" t="s">
        <v>303</v>
      </c>
      <c r="C9714" s="3">
        <v>1987</v>
      </c>
      <c r="D9714" s="4">
        <v>105130717</v>
      </c>
    </row>
    <row r="9715" spans="1:4" x14ac:dyDescent="0.3">
      <c r="A9715" s="5" t="s">
        <v>302</v>
      </c>
      <c r="B9715" s="5" t="s">
        <v>303</v>
      </c>
      <c r="C9715" s="6">
        <v>1988</v>
      </c>
      <c r="D9715" s="7">
        <v>108724739</v>
      </c>
    </row>
    <row r="9716" spans="1:4" x14ac:dyDescent="0.3">
      <c r="A9716" s="2" t="s">
        <v>302</v>
      </c>
      <c r="B9716" s="2" t="s">
        <v>303</v>
      </c>
      <c r="C9716" s="3">
        <v>1989</v>
      </c>
      <c r="D9716" s="4">
        <v>112336629</v>
      </c>
    </row>
    <row r="9717" spans="1:4" x14ac:dyDescent="0.3">
      <c r="A9717" s="5" t="s">
        <v>302</v>
      </c>
      <c r="B9717" s="5" t="s">
        <v>303</v>
      </c>
      <c r="C9717" s="6">
        <v>1990</v>
      </c>
      <c r="D9717" s="7">
        <v>116155576</v>
      </c>
    </row>
    <row r="9718" spans="1:4" x14ac:dyDescent="0.3">
      <c r="A9718" s="2" t="s">
        <v>302</v>
      </c>
      <c r="B9718" s="2" t="s">
        <v>303</v>
      </c>
      <c r="C9718" s="3">
        <v>1991</v>
      </c>
      <c r="D9718" s="4">
        <v>120060406</v>
      </c>
    </row>
    <row r="9719" spans="1:4" x14ac:dyDescent="0.3">
      <c r="A9719" s="5" t="s">
        <v>302</v>
      </c>
      <c r="B9719" s="5" t="s">
        <v>303</v>
      </c>
      <c r="C9719" s="6">
        <v>1992</v>
      </c>
      <c r="D9719" s="7">
        <v>123546848</v>
      </c>
    </row>
    <row r="9720" spans="1:4" x14ac:dyDescent="0.3">
      <c r="A9720" s="2" t="s">
        <v>302</v>
      </c>
      <c r="B9720" s="2" t="s">
        <v>303</v>
      </c>
      <c r="C9720" s="3">
        <v>1993</v>
      </c>
      <c r="D9720" s="4">
        <v>127020117</v>
      </c>
    </row>
    <row r="9721" spans="1:4" x14ac:dyDescent="0.3">
      <c r="A9721" s="5" t="s">
        <v>302</v>
      </c>
      <c r="B9721" s="5" t="s">
        <v>303</v>
      </c>
      <c r="C9721" s="6">
        <v>1994</v>
      </c>
      <c r="D9721" s="7">
        <v>130748083</v>
      </c>
    </row>
    <row r="9722" spans="1:4" x14ac:dyDescent="0.3">
      <c r="A9722" s="2" t="s">
        <v>302</v>
      </c>
      <c r="B9722" s="2" t="s">
        <v>303</v>
      </c>
      <c r="C9722" s="3">
        <v>1995</v>
      </c>
      <c r="D9722" s="4">
        <v>134582253</v>
      </c>
    </row>
    <row r="9723" spans="1:4" x14ac:dyDescent="0.3">
      <c r="A9723" s="5" t="s">
        <v>302</v>
      </c>
      <c r="B9723" s="5" t="s">
        <v>303</v>
      </c>
      <c r="C9723" s="6">
        <v>1996</v>
      </c>
      <c r="D9723" s="7">
        <v>138557092</v>
      </c>
    </row>
    <row r="9724" spans="1:4" x14ac:dyDescent="0.3">
      <c r="A9724" s="2" t="s">
        <v>302</v>
      </c>
      <c r="B9724" s="2" t="s">
        <v>303</v>
      </c>
      <c r="C9724" s="3">
        <v>1997</v>
      </c>
      <c r="D9724" s="4">
        <v>142531804</v>
      </c>
    </row>
    <row r="9725" spans="1:4" x14ac:dyDescent="0.3">
      <c r="A9725" s="5" t="s">
        <v>302</v>
      </c>
      <c r="B9725" s="5" t="s">
        <v>303</v>
      </c>
      <c r="C9725" s="6">
        <v>1998</v>
      </c>
      <c r="D9725" s="7">
        <v>146522356</v>
      </c>
    </row>
    <row r="9726" spans="1:4" x14ac:dyDescent="0.3">
      <c r="A9726" s="2" t="s">
        <v>302</v>
      </c>
      <c r="B9726" s="2" t="s">
        <v>303</v>
      </c>
      <c r="C9726" s="3">
        <v>1999</v>
      </c>
      <c r="D9726" s="4">
        <v>150565377</v>
      </c>
    </row>
    <row r="9727" spans="1:4" x14ac:dyDescent="0.3">
      <c r="A9727" s="5" t="s">
        <v>302</v>
      </c>
      <c r="B9727" s="5" t="s">
        <v>303</v>
      </c>
      <c r="C9727" s="6">
        <v>2000</v>
      </c>
      <c r="D9727" s="7">
        <v>154879127</v>
      </c>
    </row>
    <row r="9728" spans="1:4" x14ac:dyDescent="0.3">
      <c r="A9728" s="2" t="s">
        <v>302</v>
      </c>
      <c r="B9728" s="2" t="s">
        <v>303</v>
      </c>
      <c r="C9728" s="3">
        <v>2001</v>
      </c>
      <c r="D9728" s="4">
        <v>159270907</v>
      </c>
    </row>
    <row r="9729" spans="1:4" x14ac:dyDescent="0.3">
      <c r="A9729" s="5" t="s">
        <v>302</v>
      </c>
      <c r="B9729" s="5" t="s">
        <v>303</v>
      </c>
      <c r="C9729" s="6">
        <v>2002</v>
      </c>
      <c r="D9729" s="7">
        <v>163222549</v>
      </c>
    </row>
    <row r="9730" spans="1:4" x14ac:dyDescent="0.3">
      <c r="A9730" s="2" t="s">
        <v>302</v>
      </c>
      <c r="B9730" s="2" t="s">
        <v>303</v>
      </c>
      <c r="C9730" s="3">
        <v>2003</v>
      </c>
      <c r="D9730" s="4">
        <v>167110248</v>
      </c>
    </row>
    <row r="9731" spans="1:4" x14ac:dyDescent="0.3">
      <c r="A9731" s="5" t="s">
        <v>302</v>
      </c>
      <c r="B9731" s="5" t="s">
        <v>303</v>
      </c>
      <c r="C9731" s="6">
        <v>2004</v>
      </c>
      <c r="D9731" s="7">
        <v>171286000</v>
      </c>
    </row>
    <row r="9732" spans="1:4" x14ac:dyDescent="0.3">
      <c r="A9732" s="2" t="s">
        <v>302</v>
      </c>
      <c r="B9732" s="2" t="s">
        <v>303</v>
      </c>
      <c r="C9732" s="3">
        <v>2005</v>
      </c>
      <c r="D9732" s="4">
        <v>175453212</v>
      </c>
    </row>
    <row r="9733" spans="1:4" x14ac:dyDescent="0.3">
      <c r="A9733" s="5" t="s">
        <v>302</v>
      </c>
      <c r="B9733" s="5" t="s">
        <v>303</v>
      </c>
      <c r="C9733" s="6">
        <v>2006</v>
      </c>
      <c r="D9733" s="7">
        <v>179682690</v>
      </c>
    </row>
    <row r="9734" spans="1:4" x14ac:dyDescent="0.3">
      <c r="A9734" s="2" t="s">
        <v>302</v>
      </c>
      <c r="B9734" s="2" t="s">
        <v>303</v>
      </c>
      <c r="C9734" s="3">
        <v>2007</v>
      </c>
      <c r="D9734" s="4">
        <v>184493231</v>
      </c>
    </row>
    <row r="9735" spans="1:4" x14ac:dyDescent="0.3">
      <c r="A9735" s="5" t="s">
        <v>302</v>
      </c>
      <c r="B9735" s="5" t="s">
        <v>303</v>
      </c>
      <c r="C9735" s="6">
        <v>2008</v>
      </c>
      <c r="D9735" s="7">
        <v>189499113</v>
      </c>
    </row>
    <row r="9736" spans="1:4" x14ac:dyDescent="0.3">
      <c r="A9736" s="2" t="s">
        <v>302</v>
      </c>
      <c r="B9736" s="2" t="s">
        <v>303</v>
      </c>
      <c r="C9736" s="3">
        <v>2009</v>
      </c>
      <c r="D9736" s="4">
        <v>194376534</v>
      </c>
    </row>
    <row r="9737" spans="1:4" x14ac:dyDescent="0.3">
      <c r="A9737" s="5" t="s">
        <v>302</v>
      </c>
      <c r="B9737" s="5" t="s">
        <v>303</v>
      </c>
      <c r="C9737" s="6">
        <v>2010</v>
      </c>
      <c r="D9737" s="7">
        <v>199239047</v>
      </c>
    </row>
    <row r="9738" spans="1:4" x14ac:dyDescent="0.3">
      <c r="A9738" s="2" t="s">
        <v>302</v>
      </c>
      <c r="B9738" s="2" t="s">
        <v>303</v>
      </c>
      <c r="C9738" s="3">
        <v>2011</v>
      </c>
      <c r="D9738" s="4">
        <v>203746065</v>
      </c>
    </row>
    <row r="9739" spans="1:4" x14ac:dyDescent="0.3">
      <c r="A9739" s="5" t="s">
        <v>302</v>
      </c>
      <c r="B9739" s="5" t="s">
        <v>303</v>
      </c>
      <c r="C9739" s="6">
        <v>2012</v>
      </c>
      <c r="D9739" s="7">
        <v>207667125</v>
      </c>
    </row>
    <row r="9740" spans="1:4" x14ac:dyDescent="0.3">
      <c r="A9740" s="2" t="s">
        <v>302</v>
      </c>
      <c r="B9740" s="2" t="s">
        <v>303</v>
      </c>
      <c r="C9740" s="3">
        <v>2013</v>
      </c>
      <c r="D9740" s="4">
        <v>211073978</v>
      </c>
    </row>
    <row r="9741" spans="1:4" x14ac:dyDescent="0.3">
      <c r="A9741" s="5" t="s">
        <v>302</v>
      </c>
      <c r="B9741" s="5" t="s">
        <v>303</v>
      </c>
      <c r="C9741" s="6">
        <v>2014</v>
      </c>
      <c r="D9741" s="7">
        <v>214264647</v>
      </c>
    </row>
    <row r="9742" spans="1:4" x14ac:dyDescent="0.3">
      <c r="A9742" s="2" t="s">
        <v>302</v>
      </c>
      <c r="B9742" s="2" t="s">
        <v>303</v>
      </c>
      <c r="C9742" s="3">
        <v>2015</v>
      </c>
      <c r="D9742" s="4">
        <v>217290883</v>
      </c>
    </row>
    <row r="9743" spans="1:4" x14ac:dyDescent="0.3">
      <c r="A9743" s="5" t="s">
        <v>302</v>
      </c>
      <c r="B9743" s="5" t="s">
        <v>303</v>
      </c>
      <c r="C9743" s="6">
        <v>2016</v>
      </c>
      <c r="D9743" s="7">
        <v>220138869</v>
      </c>
    </row>
    <row r="9744" spans="1:4" x14ac:dyDescent="0.3">
      <c r="A9744" s="2" t="s">
        <v>302</v>
      </c>
      <c r="B9744" s="2" t="s">
        <v>303</v>
      </c>
      <c r="C9744" s="3">
        <v>2017</v>
      </c>
      <c r="D9744" s="4">
        <v>223273967</v>
      </c>
    </row>
    <row r="9745" spans="1:4" x14ac:dyDescent="0.3">
      <c r="A9745" s="5" t="s">
        <v>302</v>
      </c>
      <c r="B9745" s="5" t="s">
        <v>303</v>
      </c>
      <c r="C9745" s="6">
        <v>2018</v>
      </c>
      <c r="D9745" s="7">
        <v>226928892</v>
      </c>
    </row>
    <row r="9746" spans="1:4" x14ac:dyDescent="0.3">
      <c r="A9746" s="2" t="s">
        <v>302</v>
      </c>
      <c r="B9746" s="2" t="s">
        <v>303</v>
      </c>
      <c r="C9746" s="3">
        <v>2019</v>
      </c>
      <c r="D9746" s="4">
        <v>230800899</v>
      </c>
    </row>
    <row r="9747" spans="1:4" x14ac:dyDescent="0.3">
      <c r="A9747" s="5" t="s">
        <v>302</v>
      </c>
      <c r="B9747" s="5" t="s">
        <v>303</v>
      </c>
      <c r="C9747" s="6">
        <v>2020</v>
      </c>
      <c r="D9747" s="7">
        <v>235001746</v>
      </c>
    </row>
    <row r="9748" spans="1:4" x14ac:dyDescent="0.3">
      <c r="A9748" s="2" t="s">
        <v>302</v>
      </c>
      <c r="B9748" s="2" t="s">
        <v>303</v>
      </c>
      <c r="C9748" s="3">
        <v>2021</v>
      </c>
      <c r="D9748" s="4">
        <v>239477801</v>
      </c>
    </row>
    <row r="9749" spans="1:4" x14ac:dyDescent="0.3">
      <c r="A9749" s="5" t="s">
        <v>302</v>
      </c>
      <c r="B9749" s="5" t="s">
        <v>303</v>
      </c>
      <c r="C9749" s="6">
        <v>2022</v>
      </c>
      <c r="D9749" s="7">
        <v>243700667</v>
      </c>
    </row>
    <row r="9750" spans="1:4" x14ac:dyDescent="0.3">
      <c r="A9750" s="2" t="s">
        <v>302</v>
      </c>
      <c r="B9750" s="2" t="s">
        <v>303</v>
      </c>
      <c r="C9750" s="3">
        <v>2023</v>
      </c>
      <c r="D9750" s="4">
        <v>247504495</v>
      </c>
    </row>
    <row r="9751" spans="1:4" x14ac:dyDescent="0.3">
      <c r="A9751" s="5" t="s">
        <v>302</v>
      </c>
      <c r="B9751" s="5" t="s">
        <v>303</v>
      </c>
      <c r="C9751" s="6">
        <v>2024</v>
      </c>
      <c r="D9751" s="7">
        <v>251269164</v>
      </c>
    </row>
    <row r="9752" spans="1:4" x14ac:dyDescent="0.3">
      <c r="A9752" s="2" t="s">
        <v>304</v>
      </c>
      <c r="B9752" s="2" t="s">
        <v>305</v>
      </c>
      <c r="C9752" s="3">
        <v>1960</v>
      </c>
      <c r="D9752" s="4">
        <v>9328</v>
      </c>
    </row>
    <row r="9753" spans="1:4" x14ac:dyDescent="0.3">
      <c r="A9753" s="5" t="s">
        <v>304</v>
      </c>
      <c r="B9753" s="5" t="s">
        <v>305</v>
      </c>
      <c r="C9753" s="6">
        <v>1961</v>
      </c>
      <c r="D9753" s="7">
        <v>9555</v>
      </c>
    </row>
    <row r="9754" spans="1:4" x14ac:dyDescent="0.3">
      <c r="A9754" s="2" t="s">
        <v>304</v>
      </c>
      <c r="B9754" s="2" t="s">
        <v>305</v>
      </c>
      <c r="C9754" s="3">
        <v>1962</v>
      </c>
      <c r="D9754" s="4">
        <v>9793</v>
      </c>
    </row>
    <row r="9755" spans="1:4" x14ac:dyDescent="0.3">
      <c r="A9755" s="5" t="s">
        <v>304</v>
      </c>
      <c r="B9755" s="5" t="s">
        <v>305</v>
      </c>
      <c r="C9755" s="6">
        <v>1963</v>
      </c>
      <c r="D9755" s="7">
        <v>10037</v>
      </c>
    </row>
    <row r="9756" spans="1:4" x14ac:dyDescent="0.3">
      <c r="A9756" s="2" t="s">
        <v>304</v>
      </c>
      <c r="B9756" s="2" t="s">
        <v>305</v>
      </c>
      <c r="C9756" s="3">
        <v>1964</v>
      </c>
      <c r="D9756" s="4">
        <v>10292</v>
      </c>
    </row>
    <row r="9757" spans="1:4" x14ac:dyDescent="0.3">
      <c r="A9757" s="5" t="s">
        <v>304</v>
      </c>
      <c r="B9757" s="5" t="s">
        <v>305</v>
      </c>
      <c r="C9757" s="6">
        <v>1965</v>
      </c>
      <c r="D9757" s="7">
        <v>10547</v>
      </c>
    </row>
    <row r="9758" spans="1:4" x14ac:dyDescent="0.3">
      <c r="A9758" s="2" t="s">
        <v>304</v>
      </c>
      <c r="B9758" s="2" t="s">
        <v>305</v>
      </c>
      <c r="C9758" s="3">
        <v>1966</v>
      </c>
      <c r="D9758" s="4">
        <v>10805</v>
      </c>
    </row>
    <row r="9759" spans="1:4" x14ac:dyDescent="0.3">
      <c r="A9759" s="5" t="s">
        <v>304</v>
      </c>
      <c r="B9759" s="5" t="s">
        <v>305</v>
      </c>
      <c r="C9759" s="6">
        <v>1967</v>
      </c>
      <c r="D9759" s="7">
        <v>10988</v>
      </c>
    </row>
    <row r="9760" spans="1:4" x14ac:dyDescent="0.3">
      <c r="A9760" s="2" t="s">
        <v>304</v>
      </c>
      <c r="B9760" s="2" t="s">
        <v>305</v>
      </c>
      <c r="C9760" s="3">
        <v>1968</v>
      </c>
      <c r="D9760" s="4">
        <v>11080</v>
      </c>
    </row>
    <row r="9761" spans="1:4" x14ac:dyDescent="0.3">
      <c r="A9761" s="5" t="s">
        <v>304</v>
      </c>
      <c r="B9761" s="5" t="s">
        <v>305</v>
      </c>
      <c r="C9761" s="6">
        <v>1969</v>
      </c>
      <c r="D9761" s="7">
        <v>11159</v>
      </c>
    </row>
    <row r="9762" spans="1:4" x14ac:dyDescent="0.3">
      <c r="A9762" s="2" t="s">
        <v>304</v>
      </c>
      <c r="B9762" s="2" t="s">
        <v>305</v>
      </c>
      <c r="C9762" s="3">
        <v>1970</v>
      </c>
      <c r="D9762" s="4">
        <v>11368</v>
      </c>
    </row>
    <row r="9763" spans="1:4" x14ac:dyDescent="0.3">
      <c r="A9763" s="5" t="s">
        <v>304</v>
      </c>
      <c r="B9763" s="5" t="s">
        <v>305</v>
      </c>
      <c r="C9763" s="6">
        <v>1971</v>
      </c>
      <c r="D9763" s="7">
        <v>11759</v>
      </c>
    </row>
    <row r="9764" spans="1:4" x14ac:dyDescent="0.3">
      <c r="A9764" s="2" t="s">
        <v>304</v>
      </c>
      <c r="B9764" s="2" t="s">
        <v>305</v>
      </c>
      <c r="C9764" s="3">
        <v>1972</v>
      </c>
      <c r="D9764" s="4">
        <v>12194</v>
      </c>
    </row>
    <row r="9765" spans="1:4" x14ac:dyDescent="0.3">
      <c r="A9765" s="5" t="s">
        <v>304</v>
      </c>
      <c r="B9765" s="5" t="s">
        <v>305</v>
      </c>
      <c r="C9765" s="6">
        <v>1973</v>
      </c>
      <c r="D9765" s="7">
        <v>12552</v>
      </c>
    </row>
    <row r="9766" spans="1:4" x14ac:dyDescent="0.3">
      <c r="A9766" s="2" t="s">
        <v>304</v>
      </c>
      <c r="B9766" s="2" t="s">
        <v>305</v>
      </c>
      <c r="C9766" s="3">
        <v>1974</v>
      </c>
      <c r="D9766" s="4">
        <v>12687</v>
      </c>
    </row>
    <row r="9767" spans="1:4" x14ac:dyDescent="0.3">
      <c r="A9767" s="5" t="s">
        <v>304</v>
      </c>
      <c r="B9767" s="5" t="s">
        <v>305</v>
      </c>
      <c r="C9767" s="6">
        <v>1975</v>
      </c>
      <c r="D9767" s="7">
        <v>12655</v>
      </c>
    </row>
    <row r="9768" spans="1:4" x14ac:dyDescent="0.3">
      <c r="A9768" s="2" t="s">
        <v>304</v>
      </c>
      <c r="B9768" s="2" t="s">
        <v>305</v>
      </c>
      <c r="C9768" s="3">
        <v>1976</v>
      </c>
      <c r="D9768" s="4">
        <v>12598</v>
      </c>
    </row>
    <row r="9769" spans="1:4" x14ac:dyDescent="0.3">
      <c r="A9769" s="5" t="s">
        <v>304</v>
      </c>
      <c r="B9769" s="5" t="s">
        <v>305</v>
      </c>
      <c r="C9769" s="6">
        <v>1977</v>
      </c>
      <c r="D9769" s="7">
        <v>12525</v>
      </c>
    </row>
    <row r="9770" spans="1:4" x14ac:dyDescent="0.3">
      <c r="A9770" s="2" t="s">
        <v>304</v>
      </c>
      <c r="B9770" s="2" t="s">
        <v>305</v>
      </c>
      <c r="C9770" s="3">
        <v>1978</v>
      </c>
      <c r="D9770" s="4">
        <v>12440</v>
      </c>
    </row>
    <row r="9771" spans="1:4" x14ac:dyDescent="0.3">
      <c r="A9771" s="5" t="s">
        <v>304</v>
      </c>
      <c r="B9771" s="5" t="s">
        <v>305</v>
      </c>
      <c r="C9771" s="6">
        <v>1979</v>
      </c>
      <c r="D9771" s="7">
        <v>12337</v>
      </c>
    </row>
    <row r="9772" spans="1:4" x14ac:dyDescent="0.3">
      <c r="A9772" s="2" t="s">
        <v>304</v>
      </c>
      <c r="B9772" s="2" t="s">
        <v>305</v>
      </c>
      <c r="C9772" s="3">
        <v>1980</v>
      </c>
      <c r="D9772" s="4">
        <v>12271</v>
      </c>
    </row>
    <row r="9773" spans="1:4" x14ac:dyDescent="0.3">
      <c r="A9773" s="5" t="s">
        <v>304</v>
      </c>
      <c r="B9773" s="5" t="s">
        <v>305</v>
      </c>
      <c r="C9773" s="6">
        <v>1981</v>
      </c>
      <c r="D9773" s="7">
        <v>12402</v>
      </c>
    </row>
    <row r="9774" spans="1:4" x14ac:dyDescent="0.3">
      <c r="A9774" s="2" t="s">
        <v>304</v>
      </c>
      <c r="B9774" s="2" t="s">
        <v>305</v>
      </c>
      <c r="C9774" s="3">
        <v>1982</v>
      </c>
      <c r="D9774" s="4">
        <v>12694</v>
      </c>
    </row>
    <row r="9775" spans="1:4" x14ac:dyDescent="0.3">
      <c r="A9775" s="5" t="s">
        <v>304</v>
      </c>
      <c r="B9775" s="5" t="s">
        <v>305</v>
      </c>
      <c r="C9775" s="6">
        <v>1983</v>
      </c>
      <c r="D9775" s="7">
        <v>13006</v>
      </c>
    </row>
    <row r="9776" spans="1:4" x14ac:dyDescent="0.3">
      <c r="A9776" s="2" t="s">
        <v>304</v>
      </c>
      <c r="B9776" s="2" t="s">
        <v>305</v>
      </c>
      <c r="C9776" s="3">
        <v>1984</v>
      </c>
      <c r="D9776" s="4">
        <v>13337</v>
      </c>
    </row>
    <row r="9777" spans="1:4" x14ac:dyDescent="0.3">
      <c r="A9777" s="5" t="s">
        <v>304</v>
      </c>
      <c r="B9777" s="5" t="s">
        <v>305</v>
      </c>
      <c r="C9777" s="6">
        <v>1985</v>
      </c>
      <c r="D9777" s="7">
        <v>13688</v>
      </c>
    </row>
    <row r="9778" spans="1:4" x14ac:dyDescent="0.3">
      <c r="A9778" s="2" t="s">
        <v>304</v>
      </c>
      <c r="B9778" s="2" t="s">
        <v>305</v>
      </c>
      <c r="C9778" s="3">
        <v>1986</v>
      </c>
      <c r="D9778" s="4">
        <v>14024</v>
      </c>
    </row>
    <row r="9779" spans="1:4" x14ac:dyDescent="0.3">
      <c r="A9779" s="5" t="s">
        <v>304</v>
      </c>
      <c r="B9779" s="5" t="s">
        <v>305</v>
      </c>
      <c r="C9779" s="6">
        <v>1987</v>
      </c>
      <c r="D9779" s="7">
        <v>14334</v>
      </c>
    </row>
    <row r="9780" spans="1:4" x14ac:dyDescent="0.3">
      <c r="A9780" s="2" t="s">
        <v>304</v>
      </c>
      <c r="B9780" s="2" t="s">
        <v>305</v>
      </c>
      <c r="C9780" s="3">
        <v>1988</v>
      </c>
      <c r="D9780" s="4">
        <v>14645</v>
      </c>
    </row>
    <row r="9781" spans="1:4" x14ac:dyDescent="0.3">
      <c r="A9781" s="5" t="s">
        <v>304</v>
      </c>
      <c r="B9781" s="5" t="s">
        <v>305</v>
      </c>
      <c r="C9781" s="6">
        <v>1989</v>
      </c>
      <c r="D9781" s="7">
        <v>14945</v>
      </c>
    </row>
    <row r="9782" spans="1:4" x14ac:dyDescent="0.3">
      <c r="A9782" s="2" t="s">
        <v>304</v>
      </c>
      <c r="B9782" s="2" t="s">
        <v>305</v>
      </c>
      <c r="C9782" s="3">
        <v>1990</v>
      </c>
      <c r="D9782" s="4">
        <v>15259</v>
      </c>
    </row>
    <row r="9783" spans="1:4" x14ac:dyDescent="0.3">
      <c r="A9783" s="5" t="s">
        <v>304</v>
      </c>
      <c r="B9783" s="5" t="s">
        <v>305</v>
      </c>
      <c r="C9783" s="6">
        <v>1991</v>
      </c>
      <c r="D9783" s="7">
        <v>15614</v>
      </c>
    </row>
    <row r="9784" spans="1:4" x14ac:dyDescent="0.3">
      <c r="A9784" s="2" t="s">
        <v>304</v>
      </c>
      <c r="B9784" s="2" t="s">
        <v>305</v>
      </c>
      <c r="C9784" s="3">
        <v>1992</v>
      </c>
      <c r="D9784" s="4">
        <v>15989</v>
      </c>
    </row>
    <row r="9785" spans="1:4" x14ac:dyDescent="0.3">
      <c r="A9785" s="5" t="s">
        <v>304</v>
      </c>
      <c r="B9785" s="5" t="s">
        <v>305</v>
      </c>
      <c r="C9785" s="6">
        <v>1993</v>
      </c>
      <c r="D9785" s="7">
        <v>16372</v>
      </c>
    </row>
    <row r="9786" spans="1:4" x14ac:dyDescent="0.3">
      <c r="A9786" s="2" t="s">
        <v>304</v>
      </c>
      <c r="B9786" s="2" t="s">
        <v>305</v>
      </c>
      <c r="C9786" s="3">
        <v>1994</v>
      </c>
      <c r="D9786" s="4">
        <v>16770</v>
      </c>
    </row>
    <row r="9787" spans="1:4" x14ac:dyDescent="0.3">
      <c r="A9787" s="5" t="s">
        <v>304</v>
      </c>
      <c r="B9787" s="5" t="s">
        <v>305</v>
      </c>
      <c r="C9787" s="6">
        <v>1995</v>
      </c>
      <c r="D9787" s="7">
        <v>17195</v>
      </c>
    </row>
    <row r="9788" spans="1:4" x14ac:dyDescent="0.3">
      <c r="A9788" s="2" t="s">
        <v>304</v>
      </c>
      <c r="B9788" s="2" t="s">
        <v>305</v>
      </c>
      <c r="C9788" s="3">
        <v>1996</v>
      </c>
      <c r="D9788" s="4">
        <v>17654</v>
      </c>
    </row>
    <row r="9789" spans="1:4" x14ac:dyDescent="0.3">
      <c r="A9789" s="5" t="s">
        <v>304</v>
      </c>
      <c r="B9789" s="5" t="s">
        <v>305</v>
      </c>
      <c r="C9789" s="6">
        <v>1997</v>
      </c>
      <c r="D9789" s="7">
        <v>18108</v>
      </c>
    </row>
    <row r="9790" spans="1:4" x14ac:dyDescent="0.3">
      <c r="A9790" s="2" t="s">
        <v>304</v>
      </c>
      <c r="B9790" s="2" t="s">
        <v>305</v>
      </c>
      <c r="C9790" s="3">
        <v>1998</v>
      </c>
      <c r="D9790" s="4">
        <v>18524</v>
      </c>
    </row>
    <row r="9791" spans="1:4" x14ac:dyDescent="0.3">
      <c r="A9791" s="5" t="s">
        <v>304</v>
      </c>
      <c r="B9791" s="5" t="s">
        <v>305</v>
      </c>
      <c r="C9791" s="6">
        <v>1999</v>
      </c>
      <c r="D9791" s="7">
        <v>18901</v>
      </c>
    </row>
    <row r="9792" spans="1:4" x14ac:dyDescent="0.3">
      <c r="A9792" s="2" t="s">
        <v>304</v>
      </c>
      <c r="B9792" s="2" t="s">
        <v>305</v>
      </c>
      <c r="C9792" s="3">
        <v>2000</v>
      </c>
      <c r="D9792" s="4">
        <v>19178</v>
      </c>
    </row>
    <row r="9793" spans="1:4" x14ac:dyDescent="0.3">
      <c r="A9793" s="5" t="s">
        <v>304</v>
      </c>
      <c r="B9793" s="5" t="s">
        <v>305</v>
      </c>
      <c r="C9793" s="6">
        <v>2001</v>
      </c>
      <c r="D9793" s="7">
        <v>19352</v>
      </c>
    </row>
    <row r="9794" spans="1:4" x14ac:dyDescent="0.3">
      <c r="A9794" s="2" t="s">
        <v>304</v>
      </c>
      <c r="B9794" s="2" t="s">
        <v>305</v>
      </c>
      <c r="C9794" s="3">
        <v>2002</v>
      </c>
      <c r="D9794" s="4">
        <v>19503</v>
      </c>
    </row>
    <row r="9795" spans="1:4" x14ac:dyDescent="0.3">
      <c r="A9795" s="5" t="s">
        <v>304</v>
      </c>
      <c r="B9795" s="5" t="s">
        <v>305</v>
      </c>
      <c r="C9795" s="6">
        <v>2003</v>
      </c>
      <c r="D9795" s="7">
        <v>19659</v>
      </c>
    </row>
    <row r="9796" spans="1:4" x14ac:dyDescent="0.3">
      <c r="A9796" s="2" t="s">
        <v>304</v>
      </c>
      <c r="B9796" s="2" t="s">
        <v>305</v>
      </c>
      <c r="C9796" s="3">
        <v>2004</v>
      </c>
      <c r="D9796" s="4">
        <v>19820</v>
      </c>
    </row>
    <row r="9797" spans="1:4" x14ac:dyDescent="0.3">
      <c r="A9797" s="5" t="s">
        <v>304</v>
      </c>
      <c r="B9797" s="5" t="s">
        <v>305</v>
      </c>
      <c r="C9797" s="6">
        <v>2005</v>
      </c>
      <c r="D9797" s="7">
        <v>19819</v>
      </c>
    </row>
    <row r="9798" spans="1:4" x14ac:dyDescent="0.3">
      <c r="A9798" s="2" t="s">
        <v>304</v>
      </c>
      <c r="B9798" s="2" t="s">
        <v>305</v>
      </c>
      <c r="C9798" s="3">
        <v>2006</v>
      </c>
      <c r="D9798" s="4">
        <v>19593</v>
      </c>
    </row>
    <row r="9799" spans="1:4" x14ac:dyDescent="0.3">
      <c r="A9799" s="5" t="s">
        <v>304</v>
      </c>
      <c r="B9799" s="5" t="s">
        <v>305</v>
      </c>
      <c r="C9799" s="6">
        <v>2007</v>
      </c>
      <c r="D9799" s="7">
        <v>19302</v>
      </c>
    </row>
    <row r="9800" spans="1:4" x14ac:dyDescent="0.3">
      <c r="A9800" s="2" t="s">
        <v>304</v>
      </c>
      <c r="B9800" s="2" t="s">
        <v>305</v>
      </c>
      <c r="C9800" s="3">
        <v>2008</v>
      </c>
      <c r="D9800" s="4">
        <v>19009</v>
      </c>
    </row>
    <row r="9801" spans="1:4" x14ac:dyDescent="0.3">
      <c r="A9801" s="5" t="s">
        <v>304</v>
      </c>
      <c r="B9801" s="5" t="s">
        <v>305</v>
      </c>
      <c r="C9801" s="6">
        <v>2009</v>
      </c>
      <c r="D9801" s="7">
        <v>18709</v>
      </c>
    </row>
    <row r="9802" spans="1:4" x14ac:dyDescent="0.3">
      <c r="A9802" s="2" t="s">
        <v>304</v>
      </c>
      <c r="B9802" s="2" t="s">
        <v>305</v>
      </c>
      <c r="C9802" s="3">
        <v>2010</v>
      </c>
      <c r="D9802" s="4">
        <v>18396</v>
      </c>
    </row>
    <row r="9803" spans="1:4" x14ac:dyDescent="0.3">
      <c r="A9803" s="5" t="s">
        <v>304</v>
      </c>
      <c r="B9803" s="5" t="s">
        <v>305</v>
      </c>
      <c r="C9803" s="6">
        <v>2011</v>
      </c>
      <c r="D9803" s="7">
        <v>18078</v>
      </c>
    </row>
    <row r="9804" spans="1:4" x14ac:dyDescent="0.3">
      <c r="A9804" s="2" t="s">
        <v>304</v>
      </c>
      <c r="B9804" s="2" t="s">
        <v>305</v>
      </c>
      <c r="C9804" s="3">
        <v>2012</v>
      </c>
      <c r="D9804" s="4">
        <v>17765</v>
      </c>
    </row>
    <row r="9805" spans="1:4" x14ac:dyDescent="0.3">
      <c r="A9805" s="5" t="s">
        <v>304</v>
      </c>
      <c r="B9805" s="5" t="s">
        <v>305</v>
      </c>
      <c r="C9805" s="6">
        <v>2013</v>
      </c>
      <c r="D9805" s="7">
        <v>17648</v>
      </c>
    </row>
    <row r="9806" spans="1:4" x14ac:dyDescent="0.3">
      <c r="A9806" s="2" t="s">
        <v>304</v>
      </c>
      <c r="B9806" s="2" t="s">
        <v>305</v>
      </c>
      <c r="C9806" s="3">
        <v>2014</v>
      </c>
      <c r="D9806" s="4">
        <v>17715</v>
      </c>
    </row>
    <row r="9807" spans="1:4" x14ac:dyDescent="0.3">
      <c r="A9807" s="5" t="s">
        <v>304</v>
      </c>
      <c r="B9807" s="5" t="s">
        <v>305</v>
      </c>
      <c r="C9807" s="6">
        <v>2015</v>
      </c>
      <c r="D9807" s="7">
        <v>17770</v>
      </c>
    </row>
    <row r="9808" spans="1:4" x14ac:dyDescent="0.3">
      <c r="A9808" s="2" t="s">
        <v>304</v>
      </c>
      <c r="B9808" s="2" t="s">
        <v>305</v>
      </c>
      <c r="C9808" s="3">
        <v>2016</v>
      </c>
      <c r="D9808" s="4">
        <v>17797</v>
      </c>
    </row>
    <row r="9809" spans="1:4" x14ac:dyDescent="0.3">
      <c r="A9809" s="5" t="s">
        <v>304</v>
      </c>
      <c r="B9809" s="5" t="s">
        <v>305</v>
      </c>
      <c r="C9809" s="6">
        <v>2017</v>
      </c>
      <c r="D9809" s="7">
        <v>17812</v>
      </c>
    </row>
    <row r="9810" spans="1:4" x14ac:dyDescent="0.3">
      <c r="A9810" s="2" t="s">
        <v>304</v>
      </c>
      <c r="B9810" s="2" t="s">
        <v>305</v>
      </c>
      <c r="C9810" s="3">
        <v>2018</v>
      </c>
      <c r="D9810" s="4">
        <v>17814</v>
      </c>
    </row>
    <row r="9811" spans="1:4" x14ac:dyDescent="0.3">
      <c r="A9811" s="5" t="s">
        <v>304</v>
      </c>
      <c r="B9811" s="5" t="s">
        <v>305</v>
      </c>
      <c r="C9811" s="6">
        <v>2019</v>
      </c>
      <c r="D9811" s="7">
        <v>17798</v>
      </c>
    </row>
    <row r="9812" spans="1:4" x14ac:dyDescent="0.3">
      <c r="A9812" s="2" t="s">
        <v>304</v>
      </c>
      <c r="B9812" s="2" t="s">
        <v>305</v>
      </c>
      <c r="C9812" s="3">
        <v>2020</v>
      </c>
      <c r="D9812" s="4">
        <v>17792</v>
      </c>
    </row>
    <row r="9813" spans="1:4" x14ac:dyDescent="0.3">
      <c r="A9813" s="5" t="s">
        <v>304</v>
      </c>
      <c r="B9813" s="5" t="s">
        <v>305</v>
      </c>
      <c r="C9813" s="6">
        <v>2021</v>
      </c>
      <c r="D9813" s="7">
        <v>17783</v>
      </c>
    </row>
    <row r="9814" spans="1:4" x14ac:dyDescent="0.3">
      <c r="A9814" s="2" t="s">
        <v>304</v>
      </c>
      <c r="B9814" s="2" t="s">
        <v>305</v>
      </c>
      <c r="C9814" s="3">
        <v>2022</v>
      </c>
      <c r="D9814" s="4">
        <v>17759</v>
      </c>
    </row>
    <row r="9815" spans="1:4" x14ac:dyDescent="0.3">
      <c r="A9815" s="5" t="s">
        <v>304</v>
      </c>
      <c r="B9815" s="5" t="s">
        <v>305</v>
      </c>
      <c r="C9815" s="6">
        <v>2023</v>
      </c>
      <c r="D9815" s="7">
        <v>17727</v>
      </c>
    </row>
    <row r="9816" spans="1:4" x14ac:dyDescent="0.3">
      <c r="A9816" s="2" t="s">
        <v>304</v>
      </c>
      <c r="B9816" s="2" t="s">
        <v>305</v>
      </c>
      <c r="C9816" s="3">
        <v>2024</v>
      </c>
      <c r="D9816" s="4">
        <v>17695</v>
      </c>
    </row>
    <row r="9817" spans="1:4" x14ac:dyDescent="0.3">
      <c r="A9817" s="5" t="s">
        <v>306</v>
      </c>
      <c r="B9817" s="5" t="s">
        <v>307</v>
      </c>
      <c r="C9817" s="6">
        <v>1960</v>
      </c>
      <c r="D9817" s="7">
        <v>1126005</v>
      </c>
    </row>
    <row r="9818" spans="1:4" x14ac:dyDescent="0.3">
      <c r="A9818" s="2" t="s">
        <v>306</v>
      </c>
      <c r="B9818" s="2" t="s">
        <v>307</v>
      </c>
      <c r="C9818" s="3">
        <v>1961</v>
      </c>
      <c r="D9818" s="4">
        <v>1159870</v>
      </c>
    </row>
    <row r="9819" spans="1:4" x14ac:dyDescent="0.3">
      <c r="A9819" s="5" t="s">
        <v>306</v>
      </c>
      <c r="B9819" s="5" t="s">
        <v>307</v>
      </c>
      <c r="C9819" s="6">
        <v>1962</v>
      </c>
      <c r="D9819" s="7">
        <v>1195301</v>
      </c>
    </row>
    <row r="9820" spans="1:4" x14ac:dyDescent="0.3">
      <c r="A9820" s="2" t="s">
        <v>306</v>
      </c>
      <c r="B9820" s="2" t="s">
        <v>307</v>
      </c>
      <c r="C9820" s="3">
        <v>1963</v>
      </c>
      <c r="D9820" s="4">
        <v>1232124</v>
      </c>
    </row>
    <row r="9821" spans="1:4" x14ac:dyDescent="0.3">
      <c r="A9821" s="5" t="s">
        <v>306</v>
      </c>
      <c r="B9821" s="5" t="s">
        <v>307</v>
      </c>
      <c r="C9821" s="6">
        <v>1964</v>
      </c>
      <c r="D9821" s="7">
        <v>1270065</v>
      </c>
    </row>
    <row r="9822" spans="1:4" x14ac:dyDescent="0.3">
      <c r="A9822" s="2" t="s">
        <v>306</v>
      </c>
      <c r="B9822" s="2" t="s">
        <v>307</v>
      </c>
      <c r="C9822" s="3">
        <v>1965</v>
      </c>
      <c r="D9822" s="4">
        <v>1308835</v>
      </c>
    </row>
    <row r="9823" spans="1:4" x14ac:dyDescent="0.3">
      <c r="A9823" s="5" t="s">
        <v>306</v>
      </c>
      <c r="B9823" s="5" t="s">
        <v>307</v>
      </c>
      <c r="C9823" s="6">
        <v>1966</v>
      </c>
      <c r="D9823" s="7">
        <v>1348388</v>
      </c>
    </row>
    <row r="9824" spans="1:4" x14ac:dyDescent="0.3">
      <c r="A9824" s="2" t="s">
        <v>306</v>
      </c>
      <c r="B9824" s="2" t="s">
        <v>307</v>
      </c>
      <c r="C9824" s="3">
        <v>1967</v>
      </c>
      <c r="D9824" s="4">
        <v>1388628</v>
      </c>
    </row>
    <row r="9825" spans="1:4" x14ac:dyDescent="0.3">
      <c r="A9825" s="5" t="s">
        <v>306</v>
      </c>
      <c r="B9825" s="5" t="s">
        <v>307</v>
      </c>
      <c r="C9825" s="6">
        <v>1968</v>
      </c>
      <c r="D9825" s="7">
        <v>1429447</v>
      </c>
    </row>
    <row r="9826" spans="1:4" x14ac:dyDescent="0.3">
      <c r="A9826" s="2" t="s">
        <v>306</v>
      </c>
      <c r="B9826" s="2" t="s">
        <v>307</v>
      </c>
      <c r="C9826" s="3">
        <v>1969</v>
      </c>
      <c r="D9826" s="4">
        <v>1470886</v>
      </c>
    </row>
    <row r="9827" spans="1:4" x14ac:dyDescent="0.3">
      <c r="A9827" s="5" t="s">
        <v>306</v>
      </c>
      <c r="B9827" s="5" t="s">
        <v>307</v>
      </c>
      <c r="C9827" s="6">
        <v>1970</v>
      </c>
      <c r="D9827" s="7">
        <v>1513070</v>
      </c>
    </row>
    <row r="9828" spans="1:4" x14ac:dyDescent="0.3">
      <c r="A9828" s="2" t="s">
        <v>306</v>
      </c>
      <c r="B9828" s="2" t="s">
        <v>307</v>
      </c>
      <c r="C9828" s="3">
        <v>1971</v>
      </c>
      <c r="D9828" s="4">
        <v>1556081</v>
      </c>
    </row>
    <row r="9829" spans="1:4" x14ac:dyDescent="0.3">
      <c r="A9829" s="5" t="s">
        <v>306</v>
      </c>
      <c r="B9829" s="5" t="s">
        <v>307</v>
      </c>
      <c r="C9829" s="6">
        <v>1972</v>
      </c>
      <c r="D9829" s="7">
        <v>1599723</v>
      </c>
    </row>
    <row r="9830" spans="1:4" x14ac:dyDescent="0.3">
      <c r="A9830" s="2" t="s">
        <v>306</v>
      </c>
      <c r="B9830" s="2" t="s">
        <v>307</v>
      </c>
      <c r="C9830" s="3">
        <v>1973</v>
      </c>
      <c r="D9830" s="4">
        <v>1643690</v>
      </c>
    </row>
    <row r="9831" spans="1:4" x14ac:dyDescent="0.3">
      <c r="A9831" s="5" t="s">
        <v>306</v>
      </c>
      <c r="B9831" s="5" t="s">
        <v>307</v>
      </c>
      <c r="C9831" s="6">
        <v>1974</v>
      </c>
      <c r="D9831" s="7">
        <v>1687926</v>
      </c>
    </row>
    <row r="9832" spans="1:4" x14ac:dyDescent="0.3">
      <c r="A9832" s="2" t="s">
        <v>306</v>
      </c>
      <c r="B9832" s="2" t="s">
        <v>307</v>
      </c>
      <c r="C9832" s="3">
        <v>1975</v>
      </c>
      <c r="D9832" s="4">
        <v>1732389</v>
      </c>
    </row>
    <row r="9833" spans="1:4" x14ac:dyDescent="0.3">
      <c r="A9833" s="5" t="s">
        <v>306</v>
      </c>
      <c r="B9833" s="5" t="s">
        <v>307</v>
      </c>
      <c r="C9833" s="6">
        <v>1976</v>
      </c>
      <c r="D9833" s="7">
        <v>1776935</v>
      </c>
    </row>
    <row r="9834" spans="1:4" x14ac:dyDescent="0.3">
      <c r="A9834" s="2" t="s">
        <v>306</v>
      </c>
      <c r="B9834" s="2" t="s">
        <v>307</v>
      </c>
      <c r="C9834" s="3">
        <v>1977</v>
      </c>
      <c r="D9834" s="4">
        <v>1821543</v>
      </c>
    </row>
    <row r="9835" spans="1:4" x14ac:dyDescent="0.3">
      <c r="A9835" s="5" t="s">
        <v>306</v>
      </c>
      <c r="B9835" s="5" t="s">
        <v>307</v>
      </c>
      <c r="C9835" s="6">
        <v>1978</v>
      </c>
      <c r="D9835" s="7">
        <v>1866311</v>
      </c>
    </row>
    <row r="9836" spans="1:4" x14ac:dyDescent="0.3">
      <c r="A9836" s="2" t="s">
        <v>306</v>
      </c>
      <c r="B9836" s="2" t="s">
        <v>307</v>
      </c>
      <c r="C9836" s="3">
        <v>1979</v>
      </c>
      <c r="D9836" s="4">
        <v>1911552</v>
      </c>
    </row>
    <row r="9837" spans="1:4" x14ac:dyDescent="0.3">
      <c r="A9837" s="5" t="s">
        <v>306</v>
      </c>
      <c r="B9837" s="5" t="s">
        <v>307</v>
      </c>
      <c r="C9837" s="6">
        <v>1980</v>
      </c>
      <c r="D9837" s="7">
        <v>1957534</v>
      </c>
    </row>
    <row r="9838" spans="1:4" x14ac:dyDescent="0.3">
      <c r="A9838" s="2" t="s">
        <v>306</v>
      </c>
      <c r="B9838" s="2" t="s">
        <v>307</v>
      </c>
      <c r="C9838" s="3">
        <v>1981</v>
      </c>
      <c r="D9838" s="4">
        <v>2004418</v>
      </c>
    </row>
    <row r="9839" spans="1:4" x14ac:dyDescent="0.3">
      <c r="A9839" s="5" t="s">
        <v>306</v>
      </c>
      <c r="B9839" s="5" t="s">
        <v>307</v>
      </c>
      <c r="C9839" s="6">
        <v>1982</v>
      </c>
      <c r="D9839" s="7">
        <v>2052271</v>
      </c>
    </row>
    <row r="9840" spans="1:4" x14ac:dyDescent="0.3">
      <c r="A9840" s="2" t="s">
        <v>306</v>
      </c>
      <c r="B9840" s="2" t="s">
        <v>307</v>
      </c>
      <c r="C9840" s="3">
        <v>1983</v>
      </c>
      <c r="D9840" s="4">
        <v>2101106</v>
      </c>
    </row>
    <row r="9841" spans="1:4" x14ac:dyDescent="0.3">
      <c r="A9841" s="5" t="s">
        <v>306</v>
      </c>
      <c r="B9841" s="5" t="s">
        <v>307</v>
      </c>
      <c r="C9841" s="6">
        <v>1984</v>
      </c>
      <c r="D9841" s="7">
        <v>2150782</v>
      </c>
    </row>
    <row r="9842" spans="1:4" x14ac:dyDescent="0.3">
      <c r="A9842" s="2" t="s">
        <v>306</v>
      </c>
      <c r="B9842" s="2" t="s">
        <v>307</v>
      </c>
      <c r="C9842" s="3">
        <v>1985</v>
      </c>
      <c r="D9842" s="4">
        <v>2200915</v>
      </c>
    </row>
    <row r="9843" spans="1:4" x14ac:dyDescent="0.3">
      <c r="A9843" s="5" t="s">
        <v>306</v>
      </c>
      <c r="B9843" s="5" t="s">
        <v>307</v>
      </c>
      <c r="C9843" s="6">
        <v>1986</v>
      </c>
      <c r="D9843" s="7">
        <v>2251325</v>
      </c>
    </row>
    <row r="9844" spans="1:4" x14ac:dyDescent="0.3">
      <c r="A9844" s="2" t="s">
        <v>306</v>
      </c>
      <c r="B9844" s="2" t="s">
        <v>307</v>
      </c>
      <c r="C9844" s="3">
        <v>1987</v>
      </c>
      <c r="D9844" s="4">
        <v>2301970</v>
      </c>
    </row>
    <row r="9845" spans="1:4" x14ac:dyDescent="0.3">
      <c r="A9845" s="5" t="s">
        <v>306</v>
      </c>
      <c r="B9845" s="5" t="s">
        <v>307</v>
      </c>
      <c r="C9845" s="6">
        <v>1988</v>
      </c>
      <c r="D9845" s="7">
        <v>2352848</v>
      </c>
    </row>
    <row r="9846" spans="1:4" x14ac:dyDescent="0.3">
      <c r="A9846" s="2" t="s">
        <v>306</v>
      </c>
      <c r="B9846" s="2" t="s">
        <v>307</v>
      </c>
      <c r="C9846" s="3">
        <v>1989</v>
      </c>
      <c r="D9846" s="4">
        <v>2403820</v>
      </c>
    </row>
    <row r="9847" spans="1:4" x14ac:dyDescent="0.3">
      <c r="A9847" s="5" t="s">
        <v>306</v>
      </c>
      <c r="B9847" s="5" t="s">
        <v>307</v>
      </c>
      <c r="C9847" s="6">
        <v>1990</v>
      </c>
      <c r="D9847" s="7">
        <v>2455583</v>
      </c>
    </row>
    <row r="9848" spans="1:4" x14ac:dyDescent="0.3">
      <c r="A9848" s="2" t="s">
        <v>306</v>
      </c>
      <c r="B9848" s="2" t="s">
        <v>307</v>
      </c>
      <c r="C9848" s="3">
        <v>1991</v>
      </c>
      <c r="D9848" s="4">
        <v>2508265</v>
      </c>
    </row>
    <row r="9849" spans="1:4" x14ac:dyDescent="0.3">
      <c r="A9849" s="5" t="s">
        <v>306</v>
      </c>
      <c r="B9849" s="5" t="s">
        <v>307</v>
      </c>
      <c r="C9849" s="6">
        <v>1992</v>
      </c>
      <c r="D9849" s="7">
        <v>2561336</v>
      </c>
    </row>
    <row r="9850" spans="1:4" x14ac:dyDescent="0.3">
      <c r="A9850" s="2" t="s">
        <v>306</v>
      </c>
      <c r="B9850" s="2" t="s">
        <v>307</v>
      </c>
      <c r="C9850" s="3">
        <v>1993</v>
      </c>
      <c r="D9850" s="4">
        <v>2615099</v>
      </c>
    </row>
    <row r="9851" spans="1:4" x14ac:dyDescent="0.3">
      <c r="A9851" s="5" t="s">
        <v>306</v>
      </c>
      <c r="B9851" s="5" t="s">
        <v>307</v>
      </c>
      <c r="C9851" s="6">
        <v>1994</v>
      </c>
      <c r="D9851" s="7">
        <v>2669546</v>
      </c>
    </row>
    <row r="9852" spans="1:4" x14ac:dyDescent="0.3">
      <c r="A9852" s="2" t="s">
        <v>306</v>
      </c>
      <c r="B9852" s="2" t="s">
        <v>307</v>
      </c>
      <c r="C9852" s="3">
        <v>1995</v>
      </c>
      <c r="D9852" s="4">
        <v>2724557</v>
      </c>
    </row>
    <row r="9853" spans="1:4" x14ac:dyDescent="0.3">
      <c r="A9853" s="5" t="s">
        <v>306</v>
      </c>
      <c r="B9853" s="5" t="s">
        <v>307</v>
      </c>
      <c r="C9853" s="6">
        <v>1996</v>
      </c>
      <c r="D9853" s="7">
        <v>2780227</v>
      </c>
    </row>
    <row r="9854" spans="1:4" x14ac:dyDescent="0.3">
      <c r="A9854" s="2" t="s">
        <v>306</v>
      </c>
      <c r="B9854" s="2" t="s">
        <v>307</v>
      </c>
      <c r="C9854" s="3">
        <v>1997</v>
      </c>
      <c r="D9854" s="4">
        <v>2836695</v>
      </c>
    </row>
    <row r="9855" spans="1:4" x14ac:dyDescent="0.3">
      <c r="A9855" s="5" t="s">
        <v>306</v>
      </c>
      <c r="B9855" s="5" t="s">
        <v>307</v>
      </c>
      <c r="C9855" s="6">
        <v>1998</v>
      </c>
      <c r="D9855" s="7">
        <v>2893914</v>
      </c>
    </row>
    <row r="9856" spans="1:4" x14ac:dyDescent="0.3">
      <c r="A9856" s="2" t="s">
        <v>306</v>
      </c>
      <c r="B9856" s="2" t="s">
        <v>307</v>
      </c>
      <c r="C9856" s="3">
        <v>1999</v>
      </c>
      <c r="D9856" s="4">
        <v>2951822</v>
      </c>
    </row>
    <row r="9857" spans="1:4" x14ac:dyDescent="0.3">
      <c r="A9857" s="5" t="s">
        <v>306</v>
      </c>
      <c r="B9857" s="5" t="s">
        <v>307</v>
      </c>
      <c r="C9857" s="6">
        <v>2000</v>
      </c>
      <c r="D9857" s="7">
        <v>3010369</v>
      </c>
    </row>
    <row r="9858" spans="1:4" x14ac:dyDescent="0.3">
      <c r="A9858" s="2" t="s">
        <v>306</v>
      </c>
      <c r="B9858" s="2" t="s">
        <v>307</v>
      </c>
      <c r="C9858" s="3">
        <v>2001</v>
      </c>
      <c r="D9858" s="4">
        <v>3069537</v>
      </c>
    </row>
    <row r="9859" spans="1:4" x14ac:dyDescent="0.3">
      <c r="A9859" s="5" t="s">
        <v>306</v>
      </c>
      <c r="B9859" s="5" t="s">
        <v>307</v>
      </c>
      <c r="C9859" s="6">
        <v>2002</v>
      </c>
      <c r="D9859" s="7">
        <v>3129344</v>
      </c>
    </row>
    <row r="9860" spans="1:4" x14ac:dyDescent="0.3">
      <c r="A9860" s="2" t="s">
        <v>306</v>
      </c>
      <c r="B9860" s="2" t="s">
        <v>307</v>
      </c>
      <c r="C9860" s="3">
        <v>2003</v>
      </c>
      <c r="D9860" s="4">
        <v>3189807</v>
      </c>
    </row>
    <row r="9861" spans="1:4" x14ac:dyDescent="0.3">
      <c r="A9861" s="5" t="s">
        <v>306</v>
      </c>
      <c r="B9861" s="5" t="s">
        <v>307</v>
      </c>
      <c r="C9861" s="6">
        <v>2004</v>
      </c>
      <c r="D9861" s="7">
        <v>3251155</v>
      </c>
    </row>
    <row r="9862" spans="1:4" x14ac:dyDescent="0.3">
      <c r="A9862" s="2" t="s">
        <v>306</v>
      </c>
      <c r="B9862" s="2" t="s">
        <v>307</v>
      </c>
      <c r="C9862" s="3">
        <v>2005</v>
      </c>
      <c r="D9862" s="4">
        <v>3313026</v>
      </c>
    </row>
    <row r="9863" spans="1:4" x14ac:dyDescent="0.3">
      <c r="A9863" s="5" t="s">
        <v>306</v>
      </c>
      <c r="B9863" s="5" t="s">
        <v>307</v>
      </c>
      <c r="C9863" s="6">
        <v>2006</v>
      </c>
      <c r="D9863" s="7">
        <v>3375024</v>
      </c>
    </row>
    <row r="9864" spans="1:4" x14ac:dyDescent="0.3">
      <c r="A9864" s="2" t="s">
        <v>306</v>
      </c>
      <c r="B9864" s="2" t="s">
        <v>307</v>
      </c>
      <c r="C9864" s="3">
        <v>2007</v>
      </c>
      <c r="D9864" s="4">
        <v>3437490</v>
      </c>
    </row>
    <row r="9865" spans="1:4" x14ac:dyDescent="0.3">
      <c r="A9865" s="5" t="s">
        <v>306</v>
      </c>
      <c r="B9865" s="5" t="s">
        <v>307</v>
      </c>
      <c r="C9865" s="6">
        <v>2008</v>
      </c>
      <c r="D9865" s="7">
        <v>3500648</v>
      </c>
    </row>
    <row r="9866" spans="1:4" x14ac:dyDescent="0.3">
      <c r="A9866" s="2" t="s">
        <v>306</v>
      </c>
      <c r="B9866" s="2" t="s">
        <v>307</v>
      </c>
      <c r="C9866" s="3">
        <v>2009</v>
      </c>
      <c r="D9866" s="4">
        <v>3564381</v>
      </c>
    </row>
    <row r="9867" spans="1:4" x14ac:dyDescent="0.3">
      <c r="A9867" s="5" t="s">
        <v>306</v>
      </c>
      <c r="B9867" s="5" t="s">
        <v>307</v>
      </c>
      <c r="C9867" s="6">
        <v>2010</v>
      </c>
      <c r="D9867" s="7">
        <v>3628535</v>
      </c>
    </row>
    <row r="9868" spans="1:4" x14ac:dyDescent="0.3">
      <c r="A9868" s="2" t="s">
        <v>306</v>
      </c>
      <c r="B9868" s="2" t="s">
        <v>307</v>
      </c>
      <c r="C9868" s="3">
        <v>2011</v>
      </c>
      <c r="D9868" s="4">
        <v>3693505</v>
      </c>
    </row>
    <row r="9869" spans="1:4" x14ac:dyDescent="0.3">
      <c r="A9869" s="5" t="s">
        <v>306</v>
      </c>
      <c r="B9869" s="5" t="s">
        <v>307</v>
      </c>
      <c r="C9869" s="6">
        <v>2012</v>
      </c>
      <c r="D9869" s="7">
        <v>3759256</v>
      </c>
    </row>
    <row r="9870" spans="1:4" x14ac:dyDescent="0.3">
      <c r="A9870" s="2" t="s">
        <v>306</v>
      </c>
      <c r="B9870" s="2" t="s">
        <v>307</v>
      </c>
      <c r="C9870" s="3">
        <v>2013</v>
      </c>
      <c r="D9870" s="4">
        <v>3825329</v>
      </c>
    </row>
    <row r="9871" spans="1:4" x14ac:dyDescent="0.3">
      <c r="A9871" s="5" t="s">
        <v>306</v>
      </c>
      <c r="B9871" s="5" t="s">
        <v>307</v>
      </c>
      <c r="C9871" s="6">
        <v>2014</v>
      </c>
      <c r="D9871" s="7">
        <v>3892101</v>
      </c>
    </row>
    <row r="9872" spans="1:4" x14ac:dyDescent="0.3">
      <c r="A9872" s="2" t="s">
        <v>306</v>
      </c>
      <c r="B9872" s="2" t="s">
        <v>307</v>
      </c>
      <c r="C9872" s="3">
        <v>2015</v>
      </c>
      <c r="D9872" s="4">
        <v>3960035</v>
      </c>
    </row>
    <row r="9873" spans="1:4" x14ac:dyDescent="0.3">
      <c r="A9873" s="5" t="s">
        <v>306</v>
      </c>
      <c r="B9873" s="5" t="s">
        <v>307</v>
      </c>
      <c r="C9873" s="6">
        <v>2016</v>
      </c>
      <c r="D9873" s="7">
        <v>4029086</v>
      </c>
    </row>
    <row r="9874" spans="1:4" x14ac:dyDescent="0.3">
      <c r="A9874" s="2" t="s">
        <v>306</v>
      </c>
      <c r="B9874" s="2" t="s">
        <v>307</v>
      </c>
      <c r="C9874" s="3">
        <v>2017</v>
      </c>
      <c r="D9874" s="4">
        <v>4098707</v>
      </c>
    </row>
    <row r="9875" spans="1:4" x14ac:dyDescent="0.3">
      <c r="A9875" s="5" t="s">
        <v>306</v>
      </c>
      <c r="B9875" s="5" t="s">
        <v>307</v>
      </c>
      <c r="C9875" s="6">
        <v>2018</v>
      </c>
      <c r="D9875" s="7">
        <v>4167860</v>
      </c>
    </row>
    <row r="9876" spans="1:4" x14ac:dyDescent="0.3">
      <c r="A9876" s="2" t="s">
        <v>306</v>
      </c>
      <c r="B9876" s="2" t="s">
        <v>307</v>
      </c>
      <c r="C9876" s="3">
        <v>2019</v>
      </c>
      <c r="D9876" s="4">
        <v>4234700</v>
      </c>
    </row>
    <row r="9877" spans="1:4" x14ac:dyDescent="0.3">
      <c r="A9877" s="5" t="s">
        <v>306</v>
      </c>
      <c r="B9877" s="5" t="s">
        <v>307</v>
      </c>
      <c r="C9877" s="6">
        <v>2020</v>
      </c>
      <c r="D9877" s="7">
        <v>4293261</v>
      </c>
    </row>
    <row r="9878" spans="1:4" x14ac:dyDescent="0.3">
      <c r="A9878" s="2" t="s">
        <v>306</v>
      </c>
      <c r="B9878" s="2" t="s">
        <v>307</v>
      </c>
      <c r="C9878" s="3">
        <v>2021</v>
      </c>
      <c r="D9878" s="4">
        <v>4345405</v>
      </c>
    </row>
    <row r="9879" spans="1:4" x14ac:dyDescent="0.3">
      <c r="A9879" s="5" t="s">
        <v>306</v>
      </c>
      <c r="B9879" s="5" t="s">
        <v>307</v>
      </c>
      <c r="C9879" s="6">
        <v>2022</v>
      </c>
      <c r="D9879" s="7">
        <v>4400773</v>
      </c>
    </row>
    <row r="9880" spans="1:4" x14ac:dyDescent="0.3">
      <c r="A9880" s="2" t="s">
        <v>306</v>
      </c>
      <c r="B9880" s="2" t="s">
        <v>307</v>
      </c>
      <c r="C9880" s="3">
        <v>2023</v>
      </c>
      <c r="D9880" s="4">
        <v>4458759</v>
      </c>
    </row>
    <row r="9881" spans="1:4" x14ac:dyDescent="0.3">
      <c r="A9881" s="5" t="s">
        <v>306</v>
      </c>
      <c r="B9881" s="5" t="s">
        <v>307</v>
      </c>
      <c r="C9881" s="6">
        <v>2024</v>
      </c>
      <c r="D9881" s="7">
        <v>4515577</v>
      </c>
    </row>
    <row r="9882" spans="1:4" x14ac:dyDescent="0.3">
      <c r="A9882" s="2" t="s">
        <v>308</v>
      </c>
      <c r="B9882" s="2" t="s">
        <v>309</v>
      </c>
      <c r="C9882" s="3">
        <v>1960</v>
      </c>
      <c r="D9882" s="4">
        <v>1995110</v>
      </c>
    </row>
    <row r="9883" spans="1:4" x14ac:dyDescent="0.3">
      <c r="A9883" s="5" t="s">
        <v>308</v>
      </c>
      <c r="B9883" s="5" t="s">
        <v>309</v>
      </c>
      <c r="C9883" s="6">
        <v>1961</v>
      </c>
      <c r="D9883" s="7">
        <v>2046127</v>
      </c>
    </row>
    <row r="9884" spans="1:4" x14ac:dyDescent="0.3">
      <c r="A9884" s="2" t="s">
        <v>308</v>
      </c>
      <c r="B9884" s="2" t="s">
        <v>309</v>
      </c>
      <c r="C9884" s="3">
        <v>1962</v>
      </c>
      <c r="D9884" s="4">
        <v>2093919</v>
      </c>
    </row>
    <row r="9885" spans="1:4" x14ac:dyDescent="0.3">
      <c r="A9885" s="5" t="s">
        <v>308</v>
      </c>
      <c r="B9885" s="5" t="s">
        <v>309</v>
      </c>
      <c r="C9885" s="6">
        <v>1963</v>
      </c>
      <c r="D9885" s="7">
        <v>2141376</v>
      </c>
    </row>
    <row r="9886" spans="1:4" x14ac:dyDescent="0.3">
      <c r="A9886" s="2" t="s">
        <v>308</v>
      </c>
      <c r="B9886" s="2" t="s">
        <v>309</v>
      </c>
      <c r="C9886" s="3">
        <v>1964</v>
      </c>
      <c r="D9886" s="4">
        <v>2188325</v>
      </c>
    </row>
    <row r="9887" spans="1:4" x14ac:dyDescent="0.3">
      <c r="A9887" s="5" t="s">
        <v>308</v>
      </c>
      <c r="B9887" s="5" t="s">
        <v>309</v>
      </c>
      <c r="C9887" s="6">
        <v>1965</v>
      </c>
      <c r="D9887" s="7">
        <v>2235820</v>
      </c>
    </row>
    <row r="9888" spans="1:4" x14ac:dyDescent="0.3">
      <c r="A9888" s="2" t="s">
        <v>308</v>
      </c>
      <c r="B9888" s="2" t="s">
        <v>309</v>
      </c>
      <c r="C9888" s="3">
        <v>1966</v>
      </c>
      <c r="D9888" s="4">
        <v>2285774</v>
      </c>
    </row>
    <row r="9889" spans="1:4" x14ac:dyDescent="0.3">
      <c r="A9889" s="5" t="s">
        <v>308</v>
      </c>
      <c r="B9889" s="5" t="s">
        <v>309</v>
      </c>
      <c r="C9889" s="6">
        <v>1967</v>
      </c>
      <c r="D9889" s="7">
        <v>2337532</v>
      </c>
    </row>
    <row r="9890" spans="1:4" x14ac:dyDescent="0.3">
      <c r="A9890" s="2" t="s">
        <v>308</v>
      </c>
      <c r="B9890" s="2" t="s">
        <v>309</v>
      </c>
      <c r="C9890" s="3">
        <v>1968</v>
      </c>
      <c r="D9890" s="4">
        <v>2390803</v>
      </c>
    </row>
    <row r="9891" spans="1:4" x14ac:dyDescent="0.3">
      <c r="A9891" s="5" t="s">
        <v>308</v>
      </c>
      <c r="B9891" s="5" t="s">
        <v>309</v>
      </c>
      <c r="C9891" s="6">
        <v>1969</v>
      </c>
      <c r="D9891" s="7">
        <v>2446927</v>
      </c>
    </row>
    <row r="9892" spans="1:4" x14ac:dyDescent="0.3">
      <c r="A9892" s="2" t="s">
        <v>308</v>
      </c>
      <c r="B9892" s="2" t="s">
        <v>309</v>
      </c>
      <c r="C9892" s="3">
        <v>1970</v>
      </c>
      <c r="D9892" s="4">
        <v>2505628</v>
      </c>
    </row>
    <row r="9893" spans="1:4" x14ac:dyDescent="0.3">
      <c r="A9893" s="5" t="s">
        <v>308</v>
      </c>
      <c r="B9893" s="5" t="s">
        <v>309</v>
      </c>
      <c r="C9893" s="6">
        <v>1971</v>
      </c>
      <c r="D9893" s="7">
        <v>2566421</v>
      </c>
    </row>
    <row r="9894" spans="1:4" x14ac:dyDescent="0.3">
      <c r="A9894" s="2" t="s">
        <v>308</v>
      </c>
      <c r="B9894" s="2" t="s">
        <v>309</v>
      </c>
      <c r="C9894" s="3">
        <v>1972</v>
      </c>
      <c r="D9894" s="4">
        <v>2628432</v>
      </c>
    </row>
    <row r="9895" spans="1:4" x14ac:dyDescent="0.3">
      <c r="A9895" s="5" t="s">
        <v>308</v>
      </c>
      <c r="B9895" s="5" t="s">
        <v>309</v>
      </c>
      <c r="C9895" s="6">
        <v>1973</v>
      </c>
      <c r="D9895" s="7">
        <v>2690629</v>
      </c>
    </row>
    <row r="9896" spans="1:4" x14ac:dyDescent="0.3">
      <c r="A9896" s="2" t="s">
        <v>308</v>
      </c>
      <c r="B9896" s="2" t="s">
        <v>309</v>
      </c>
      <c r="C9896" s="3">
        <v>1974</v>
      </c>
      <c r="D9896" s="4">
        <v>2752671</v>
      </c>
    </row>
    <row r="9897" spans="1:4" x14ac:dyDescent="0.3">
      <c r="A9897" s="5" t="s">
        <v>308</v>
      </c>
      <c r="B9897" s="5" t="s">
        <v>309</v>
      </c>
      <c r="C9897" s="6">
        <v>1975</v>
      </c>
      <c r="D9897" s="7">
        <v>2814820</v>
      </c>
    </row>
    <row r="9898" spans="1:4" x14ac:dyDescent="0.3">
      <c r="A9898" s="2" t="s">
        <v>308</v>
      </c>
      <c r="B9898" s="2" t="s">
        <v>309</v>
      </c>
      <c r="C9898" s="3">
        <v>1976</v>
      </c>
      <c r="D9898" s="4">
        <v>2877327</v>
      </c>
    </row>
    <row r="9899" spans="1:4" x14ac:dyDescent="0.3">
      <c r="A9899" s="5" t="s">
        <v>308</v>
      </c>
      <c r="B9899" s="5" t="s">
        <v>309</v>
      </c>
      <c r="C9899" s="6">
        <v>1977</v>
      </c>
      <c r="D9899" s="7">
        <v>2940327</v>
      </c>
    </row>
    <row r="9900" spans="1:4" x14ac:dyDescent="0.3">
      <c r="A9900" s="2" t="s">
        <v>308</v>
      </c>
      <c r="B9900" s="2" t="s">
        <v>309</v>
      </c>
      <c r="C9900" s="3">
        <v>1978</v>
      </c>
      <c r="D9900" s="4">
        <v>3003714</v>
      </c>
    </row>
    <row r="9901" spans="1:4" x14ac:dyDescent="0.3">
      <c r="A9901" s="5" t="s">
        <v>308</v>
      </c>
      <c r="B9901" s="5" t="s">
        <v>309</v>
      </c>
      <c r="C9901" s="6">
        <v>1979</v>
      </c>
      <c r="D9901" s="7">
        <v>3067341</v>
      </c>
    </row>
    <row r="9902" spans="1:4" x14ac:dyDescent="0.3">
      <c r="A9902" s="2" t="s">
        <v>308</v>
      </c>
      <c r="B9902" s="2" t="s">
        <v>309</v>
      </c>
      <c r="C9902" s="3">
        <v>1980</v>
      </c>
      <c r="D9902" s="4">
        <v>3131512</v>
      </c>
    </row>
    <row r="9903" spans="1:4" x14ac:dyDescent="0.3">
      <c r="A9903" s="5" t="s">
        <v>308</v>
      </c>
      <c r="B9903" s="5" t="s">
        <v>309</v>
      </c>
      <c r="C9903" s="6">
        <v>1981</v>
      </c>
      <c r="D9903" s="7">
        <v>3197019</v>
      </c>
    </row>
    <row r="9904" spans="1:4" x14ac:dyDescent="0.3">
      <c r="A9904" s="2" t="s">
        <v>308</v>
      </c>
      <c r="B9904" s="2" t="s">
        <v>309</v>
      </c>
      <c r="C9904" s="3">
        <v>1982</v>
      </c>
      <c r="D9904" s="4">
        <v>3264291</v>
      </c>
    </row>
    <row r="9905" spans="1:4" x14ac:dyDescent="0.3">
      <c r="A9905" s="5" t="s">
        <v>308</v>
      </c>
      <c r="B9905" s="5" t="s">
        <v>309</v>
      </c>
      <c r="C9905" s="6">
        <v>1983</v>
      </c>
      <c r="D9905" s="7">
        <v>3333633</v>
      </c>
    </row>
    <row r="9906" spans="1:4" x14ac:dyDescent="0.3">
      <c r="A9906" s="2" t="s">
        <v>308</v>
      </c>
      <c r="B9906" s="2" t="s">
        <v>309</v>
      </c>
      <c r="C9906" s="3">
        <v>1984</v>
      </c>
      <c r="D9906" s="4">
        <v>3405198</v>
      </c>
    </row>
    <row r="9907" spans="1:4" x14ac:dyDescent="0.3">
      <c r="A9907" s="5" t="s">
        <v>308</v>
      </c>
      <c r="B9907" s="5" t="s">
        <v>309</v>
      </c>
      <c r="C9907" s="6">
        <v>1985</v>
      </c>
      <c r="D9907" s="7">
        <v>3478936</v>
      </c>
    </row>
    <row r="9908" spans="1:4" x14ac:dyDescent="0.3">
      <c r="A9908" s="2" t="s">
        <v>308</v>
      </c>
      <c r="B9908" s="2" t="s">
        <v>309</v>
      </c>
      <c r="C9908" s="3">
        <v>1986</v>
      </c>
      <c r="D9908" s="4">
        <v>3554793</v>
      </c>
    </row>
    <row r="9909" spans="1:4" x14ac:dyDescent="0.3">
      <c r="A9909" s="5" t="s">
        <v>308</v>
      </c>
      <c r="B9909" s="5" t="s">
        <v>309</v>
      </c>
      <c r="C9909" s="6">
        <v>1987</v>
      </c>
      <c r="D9909" s="7">
        <v>3632543</v>
      </c>
    </row>
    <row r="9910" spans="1:4" x14ac:dyDescent="0.3">
      <c r="A9910" s="2" t="s">
        <v>308</v>
      </c>
      <c r="B9910" s="2" t="s">
        <v>309</v>
      </c>
      <c r="C9910" s="3">
        <v>1988</v>
      </c>
      <c r="D9910" s="4">
        <v>3711880</v>
      </c>
    </row>
    <row r="9911" spans="1:4" x14ac:dyDescent="0.3">
      <c r="A9911" s="5" t="s">
        <v>308</v>
      </c>
      <c r="B9911" s="5" t="s">
        <v>309</v>
      </c>
      <c r="C9911" s="6">
        <v>1989</v>
      </c>
      <c r="D9911" s="7">
        <v>3796078</v>
      </c>
    </row>
    <row r="9912" spans="1:4" x14ac:dyDescent="0.3">
      <c r="A9912" s="2" t="s">
        <v>308</v>
      </c>
      <c r="B9912" s="2" t="s">
        <v>309</v>
      </c>
      <c r="C9912" s="3">
        <v>1990</v>
      </c>
      <c r="D9912" s="4">
        <v>3896481</v>
      </c>
    </row>
    <row r="9913" spans="1:4" x14ac:dyDescent="0.3">
      <c r="A9913" s="5" t="s">
        <v>308</v>
      </c>
      <c r="B9913" s="5" t="s">
        <v>309</v>
      </c>
      <c r="C9913" s="6">
        <v>1991</v>
      </c>
      <c r="D9913" s="7">
        <v>4021837</v>
      </c>
    </row>
    <row r="9914" spans="1:4" x14ac:dyDescent="0.3">
      <c r="A9914" s="2" t="s">
        <v>308</v>
      </c>
      <c r="B9914" s="2" t="s">
        <v>309</v>
      </c>
      <c r="C9914" s="3">
        <v>1992</v>
      </c>
      <c r="D9914" s="4">
        <v>4166699</v>
      </c>
    </row>
    <row r="9915" spans="1:4" x14ac:dyDescent="0.3">
      <c r="A9915" s="5" t="s">
        <v>308</v>
      </c>
      <c r="B9915" s="5" t="s">
        <v>309</v>
      </c>
      <c r="C9915" s="6">
        <v>1993</v>
      </c>
      <c r="D9915" s="7">
        <v>4320872</v>
      </c>
    </row>
    <row r="9916" spans="1:4" x14ac:dyDescent="0.3">
      <c r="A9916" s="2" t="s">
        <v>308</v>
      </c>
      <c r="B9916" s="2" t="s">
        <v>309</v>
      </c>
      <c r="C9916" s="3">
        <v>1994</v>
      </c>
      <c r="D9916" s="4">
        <v>4480208</v>
      </c>
    </row>
    <row r="9917" spans="1:4" x14ac:dyDescent="0.3">
      <c r="A9917" s="5" t="s">
        <v>308</v>
      </c>
      <c r="B9917" s="5" t="s">
        <v>309</v>
      </c>
      <c r="C9917" s="6">
        <v>1995</v>
      </c>
      <c r="D9917" s="7">
        <v>4644278</v>
      </c>
    </row>
    <row r="9918" spans="1:4" x14ac:dyDescent="0.3">
      <c r="A9918" s="2" t="s">
        <v>308</v>
      </c>
      <c r="B9918" s="2" t="s">
        <v>309</v>
      </c>
      <c r="C9918" s="3">
        <v>1996</v>
      </c>
      <c r="D9918" s="4">
        <v>4813361</v>
      </c>
    </row>
    <row r="9919" spans="1:4" x14ac:dyDescent="0.3">
      <c r="A9919" s="5" t="s">
        <v>308</v>
      </c>
      <c r="B9919" s="5" t="s">
        <v>309</v>
      </c>
      <c r="C9919" s="6">
        <v>1997</v>
      </c>
      <c r="D9919" s="7">
        <v>4987883</v>
      </c>
    </row>
    <row r="9920" spans="1:4" x14ac:dyDescent="0.3">
      <c r="A9920" s="2" t="s">
        <v>308</v>
      </c>
      <c r="B9920" s="2" t="s">
        <v>309</v>
      </c>
      <c r="C9920" s="3">
        <v>1998</v>
      </c>
      <c r="D9920" s="4">
        <v>5166390</v>
      </c>
    </row>
    <row r="9921" spans="1:4" x14ac:dyDescent="0.3">
      <c r="A9921" s="5" t="s">
        <v>308</v>
      </c>
      <c r="B9921" s="5" t="s">
        <v>309</v>
      </c>
      <c r="C9921" s="6">
        <v>1999</v>
      </c>
      <c r="D9921" s="7">
        <v>5349333</v>
      </c>
    </row>
    <row r="9922" spans="1:4" x14ac:dyDescent="0.3">
      <c r="A9922" s="2" t="s">
        <v>308</v>
      </c>
      <c r="B9922" s="2" t="s">
        <v>309</v>
      </c>
      <c r="C9922" s="3">
        <v>2000</v>
      </c>
      <c r="D9922" s="4">
        <v>5537064</v>
      </c>
    </row>
    <row r="9923" spans="1:4" x14ac:dyDescent="0.3">
      <c r="A9923" s="5" t="s">
        <v>308</v>
      </c>
      <c r="B9923" s="5" t="s">
        <v>309</v>
      </c>
      <c r="C9923" s="6">
        <v>2001</v>
      </c>
      <c r="D9923" s="7">
        <v>5728435</v>
      </c>
    </row>
    <row r="9924" spans="1:4" x14ac:dyDescent="0.3">
      <c r="A9924" s="2" t="s">
        <v>308</v>
      </c>
      <c r="B9924" s="2" t="s">
        <v>309</v>
      </c>
      <c r="C9924" s="3">
        <v>2002</v>
      </c>
      <c r="D9924" s="4">
        <v>5924003</v>
      </c>
    </row>
    <row r="9925" spans="1:4" x14ac:dyDescent="0.3">
      <c r="A9925" s="5" t="s">
        <v>308</v>
      </c>
      <c r="B9925" s="5" t="s">
        <v>309</v>
      </c>
      <c r="C9925" s="6">
        <v>2003</v>
      </c>
      <c r="D9925" s="7">
        <v>6123997</v>
      </c>
    </row>
    <row r="9926" spans="1:4" x14ac:dyDescent="0.3">
      <c r="A9926" s="2" t="s">
        <v>308</v>
      </c>
      <c r="B9926" s="2" t="s">
        <v>309</v>
      </c>
      <c r="C9926" s="3">
        <v>2004</v>
      </c>
      <c r="D9926" s="4">
        <v>6328041</v>
      </c>
    </row>
    <row r="9927" spans="1:4" x14ac:dyDescent="0.3">
      <c r="A9927" s="5" t="s">
        <v>308</v>
      </c>
      <c r="B9927" s="5" t="s">
        <v>309</v>
      </c>
      <c r="C9927" s="6">
        <v>2005</v>
      </c>
      <c r="D9927" s="7">
        <v>6535905</v>
      </c>
    </row>
    <row r="9928" spans="1:4" x14ac:dyDescent="0.3">
      <c r="A9928" s="2" t="s">
        <v>308</v>
      </c>
      <c r="B9928" s="2" t="s">
        <v>309</v>
      </c>
      <c r="C9928" s="3">
        <v>2006</v>
      </c>
      <c r="D9928" s="4">
        <v>6747720</v>
      </c>
    </row>
    <row r="9929" spans="1:4" x14ac:dyDescent="0.3">
      <c r="A9929" s="5" t="s">
        <v>308</v>
      </c>
      <c r="B9929" s="5" t="s">
        <v>309</v>
      </c>
      <c r="C9929" s="6">
        <v>2007</v>
      </c>
      <c r="D9929" s="7">
        <v>6963345</v>
      </c>
    </row>
    <row r="9930" spans="1:4" x14ac:dyDescent="0.3">
      <c r="A9930" s="2" t="s">
        <v>308</v>
      </c>
      <c r="B9930" s="2" t="s">
        <v>309</v>
      </c>
      <c r="C9930" s="3">
        <v>2008</v>
      </c>
      <c r="D9930" s="4">
        <v>7183002</v>
      </c>
    </row>
    <row r="9931" spans="1:4" x14ac:dyDescent="0.3">
      <c r="A9931" s="5" t="s">
        <v>308</v>
      </c>
      <c r="B9931" s="5" t="s">
        <v>309</v>
      </c>
      <c r="C9931" s="6">
        <v>2009</v>
      </c>
      <c r="D9931" s="7">
        <v>7406438</v>
      </c>
    </row>
    <row r="9932" spans="1:4" x14ac:dyDescent="0.3">
      <c r="A9932" s="2" t="s">
        <v>308</v>
      </c>
      <c r="B9932" s="2" t="s">
        <v>309</v>
      </c>
      <c r="C9932" s="3">
        <v>2010</v>
      </c>
      <c r="D9932" s="4">
        <v>7633523</v>
      </c>
    </row>
    <row r="9933" spans="1:4" x14ac:dyDescent="0.3">
      <c r="A9933" s="5" t="s">
        <v>308</v>
      </c>
      <c r="B9933" s="5" t="s">
        <v>309</v>
      </c>
      <c r="C9933" s="6">
        <v>2011</v>
      </c>
      <c r="D9933" s="7">
        <v>7859346</v>
      </c>
    </row>
    <row r="9934" spans="1:4" x14ac:dyDescent="0.3">
      <c r="A9934" s="2" t="s">
        <v>308</v>
      </c>
      <c r="B9934" s="2" t="s">
        <v>309</v>
      </c>
      <c r="C9934" s="3">
        <v>2012</v>
      </c>
      <c r="D9934" s="4">
        <v>8081390</v>
      </c>
    </row>
    <row r="9935" spans="1:4" x14ac:dyDescent="0.3">
      <c r="A9935" s="5" t="s">
        <v>308</v>
      </c>
      <c r="B9935" s="5" t="s">
        <v>309</v>
      </c>
      <c r="C9935" s="6">
        <v>2013</v>
      </c>
      <c r="D9935" s="7">
        <v>8302698</v>
      </c>
    </row>
    <row r="9936" spans="1:4" x14ac:dyDescent="0.3">
      <c r="A9936" s="2" t="s">
        <v>308</v>
      </c>
      <c r="B9936" s="2" t="s">
        <v>309</v>
      </c>
      <c r="C9936" s="3">
        <v>2014</v>
      </c>
      <c r="D9936" s="4">
        <v>8523441</v>
      </c>
    </row>
    <row r="9937" spans="1:4" x14ac:dyDescent="0.3">
      <c r="A9937" s="5" t="s">
        <v>308</v>
      </c>
      <c r="B9937" s="5" t="s">
        <v>309</v>
      </c>
      <c r="C9937" s="6">
        <v>2015</v>
      </c>
      <c r="D9937" s="7">
        <v>8743246</v>
      </c>
    </row>
    <row r="9938" spans="1:4" x14ac:dyDescent="0.3">
      <c r="A9938" s="2" t="s">
        <v>308</v>
      </c>
      <c r="B9938" s="2" t="s">
        <v>309</v>
      </c>
      <c r="C9938" s="3">
        <v>2016</v>
      </c>
      <c r="D9938" s="4">
        <v>8961718</v>
      </c>
    </row>
    <row r="9939" spans="1:4" x14ac:dyDescent="0.3">
      <c r="A9939" s="5" t="s">
        <v>308</v>
      </c>
      <c r="B9939" s="5" t="s">
        <v>309</v>
      </c>
      <c r="C9939" s="6">
        <v>2017</v>
      </c>
      <c r="D9939" s="7">
        <v>9178714</v>
      </c>
    </row>
    <row r="9940" spans="1:4" x14ac:dyDescent="0.3">
      <c r="A9940" s="2" t="s">
        <v>308</v>
      </c>
      <c r="B9940" s="2" t="s">
        <v>309</v>
      </c>
      <c r="C9940" s="3">
        <v>2018</v>
      </c>
      <c r="D9940" s="4">
        <v>9394513</v>
      </c>
    </row>
    <row r="9941" spans="1:4" x14ac:dyDescent="0.3">
      <c r="A9941" s="5" t="s">
        <v>308</v>
      </c>
      <c r="B9941" s="5" t="s">
        <v>309</v>
      </c>
      <c r="C9941" s="6">
        <v>2019</v>
      </c>
      <c r="D9941" s="7">
        <v>9609010</v>
      </c>
    </row>
    <row r="9942" spans="1:4" x14ac:dyDescent="0.3">
      <c r="A9942" s="2" t="s">
        <v>308</v>
      </c>
      <c r="B9942" s="2" t="s">
        <v>309</v>
      </c>
      <c r="C9942" s="3">
        <v>2020</v>
      </c>
      <c r="D9942" s="4">
        <v>9815746</v>
      </c>
    </row>
    <row r="9943" spans="1:4" x14ac:dyDescent="0.3">
      <c r="A9943" s="5" t="s">
        <v>308</v>
      </c>
      <c r="B9943" s="5" t="s">
        <v>309</v>
      </c>
      <c r="C9943" s="6">
        <v>2021</v>
      </c>
      <c r="D9943" s="7">
        <v>10012896</v>
      </c>
    </row>
    <row r="9944" spans="1:4" x14ac:dyDescent="0.3">
      <c r="A9944" s="2" t="s">
        <v>308</v>
      </c>
      <c r="B9944" s="2" t="s">
        <v>309</v>
      </c>
      <c r="C9944" s="3">
        <v>2022</v>
      </c>
      <c r="D9944" s="4">
        <v>10203169</v>
      </c>
    </row>
    <row r="9945" spans="1:4" x14ac:dyDescent="0.3">
      <c r="A9945" s="5" t="s">
        <v>308</v>
      </c>
      <c r="B9945" s="5" t="s">
        <v>309</v>
      </c>
      <c r="C9945" s="6">
        <v>2023</v>
      </c>
      <c r="D9945" s="7">
        <v>10389635</v>
      </c>
    </row>
    <row r="9946" spans="1:4" x14ac:dyDescent="0.3">
      <c r="A9946" s="2" t="s">
        <v>308</v>
      </c>
      <c r="B9946" s="2" t="s">
        <v>309</v>
      </c>
      <c r="C9946" s="3">
        <v>2024</v>
      </c>
      <c r="D9946" s="4">
        <v>10576502</v>
      </c>
    </row>
    <row r="9947" spans="1:4" x14ac:dyDescent="0.3">
      <c r="A9947" s="5" t="s">
        <v>310</v>
      </c>
      <c r="B9947" s="5" t="s">
        <v>311</v>
      </c>
      <c r="C9947" s="6">
        <v>1960</v>
      </c>
      <c r="D9947" s="7">
        <v>1883514</v>
      </c>
    </row>
    <row r="9948" spans="1:4" x14ac:dyDescent="0.3">
      <c r="A9948" s="2" t="s">
        <v>310</v>
      </c>
      <c r="B9948" s="2" t="s">
        <v>311</v>
      </c>
      <c r="C9948" s="3">
        <v>1961</v>
      </c>
      <c r="D9948" s="4">
        <v>1927394</v>
      </c>
    </row>
    <row r="9949" spans="1:4" x14ac:dyDescent="0.3">
      <c r="A9949" s="5" t="s">
        <v>310</v>
      </c>
      <c r="B9949" s="5" t="s">
        <v>311</v>
      </c>
      <c r="C9949" s="6">
        <v>1962</v>
      </c>
      <c r="D9949" s="7">
        <v>1973130</v>
      </c>
    </row>
    <row r="9950" spans="1:4" x14ac:dyDescent="0.3">
      <c r="A9950" s="2" t="s">
        <v>310</v>
      </c>
      <c r="B9950" s="2" t="s">
        <v>311</v>
      </c>
      <c r="C9950" s="3">
        <v>1963</v>
      </c>
      <c r="D9950" s="4">
        <v>2021909</v>
      </c>
    </row>
    <row r="9951" spans="1:4" x14ac:dyDescent="0.3">
      <c r="A9951" s="5" t="s">
        <v>310</v>
      </c>
      <c r="B9951" s="5" t="s">
        <v>311</v>
      </c>
      <c r="C9951" s="6">
        <v>1964</v>
      </c>
      <c r="D9951" s="7">
        <v>2073119</v>
      </c>
    </row>
    <row r="9952" spans="1:4" x14ac:dyDescent="0.3">
      <c r="A9952" s="2" t="s">
        <v>310</v>
      </c>
      <c r="B9952" s="2" t="s">
        <v>311</v>
      </c>
      <c r="C9952" s="3">
        <v>1965</v>
      </c>
      <c r="D9952" s="4">
        <v>2125177</v>
      </c>
    </row>
    <row r="9953" spans="1:4" x14ac:dyDescent="0.3">
      <c r="A9953" s="5" t="s">
        <v>310</v>
      </c>
      <c r="B9953" s="5" t="s">
        <v>311</v>
      </c>
      <c r="C9953" s="6">
        <v>1966</v>
      </c>
      <c r="D9953" s="7">
        <v>2177584</v>
      </c>
    </row>
    <row r="9954" spans="1:4" x14ac:dyDescent="0.3">
      <c r="A9954" s="2" t="s">
        <v>310</v>
      </c>
      <c r="B9954" s="2" t="s">
        <v>311</v>
      </c>
      <c r="C9954" s="3">
        <v>1967</v>
      </c>
      <c r="D9954" s="4">
        <v>2229994</v>
      </c>
    </row>
    <row r="9955" spans="1:4" x14ac:dyDescent="0.3">
      <c r="A9955" s="5" t="s">
        <v>310</v>
      </c>
      <c r="B9955" s="5" t="s">
        <v>311</v>
      </c>
      <c r="C9955" s="6">
        <v>1968</v>
      </c>
      <c r="D9955" s="7">
        <v>2282391</v>
      </c>
    </row>
    <row r="9956" spans="1:4" x14ac:dyDescent="0.3">
      <c r="A9956" s="2" t="s">
        <v>310</v>
      </c>
      <c r="B9956" s="2" t="s">
        <v>311</v>
      </c>
      <c r="C9956" s="3">
        <v>1969</v>
      </c>
      <c r="D9956" s="4">
        <v>2334992</v>
      </c>
    </row>
    <row r="9957" spans="1:4" x14ac:dyDescent="0.3">
      <c r="A9957" s="5" t="s">
        <v>310</v>
      </c>
      <c r="B9957" s="5" t="s">
        <v>311</v>
      </c>
      <c r="C9957" s="6">
        <v>1970</v>
      </c>
      <c r="D9957" s="7">
        <v>2388028</v>
      </c>
    </row>
    <row r="9958" spans="1:4" x14ac:dyDescent="0.3">
      <c r="A9958" s="2" t="s">
        <v>310</v>
      </c>
      <c r="B9958" s="2" t="s">
        <v>311</v>
      </c>
      <c r="C9958" s="3">
        <v>1971</v>
      </c>
      <c r="D9958" s="4">
        <v>2442537</v>
      </c>
    </row>
    <row r="9959" spans="1:4" x14ac:dyDescent="0.3">
      <c r="A9959" s="5" t="s">
        <v>310</v>
      </c>
      <c r="B9959" s="5" t="s">
        <v>311</v>
      </c>
      <c r="C9959" s="6">
        <v>1972</v>
      </c>
      <c r="D9959" s="7">
        <v>2499881</v>
      </c>
    </row>
    <row r="9960" spans="1:4" x14ac:dyDescent="0.3">
      <c r="A9960" s="2" t="s">
        <v>310</v>
      </c>
      <c r="B9960" s="2" t="s">
        <v>311</v>
      </c>
      <c r="C9960" s="3">
        <v>1973</v>
      </c>
      <c r="D9960" s="4">
        <v>2561102</v>
      </c>
    </row>
    <row r="9961" spans="1:4" x14ac:dyDescent="0.3">
      <c r="A9961" s="5" t="s">
        <v>310</v>
      </c>
      <c r="B9961" s="5" t="s">
        <v>311</v>
      </c>
      <c r="C9961" s="6">
        <v>1974</v>
      </c>
      <c r="D9961" s="7">
        <v>2625621</v>
      </c>
    </row>
    <row r="9962" spans="1:4" x14ac:dyDescent="0.3">
      <c r="A9962" s="2" t="s">
        <v>310</v>
      </c>
      <c r="B9962" s="2" t="s">
        <v>311</v>
      </c>
      <c r="C9962" s="3">
        <v>1975</v>
      </c>
      <c r="D9962" s="4">
        <v>2691648</v>
      </c>
    </row>
    <row r="9963" spans="1:4" x14ac:dyDescent="0.3">
      <c r="A9963" s="5" t="s">
        <v>310</v>
      </c>
      <c r="B9963" s="5" t="s">
        <v>311</v>
      </c>
      <c r="C9963" s="6">
        <v>1976</v>
      </c>
      <c r="D9963" s="7">
        <v>2758836</v>
      </c>
    </row>
    <row r="9964" spans="1:4" x14ac:dyDescent="0.3">
      <c r="A9964" s="2" t="s">
        <v>310</v>
      </c>
      <c r="B9964" s="2" t="s">
        <v>311</v>
      </c>
      <c r="C9964" s="3">
        <v>1977</v>
      </c>
      <c r="D9964" s="4">
        <v>2827874</v>
      </c>
    </row>
    <row r="9965" spans="1:4" x14ac:dyDescent="0.3">
      <c r="A9965" s="5" t="s">
        <v>310</v>
      </c>
      <c r="B9965" s="5" t="s">
        <v>311</v>
      </c>
      <c r="C9965" s="6">
        <v>1978</v>
      </c>
      <c r="D9965" s="7">
        <v>2899269</v>
      </c>
    </row>
    <row r="9966" spans="1:4" x14ac:dyDescent="0.3">
      <c r="A9966" s="2" t="s">
        <v>310</v>
      </c>
      <c r="B9966" s="2" t="s">
        <v>311</v>
      </c>
      <c r="C9966" s="3">
        <v>1979</v>
      </c>
      <c r="D9966" s="4">
        <v>2973968</v>
      </c>
    </row>
    <row r="9967" spans="1:4" x14ac:dyDescent="0.3">
      <c r="A9967" s="5" t="s">
        <v>310</v>
      </c>
      <c r="B9967" s="5" t="s">
        <v>311</v>
      </c>
      <c r="C9967" s="6">
        <v>1980</v>
      </c>
      <c r="D9967" s="7">
        <v>3053235</v>
      </c>
    </row>
    <row r="9968" spans="1:4" x14ac:dyDescent="0.3">
      <c r="A9968" s="2" t="s">
        <v>310</v>
      </c>
      <c r="B9968" s="2" t="s">
        <v>311</v>
      </c>
      <c r="C9968" s="3">
        <v>1981</v>
      </c>
      <c r="D9968" s="4">
        <v>3137604</v>
      </c>
    </row>
    <row r="9969" spans="1:4" x14ac:dyDescent="0.3">
      <c r="A9969" s="5" t="s">
        <v>310</v>
      </c>
      <c r="B9969" s="5" t="s">
        <v>311</v>
      </c>
      <c r="C9969" s="6">
        <v>1982</v>
      </c>
      <c r="D9969" s="7">
        <v>3226189</v>
      </c>
    </row>
    <row r="9970" spans="1:4" x14ac:dyDescent="0.3">
      <c r="A9970" s="2" t="s">
        <v>310</v>
      </c>
      <c r="B9970" s="2" t="s">
        <v>311</v>
      </c>
      <c r="C9970" s="3">
        <v>1983</v>
      </c>
      <c r="D9970" s="4">
        <v>3318068</v>
      </c>
    </row>
    <row r="9971" spans="1:4" x14ac:dyDescent="0.3">
      <c r="A9971" s="5" t="s">
        <v>310</v>
      </c>
      <c r="B9971" s="5" t="s">
        <v>311</v>
      </c>
      <c r="C9971" s="6">
        <v>1984</v>
      </c>
      <c r="D9971" s="7">
        <v>3412936</v>
      </c>
    </row>
    <row r="9972" spans="1:4" x14ac:dyDescent="0.3">
      <c r="A9972" s="2" t="s">
        <v>310</v>
      </c>
      <c r="B9972" s="2" t="s">
        <v>311</v>
      </c>
      <c r="C9972" s="3">
        <v>1985</v>
      </c>
      <c r="D9972" s="4">
        <v>3510671</v>
      </c>
    </row>
    <row r="9973" spans="1:4" x14ac:dyDescent="0.3">
      <c r="A9973" s="5" t="s">
        <v>310</v>
      </c>
      <c r="B9973" s="5" t="s">
        <v>311</v>
      </c>
      <c r="C9973" s="6">
        <v>1986</v>
      </c>
      <c r="D9973" s="7">
        <v>3611474</v>
      </c>
    </row>
    <row r="9974" spans="1:4" x14ac:dyDescent="0.3">
      <c r="A9974" s="2" t="s">
        <v>310</v>
      </c>
      <c r="B9974" s="2" t="s">
        <v>311</v>
      </c>
      <c r="C9974" s="3">
        <v>1987</v>
      </c>
      <c r="D9974" s="4">
        <v>3714889</v>
      </c>
    </row>
    <row r="9975" spans="1:4" x14ac:dyDescent="0.3">
      <c r="A9975" s="5" t="s">
        <v>310</v>
      </c>
      <c r="B9975" s="5" t="s">
        <v>311</v>
      </c>
      <c r="C9975" s="6">
        <v>1988</v>
      </c>
      <c r="D9975" s="7">
        <v>3820546</v>
      </c>
    </row>
    <row r="9976" spans="1:4" x14ac:dyDescent="0.3">
      <c r="A9976" s="2" t="s">
        <v>310</v>
      </c>
      <c r="B9976" s="2" t="s">
        <v>311</v>
      </c>
      <c r="C9976" s="3">
        <v>1989</v>
      </c>
      <c r="D9976" s="4">
        <v>3927802</v>
      </c>
    </row>
    <row r="9977" spans="1:4" x14ac:dyDescent="0.3">
      <c r="A9977" s="5" t="s">
        <v>310</v>
      </c>
      <c r="B9977" s="5" t="s">
        <v>311</v>
      </c>
      <c r="C9977" s="6">
        <v>1990</v>
      </c>
      <c r="D9977" s="7">
        <v>4035747</v>
      </c>
    </row>
    <row r="9978" spans="1:4" x14ac:dyDescent="0.3">
      <c r="A9978" s="2" t="s">
        <v>310</v>
      </c>
      <c r="B9978" s="2" t="s">
        <v>311</v>
      </c>
      <c r="C9978" s="3">
        <v>1991</v>
      </c>
      <c r="D9978" s="4">
        <v>4144364</v>
      </c>
    </row>
    <row r="9979" spans="1:4" x14ac:dyDescent="0.3">
      <c r="A9979" s="5" t="s">
        <v>310</v>
      </c>
      <c r="B9979" s="5" t="s">
        <v>311</v>
      </c>
      <c r="C9979" s="6">
        <v>1992</v>
      </c>
      <c r="D9979" s="7">
        <v>4253600</v>
      </c>
    </row>
    <row r="9980" spans="1:4" x14ac:dyDescent="0.3">
      <c r="A9980" s="2" t="s">
        <v>310</v>
      </c>
      <c r="B9980" s="2" t="s">
        <v>311</v>
      </c>
      <c r="C9980" s="3">
        <v>1993</v>
      </c>
      <c r="D9980" s="4">
        <v>4362696</v>
      </c>
    </row>
    <row r="9981" spans="1:4" x14ac:dyDescent="0.3">
      <c r="A9981" s="5" t="s">
        <v>310</v>
      </c>
      <c r="B9981" s="5" t="s">
        <v>311</v>
      </c>
      <c r="C9981" s="6">
        <v>1994</v>
      </c>
      <c r="D9981" s="7">
        <v>4471417</v>
      </c>
    </row>
    <row r="9982" spans="1:4" x14ac:dyDescent="0.3">
      <c r="A9982" s="2" t="s">
        <v>310</v>
      </c>
      <c r="B9982" s="2" t="s">
        <v>311</v>
      </c>
      <c r="C9982" s="3">
        <v>1995</v>
      </c>
      <c r="D9982" s="4">
        <v>4579806</v>
      </c>
    </row>
    <row r="9983" spans="1:4" x14ac:dyDescent="0.3">
      <c r="A9983" s="5" t="s">
        <v>310</v>
      </c>
      <c r="B9983" s="5" t="s">
        <v>311</v>
      </c>
      <c r="C9983" s="6">
        <v>1996</v>
      </c>
      <c r="D9983" s="7">
        <v>4687543</v>
      </c>
    </row>
    <row r="9984" spans="1:4" x14ac:dyDescent="0.3">
      <c r="A9984" s="2" t="s">
        <v>310</v>
      </c>
      <c r="B9984" s="2" t="s">
        <v>311</v>
      </c>
      <c r="C9984" s="3">
        <v>1997</v>
      </c>
      <c r="D9984" s="4">
        <v>4794412</v>
      </c>
    </row>
    <row r="9985" spans="1:4" x14ac:dyDescent="0.3">
      <c r="A9985" s="5" t="s">
        <v>310</v>
      </c>
      <c r="B9985" s="5" t="s">
        <v>311</v>
      </c>
      <c r="C9985" s="6">
        <v>1998</v>
      </c>
      <c r="D9985" s="7">
        <v>4900025</v>
      </c>
    </row>
    <row r="9986" spans="1:4" x14ac:dyDescent="0.3">
      <c r="A9986" s="2" t="s">
        <v>310</v>
      </c>
      <c r="B9986" s="2" t="s">
        <v>311</v>
      </c>
      <c r="C9986" s="3">
        <v>1999</v>
      </c>
      <c r="D9986" s="4">
        <v>5003135</v>
      </c>
    </row>
    <row r="9987" spans="1:4" x14ac:dyDescent="0.3">
      <c r="A9987" s="5" t="s">
        <v>310</v>
      </c>
      <c r="B9987" s="5" t="s">
        <v>311</v>
      </c>
      <c r="C9987" s="6">
        <v>2000</v>
      </c>
      <c r="D9987" s="7">
        <v>5100868</v>
      </c>
    </row>
    <row r="9988" spans="1:4" x14ac:dyDescent="0.3">
      <c r="A9988" s="2" t="s">
        <v>310</v>
      </c>
      <c r="B9988" s="2" t="s">
        <v>311</v>
      </c>
      <c r="C9988" s="3">
        <v>2001</v>
      </c>
      <c r="D9988" s="4">
        <v>5187689</v>
      </c>
    </row>
    <row r="9989" spans="1:4" x14ac:dyDescent="0.3">
      <c r="A9989" s="5" t="s">
        <v>310</v>
      </c>
      <c r="B9989" s="5" t="s">
        <v>311</v>
      </c>
      <c r="C9989" s="6">
        <v>2002</v>
      </c>
      <c r="D9989" s="7">
        <v>5261328</v>
      </c>
    </row>
    <row r="9990" spans="1:4" x14ac:dyDescent="0.3">
      <c r="A9990" s="2" t="s">
        <v>310</v>
      </c>
      <c r="B9990" s="2" t="s">
        <v>311</v>
      </c>
      <c r="C9990" s="3">
        <v>2003</v>
      </c>
      <c r="D9990" s="4">
        <v>5326436</v>
      </c>
    </row>
    <row r="9991" spans="1:4" x14ac:dyDescent="0.3">
      <c r="A9991" s="5" t="s">
        <v>310</v>
      </c>
      <c r="B9991" s="5" t="s">
        <v>311</v>
      </c>
      <c r="C9991" s="6">
        <v>2004</v>
      </c>
      <c r="D9991" s="7">
        <v>5388175</v>
      </c>
    </row>
    <row r="9992" spans="1:4" x14ac:dyDescent="0.3">
      <c r="A9992" s="2" t="s">
        <v>310</v>
      </c>
      <c r="B9992" s="2" t="s">
        <v>311</v>
      </c>
      <c r="C9992" s="3">
        <v>2005</v>
      </c>
      <c r="D9992" s="4">
        <v>5448097</v>
      </c>
    </row>
    <row r="9993" spans="1:4" x14ac:dyDescent="0.3">
      <c r="A9993" s="5" t="s">
        <v>310</v>
      </c>
      <c r="B9993" s="5" t="s">
        <v>311</v>
      </c>
      <c r="C9993" s="6">
        <v>2006</v>
      </c>
      <c r="D9993" s="7">
        <v>5505148</v>
      </c>
    </row>
    <row r="9994" spans="1:4" x14ac:dyDescent="0.3">
      <c r="A9994" s="2" t="s">
        <v>310</v>
      </c>
      <c r="B9994" s="2" t="s">
        <v>311</v>
      </c>
      <c r="C9994" s="3">
        <v>2007</v>
      </c>
      <c r="D9994" s="4">
        <v>5559386</v>
      </c>
    </row>
    <row r="9995" spans="1:4" x14ac:dyDescent="0.3">
      <c r="A9995" s="5" t="s">
        <v>310</v>
      </c>
      <c r="B9995" s="5" t="s">
        <v>311</v>
      </c>
      <c r="C9995" s="6">
        <v>2008</v>
      </c>
      <c r="D9995" s="7">
        <v>5613574</v>
      </c>
    </row>
    <row r="9996" spans="1:4" x14ac:dyDescent="0.3">
      <c r="A9996" s="2" t="s">
        <v>310</v>
      </c>
      <c r="B9996" s="2" t="s">
        <v>311</v>
      </c>
      <c r="C9996" s="3">
        <v>2009</v>
      </c>
      <c r="D9996" s="4">
        <v>5671236</v>
      </c>
    </row>
    <row r="9997" spans="1:4" x14ac:dyDescent="0.3">
      <c r="A9997" s="5" t="s">
        <v>310</v>
      </c>
      <c r="B9997" s="5" t="s">
        <v>311</v>
      </c>
      <c r="C9997" s="6">
        <v>2010</v>
      </c>
      <c r="D9997" s="7">
        <v>5737971</v>
      </c>
    </row>
    <row r="9998" spans="1:4" x14ac:dyDescent="0.3">
      <c r="A9998" s="2" t="s">
        <v>310</v>
      </c>
      <c r="B9998" s="2" t="s">
        <v>311</v>
      </c>
      <c r="C9998" s="3">
        <v>2011</v>
      </c>
      <c r="D9998" s="4">
        <v>5814626</v>
      </c>
    </row>
    <row r="9999" spans="1:4" x14ac:dyDescent="0.3">
      <c r="A9999" s="5" t="s">
        <v>310</v>
      </c>
      <c r="B9999" s="5" t="s">
        <v>311</v>
      </c>
      <c r="C9999" s="6">
        <v>2012</v>
      </c>
      <c r="D9999" s="7">
        <v>5897008</v>
      </c>
    </row>
    <row r="10000" spans="1:4" x14ac:dyDescent="0.3">
      <c r="A10000" s="2" t="s">
        <v>310</v>
      </c>
      <c r="B10000" s="2" t="s">
        <v>311</v>
      </c>
      <c r="C10000" s="3">
        <v>2013</v>
      </c>
      <c r="D10000" s="4">
        <v>5982445</v>
      </c>
    </row>
    <row r="10001" spans="1:4" x14ac:dyDescent="0.3">
      <c r="A10001" s="5" t="s">
        <v>310</v>
      </c>
      <c r="B10001" s="5" t="s">
        <v>311</v>
      </c>
      <c r="C10001" s="6">
        <v>2014</v>
      </c>
      <c r="D10001" s="7">
        <v>6069811</v>
      </c>
    </row>
    <row r="10002" spans="1:4" x14ac:dyDescent="0.3">
      <c r="A10002" s="2" t="s">
        <v>310</v>
      </c>
      <c r="B10002" s="2" t="s">
        <v>311</v>
      </c>
      <c r="C10002" s="3">
        <v>2015</v>
      </c>
      <c r="D10002" s="4">
        <v>6159103</v>
      </c>
    </row>
    <row r="10003" spans="1:4" x14ac:dyDescent="0.3">
      <c r="A10003" s="5" t="s">
        <v>310</v>
      </c>
      <c r="B10003" s="5" t="s">
        <v>311</v>
      </c>
      <c r="C10003" s="6">
        <v>2016</v>
      </c>
      <c r="D10003" s="7">
        <v>6249126</v>
      </c>
    </row>
    <row r="10004" spans="1:4" x14ac:dyDescent="0.3">
      <c r="A10004" s="2" t="s">
        <v>310</v>
      </c>
      <c r="B10004" s="2" t="s">
        <v>311</v>
      </c>
      <c r="C10004" s="3">
        <v>2017</v>
      </c>
      <c r="D10004" s="4">
        <v>6338660</v>
      </c>
    </row>
    <row r="10005" spans="1:4" x14ac:dyDescent="0.3">
      <c r="A10005" s="5" t="s">
        <v>310</v>
      </c>
      <c r="B10005" s="5" t="s">
        <v>311</v>
      </c>
      <c r="C10005" s="6">
        <v>2018</v>
      </c>
      <c r="D10005" s="7">
        <v>6427382</v>
      </c>
    </row>
    <row r="10006" spans="1:4" x14ac:dyDescent="0.3">
      <c r="A10006" s="2" t="s">
        <v>310</v>
      </c>
      <c r="B10006" s="2" t="s">
        <v>311</v>
      </c>
      <c r="C10006" s="3">
        <v>2019</v>
      </c>
      <c r="D10006" s="4">
        <v>6515058</v>
      </c>
    </row>
    <row r="10007" spans="1:4" x14ac:dyDescent="0.3">
      <c r="A10007" s="5" t="s">
        <v>310</v>
      </c>
      <c r="B10007" s="5" t="s">
        <v>311</v>
      </c>
      <c r="C10007" s="6">
        <v>2020</v>
      </c>
      <c r="D10007" s="7">
        <v>6603739</v>
      </c>
    </row>
    <row r="10008" spans="1:4" x14ac:dyDescent="0.3">
      <c r="A10008" s="2" t="s">
        <v>310</v>
      </c>
      <c r="B10008" s="2" t="s">
        <v>311</v>
      </c>
      <c r="C10008" s="3">
        <v>2021</v>
      </c>
      <c r="D10008" s="4">
        <v>6684182</v>
      </c>
    </row>
    <row r="10009" spans="1:4" x14ac:dyDescent="0.3">
      <c r="A10009" s="5" t="s">
        <v>310</v>
      </c>
      <c r="B10009" s="5" t="s">
        <v>311</v>
      </c>
      <c r="C10009" s="6">
        <v>2022</v>
      </c>
      <c r="D10009" s="7">
        <v>6760464</v>
      </c>
    </row>
    <row r="10010" spans="1:4" x14ac:dyDescent="0.3">
      <c r="A10010" s="2" t="s">
        <v>310</v>
      </c>
      <c r="B10010" s="2" t="s">
        <v>311</v>
      </c>
      <c r="C10010" s="3">
        <v>2023</v>
      </c>
      <c r="D10010" s="4">
        <v>6844146</v>
      </c>
    </row>
    <row r="10011" spans="1:4" x14ac:dyDescent="0.3">
      <c r="A10011" s="5" t="s">
        <v>310</v>
      </c>
      <c r="B10011" s="5" t="s">
        <v>311</v>
      </c>
      <c r="C10011" s="6">
        <v>2024</v>
      </c>
      <c r="D10011" s="7">
        <v>6929153</v>
      </c>
    </row>
    <row r="10012" spans="1:4" x14ac:dyDescent="0.3">
      <c r="A10012" s="2" t="s">
        <v>312</v>
      </c>
      <c r="B10012" s="2" t="s">
        <v>313</v>
      </c>
      <c r="C10012" s="3">
        <v>1960</v>
      </c>
      <c r="D10012" s="4">
        <v>10174127</v>
      </c>
    </row>
    <row r="10013" spans="1:4" x14ac:dyDescent="0.3">
      <c r="A10013" s="5" t="s">
        <v>312</v>
      </c>
      <c r="B10013" s="5" t="s">
        <v>313</v>
      </c>
      <c r="C10013" s="6">
        <v>1961</v>
      </c>
      <c r="D10013" s="7">
        <v>10475123</v>
      </c>
    </row>
    <row r="10014" spans="1:4" x14ac:dyDescent="0.3">
      <c r="A10014" s="2" t="s">
        <v>312</v>
      </c>
      <c r="B10014" s="2" t="s">
        <v>313</v>
      </c>
      <c r="C10014" s="3">
        <v>1962</v>
      </c>
      <c r="D10014" s="4">
        <v>10784612</v>
      </c>
    </row>
    <row r="10015" spans="1:4" x14ac:dyDescent="0.3">
      <c r="A10015" s="5" t="s">
        <v>312</v>
      </c>
      <c r="B10015" s="5" t="s">
        <v>313</v>
      </c>
      <c r="C10015" s="6">
        <v>1963</v>
      </c>
      <c r="D10015" s="7">
        <v>11102099</v>
      </c>
    </row>
    <row r="10016" spans="1:4" x14ac:dyDescent="0.3">
      <c r="A10016" s="2" t="s">
        <v>312</v>
      </c>
      <c r="B10016" s="2" t="s">
        <v>313</v>
      </c>
      <c r="C10016" s="3">
        <v>1964</v>
      </c>
      <c r="D10016" s="4">
        <v>11427978</v>
      </c>
    </row>
    <row r="10017" spans="1:4" x14ac:dyDescent="0.3">
      <c r="A10017" s="5" t="s">
        <v>312</v>
      </c>
      <c r="B10017" s="5" t="s">
        <v>313</v>
      </c>
      <c r="C10017" s="6">
        <v>1965</v>
      </c>
      <c r="D10017" s="7">
        <v>11761085</v>
      </c>
    </row>
    <row r="10018" spans="1:4" x14ac:dyDescent="0.3">
      <c r="A10018" s="2" t="s">
        <v>312</v>
      </c>
      <c r="B10018" s="2" t="s">
        <v>313</v>
      </c>
      <c r="C10018" s="3">
        <v>1966</v>
      </c>
      <c r="D10018" s="4">
        <v>12101297</v>
      </c>
    </row>
    <row r="10019" spans="1:4" x14ac:dyDescent="0.3">
      <c r="A10019" s="5" t="s">
        <v>312</v>
      </c>
      <c r="B10019" s="5" t="s">
        <v>313</v>
      </c>
      <c r="C10019" s="6">
        <v>1967</v>
      </c>
      <c r="D10019" s="7">
        <v>12448814</v>
      </c>
    </row>
    <row r="10020" spans="1:4" x14ac:dyDescent="0.3">
      <c r="A10020" s="2" t="s">
        <v>312</v>
      </c>
      <c r="B10020" s="2" t="s">
        <v>313</v>
      </c>
      <c r="C10020" s="3">
        <v>1968</v>
      </c>
      <c r="D10020" s="4">
        <v>12803993</v>
      </c>
    </row>
    <row r="10021" spans="1:4" x14ac:dyDescent="0.3">
      <c r="A10021" s="5" t="s">
        <v>312</v>
      </c>
      <c r="B10021" s="5" t="s">
        <v>313</v>
      </c>
      <c r="C10021" s="6">
        <v>1969</v>
      </c>
      <c r="D10021" s="7">
        <v>13166767</v>
      </c>
    </row>
    <row r="10022" spans="1:4" x14ac:dyDescent="0.3">
      <c r="A10022" s="2" t="s">
        <v>312</v>
      </c>
      <c r="B10022" s="2" t="s">
        <v>313</v>
      </c>
      <c r="C10022" s="3">
        <v>1970</v>
      </c>
      <c r="D10022" s="4">
        <v>13501237</v>
      </c>
    </row>
    <row r="10023" spans="1:4" x14ac:dyDescent="0.3">
      <c r="A10023" s="5" t="s">
        <v>312</v>
      </c>
      <c r="B10023" s="5" t="s">
        <v>313</v>
      </c>
      <c r="C10023" s="6">
        <v>1971</v>
      </c>
      <c r="D10023" s="7">
        <v>13838067</v>
      </c>
    </row>
    <row r="10024" spans="1:4" x14ac:dyDescent="0.3">
      <c r="A10024" s="2" t="s">
        <v>312</v>
      </c>
      <c r="B10024" s="2" t="s">
        <v>313</v>
      </c>
      <c r="C10024" s="3">
        <v>1972</v>
      </c>
      <c r="D10024" s="4">
        <v>14210147</v>
      </c>
    </row>
    <row r="10025" spans="1:4" x14ac:dyDescent="0.3">
      <c r="A10025" s="5" t="s">
        <v>312</v>
      </c>
      <c r="B10025" s="5" t="s">
        <v>313</v>
      </c>
      <c r="C10025" s="6">
        <v>1973</v>
      </c>
      <c r="D10025" s="7">
        <v>14582867</v>
      </c>
    </row>
    <row r="10026" spans="1:4" x14ac:dyDescent="0.3">
      <c r="A10026" s="2" t="s">
        <v>312</v>
      </c>
      <c r="B10026" s="2" t="s">
        <v>313</v>
      </c>
      <c r="C10026" s="3">
        <v>1974</v>
      </c>
      <c r="D10026" s="4">
        <v>14956552</v>
      </c>
    </row>
    <row r="10027" spans="1:4" x14ac:dyDescent="0.3">
      <c r="A10027" s="5" t="s">
        <v>312</v>
      </c>
      <c r="B10027" s="5" t="s">
        <v>313</v>
      </c>
      <c r="C10027" s="6">
        <v>1975</v>
      </c>
      <c r="D10027" s="7">
        <v>15333957</v>
      </c>
    </row>
    <row r="10028" spans="1:4" x14ac:dyDescent="0.3">
      <c r="A10028" s="2" t="s">
        <v>312</v>
      </c>
      <c r="B10028" s="2" t="s">
        <v>313</v>
      </c>
      <c r="C10028" s="3">
        <v>1976</v>
      </c>
      <c r="D10028" s="4">
        <v>15716809</v>
      </c>
    </row>
    <row r="10029" spans="1:4" x14ac:dyDescent="0.3">
      <c r="A10029" s="5" t="s">
        <v>312</v>
      </c>
      <c r="B10029" s="5" t="s">
        <v>313</v>
      </c>
      <c r="C10029" s="6">
        <v>1977</v>
      </c>
      <c r="D10029" s="7">
        <v>16109806</v>
      </c>
    </row>
    <row r="10030" spans="1:4" x14ac:dyDescent="0.3">
      <c r="A10030" s="2" t="s">
        <v>312</v>
      </c>
      <c r="B10030" s="2" t="s">
        <v>313</v>
      </c>
      <c r="C10030" s="3">
        <v>1978</v>
      </c>
      <c r="D10030" s="4">
        <v>16516059</v>
      </c>
    </row>
    <row r="10031" spans="1:4" x14ac:dyDescent="0.3">
      <c r="A10031" s="5" t="s">
        <v>312</v>
      </c>
      <c r="B10031" s="5" t="s">
        <v>313</v>
      </c>
      <c r="C10031" s="6">
        <v>1979</v>
      </c>
      <c r="D10031" s="7">
        <v>16933139</v>
      </c>
    </row>
    <row r="10032" spans="1:4" x14ac:dyDescent="0.3">
      <c r="A10032" s="2" t="s">
        <v>312</v>
      </c>
      <c r="B10032" s="2" t="s">
        <v>313</v>
      </c>
      <c r="C10032" s="3">
        <v>1980</v>
      </c>
      <c r="D10032" s="4">
        <v>17360949</v>
      </c>
    </row>
    <row r="10033" spans="1:4" x14ac:dyDescent="0.3">
      <c r="A10033" s="5" t="s">
        <v>312</v>
      </c>
      <c r="B10033" s="5" t="s">
        <v>313</v>
      </c>
      <c r="C10033" s="6">
        <v>1981</v>
      </c>
      <c r="D10033" s="7">
        <v>17798805</v>
      </c>
    </row>
    <row r="10034" spans="1:4" x14ac:dyDescent="0.3">
      <c r="A10034" s="2" t="s">
        <v>312</v>
      </c>
      <c r="B10034" s="2" t="s">
        <v>313</v>
      </c>
      <c r="C10034" s="3">
        <v>1982</v>
      </c>
      <c r="D10034" s="4">
        <v>18246503</v>
      </c>
    </row>
    <row r="10035" spans="1:4" x14ac:dyDescent="0.3">
      <c r="A10035" s="5" t="s">
        <v>312</v>
      </c>
      <c r="B10035" s="5" t="s">
        <v>313</v>
      </c>
      <c r="C10035" s="6">
        <v>1983</v>
      </c>
      <c r="D10035" s="7">
        <v>18705957</v>
      </c>
    </row>
    <row r="10036" spans="1:4" x14ac:dyDescent="0.3">
      <c r="A10036" s="2" t="s">
        <v>312</v>
      </c>
      <c r="B10036" s="2" t="s">
        <v>313</v>
      </c>
      <c r="C10036" s="3">
        <v>1984</v>
      </c>
      <c r="D10036" s="4">
        <v>19174716</v>
      </c>
    </row>
    <row r="10037" spans="1:4" x14ac:dyDescent="0.3">
      <c r="A10037" s="5" t="s">
        <v>312</v>
      </c>
      <c r="B10037" s="5" t="s">
        <v>313</v>
      </c>
      <c r="C10037" s="6">
        <v>1985</v>
      </c>
      <c r="D10037" s="7">
        <v>19648204</v>
      </c>
    </row>
    <row r="10038" spans="1:4" x14ac:dyDescent="0.3">
      <c r="A10038" s="2" t="s">
        <v>312</v>
      </c>
      <c r="B10038" s="2" t="s">
        <v>313</v>
      </c>
      <c r="C10038" s="3">
        <v>1986</v>
      </c>
      <c r="D10038" s="4">
        <v>20117122</v>
      </c>
    </row>
    <row r="10039" spans="1:4" x14ac:dyDescent="0.3">
      <c r="A10039" s="5" t="s">
        <v>312</v>
      </c>
      <c r="B10039" s="5" t="s">
        <v>313</v>
      </c>
      <c r="C10039" s="6">
        <v>1987</v>
      </c>
      <c r="D10039" s="7">
        <v>20582320</v>
      </c>
    </row>
    <row r="10040" spans="1:4" x14ac:dyDescent="0.3">
      <c r="A10040" s="2" t="s">
        <v>312</v>
      </c>
      <c r="B10040" s="2" t="s">
        <v>313</v>
      </c>
      <c r="C10040" s="3">
        <v>1988</v>
      </c>
      <c r="D10040" s="4">
        <v>21054702</v>
      </c>
    </row>
    <row r="10041" spans="1:4" x14ac:dyDescent="0.3">
      <c r="A10041" s="5" t="s">
        <v>312</v>
      </c>
      <c r="B10041" s="5" t="s">
        <v>313</v>
      </c>
      <c r="C10041" s="6">
        <v>1989</v>
      </c>
      <c r="D10041" s="7">
        <v>21532589</v>
      </c>
    </row>
    <row r="10042" spans="1:4" x14ac:dyDescent="0.3">
      <c r="A10042" s="2" t="s">
        <v>312</v>
      </c>
      <c r="B10042" s="2" t="s">
        <v>313</v>
      </c>
      <c r="C10042" s="3">
        <v>1990</v>
      </c>
      <c r="D10042" s="4">
        <v>22014771</v>
      </c>
    </row>
    <row r="10043" spans="1:4" x14ac:dyDescent="0.3">
      <c r="A10043" s="5" t="s">
        <v>312</v>
      </c>
      <c r="B10043" s="5" t="s">
        <v>313</v>
      </c>
      <c r="C10043" s="6">
        <v>1991</v>
      </c>
      <c r="D10043" s="7">
        <v>22483775</v>
      </c>
    </row>
    <row r="10044" spans="1:4" x14ac:dyDescent="0.3">
      <c r="A10044" s="2" t="s">
        <v>312</v>
      </c>
      <c r="B10044" s="2" t="s">
        <v>313</v>
      </c>
      <c r="C10044" s="3">
        <v>1992</v>
      </c>
      <c r="D10044" s="4">
        <v>22946340</v>
      </c>
    </row>
    <row r="10045" spans="1:4" x14ac:dyDescent="0.3">
      <c r="A10045" s="5" t="s">
        <v>312</v>
      </c>
      <c r="B10045" s="5" t="s">
        <v>313</v>
      </c>
      <c r="C10045" s="6">
        <v>1993</v>
      </c>
      <c r="D10045" s="7">
        <v>23413783</v>
      </c>
    </row>
    <row r="10046" spans="1:4" x14ac:dyDescent="0.3">
      <c r="A10046" s="2" t="s">
        <v>312</v>
      </c>
      <c r="B10046" s="2" t="s">
        <v>313</v>
      </c>
      <c r="C10046" s="3">
        <v>1994</v>
      </c>
      <c r="D10046" s="4">
        <v>23881493</v>
      </c>
    </row>
    <row r="10047" spans="1:4" x14ac:dyDescent="0.3">
      <c r="A10047" s="5" t="s">
        <v>312</v>
      </c>
      <c r="B10047" s="5" t="s">
        <v>313</v>
      </c>
      <c r="C10047" s="6">
        <v>1995</v>
      </c>
      <c r="D10047" s="7">
        <v>24348919</v>
      </c>
    </row>
    <row r="10048" spans="1:4" x14ac:dyDescent="0.3">
      <c r="A10048" s="2" t="s">
        <v>312</v>
      </c>
      <c r="B10048" s="2" t="s">
        <v>313</v>
      </c>
      <c r="C10048" s="3">
        <v>1996</v>
      </c>
      <c r="D10048" s="4">
        <v>24811171</v>
      </c>
    </row>
    <row r="10049" spans="1:4" x14ac:dyDescent="0.3">
      <c r="A10049" s="5" t="s">
        <v>312</v>
      </c>
      <c r="B10049" s="5" t="s">
        <v>313</v>
      </c>
      <c r="C10049" s="6">
        <v>1997</v>
      </c>
      <c r="D10049" s="7">
        <v>25274147</v>
      </c>
    </row>
    <row r="10050" spans="1:4" x14ac:dyDescent="0.3">
      <c r="A10050" s="2" t="s">
        <v>312</v>
      </c>
      <c r="B10050" s="2" t="s">
        <v>313</v>
      </c>
      <c r="C10050" s="3">
        <v>1998</v>
      </c>
      <c r="D10050" s="4">
        <v>25738095</v>
      </c>
    </row>
    <row r="10051" spans="1:4" x14ac:dyDescent="0.3">
      <c r="A10051" s="5" t="s">
        <v>312</v>
      </c>
      <c r="B10051" s="5" t="s">
        <v>313</v>
      </c>
      <c r="C10051" s="6">
        <v>1999</v>
      </c>
      <c r="D10051" s="7">
        <v>26186504</v>
      </c>
    </row>
    <row r="10052" spans="1:4" x14ac:dyDescent="0.3">
      <c r="A10052" s="2" t="s">
        <v>312</v>
      </c>
      <c r="B10052" s="2" t="s">
        <v>313</v>
      </c>
      <c r="C10052" s="3">
        <v>2000</v>
      </c>
      <c r="D10052" s="4">
        <v>26598331</v>
      </c>
    </row>
    <row r="10053" spans="1:4" x14ac:dyDescent="0.3">
      <c r="A10053" s="5" t="s">
        <v>312</v>
      </c>
      <c r="B10053" s="5" t="s">
        <v>313</v>
      </c>
      <c r="C10053" s="6">
        <v>2001</v>
      </c>
      <c r="D10053" s="7">
        <v>26964601</v>
      </c>
    </row>
    <row r="10054" spans="1:4" x14ac:dyDescent="0.3">
      <c r="A10054" s="2" t="s">
        <v>312</v>
      </c>
      <c r="B10054" s="2" t="s">
        <v>313</v>
      </c>
      <c r="C10054" s="3">
        <v>2002</v>
      </c>
      <c r="D10054" s="4">
        <v>27288217</v>
      </c>
    </row>
    <row r="10055" spans="1:4" x14ac:dyDescent="0.3">
      <c r="A10055" s="5" t="s">
        <v>312</v>
      </c>
      <c r="B10055" s="5" t="s">
        <v>313</v>
      </c>
      <c r="C10055" s="6">
        <v>2003</v>
      </c>
      <c r="D10055" s="7">
        <v>27580490</v>
      </c>
    </row>
    <row r="10056" spans="1:4" x14ac:dyDescent="0.3">
      <c r="A10056" s="2" t="s">
        <v>312</v>
      </c>
      <c r="B10056" s="2" t="s">
        <v>313</v>
      </c>
      <c r="C10056" s="3">
        <v>2004</v>
      </c>
      <c r="D10056" s="4">
        <v>27852190</v>
      </c>
    </row>
    <row r="10057" spans="1:4" x14ac:dyDescent="0.3">
      <c r="A10057" s="5" t="s">
        <v>312</v>
      </c>
      <c r="B10057" s="5" t="s">
        <v>313</v>
      </c>
      <c r="C10057" s="6">
        <v>2005</v>
      </c>
      <c r="D10057" s="7">
        <v>28101180</v>
      </c>
    </row>
    <row r="10058" spans="1:4" x14ac:dyDescent="0.3">
      <c r="A10058" s="2" t="s">
        <v>312</v>
      </c>
      <c r="B10058" s="2" t="s">
        <v>313</v>
      </c>
      <c r="C10058" s="3">
        <v>2006</v>
      </c>
      <c r="D10058" s="4">
        <v>28324491</v>
      </c>
    </row>
    <row r="10059" spans="1:4" x14ac:dyDescent="0.3">
      <c r="A10059" s="5" t="s">
        <v>312</v>
      </c>
      <c r="B10059" s="5" t="s">
        <v>313</v>
      </c>
      <c r="C10059" s="6">
        <v>2007</v>
      </c>
      <c r="D10059" s="7">
        <v>28530699</v>
      </c>
    </row>
    <row r="10060" spans="1:4" x14ac:dyDescent="0.3">
      <c r="A10060" s="2" t="s">
        <v>312</v>
      </c>
      <c r="B10060" s="2" t="s">
        <v>313</v>
      </c>
      <c r="C10060" s="3">
        <v>2008</v>
      </c>
      <c r="D10060" s="4">
        <v>28719041</v>
      </c>
    </row>
    <row r="10061" spans="1:4" x14ac:dyDescent="0.3">
      <c r="A10061" s="5" t="s">
        <v>312</v>
      </c>
      <c r="B10061" s="5" t="s">
        <v>313</v>
      </c>
      <c r="C10061" s="6">
        <v>2009</v>
      </c>
      <c r="D10061" s="7">
        <v>28896811</v>
      </c>
    </row>
    <row r="10062" spans="1:4" x14ac:dyDescent="0.3">
      <c r="A10062" s="2" t="s">
        <v>312</v>
      </c>
      <c r="B10062" s="2" t="s">
        <v>313</v>
      </c>
      <c r="C10062" s="3">
        <v>2010</v>
      </c>
      <c r="D10062" s="4">
        <v>29086019</v>
      </c>
    </row>
    <row r="10063" spans="1:4" x14ac:dyDescent="0.3">
      <c r="A10063" s="5" t="s">
        <v>312</v>
      </c>
      <c r="B10063" s="5" t="s">
        <v>313</v>
      </c>
      <c r="C10063" s="6">
        <v>2011</v>
      </c>
      <c r="D10063" s="7">
        <v>29304086</v>
      </c>
    </row>
    <row r="10064" spans="1:4" x14ac:dyDescent="0.3">
      <c r="A10064" s="2" t="s">
        <v>312</v>
      </c>
      <c r="B10064" s="2" t="s">
        <v>313</v>
      </c>
      <c r="C10064" s="3">
        <v>2012</v>
      </c>
      <c r="D10064" s="4">
        <v>29550366</v>
      </c>
    </row>
    <row r="10065" spans="1:4" x14ac:dyDescent="0.3">
      <c r="A10065" s="5" t="s">
        <v>312</v>
      </c>
      <c r="B10065" s="5" t="s">
        <v>313</v>
      </c>
      <c r="C10065" s="6">
        <v>2013</v>
      </c>
      <c r="D10065" s="7">
        <v>29817919</v>
      </c>
    </row>
    <row r="10066" spans="1:4" x14ac:dyDescent="0.3">
      <c r="A10066" s="2" t="s">
        <v>312</v>
      </c>
      <c r="B10066" s="2" t="s">
        <v>313</v>
      </c>
      <c r="C10066" s="3">
        <v>2014</v>
      </c>
      <c r="D10066" s="4">
        <v>30115826</v>
      </c>
    </row>
    <row r="10067" spans="1:4" x14ac:dyDescent="0.3">
      <c r="A10067" s="5" t="s">
        <v>312</v>
      </c>
      <c r="B10067" s="5" t="s">
        <v>313</v>
      </c>
      <c r="C10067" s="6">
        <v>2015</v>
      </c>
      <c r="D10067" s="7">
        <v>30457600</v>
      </c>
    </row>
    <row r="10068" spans="1:4" x14ac:dyDescent="0.3">
      <c r="A10068" s="2" t="s">
        <v>312</v>
      </c>
      <c r="B10068" s="2" t="s">
        <v>313</v>
      </c>
      <c r="C10068" s="3">
        <v>2016</v>
      </c>
      <c r="D10068" s="4">
        <v>30866494</v>
      </c>
    </row>
    <row r="10069" spans="1:4" x14ac:dyDescent="0.3">
      <c r="A10069" s="5" t="s">
        <v>312</v>
      </c>
      <c r="B10069" s="5" t="s">
        <v>313</v>
      </c>
      <c r="C10069" s="6">
        <v>2017</v>
      </c>
      <c r="D10069" s="7">
        <v>31324637</v>
      </c>
    </row>
    <row r="10070" spans="1:4" x14ac:dyDescent="0.3">
      <c r="A10070" s="2" t="s">
        <v>312</v>
      </c>
      <c r="B10070" s="2" t="s">
        <v>313</v>
      </c>
      <c r="C10070" s="3">
        <v>2018</v>
      </c>
      <c r="D10070" s="4">
        <v>31897584</v>
      </c>
    </row>
    <row r="10071" spans="1:4" x14ac:dyDescent="0.3">
      <c r="A10071" s="5" t="s">
        <v>312</v>
      </c>
      <c r="B10071" s="5" t="s">
        <v>313</v>
      </c>
      <c r="C10071" s="6">
        <v>2019</v>
      </c>
      <c r="D10071" s="7">
        <v>32449303</v>
      </c>
    </row>
    <row r="10072" spans="1:4" x14ac:dyDescent="0.3">
      <c r="A10072" s="2" t="s">
        <v>312</v>
      </c>
      <c r="B10072" s="2" t="s">
        <v>313</v>
      </c>
      <c r="C10072" s="3">
        <v>2020</v>
      </c>
      <c r="D10072" s="4">
        <v>32838579</v>
      </c>
    </row>
    <row r="10073" spans="1:4" x14ac:dyDescent="0.3">
      <c r="A10073" s="5" t="s">
        <v>312</v>
      </c>
      <c r="B10073" s="5" t="s">
        <v>313</v>
      </c>
      <c r="C10073" s="6">
        <v>2021</v>
      </c>
      <c r="D10073" s="7">
        <v>33155882</v>
      </c>
    </row>
    <row r="10074" spans="1:4" x14ac:dyDescent="0.3">
      <c r="A10074" s="2" t="s">
        <v>312</v>
      </c>
      <c r="B10074" s="2" t="s">
        <v>313</v>
      </c>
      <c r="C10074" s="3">
        <v>2022</v>
      </c>
      <c r="D10074" s="4">
        <v>33475438</v>
      </c>
    </row>
    <row r="10075" spans="1:4" x14ac:dyDescent="0.3">
      <c r="A10075" s="5" t="s">
        <v>312</v>
      </c>
      <c r="B10075" s="5" t="s">
        <v>313</v>
      </c>
      <c r="C10075" s="6">
        <v>2023</v>
      </c>
      <c r="D10075" s="7">
        <v>33845617</v>
      </c>
    </row>
    <row r="10076" spans="1:4" x14ac:dyDescent="0.3">
      <c r="A10076" s="2" t="s">
        <v>312</v>
      </c>
      <c r="B10076" s="2" t="s">
        <v>313</v>
      </c>
      <c r="C10076" s="3">
        <v>2024</v>
      </c>
      <c r="D10076" s="4">
        <v>34217848</v>
      </c>
    </row>
    <row r="10077" spans="1:4" x14ac:dyDescent="0.3">
      <c r="A10077" s="5" t="s">
        <v>314</v>
      </c>
      <c r="B10077" s="5" t="s">
        <v>315</v>
      </c>
      <c r="C10077" s="6">
        <v>1960</v>
      </c>
      <c r="D10077" s="7">
        <v>27891897</v>
      </c>
    </row>
    <row r="10078" spans="1:4" x14ac:dyDescent="0.3">
      <c r="A10078" s="2" t="s">
        <v>314</v>
      </c>
      <c r="B10078" s="2" t="s">
        <v>315</v>
      </c>
      <c r="C10078" s="3">
        <v>1961</v>
      </c>
      <c r="D10078" s="4">
        <v>28792621</v>
      </c>
    </row>
    <row r="10079" spans="1:4" x14ac:dyDescent="0.3">
      <c r="A10079" s="5" t="s">
        <v>314</v>
      </c>
      <c r="B10079" s="5" t="s">
        <v>315</v>
      </c>
      <c r="C10079" s="6">
        <v>1962</v>
      </c>
      <c r="D10079" s="7">
        <v>29723536</v>
      </c>
    </row>
    <row r="10080" spans="1:4" x14ac:dyDescent="0.3">
      <c r="A10080" s="2" t="s">
        <v>314</v>
      </c>
      <c r="B10080" s="2" t="s">
        <v>315</v>
      </c>
      <c r="C10080" s="3">
        <v>1963</v>
      </c>
      <c r="D10080" s="4">
        <v>30674731</v>
      </c>
    </row>
    <row r="10081" spans="1:4" x14ac:dyDescent="0.3">
      <c r="A10081" s="5" t="s">
        <v>314</v>
      </c>
      <c r="B10081" s="5" t="s">
        <v>315</v>
      </c>
      <c r="C10081" s="6">
        <v>1964</v>
      </c>
      <c r="D10081" s="7">
        <v>31643032</v>
      </c>
    </row>
    <row r="10082" spans="1:4" x14ac:dyDescent="0.3">
      <c r="A10082" s="2" t="s">
        <v>314</v>
      </c>
      <c r="B10082" s="2" t="s">
        <v>315</v>
      </c>
      <c r="C10082" s="3">
        <v>1965</v>
      </c>
      <c r="D10082" s="4">
        <v>32625316</v>
      </c>
    </row>
    <row r="10083" spans="1:4" x14ac:dyDescent="0.3">
      <c r="A10083" s="5" t="s">
        <v>314</v>
      </c>
      <c r="B10083" s="5" t="s">
        <v>315</v>
      </c>
      <c r="C10083" s="6">
        <v>1966</v>
      </c>
      <c r="D10083" s="7">
        <v>33617170</v>
      </c>
    </row>
    <row r="10084" spans="1:4" x14ac:dyDescent="0.3">
      <c r="A10084" s="2" t="s">
        <v>314</v>
      </c>
      <c r="B10084" s="2" t="s">
        <v>315</v>
      </c>
      <c r="C10084" s="3">
        <v>1967</v>
      </c>
      <c r="D10084" s="4">
        <v>34621320</v>
      </c>
    </row>
    <row r="10085" spans="1:4" x14ac:dyDescent="0.3">
      <c r="A10085" s="5" t="s">
        <v>314</v>
      </c>
      <c r="B10085" s="5" t="s">
        <v>315</v>
      </c>
      <c r="C10085" s="6">
        <v>1968</v>
      </c>
      <c r="D10085" s="7">
        <v>35638342</v>
      </c>
    </row>
    <row r="10086" spans="1:4" x14ac:dyDescent="0.3">
      <c r="A10086" s="2" t="s">
        <v>314</v>
      </c>
      <c r="B10086" s="2" t="s">
        <v>315</v>
      </c>
      <c r="C10086" s="3">
        <v>1969</v>
      </c>
      <c r="D10086" s="4">
        <v>36660799</v>
      </c>
    </row>
    <row r="10087" spans="1:4" x14ac:dyDescent="0.3">
      <c r="A10087" s="5" t="s">
        <v>314</v>
      </c>
      <c r="B10087" s="5" t="s">
        <v>315</v>
      </c>
      <c r="C10087" s="6">
        <v>1970</v>
      </c>
      <c r="D10087" s="7">
        <v>37622204</v>
      </c>
    </row>
    <row r="10088" spans="1:4" x14ac:dyDescent="0.3">
      <c r="A10088" s="2" t="s">
        <v>314</v>
      </c>
      <c r="B10088" s="2" t="s">
        <v>315</v>
      </c>
      <c r="C10088" s="3">
        <v>1971</v>
      </c>
      <c r="D10088" s="4">
        <v>38518659</v>
      </c>
    </row>
    <row r="10089" spans="1:4" x14ac:dyDescent="0.3">
      <c r="A10089" s="5" t="s">
        <v>314</v>
      </c>
      <c r="B10089" s="5" t="s">
        <v>315</v>
      </c>
      <c r="C10089" s="6">
        <v>1972</v>
      </c>
      <c r="D10089" s="7">
        <v>39408560</v>
      </c>
    </row>
    <row r="10090" spans="1:4" x14ac:dyDescent="0.3">
      <c r="A10090" s="2" t="s">
        <v>314</v>
      </c>
      <c r="B10090" s="2" t="s">
        <v>315</v>
      </c>
      <c r="C10090" s="3">
        <v>1973</v>
      </c>
      <c r="D10090" s="4">
        <v>40294130</v>
      </c>
    </row>
    <row r="10091" spans="1:4" x14ac:dyDescent="0.3">
      <c r="A10091" s="5" t="s">
        <v>314</v>
      </c>
      <c r="B10091" s="5" t="s">
        <v>315</v>
      </c>
      <c r="C10091" s="6">
        <v>1974</v>
      </c>
      <c r="D10091" s="7">
        <v>41174341</v>
      </c>
    </row>
    <row r="10092" spans="1:4" x14ac:dyDescent="0.3">
      <c r="A10092" s="2" t="s">
        <v>314</v>
      </c>
      <c r="B10092" s="2" t="s">
        <v>315</v>
      </c>
      <c r="C10092" s="3">
        <v>1975</v>
      </c>
      <c r="D10092" s="4">
        <v>42120826</v>
      </c>
    </row>
    <row r="10093" spans="1:4" x14ac:dyDescent="0.3">
      <c r="A10093" s="5" t="s">
        <v>314</v>
      </c>
      <c r="B10093" s="5" t="s">
        <v>315</v>
      </c>
      <c r="C10093" s="6">
        <v>1976</v>
      </c>
      <c r="D10093" s="7">
        <v>43201488</v>
      </c>
    </row>
    <row r="10094" spans="1:4" x14ac:dyDescent="0.3">
      <c r="A10094" s="2" t="s">
        <v>314</v>
      </c>
      <c r="B10094" s="2" t="s">
        <v>315</v>
      </c>
      <c r="C10094" s="3">
        <v>1977</v>
      </c>
      <c r="D10094" s="4">
        <v>44367962</v>
      </c>
    </row>
    <row r="10095" spans="1:4" x14ac:dyDescent="0.3">
      <c r="A10095" s="5" t="s">
        <v>314</v>
      </c>
      <c r="B10095" s="5" t="s">
        <v>315</v>
      </c>
      <c r="C10095" s="6">
        <v>1978</v>
      </c>
      <c r="D10095" s="7">
        <v>45575281</v>
      </c>
    </row>
    <row r="10096" spans="1:4" x14ac:dyDescent="0.3">
      <c r="A10096" s="2" t="s">
        <v>314</v>
      </c>
      <c r="B10096" s="2" t="s">
        <v>315</v>
      </c>
      <c r="C10096" s="3">
        <v>1979</v>
      </c>
      <c r="D10096" s="4">
        <v>46807103</v>
      </c>
    </row>
    <row r="10097" spans="1:4" x14ac:dyDescent="0.3">
      <c r="A10097" s="5" t="s">
        <v>314</v>
      </c>
      <c r="B10097" s="5" t="s">
        <v>315</v>
      </c>
      <c r="C10097" s="6">
        <v>1980</v>
      </c>
      <c r="D10097" s="7">
        <v>48043740</v>
      </c>
    </row>
    <row r="10098" spans="1:4" x14ac:dyDescent="0.3">
      <c r="A10098" s="2" t="s">
        <v>314</v>
      </c>
      <c r="B10098" s="2" t="s">
        <v>315</v>
      </c>
      <c r="C10098" s="3">
        <v>1981</v>
      </c>
      <c r="D10098" s="4">
        <v>49311727</v>
      </c>
    </row>
    <row r="10099" spans="1:4" x14ac:dyDescent="0.3">
      <c r="A10099" s="5" t="s">
        <v>314</v>
      </c>
      <c r="B10099" s="5" t="s">
        <v>315</v>
      </c>
      <c r="C10099" s="6">
        <v>1982</v>
      </c>
      <c r="D10099" s="7">
        <v>50695707</v>
      </c>
    </row>
    <row r="10100" spans="1:4" x14ac:dyDescent="0.3">
      <c r="A10100" s="2" t="s">
        <v>314</v>
      </c>
      <c r="B10100" s="2" t="s">
        <v>315</v>
      </c>
      <c r="C10100" s="3">
        <v>1983</v>
      </c>
      <c r="D10100" s="4">
        <v>52194620</v>
      </c>
    </row>
    <row r="10101" spans="1:4" x14ac:dyDescent="0.3">
      <c r="A10101" s="5" t="s">
        <v>314</v>
      </c>
      <c r="B10101" s="5" t="s">
        <v>315</v>
      </c>
      <c r="C10101" s="6">
        <v>1984</v>
      </c>
      <c r="D10101" s="7">
        <v>53726181</v>
      </c>
    </row>
    <row r="10102" spans="1:4" x14ac:dyDescent="0.3">
      <c r="A10102" s="2" t="s">
        <v>314</v>
      </c>
      <c r="B10102" s="2" t="s">
        <v>315</v>
      </c>
      <c r="C10102" s="3">
        <v>1985</v>
      </c>
      <c r="D10102" s="4">
        <v>55213006</v>
      </c>
    </row>
    <row r="10103" spans="1:4" x14ac:dyDescent="0.3">
      <c r="A10103" s="5" t="s">
        <v>314</v>
      </c>
      <c r="B10103" s="5" t="s">
        <v>315</v>
      </c>
      <c r="C10103" s="6">
        <v>1986</v>
      </c>
      <c r="D10103" s="7">
        <v>56645077</v>
      </c>
    </row>
    <row r="10104" spans="1:4" x14ac:dyDescent="0.3">
      <c r="A10104" s="2" t="s">
        <v>314</v>
      </c>
      <c r="B10104" s="2" t="s">
        <v>315</v>
      </c>
      <c r="C10104" s="3">
        <v>1987</v>
      </c>
      <c r="D10104" s="4">
        <v>58157496</v>
      </c>
    </row>
    <row r="10105" spans="1:4" x14ac:dyDescent="0.3">
      <c r="A10105" s="5" t="s">
        <v>314</v>
      </c>
      <c r="B10105" s="5" t="s">
        <v>315</v>
      </c>
      <c r="C10105" s="6">
        <v>1988</v>
      </c>
      <c r="D10105" s="7">
        <v>59739052</v>
      </c>
    </row>
    <row r="10106" spans="1:4" x14ac:dyDescent="0.3">
      <c r="A10106" s="2" t="s">
        <v>314</v>
      </c>
      <c r="B10106" s="2" t="s">
        <v>315</v>
      </c>
      <c r="C10106" s="3">
        <v>1989</v>
      </c>
      <c r="D10106" s="4">
        <v>61265260</v>
      </c>
    </row>
    <row r="10107" spans="1:4" x14ac:dyDescent="0.3">
      <c r="A10107" s="5" t="s">
        <v>314</v>
      </c>
      <c r="B10107" s="5" t="s">
        <v>315</v>
      </c>
      <c r="C10107" s="6">
        <v>1990</v>
      </c>
      <c r="D10107" s="7">
        <v>62854666</v>
      </c>
    </row>
    <row r="10108" spans="1:4" x14ac:dyDescent="0.3">
      <c r="A10108" s="2" t="s">
        <v>314</v>
      </c>
      <c r="B10108" s="2" t="s">
        <v>315</v>
      </c>
      <c r="C10108" s="3">
        <v>1991</v>
      </c>
      <c r="D10108" s="4">
        <v>64382249</v>
      </c>
    </row>
    <row r="10109" spans="1:4" x14ac:dyDescent="0.3">
      <c r="A10109" s="5" t="s">
        <v>314</v>
      </c>
      <c r="B10109" s="5" t="s">
        <v>315</v>
      </c>
      <c r="C10109" s="6">
        <v>1992</v>
      </c>
      <c r="D10109" s="7">
        <v>65926125</v>
      </c>
    </row>
    <row r="10110" spans="1:4" x14ac:dyDescent="0.3">
      <c r="A10110" s="2" t="s">
        <v>314</v>
      </c>
      <c r="B10110" s="2" t="s">
        <v>315</v>
      </c>
      <c r="C10110" s="3">
        <v>1993</v>
      </c>
      <c r="D10110" s="4">
        <v>67530621</v>
      </c>
    </row>
    <row r="10111" spans="1:4" x14ac:dyDescent="0.3">
      <c r="A10111" s="5" t="s">
        <v>314</v>
      </c>
      <c r="B10111" s="5" t="s">
        <v>315</v>
      </c>
      <c r="C10111" s="6">
        <v>1994</v>
      </c>
      <c r="D10111" s="7">
        <v>69019291</v>
      </c>
    </row>
    <row r="10112" spans="1:4" x14ac:dyDescent="0.3">
      <c r="A10112" s="2" t="s">
        <v>314</v>
      </c>
      <c r="B10112" s="2" t="s">
        <v>315</v>
      </c>
      <c r="C10112" s="3">
        <v>1995</v>
      </c>
      <c r="D10112" s="4">
        <v>70546246</v>
      </c>
    </row>
    <row r="10113" spans="1:4" x14ac:dyDescent="0.3">
      <c r="A10113" s="5" t="s">
        <v>314</v>
      </c>
      <c r="B10113" s="5" t="s">
        <v>315</v>
      </c>
      <c r="C10113" s="6">
        <v>1996</v>
      </c>
      <c r="D10113" s="7">
        <v>72190242</v>
      </c>
    </row>
    <row r="10114" spans="1:4" x14ac:dyDescent="0.3">
      <c r="A10114" s="2" t="s">
        <v>314</v>
      </c>
      <c r="B10114" s="2" t="s">
        <v>315</v>
      </c>
      <c r="C10114" s="3">
        <v>1997</v>
      </c>
      <c r="D10114" s="4">
        <v>73908810</v>
      </c>
    </row>
    <row r="10115" spans="1:4" x14ac:dyDescent="0.3">
      <c r="A10115" s="5" t="s">
        <v>314</v>
      </c>
      <c r="B10115" s="5" t="s">
        <v>315</v>
      </c>
      <c r="C10115" s="6">
        <v>1998</v>
      </c>
      <c r="D10115" s="7">
        <v>75791024</v>
      </c>
    </row>
    <row r="10116" spans="1:4" x14ac:dyDescent="0.3">
      <c r="A10116" s="2" t="s">
        <v>314</v>
      </c>
      <c r="B10116" s="2" t="s">
        <v>315</v>
      </c>
      <c r="C10116" s="3">
        <v>1999</v>
      </c>
      <c r="D10116" s="4">
        <v>77753257</v>
      </c>
    </row>
    <row r="10117" spans="1:4" x14ac:dyDescent="0.3">
      <c r="A10117" s="5" t="s">
        <v>314</v>
      </c>
      <c r="B10117" s="5" t="s">
        <v>315</v>
      </c>
      <c r="C10117" s="6">
        <v>2000</v>
      </c>
      <c r="D10117" s="7">
        <v>79625397</v>
      </c>
    </row>
    <row r="10118" spans="1:4" x14ac:dyDescent="0.3">
      <c r="A10118" s="2" t="s">
        <v>314</v>
      </c>
      <c r="B10118" s="2" t="s">
        <v>315</v>
      </c>
      <c r="C10118" s="3">
        <v>2001</v>
      </c>
      <c r="D10118" s="4">
        <v>81401488</v>
      </c>
    </row>
    <row r="10119" spans="1:4" x14ac:dyDescent="0.3">
      <c r="A10119" s="5" t="s">
        <v>314</v>
      </c>
      <c r="B10119" s="5" t="s">
        <v>315</v>
      </c>
      <c r="C10119" s="6">
        <v>2002</v>
      </c>
      <c r="D10119" s="7">
        <v>83068889</v>
      </c>
    </row>
    <row r="10120" spans="1:4" x14ac:dyDescent="0.3">
      <c r="A10120" s="2" t="s">
        <v>314</v>
      </c>
      <c r="B10120" s="2" t="s">
        <v>315</v>
      </c>
      <c r="C10120" s="3">
        <v>2003</v>
      </c>
      <c r="D10120" s="4">
        <v>84731835</v>
      </c>
    </row>
    <row r="10121" spans="1:4" x14ac:dyDescent="0.3">
      <c r="A10121" s="5" t="s">
        <v>314</v>
      </c>
      <c r="B10121" s="5" t="s">
        <v>315</v>
      </c>
      <c r="C10121" s="6">
        <v>2004</v>
      </c>
      <c r="D10121" s="7">
        <v>86394504</v>
      </c>
    </row>
    <row r="10122" spans="1:4" x14ac:dyDescent="0.3">
      <c r="A10122" s="2" t="s">
        <v>314</v>
      </c>
      <c r="B10122" s="2" t="s">
        <v>315</v>
      </c>
      <c r="C10122" s="3">
        <v>2005</v>
      </c>
      <c r="D10122" s="4">
        <v>88015962</v>
      </c>
    </row>
    <row r="10123" spans="1:4" x14ac:dyDescent="0.3">
      <c r="A10123" s="5" t="s">
        <v>314</v>
      </c>
      <c r="B10123" s="5" t="s">
        <v>315</v>
      </c>
      <c r="C10123" s="6">
        <v>2006</v>
      </c>
      <c r="D10123" s="7">
        <v>89508986</v>
      </c>
    </row>
    <row r="10124" spans="1:4" x14ac:dyDescent="0.3">
      <c r="A10124" s="2" t="s">
        <v>314</v>
      </c>
      <c r="B10124" s="2" t="s">
        <v>315</v>
      </c>
      <c r="C10124" s="3">
        <v>2007</v>
      </c>
      <c r="D10124" s="4">
        <v>91075184</v>
      </c>
    </row>
    <row r="10125" spans="1:4" x14ac:dyDescent="0.3">
      <c r="A10125" s="5" t="s">
        <v>314</v>
      </c>
      <c r="B10125" s="5" t="s">
        <v>315</v>
      </c>
      <c r="C10125" s="6">
        <v>2008</v>
      </c>
      <c r="D10125" s="7">
        <v>92699095</v>
      </c>
    </row>
    <row r="10126" spans="1:4" x14ac:dyDescent="0.3">
      <c r="A10126" s="2" t="s">
        <v>314</v>
      </c>
      <c r="B10126" s="2" t="s">
        <v>315</v>
      </c>
      <c r="C10126" s="3">
        <v>2009</v>
      </c>
      <c r="D10126" s="4">
        <v>94384250</v>
      </c>
    </row>
    <row r="10127" spans="1:4" x14ac:dyDescent="0.3">
      <c r="A10127" s="5" t="s">
        <v>314</v>
      </c>
      <c r="B10127" s="5" t="s">
        <v>315</v>
      </c>
      <c r="C10127" s="6">
        <v>2010</v>
      </c>
      <c r="D10127" s="7">
        <v>96337125</v>
      </c>
    </row>
    <row r="10128" spans="1:4" x14ac:dyDescent="0.3">
      <c r="A10128" s="2" t="s">
        <v>314</v>
      </c>
      <c r="B10128" s="2" t="s">
        <v>315</v>
      </c>
      <c r="C10128" s="3">
        <v>2011</v>
      </c>
      <c r="D10128" s="4">
        <v>98248614</v>
      </c>
    </row>
    <row r="10129" spans="1:4" x14ac:dyDescent="0.3">
      <c r="A10129" s="5" t="s">
        <v>314</v>
      </c>
      <c r="B10129" s="5" t="s">
        <v>315</v>
      </c>
      <c r="C10129" s="6">
        <v>2012</v>
      </c>
      <c r="D10129" s="7">
        <v>100175512</v>
      </c>
    </row>
    <row r="10130" spans="1:4" x14ac:dyDescent="0.3">
      <c r="A10130" s="2" t="s">
        <v>314</v>
      </c>
      <c r="B10130" s="2" t="s">
        <v>315</v>
      </c>
      <c r="C10130" s="3">
        <v>2013</v>
      </c>
      <c r="D10130" s="4">
        <v>102076336</v>
      </c>
    </row>
    <row r="10131" spans="1:4" x14ac:dyDescent="0.3">
      <c r="A10131" s="5" t="s">
        <v>314</v>
      </c>
      <c r="B10131" s="5" t="s">
        <v>315</v>
      </c>
      <c r="C10131" s="6">
        <v>2014</v>
      </c>
      <c r="D10131" s="7">
        <v>103767130</v>
      </c>
    </row>
    <row r="10132" spans="1:4" x14ac:dyDescent="0.3">
      <c r="A10132" s="2" t="s">
        <v>314</v>
      </c>
      <c r="B10132" s="2" t="s">
        <v>315</v>
      </c>
      <c r="C10132" s="3">
        <v>2015</v>
      </c>
      <c r="D10132" s="4">
        <v>105312992</v>
      </c>
    </row>
    <row r="10133" spans="1:4" x14ac:dyDescent="0.3">
      <c r="A10133" s="5" t="s">
        <v>314</v>
      </c>
      <c r="B10133" s="5" t="s">
        <v>315</v>
      </c>
      <c r="C10133" s="6">
        <v>2016</v>
      </c>
      <c r="D10133" s="7">
        <v>106735719</v>
      </c>
    </row>
    <row r="10134" spans="1:4" x14ac:dyDescent="0.3">
      <c r="A10134" s="2" t="s">
        <v>314</v>
      </c>
      <c r="B10134" s="2" t="s">
        <v>315</v>
      </c>
      <c r="C10134" s="3">
        <v>2017</v>
      </c>
      <c r="D10134" s="4">
        <v>108119693</v>
      </c>
    </row>
    <row r="10135" spans="1:4" x14ac:dyDescent="0.3">
      <c r="A10135" s="5" t="s">
        <v>314</v>
      </c>
      <c r="B10135" s="5" t="s">
        <v>315</v>
      </c>
      <c r="C10135" s="6">
        <v>2018</v>
      </c>
      <c r="D10135" s="7">
        <v>109465287</v>
      </c>
    </row>
    <row r="10136" spans="1:4" x14ac:dyDescent="0.3">
      <c r="A10136" s="2" t="s">
        <v>314</v>
      </c>
      <c r="B10136" s="2" t="s">
        <v>315</v>
      </c>
      <c r="C10136" s="3">
        <v>2019</v>
      </c>
      <c r="D10136" s="4">
        <v>110804683</v>
      </c>
    </row>
    <row r="10137" spans="1:4" x14ac:dyDescent="0.3">
      <c r="A10137" s="5" t="s">
        <v>314</v>
      </c>
      <c r="B10137" s="5" t="s">
        <v>315</v>
      </c>
      <c r="C10137" s="6">
        <v>2020</v>
      </c>
      <c r="D10137" s="7">
        <v>112081264</v>
      </c>
    </row>
    <row r="10138" spans="1:4" x14ac:dyDescent="0.3">
      <c r="A10138" s="2" t="s">
        <v>314</v>
      </c>
      <c r="B10138" s="2" t="s">
        <v>315</v>
      </c>
      <c r="C10138" s="3">
        <v>2021</v>
      </c>
      <c r="D10138" s="4">
        <v>113100950</v>
      </c>
    </row>
    <row r="10139" spans="1:4" x14ac:dyDescent="0.3">
      <c r="A10139" s="5" t="s">
        <v>314</v>
      </c>
      <c r="B10139" s="5" t="s">
        <v>315</v>
      </c>
      <c r="C10139" s="6">
        <v>2022</v>
      </c>
      <c r="D10139" s="7">
        <v>113964338</v>
      </c>
    </row>
    <row r="10140" spans="1:4" x14ac:dyDescent="0.3">
      <c r="A10140" s="2" t="s">
        <v>314</v>
      </c>
      <c r="B10140" s="2" t="s">
        <v>315</v>
      </c>
      <c r="C10140" s="3">
        <v>2023</v>
      </c>
      <c r="D10140" s="4">
        <v>114891199</v>
      </c>
    </row>
    <row r="10141" spans="1:4" x14ac:dyDescent="0.3">
      <c r="A10141" s="5" t="s">
        <v>314</v>
      </c>
      <c r="B10141" s="5" t="s">
        <v>315</v>
      </c>
      <c r="C10141" s="6">
        <v>2024</v>
      </c>
      <c r="D10141" s="7">
        <v>115843670</v>
      </c>
    </row>
    <row r="10142" spans="1:4" x14ac:dyDescent="0.3">
      <c r="A10142" s="2" t="s">
        <v>316</v>
      </c>
      <c r="B10142" s="2" t="s">
        <v>317</v>
      </c>
      <c r="C10142" s="3">
        <v>1960</v>
      </c>
      <c r="D10142" s="4">
        <v>29637450</v>
      </c>
    </row>
    <row r="10143" spans="1:4" x14ac:dyDescent="0.3">
      <c r="A10143" s="5" t="s">
        <v>316</v>
      </c>
      <c r="B10143" s="5" t="s">
        <v>317</v>
      </c>
      <c r="C10143" s="6">
        <v>1961</v>
      </c>
      <c r="D10143" s="7">
        <v>29964000</v>
      </c>
    </row>
    <row r="10144" spans="1:4" x14ac:dyDescent="0.3">
      <c r="A10144" s="2" t="s">
        <v>316</v>
      </c>
      <c r="B10144" s="2" t="s">
        <v>317</v>
      </c>
      <c r="C10144" s="3">
        <v>1962</v>
      </c>
      <c r="D10144" s="4">
        <v>30308500</v>
      </c>
    </row>
    <row r="10145" spans="1:4" x14ac:dyDescent="0.3">
      <c r="A10145" s="5" t="s">
        <v>316</v>
      </c>
      <c r="B10145" s="5" t="s">
        <v>317</v>
      </c>
      <c r="C10145" s="6">
        <v>1963</v>
      </c>
      <c r="D10145" s="7">
        <v>30712000</v>
      </c>
    </row>
    <row r="10146" spans="1:4" x14ac:dyDescent="0.3">
      <c r="A10146" s="2" t="s">
        <v>316</v>
      </c>
      <c r="B10146" s="2" t="s">
        <v>317</v>
      </c>
      <c r="C10146" s="3">
        <v>1964</v>
      </c>
      <c r="D10146" s="4">
        <v>31139450</v>
      </c>
    </row>
    <row r="10147" spans="1:4" x14ac:dyDescent="0.3">
      <c r="A10147" s="5" t="s">
        <v>316</v>
      </c>
      <c r="B10147" s="5" t="s">
        <v>317</v>
      </c>
      <c r="C10147" s="6">
        <v>1965</v>
      </c>
      <c r="D10147" s="7">
        <v>31444950</v>
      </c>
    </row>
    <row r="10148" spans="1:4" x14ac:dyDescent="0.3">
      <c r="A10148" s="2" t="s">
        <v>316</v>
      </c>
      <c r="B10148" s="2" t="s">
        <v>317</v>
      </c>
      <c r="C10148" s="3">
        <v>1966</v>
      </c>
      <c r="D10148" s="4">
        <v>31681000</v>
      </c>
    </row>
    <row r="10149" spans="1:4" x14ac:dyDescent="0.3">
      <c r="A10149" s="5" t="s">
        <v>316</v>
      </c>
      <c r="B10149" s="5" t="s">
        <v>317</v>
      </c>
      <c r="C10149" s="6">
        <v>1967</v>
      </c>
      <c r="D10149" s="7">
        <v>31987155</v>
      </c>
    </row>
    <row r="10150" spans="1:4" x14ac:dyDescent="0.3">
      <c r="A10150" s="2" t="s">
        <v>316</v>
      </c>
      <c r="B10150" s="2" t="s">
        <v>317</v>
      </c>
      <c r="C10150" s="3">
        <v>1968</v>
      </c>
      <c r="D10150" s="4">
        <v>32294655</v>
      </c>
    </row>
    <row r="10151" spans="1:4" x14ac:dyDescent="0.3">
      <c r="A10151" s="5" t="s">
        <v>316</v>
      </c>
      <c r="B10151" s="5" t="s">
        <v>317</v>
      </c>
      <c r="C10151" s="6">
        <v>1969</v>
      </c>
      <c r="D10151" s="7">
        <v>32548300</v>
      </c>
    </row>
    <row r="10152" spans="1:4" x14ac:dyDescent="0.3">
      <c r="A10152" s="2" t="s">
        <v>316</v>
      </c>
      <c r="B10152" s="2" t="s">
        <v>317</v>
      </c>
      <c r="C10152" s="3">
        <v>1970</v>
      </c>
      <c r="D10152" s="4">
        <v>32664300</v>
      </c>
    </row>
    <row r="10153" spans="1:4" x14ac:dyDescent="0.3">
      <c r="A10153" s="5" t="s">
        <v>316</v>
      </c>
      <c r="B10153" s="5" t="s">
        <v>317</v>
      </c>
      <c r="C10153" s="6">
        <v>1971</v>
      </c>
      <c r="D10153" s="7">
        <v>32783500</v>
      </c>
    </row>
    <row r="10154" spans="1:4" x14ac:dyDescent="0.3">
      <c r="A10154" s="2" t="s">
        <v>316</v>
      </c>
      <c r="B10154" s="2" t="s">
        <v>317</v>
      </c>
      <c r="C10154" s="3">
        <v>1972</v>
      </c>
      <c r="D10154" s="4">
        <v>33055650</v>
      </c>
    </row>
    <row r="10155" spans="1:4" x14ac:dyDescent="0.3">
      <c r="A10155" s="5" t="s">
        <v>316</v>
      </c>
      <c r="B10155" s="5" t="s">
        <v>317</v>
      </c>
      <c r="C10155" s="6">
        <v>1973</v>
      </c>
      <c r="D10155" s="7">
        <v>33357200</v>
      </c>
    </row>
    <row r="10156" spans="1:4" x14ac:dyDescent="0.3">
      <c r="A10156" s="2" t="s">
        <v>316</v>
      </c>
      <c r="B10156" s="2" t="s">
        <v>317</v>
      </c>
      <c r="C10156" s="3">
        <v>1974</v>
      </c>
      <c r="D10156" s="4">
        <v>33678899</v>
      </c>
    </row>
    <row r="10157" spans="1:4" x14ac:dyDescent="0.3">
      <c r="A10157" s="5" t="s">
        <v>316</v>
      </c>
      <c r="B10157" s="5" t="s">
        <v>317</v>
      </c>
      <c r="C10157" s="6">
        <v>1975</v>
      </c>
      <c r="D10157" s="7">
        <v>34015199</v>
      </c>
    </row>
    <row r="10158" spans="1:4" x14ac:dyDescent="0.3">
      <c r="A10158" s="2" t="s">
        <v>316</v>
      </c>
      <c r="B10158" s="2" t="s">
        <v>317</v>
      </c>
      <c r="C10158" s="3">
        <v>1976</v>
      </c>
      <c r="D10158" s="4">
        <v>34356300</v>
      </c>
    </row>
    <row r="10159" spans="1:4" x14ac:dyDescent="0.3">
      <c r="A10159" s="5" t="s">
        <v>316</v>
      </c>
      <c r="B10159" s="5" t="s">
        <v>317</v>
      </c>
      <c r="C10159" s="6">
        <v>1977</v>
      </c>
      <c r="D10159" s="7">
        <v>34689050</v>
      </c>
    </row>
    <row r="10160" spans="1:4" x14ac:dyDescent="0.3">
      <c r="A10160" s="2" t="s">
        <v>316</v>
      </c>
      <c r="B10160" s="2" t="s">
        <v>317</v>
      </c>
      <c r="C10160" s="3">
        <v>1978</v>
      </c>
      <c r="D10160" s="4">
        <v>34965600</v>
      </c>
    </row>
    <row r="10161" spans="1:4" x14ac:dyDescent="0.3">
      <c r="A10161" s="5" t="s">
        <v>316</v>
      </c>
      <c r="B10161" s="5" t="s">
        <v>317</v>
      </c>
      <c r="C10161" s="6">
        <v>1979</v>
      </c>
      <c r="D10161" s="7">
        <v>35247217</v>
      </c>
    </row>
    <row r="10162" spans="1:4" x14ac:dyDescent="0.3">
      <c r="A10162" s="2" t="s">
        <v>316</v>
      </c>
      <c r="B10162" s="2" t="s">
        <v>317</v>
      </c>
      <c r="C10162" s="3">
        <v>1980</v>
      </c>
      <c r="D10162" s="4">
        <v>35574150</v>
      </c>
    </row>
    <row r="10163" spans="1:4" x14ac:dyDescent="0.3">
      <c r="A10163" s="5" t="s">
        <v>316</v>
      </c>
      <c r="B10163" s="5" t="s">
        <v>317</v>
      </c>
      <c r="C10163" s="6">
        <v>1981</v>
      </c>
      <c r="D10163" s="7">
        <v>35898587</v>
      </c>
    </row>
    <row r="10164" spans="1:4" x14ac:dyDescent="0.3">
      <c r="A10164" s="2" t="s">
        <v>316</v>
      </c>
      <c r="B10164" s="2" t="s">
        <v>317</v>
      </c>
      <c r="C10164" s="3">
        <v>1982</v>
      </c>
      <c r="D10164" s="4">
        <v>36230481</v>
      </c>
    </row>
    <row r="10165" spans="1:4" x14ac:dyDescent="0.3">
      <c r="A10165" s="5" t="s">
        <v>316</v>
      </c>
      <c r="B10165" s="5" t="s">
        <v>317</v>
      </c>
      <c r="C10165" s="6">
        <v>1983</v>
      </c>
      <c r="D10165" s="7">
        <v>36571808</v>
      </c>
    </row>
    <row r="10166" spans="1:4" x14ac:dyDescent="0.3">
      <c r="A10166" s="2" t="s">
        <v>316</v>
      </c>
      <c r="B10166" s="2" t="s">
        <v>317</v>
      </c>
      <c r="C10166" s="3">
        <v>1984</v>
      </c>
      <c r="D10166" s="4">
        <v>36904134</v>
      </c>
    </row>
    <row r="10167" spans="1:4" x14ac:dyDescent="0.3">
      <c r="A10167" s="5" t="s">
        <v>316</v>
      </c>
      <c r="B10167" s="5" t="s">
        <v>317</v>
      </c>
      <c r="C10167" s="6">
        <v>1985</v>
      </c>
      <c r="D10167" s="7">
        <v>37201885</v>
      </c>
    </row>
    <row r="10168" spans="1:4" x14ac:dyDescent="0.3">
      <c r="A10168" s="2" t="s">
        <v>316</v>
      </c>
      <c r="B10168" s="2" t="s">
        <v>317</v>
      </c>
      <c r="C10168" s="3">
        <v>1986</v>
      </c>
      <c r="D10168" s="4">
        <v>37456119</v>
      </c>
    </row>
    <row r="10169" spans="1:4" x14ac:dyDescent="0.3">
      <c r="A10169" s="5" t="s">
        <v>316</v>
      </c>
      <c r="B10169" s="5" t="s">
        <v>317</v>
      </c>
      <c r="C10169" s="6">
        <v>1987</v>
      </c>
      <c r="D10169" s="7">
        <v>37668045</v>
      </c>
    </row>
    <row r="10170" spans="1:4" x14ac:dyDescent="0.3">
      <c r="A10170" s="2" t="s">
        <v>316</v>
      </c>
      <c r="B10170" s="2" t="s">
        <v>317</v>
      </c>
      <c r="C10170" s="3">
        <v>1988</v>
      </c>
      <c r="D10170" s="4">
        <v>37824487</v>
      </c>
    </row>
    <row r="10171" spans="1:4" x14ac:dyDescent="0.3">
      <c r="A10171" s="5" t="s">
        <v>316</v>
      </c>
      <c r="B10171" s="5" t="s">
        <v>317</v>
      </c>
      <c r="C10171" s="6">
        <v>1989</v>
      </c>
      <c r="D10171" s="7">
        <v>37961529</v>
      </c>
    </row>
    <row r="10172" spans="1:4" x14ac:dyDescent="0.3">
      <c r="A10172" s="2" t="s">
        <v>316</v>
      </c>
      <c r="B10172" s="2" t="s">
        <v>317</v>
      </c>
      <c r="C10172" s="3">
        <v>1990</v>
      </c>
      <c r="D10172" s="4">
        <v>38110782</v>
      </c>
    </row>
    <row r="10173" spans="1:4" x14ac:dyDescent="0.3">
      <c r="A10173" s="5" t="s">
        <v>316</v>
      </c>
      <c r="B10173" s="5" t="s">
        <v>317</v>
      </c>
      <c r="C10173" s="6">
        <v>1991</v>
      </c>
      <c r="D10173" s="7">
        <v>38246193</v>
      </c>
    </row>
    <row r="10174" spans="1:4" x14ac:dyDescent="0.3">
      <c r="A10174" s="2" t="s">
        <v>316</v>
      </c>
      <c r="B10174" s="2" t="s">
        <v>317</v>
      </c>
      <c r="C10174" s="3">
        <v>1992</v>
      </c>
      <c r="D10174" s="4">
        <v>38363667</v>
      </c>
    </row>
    <row r="10175" spans="1:4" x14ac:dyDescent="0.3">
      <c r="A10175" s="5" t="s">
        <v>316</v>
      </c>
      <c r="B10175" s="5" t="s">
        <v>317</v>
      </c>
      <c r="C10175" s="6">
        <v>1993</v>
      </c>
      <c r="D10175" s="7">
        <v>38461408</v>
      </c>
    </row>
    <row r="10176" spans="1:4" x14ac:dyDescent="0.3">
      <c r="A10176" s="2" t="s">
        <v>316</v>
      </c>
      <c r="B10176" s="2" t="s">
        <v>317</v>
      </c>
      <c r="C10176" s="3">
        <v>1994</v>
      </c>
      <c r="D10176" s="4">
        <v>38542652</v>
      </c>
    </row>
    <row r="10177" spans="1:4" x14ac:dyDescent="0.3">
      <c r="A10177" s="5" t="s">
        <v>316</v>
      </c>
      <c r="B10177" s="5" t="s">
        <v>317</v>
      </c>
      <c r="C10177" s="6">
        <v>1995</v>
      </c>
      <c r="D10177" s="7">
        <v>38594998</v>
      </c>
    </row>
    <row r="10178" spans="1:4" x14ac:dyDescent="0.3">
      <c r="A10178" s="2" t="s">
        <v>316</v>
      </c>
      <c r="B10178" s="2" t="s">
        <v>317</v>
      </c>
      <c r="C10178" s="3">
        <v>1996</v>
      </c>
      <c r="D10178" s="4">
        <v>38624370</v>
      </c>
    </row>
    <row r="10179" spans="1:4" x14ac:dyDescent="0.3">
      <c r="A10179" s="5" t="s">
        <v>316</v>
      </c>
      <c r="B10179" s="5" t="s">
        <v>317</v>
      </c>
      <c r="C10179" s="6">
        <v>1997</v>
      </c>
      <c r="D10179" s="7">
        <v>38649660</v>
      </c>
    </row>
    <row r="10180" spans="1:4" x14ac:dyDescent="0.3">
      <c r="A10180" s="2" t="s">
        <v>316</v>
      </c>
      <c r="B10180" s="2" t="s">
        <v>317</v>
      </c>
      <c r="C10180" s="3">
        <v>1998</v>
      </c>
      <c r="D10180" s="4">
        <v>38663481</v>
      </c>
    </row>
    <row r="10181" spans="1:4" x14ac:dyDescent="0.3">
      <c r="A10181" s="5" t="s">
        <v>316</v>
      </c>
      <c r="B10181" s="5" t="s">
        <v>317</v>
      </c>
      <c r="C10181" s="6">
        <v>1999</v>
      </c>
      <c r="D10181" s="7">
        <v>38660271</v>
      </c>
    </row>
    <row r="10182" spans="1:4" x14ac:dyDescent="0.3">
      <c r="A10182" s="2" t="s">
        <v>316</v>
      </c>
      <c r="B10182" s="2" t="s">
        <v>317</v>
      </c>
      <c r="C10182" s="3">
        <v>2000</v>
      </c>
      <c r="D10182" s="4">
        <v>38258629</v>
      </c>
    </row>
    <row r="10183" spans="1:4" x14ac:dyDescent="0.3">
      <c r="A10183" s="5" t="s">
        <v>316</v>
      </c>
      <c r="B10183" s="5" t="s">
        <v>317</v>
      </c>
      <c r="C10183" s="6">
        <v>2001</v>
      </c>
      <c r="D10183" s="7">
        <v>38248076</v>
      </c>
    </row>
    <row r="10184" spans="1:4" x14ac:dyDescent="0.3">
      <c r="A10184" s="2" t="s">
        <v>316</v>
      </c>
      <c r="B10184" s="2" t="s">
        <v>317</v>
      </c>
      <c r="C10184" s="3">
        <v>2002</v>
      </c>
      <c r="D10184" s="4">
        <v>38230364</v>
      </c>
    </row>
    <row r="10185" spans="1:4" x14ac:dyDescent="0.3">
      <c r="A10185" s="5" t="s">
        <v>316</v>
      </c>
      <c r="B10185" s="5" t="s">
        <v>317</v>
      </c>
      <c r="C10185" s="6">
        <v>2003</v>
      </c>
      <c r="D10185" s="7">
        <v>38204570</v>
      </c>
    </row>
    <row r="10186" spans="1:4" x14ac:dyDescent="0.3">
      <c r="A10186" s="2" t="s">
        <v>316</v>
      </c>
      <c r="B10186" s="2" t="s">
        <v>317</v>
      </c>
      <c r="C10186" s="3">
        <v>2004</v>
      </c>
      <c r="D10186" s="4">
        <v>38182222</v>
      </c>
    </row>
    <row r="10187" spans="1:4" x14ac:dyDescent="0.3">
      <c r="A10187" s="5" t="s">
        <v>316</v>
      </c>
      <c r="B10187" s="5" t="s">
        <v>317</v>
      </c>
      <c r="C10187" s="6">
        <v>2005</v>
      </c>
      <c r="D10187" s="7">
        <v>38165445</v>
      </c>
    </row>
    <row r="10188" spans="1:4" x14ac:dyDescent="0.3">
      <c r="A10188" s="2" t="s">
        <v>316</v>
      </c>
      <c r="B10188" s="2" t="s">
        <v>317</v>
      </c>
      <c r="C10188" s="3">
        <v>2006</v>
      </c>
      <c r="D10188" s="4">
        <v>38141267</v>
      </c>
    </row>
    <row r="10189" spans="1:4" x14ac:dyDescent="0.3">
      <c r="A10189" s="5" t="s">
        <v>316</v>
      </c>
      <c r="B10189" s="5" t="s">
        <v>317</v>
      </c>
      <c r="C10189" s="6">
        <v>2007</v>
      </c>
      <c r="D10189" s="7">
        <v>38120560</v>
      </c>
    </row>
    <row r="10190" spans="1:4" x14ac:dyDescent="0.3">
      <c r="A10190" s="2" t="s">
        <v>316</v>
      </c>
      <c r="B10190" s="2" t="s">
        <v>317</v>
      </c>
      <c r="C10190" s="3">
        <v>2008</v>
      </c>
      <c r="D10190" s="4">
        <v>38125759</v>
      </c>
    </row>
    <row r="10191" spans="1:4" x14ac:dyDescent="0.3">
      <c r="A10191" s="5" t="s">
        <v>316</v>
      </c>
      <c r="B10191" s="5" t="s">
        <v>317</v>
      </c>
      <c r="C10191" s="6">
        <v>2009</v>
      </c>
      <c r="D10191" s="7">
        <v>38151603</v>
      </c>
    </row>
    <row r="10192" spans="1:4" x14ac:dyDescent="0.3">
      <c r="A10192" s="2" t="s">
        <v>316</v>
      </c>
      <c r="B10192" s="2" t="s">
        <v>317</v>
      </c>
      <c r="C10192" s="3">
        <v>2010</v>
      </c>
      <c r="D10192" s="4">
        <v>38042794</v>
      </c>
    </row>
    <row r="10193" spans="1:4" x14ac:dyDescent="0.3">
      <c r="A10193" s="5" t="s">
        <v>316</v>
      </c>
      <c r="B10193" s="5" t="s">
        <v>317</v>
      </c>
      <c r="C10193" s="6">
        <v>2011</v>
      </c>
      <c r="D10193" s="7">
        <v>38063255</v>
      </c>
    </row>
    <row r="10194" spans="1:4" x14ac:dyDescent="0.3">
      <c r="A10194" s="2" t="s">
        <v>316</v>
      </c>
      <c r="B10194" s="2" t="s">
        <v>317</v>
      </c>
      <c r="C10194" s="3">
        <v>2012</v>
      </c>
      <c r="D10194" s="4">
        <v>38063164</v>
      </c>
    </row>
    <row r="10195" spans="1:4" x14ac:dyDescent="0.3">
      <c r="A10195" s="5" t="s">
        <v>316</v>
      </c>
      <c r="B10195" s="5" t="s">
        <v>317</v>
      </c>
      <c r="C10195" s="6">
        <v>2013</v>
      </c>
      <c r="D10195" s="7">
        <v>38040196</v>
      </c>
    </row>
    <row r="10196" spans="1:4" x14ac:dyDescent="0.3">
      <c r="A10196" s="2" t="s">
        <v>316</v>
      </c>
      <c r="B10196" s="2" t="s">
        <v>317</v>
      </c>
      <c r="C10196" s="3">
        <v>2014</v>
      </c>
      <c r="D10196" s="4">
        <v>38011735</v>
      </c>
    </row>
    <row r="10197" spans="1:4" x14ac:dyDescent="0.3">
      <c r="A10197" s="5" t="s">
        <v>316</v>
      </c>
      <c r="B10197" s="5" t="s">
        <v>317</v>
      </c>
      <c r="C10197" s="6">
        <v>2015</v>
      </c>
      <c r="D10197" s="7">
        <v>37986412</v>
      </c>
    </row>
    <row r="10198" spans="1:4" x14ac:dyDescent="0.3">
      <c r="A10198" s="2" t="s">
        <v>316</v>
      </c>
      <c r="B10198" s="2" t="s">
        <v>317</v>
      </c>
      <c r="C10198" s="3">
        <v>2016</v>
      </c>
      <c r="D10198" s="4">
        <v>37970087</v>
      </c>
    </row>
    <row r="10199" spans="1:4" x14ac:dyDescent="0.3">
      <c r="A10199" s="5" t="s">
        <v>316</v>
      </c>
      <c r="B10199" s="5" t="s">
        <v>317</v>
      </c>
      <c r="C10199" s="6">
        <v>2017</v>
      </c>
      <c r="D10199" s="7">
        <v>37974826</v>
      </c>
    </row>
    <row r="10200" spans="1:4" x14ac:dyDescent="0.3">
      <c r="A10200" s="2" t="s">
        <v>316</v>
      </c>
      <c r="B10200" s="2" t="s">
        <v>317</v>
      </c>
      <c r="C10200" s="3">
        <v>2018</v>
      </c>
      <c r="D10200" s="4">
        <v>37974750</v>
      </c>
    </row>
    <row r="10201" spans="1:4" x14ac:dyDescent="0.3">
      <c r="A10201" s="5" t="s">
        <v>316</v>
      </c>
      <c r="B10201" s="5" t="s">
        <v>317</v>
      </c>
      <c r="C10201" s="6">
        <v>2019</v>
      </c>
      <c r="D10201" s="7">
        <v>37965475</v>
      </c>
    </row>
    <row r="10202" spans="1:4" x14ac:dyDescent="0.3">
      <c r="A10202" s="2" t="s">
        <v>316</v>
      </c>
      <c r="B10202" s="2" t="s">
        <v>317</v>
      </c>
      <c r="C10202" s="3">
        <v>2020</v>
      </c>
      <c r="D10202" s="4">
        <v>37515748</v>
      </c>
    </row>
    <row r="10203" spans="1:4" x14ac:dyDescent="0.3">
      <c r="A10203" s="5" t="s">
        <v>316</v>
      </c>
      <c r="B10203" s="5" t="s">
        <v>317</v>
      </c>
      <c r="C10203" s="6">
        <v>2021</v>
      </c>
      <c r="D10203" s="7">
        <v>36981559</v>
      </c>
    </row>
    <row r="10204" spans="1:4" x14ac:dyDescent="0.3">
      <c r="A10204" s="2" t="s">
        <v>316</v>
      </c>
      <c r="B10204" s="2" t="s">
        <v>317</v>
      </c>
      <c r="C10204" s="3">
        <v>2022</v>
      </c>
      <c r="D10204" s="4">
        <v>36821749</v>
      </c>
    </row>
    <row r="10205" spans="1:4" x14ac:dyDescent="0.3">
      <c r="A10205" s="5" t="s">
        <v>316</v>
      </c>
      <c r="B10205" s="5" t="s">
        <v>317</v>
      </c>
      <c r="C10205" s="6">
        <v>2023</v>
      </c>
      <c r="D10205" s="7">
        <v>36687353</v>
      </c>
    </row>
    <row r="10206" spans="1:4" x14ac:dyDescent="0.3">
      <c r="A10206" s="2" t="s">
        <v>316</v>
      </c>
      <c r="B10206" s="2" t="s">
        <v>317</v>
      </c>
      <c r="C10206" s="3">
        <v>2024</v>
      </c>
      <c r="D10206" s="4">
        <v>36554707</v>
      </c>
    </row>
    <row r="10207" spans="1:4" x14ac:dyDescent="0.3">
      <c r="A10207" s="5" t="s">
        <v>318</v>
      </c>
      <c r="B10207" s="5" t="s">
        <v>319</v>
      </c>
      <c r="C10207" s="6">
        <v>1960</v>
      </c>
      <c r="D10207" s="7">
        <v>8857716</v>
      </c>
    </row>
    <row r="10208" spans="1:4" x14ac:dyDescent="0.3">
      <c r="A10208" s="2" t="s">
        <v>318</v>
      </c>
      <c r="B10208" s="2" t="s">
        <v>319</v>
      </c>
      <c r="C10208" s="3">
        <v>1961</v>
      </c>
      <c r="D10208" s="4">
        <v>8929316</v>
      </c>
    </row>
    <row r="10209" spans="1:4" x14ac:dyDescent="0.3">
      <c r="A10209" s="5" t="s">
        <v>318</v>
      </c>
      <c r="B10209" s="5" t="s">
        <v>319</v>
      </c>
      <c r="C10209" s="6">
        <v>1962</v>
      </c>
      <c r="D10209" s="7">
        <v>8993985</v>
      </c>
    </row>
    <row r="10210" spans="1:4" x14ac:dyDescent="0.3">
      <c r="A10210" s="2" t="s">
        <v>318</v>
      </c>
      <c r="B10210" s="2" t="s">
        <v>319</v>
      </c>
      <c r="C10210" s="3">
        <v>1963</v>
      </c>
      <c r="D10210" s="4">
        <v>9030355</v>
      </c>
    </row>
    <row r="10211" spans="1:4" x14ac:dyDescent="0.3">
      <c r="A10211" s="5" t="s">
        <v>318</v>
      </c>
      <c r="B10211" s="5" t="s">
        <v>319</v>
      </c>
      <c r="C10211" s="6">
        <v>1964</v>
      </c>
      <c r="D10211" s="7">
        <v>9035365</v>
      </c>
    </row>
    <row r="10212" spans="1:4" x14ac:dyDescent="0.3">
      <c r="A10212" s="2" t="s">
        <v>318</v>
      </c>
      <c r="B10212" s="2" t="s">
        <v>319</v>
      </c>
      <c r="C10212" s="3">
        <v>1965</v>
      </c>
      <c r="D10212" s="4">
        <v>8998595</v>
      </c>
    </row>
    <row r="10213" spans="1:4" x14ac:dyDescent="0.3">
      <c r="A10213" s="5" t="s">
        <v>318</v>
      </c>
      <c r="B10213" s="5" t="s">
        <v>319</v>
      </c>
      <c r="C10213" s="6">
        <v>1966</v>
      </c>
      <c r="D10213" s="7">
        <v>8930990</v>
      </c>
    </row>
    <row r="10214" spans="1:4" x14ac:dyDescent="0.3">
      <c r="A10214" s="2" t="s">
        <v>318</v>
      </c>
      <c r="B10214" s="2" t="s">
        <v>319</v>
      </c>
      <c r="C10214" s="3">
        <v>1967</v>
      </c>
      <c r="D10214" s="4">
        <v>8874520</v>
      </c>
    </row>
    <row r="10215" spans="1:4" x14ac:dyDescent="0.3">
      <c r="A10215" s="5" t="s">
        <v>318</v>
      </c>
      <c r="B10215" s="5" t="s">
        <v>319</v>
      </c>
      <c r="C10215" s="6">
        <v>1968</v>
      </c>
      <c r="D10215" s="7">
        <v>8836650</v>
      </c>
    </row>
    <row r="10216" spans="1:4" x14ac:dyDescent="0.3">
      <c r="A10216" s="2" t="s">
        <v>318</v>
      </c>
      <c r="B10216" s="2" t="s">
        <v>319</v>
      </c>
      <c r="C10216" s="3">
        <v>1969</v>
      </c>
      <c r="D10216" s="4">
        <v>8757705</v>
      </c>
    </row>
    <row r="10217" spans="1:4" x14ac:dyDescent="0.3">
      <c r="A10217" s="5" t="s">
        <v>318</v>
      </c>
      <c r="B10217" s="5" t="s">
        <v>319</v>
      </c>
      <c r="C10217" s="6">
        <v>1970</v>
      </c>
      <c r="D10217" s="7">
        <v>8680431</v>
      </c>
    </row>
    <row r="10218" spans="1:4" x14ac:dyDescent="0.3">
      <c r="A10218" s="2" t="s">
        <v>318</v>
      </c>
      <c r="B10218" s="2" t="s">
        <v>319</v>
      </c>
      <c r="C10218" s="3">
        <v>1971</v>
      </c>
      <c r="D10218" s="4">
        <v>8643756</v>
      </c>
    </row>
    <row r="10219" spans="1:4" x14ac:dyDescent="0.3">
      <c r="A10219" s="5" t="s">
        <v>318</v>
      </c>
      <c r="B10219" s="5" t="s">
        <v>319</v>
      </c>
      <c r="C10219" s="6">
        <v>1972</v>
      </c>
      <c r="D10219" s="7">
        <v>8630430</v>
      </c>
    </row>
    <row r="10220" spans="1:4" x14ac:dyDescent="0.3">
      <c r="A10220" s="2" t="s">
        <v>318</v>
      </c>
      <c r="B10220" s="2" t="s">
        <v>319</v>
      </c>
      <c r="C10220" s="3">
        <v>1973</v>
      </c>
      <c r="D10220" s="4">
        <v>8633100</v>
      </c>
    </row>
    <row r="10221" spans="1:4" x14ac:dyDescent="0.3">
      <c r="A10221" s="5" t="s">
        <v>318</v>
      </c>
      <c r="B10221" s="5" t="s">
        <v>319</v>
      </c>
      <c r="C10221" s="6">
        <v>1974</v>
      </c>
      <c r="D10221" s="7">
        <v>8754365</v>
      </c>
    </row>
    <row r="10222" spans="1:4" x14ac:dyDescent="0.3">
      <c r="A10222" s="2" t="s">
        <v>318</v>
      </c>
      <c r="B10222" s="2" t="s">
        <v>319</v>
      </c>
      <c r="C10222" s="3">
        <v>1975</v>
      </c>
      <c r="D10222" s="4">
        <v>9093470</v>
      </c>
    </row>
    <row r="10223" spans="1:4" x14ac:dyDescent="0.3">
      <c r="A10223" s="5" t="s">
        <v>318</v>
      </c>
      <c r="B10223" s="5" t="s">
        <v>319</v>
      </c>
      <c r="C10223" s="6">
        <v>1976</v>
      </c>
      <c r="D10223" s="7">
        <v>9355810</v>
      </c>
    </row>
    <row r="10224" spans="1:4" x14ac:dyDescent="0.3">
      <c r="A10224" s="2" t="s">
        <v>318</v>
      </c>
      <c r="B10224" s="2" t="s">
        <v>319</v>
      </c>
      <c r="C10224" s="3">
        <v>1977</v>
      </c>
      <c r="D10224" s="4">
        <v>9455675</v>
      </c>
    </row>
    <row r="10225" spans="1:4" x14ac:dyDescent="0.3">
      <c r="A10225" s="5" t="s">
        <v>318</v>
      </c>
      <c r="B10225" s="5" t="s">
        <v>319</v>
      </c>
      <c r="C10225" s="6">
        <v>1978</v>
      </c>
      <c r="D10225" s="7">
        <v>9558250</v>
      </c>
    </row>
    <row r="10226" spans="1:4" x14ac:dyDescent="0.3">
      <c r="A10226" s="2" t="s">
        <v>318</v>
      </c>
      <c r="B10226" s="2" t="s">
        <v>319</v>
      </c>
      <c r="C10226" s="3">
        <v>1979</v>
      </c>
      <c r="D10226" s="4">
        <v>9661265</v>
      </c>
    </row>
    <row r="10227" spans="1:4" x14ac:dyDescent="0.3">
      <c r="A10227" s="5" t="s">
        <v>318</v>
      </c>
      <c r="B10227" s="5" t="s">
        <v>319</v>
      </c>
      <c r="C10227" s="6">
        <v>1980</v>
      </c>
      <c r="D10227" s="7">
        <v>9766312</v>
      </c>
    </row>
    <row r="10228" spans="1:4" x14ac:dyDescent="0.3">
      <c r="A10228" s="2" t="s">
        <v>318</v>
      </c>
      <c r="B10228" s="2" t="s">
        <v>319</v>
      </c>
      <c r="C10228" s="3">
        <v>1981</v>
      </c>
      <c r="D10228" s="4">
        <v>9851362</v>
      </c>
    </row>
    <row r="10229" spans="1:4" x14ac:dyDescent="0.3">
      <c r="A10229" s="5" t="s">
        <v>318</v>
      </c>
      <c r="B10229" s="5" t="s">
        <v>319</v>
      </c>
      <c r="C10229" s="6">
        <v>1982</v>
      </c>
      <c r="D10229" s="7">
        <v>9911771</v>
      </c>
    </row>
    <row r="10230" spans="1:4" x14ac:dyDescent="0.3">
      <c r="A10230" s="2" t="s">
        <v>318</v>
      </c>
      <c r="B10230" s="2" t="s">
        <v>319</v>
      </c>
      <c r="C10230" s="3">
        <v>1983</v>
      </c>
      <c r="D10230" s="4">
        <v>9957865</v>
      </c>
    </row>
    <row r="10231" spans="1:4" x14ac:dyDescent="0.3">
      <c r="A10231" s="5" t="s">
        <v>318</v>
      </c>
      <c r="B10231" s="5" t="s">
        <v>319</v>
      </c>
      <c r="C10231" s="6">
        <v>1984</v>
      </c>
      <c r="D10231" s="7">
        <v>9996232</v>
      </c>
    </row>
    <row r="10232" spans="1:4" x14ac:dyDescent="0.3">
      <c r="A10232" s="2" t="s">
        <v>318</v>
      </c>
      <c r="B10232" s="2" t="s">
        <v>319</v>
      </c>
      <c r="C10232" s="3">
        <v>1985</v>
      </c>
      <c r="D10232" s="4">
        <v>10023613</v>
      </c>
    </row>
    <row r="10233" spans="1:4" x14ac:dyDescent="0.3">
      <c r="A10233" s="5" t="s">
        <v>318</v>
      </c>
      <c r="B10233" s="5" t="s">
        <v>319</v>
      </c>
      <c r="C10233" s="6">
        <v>1986</v>
      </c>
      <c r="D10233" s="7">
        <v>10032734</v>
      </c>
    </row>
    <row r="10234" spans="1:4" x14ac:dyDescent="0.3">
      <c r="A10234" s="2" t="s">
        <v>318</v>
      </c>
      <c r="B10234" s="2" t="s">
        <v>319</v>
      </c>
      <c r="C10234" s="3">
        <v>1987</v>
      </c>
      <c r="D10234" s="4">
        <v>10030031</v>
      </c>
    </row>
    <row r="10235" spans="1:4" x14ac:dyDescent="0.3">
      <c r="A10235" s="5" t="s">
        <v>318</v>
      </c>
      <c r="B10235" s="5" t="s">
        <v>319</v>
      </c>
      <c r="C10235" s="6">
        <v>1988</v>
      </c>
      <c r="D10235" s="7">
        <v>10019610</v>
      </c>
    </row>
    <row r="10236" spans="1:4" x14ac:dyDescent="0.3">
      <c r="A10236" s="2" t="s">
        <v>318</v>
      </c>
      <c r="B10236" s="2" t="s">
        <v>319</v>
      </c>
      <c r="C10236" s="3">
        <v>1989</v>
      </c>
      <c r="D10236" s="4">
        <v>10005000</v>
      </c>
    </row>
    <row r="10237" spans="1:4" x14ac:dyDescent="0.3">
      <c r="A10237" s="5" t="s">
        <v>318</v>
      </c>
      <c r="B10237" s="5" t="s">
        <v>319</v>
      </c>
      <c r="C10237" s="6">
        <v>1990</v>
      </c>
      <c r="D10237" s="7">
        <v>9983218</v>
      </c>
    </row>
    <row r="10238" spans="1:4" x14ac:dyDescent="0.3">
      <c r="A10238" s="2" t="s">
        <v>318</v>
      </c>
      <c r="B10238" s="2" t="s">
        <v>319</v>
      </c>
      <c r="C10238" s="3">
        <v>1991</v>
      </c>
      <c r="D10238" s="4">
        <v>9960235</v>
      </c>
    </row>
    <row r="10239" spans="1:4" x14ac:dyDescent="0.3">
      <c r="A10239" s="5" t="s">
        <v>318</v>
      </c>
      <c r="B10239" s="5" t="s">
        <v>319</v>
      </c>
      <c r="C10239" s="6">
        <v>1992</v>
      </c>
      <c r="D10239" s="7">
        <v>9952494</v>
      </c>
    </row>
    <row r="10240" spans="1:4" x14ac:dyDescent="0.3">
      <c r="A10240" s="2" t="s">
        <v>318</v>
      </c>
      <c r="B10240" s="2" t="s">
        <v>319</v>
      </c>
      <c r="C10240" s="3">
        <v>1993</v>
      </c>
      <c r="D10240" s="4">
        <v>9964675</v>
      </c>
    </row>
    <row r="10241" spans="1:4" x14ac:dyDescent="0.3">
      <c r="A10241" s="5" t="s">
        <v>318</v>
      </c>
      <c r="B10241" s="5" t="s">
        <v>319</v>
      </c>
      <c r="C10241" s="6">
        <v>1994</v>
      </c>
      <c r="D10241" s="7">
        <v>9991525</v>
      </c>
    </row>
    <row r="10242" spans="1:4" x14ac:dyDescent="0.3">
      <c r="A10242" s="2" t="s">
        <v>318</v>
      </c>
      <c r="B10242" s="2" t="s">
        <v>319</v>
      </c>
      <c r="C10242" s="3">
        <v>1995</v>
      </c>
      <c r="D10242" s="4">
        <v>10026176</v>
      </c>
    </row>
    <row r="10243" spans="1:4" x14ac:dyDescent="0.3">
      <c r="A10243" s="5" t="s">
        <v>318</v>
      </c>
      <c r="B10243" s="5" t="s">
        <v>319</v>
      </c>
      <c r="C10243" s="6">
        <v>1996</v>
      </c>
      <c r="D10243" s="7">
        <v>10063945</v>
      </c>
    </row>
    <row r="10244" spans="1:4" x14ac:dyDescent="0.3">
      <c r="A10244" s="2" t="s">
        <v>318</v>
      </c>
      <c r="B10244" s="2" t="s">
        <v>319</v>
      </c>
      <c r="C10244" s="3">
        <v>1997</v>
      </c>
      <c r="D10244" s="4">
        <v>10108977</v>
      </c>
    </row>
    <row r="10245" spans="1:4" x14ac:dyDescent="0.3">
      <c r="A10245" s="5" t="s">
        <v>318</v>
      </c>
      <c r="B10245" s="5" t="s">
        <v>319</v>
      </c>
      <c r="C10245" s="6">
        <v>1998</v>
      </c>
      <c r="D10245" s="7">
        <v>10160196</v>
      </c>
    </row>
    <row r="10246" spans="1:4" x14ac:dyDescent="0.3">
      <c r="A10246" s="2" t="s">
        <v>318</v>
      </c>
      <c r="B10246" s="2" t="s">
        <v>319</v>
      </c>
      <c r="C10246" s="3">
        <v>1999</v>
      </c>
      <c r="D10246" s="4">
        <v>10217828</v>
      </c>
    </row>
    <row r="10247" spans="1:4" x14ac:dyDescent="0.3">
      <c r="A10247" s="5" t="s">
        <v>318</v>
      </c>
      <c r="B10247" s="5" t="s">
        <v>319</v>
      </c>
      <c r="C10247" s="6">
        <v>2000</v>
      </c>
      <c r="D10247" s="7">
        <v>10289898</v>
      </c>
    </row>
    <row r="10248" spans="1:4" x14ac:dyDescent="0.3">
      <c r="A10248" s="2" t="s">
        <v>318</v>
      </c>
      <c r="B10248" s="2" t="s">
        <v>319</v>
      </c>
      <c r="C10248" s="3">
        <v>2001</v>
      </c>
      <c r="D10248" s="4">
        <v>10362722</v>
      </c>
    </row>
    <row r="10249" spans="1:4" x14ac:dyDescent="0.3">
      <c r="A10249" s="5" t="s">
        <v>318</v>
      </c>
      <c r="B10249" s="5" t="s">
        <v>319</v>
      </c>
      <c r="C10249" s="6">
        <v>2002</v>
      </c>
      <c r="D10249" s="7">
        <v>10419631</v>
      </c>
    </row>
    <row r="10250" spans="1:4" x14ac:dyDescent="0.3">
      <c r="A10250" s="2" t="s">
        <v>318</v>
      </c>
      <c r="B10250" s="2" t="s">
        <v>319</v>
      </c>
      <c r="C10250" s="3">
        <v>2003</v>
      </c>
      <c r="D10250" s="4">
        <v>10458821</v>
      </c>
    </row>
    <row r="10251" spans="1:4" x14ac:dyDescent="0.3">
      <c r="A10251" s="5" t="s">
        <v>318</v>
      </c>
      <c r="B10251" s="5" t="s">
        <v>319</v>
      </c>
      <c r="C10251" s="6">
        <v>2004</v>
      </c>
      <c r="D10251" s="7">
        <v>10483861</v>
      </c>
    </row>
    <row r="10252" spans="1:4" x14ac:dyDescent="0.3">
      <c r="A10252" s="2" t="s">
        <v>318</v>
      </c>
      <c r="B10252" s="2" t="s">
        <v>319</v>
      </c>
      <c r="C10252" s="3">
        <v>2005</v>
      </c>
      <c r="D10252" s="4">
        <v>10503330</v>
      </c>
    </row>
    <row r="10253" spans="1:4" x14ac:dyDescent="0.3">
      <c r="A10253" s="5" t="s">
        <v>318</v>
      </c>
      <c r="B10253" s="5" t="s">
        <v>319</v>
      </c>
      <c r="C10253" s="6">
        <v>2006</v>
      </c>
      <c r="D10253" s="7">
        <v>10522288</v>
      </c>
    </row>
    <row r="10254" spans="1:4" x14ac:dyDescent="0.3">
      <c r="A10254" s="2" t="s">
        <v>318</v>
      </c>
      <c r="B10254" s="2" t="s">
        <v>319</v>
      </c>
      <c r="C10254" s="3">
        <v>2007</v>
      </c>
      <c r="D10254" s="4">
        <v>10542964</v>
      </c>
    </row>
    <row r="10255" spans="1:4" x14ac:dyDescent="0.3">
      <c r="A10255" s="5" t="s">
        <v>318</v>
      </c>
      <c r="B10255" s="5" t="s">
        <v>319</v>
      </c>
      <c r="C10255" s="6">
        <v>2008</v>
      </c>
      <c r="D10255" s="7">
        <v>10558177</v>
      </c>
    </row>
    <row r="10256" spans="1:4" x14ac:dyDescent="0.3">
      <c r="A10256" s="2" t="s">
        <v>318</v>
      </c>
      <c r="B10256" s="2" t="s">
        <v>319</v>
      </c>
      <c r="C10256" s="3">
        <v>2009</v>
      </c>
      <c r="D10256" s="4">
        <v>10568247</v>
      </c>
    </row>
    <row r="10257" spans="1:4" x14ac:dyDescent="0.3">
      <c r="A10257" s="5" t="s">
        <v>318</v>
      </c>
      <c r="B10257" s="5" t="s">
        <v>319</v>
      </c>
      <c r="C10257" s="6">
        <v>2010</v>
      </c>
      <c r="D10257" s="7">
        <v>10573100</v>
      </c>
    </row>
    <row r="10258" spans="1:4" x14ac:dyDescent="0.3">
      <c r="A10258" s="2" t="s">
        <v>318</v>
      </c>
      <c r="B10258" s="2" t="s">
        <v>319</v>
      </c>
      <c r="C10258" s="3">
        <v>2011</v>
      </c>
      <c r="D10258" s="4">
        <v>10557560</v>
      </c>
    </row>
    <row r="10259" spans="1:4" x14ac:dyDescent="0.3">
      <c r="A10259" s="5" t="s">
        <v>318</v>
      </c>
      <c r="B10259" s="5" t="s">
        <v>319</v>
      </c>
      <c r="C10259" s="6">
        <v>2012</v>
      </c>
      <c r="D10259" s="7">
        <v>10514844</v>
      </c>
    </row>
    <row r="10260" spans="1:4" x14ac:dyDescent="0.3">
      <c r="A10260" s="2" t="s">
        <v>318</v>
      </c>
      <c r="B10260" s="2" t="s">
        <v>319</v>
      </c>
      <c r="C10260" s="3">
        <v>2013</v>
      </c>
      <c r="D10260" s="4">
        <v>10457295</v>
      </c>
    </row>
    <row r="10261" spans="1:4" x14ac:dyDescent="0.3">
      <c r="A10261" s="5" t="s">
        <v>318</v>
      </c>
      <c r="B10261" s="5" t="s">
        <v>319</v>
      </c>
      <c r="C10261" s="6">
        <v>2014</v>
      </c>
      <c r="D10261" s="7">
        <v>10401062</v>
      </c>
    </row>
    <row r="10262" spans="1:4" x14ac:dyDescent="0.3">
      <c r="A10262" s="2" t="s">
        <v>318</v>
      </c>
      <c r="B10262" s="2" t="s">
        <v>319</v>
      </c>
      <c r="C10262" s="3">
        <v>2015</v>
      </c>
      <c r="D10262" s="4">
        <v>10358076</v>
      </c>
    </row>
    <row r="10263" spans="1:4" x14ac:dyDescent="0.3">
      <c r="A10263" s="5" t="s">
        <v>318</v>
      </c>
      <c r="B10263" s="5" t="s">
        <v>319</v>
      </c>
      <c r="C10263" s="6">
        <v>2016</v>
      </c>
      <c r="D10263" s="7">
        <v>10325452</v>
      </c>
    </row>
    <row r="10264" spans="1:4" x14ac:dyDescent="0.3">
      <c r="A10264" s="2" t="s">
        <v>318</v>
      </c>
      <c r="B10264" s="2" t="s">
        <v>319</v>
      </c>
      <c r="C10264" s="3">
        <v>2017</v>
      </c>
      <c r="D10264" s="4">
        <v>10300300</v>
      </c>
    </row>
    <row r="10265" spans="1:4" x14ac:dyDescent="0.3">
      <c r="A10265" s="5" t="s">
        <v>318</v>
      </c>
      <c r="B10265" s="5" t="s">
        <v>319</v>
      </c>
      <c r="C10265" s="6">
        <v>2018</v>
      </c>
      <c r="D10265" s="7">
        <v>10283822</v>
      </c>
    </row>
    <row r="10266" spans="1:4" x14ac:dyDescent="0.3">
      <c r="A10266" s="2" t="s">
        <v>318</v>
      </c>
      <c r="B10266" s="2" t="s">
        <v>319</v>
      </c>
      <c r="C10266" s="3">
        <v>2019</v>
      </c>
      <c r="D10266" s="4">
        <v>10286263</v>
      </c>
    </row>
    <row r="10267" spans="1:4" x14ac:dyDescent="0.3">
      <c r="A10267" s="5" t="s">
        <v>318</v>
      </c>
      <c r="B10267" s="5" t="s">
        <v>319</v>
      </c>
      <c r="C10267" s="6">
        <v>2020</v>
      </c>
      <c r="D10267" s="7">
        <v>10297081</v>
      </c>
    </row>
    <row r="10268" spans="1:4" x14ac:dyDescent="0.3">
      <c r="A10268" s="2" t="s">
        <v>318</v>
      </c>
      <c r="B10268" s="2" t="s">
        <v>319</v>
      </c>
      <c r="C10268" s="3">
        <v>2021</v>
      </c>
      <c r="D10268" s="4">
        <v>10361831</v>
      </c>
    </row>
    <row r="10269" spans="1:4" x14ac:dyDescent="0.3">
      <c r="A10269" s="5" t="s">
        <v>318</v>
      </c>
      <c r="B10269" s="5" t="s">
        <v>319</v>
      </c>
      <c r="C10269" s="6">
        <v>2022</v>
      </c>
      <c r="D10269" s="7">
        <v>10434332</v>
      </c>
    </row>
    <row r="10270" spans="1:4" x14ac:dyDescent="0.3">
      <c r="A10270" s="2" t="s">
        <v>318</v>
      </c>
      <c r="B10270" s="2" t="s">
        <v>319</v>
      </c>
      <c r="C10270" s="3">
        <v>2023</v>
      </c>
      <c r="D10270" s="4">
        <v>10578174</v>
      </c>
    </row>
    <row r="10271" spans="1:4" x14ac:dyDescent="0.3">
      <c r="A10271" s="5" t="s">
        <v>318</v>
      </c>
      <c r="B10271" s="5" t="s">
        <v>319</v>
      </c>
      <c r="C10271" s="6">
        <v>2024</v>
      </c>
      <c r="D10271" s="7">
        <v>10701636</v>
      </c>
    </row>
    <row r="10272" spans="1:4" x14ac:dyDescent="0.3">
      <c r="A10272" s="2" t="s">
        <v>320</v>
      </c>
      <c r="B10272" s="2" t="s">
        <v>321</v>
      </c>
      <c r="C10272" s="3">
        <v>1960</v>
      </c>
      <c r="D10272" s="4">
        <v>2358000</v>
      </c>
    </row>
    <row r="10273" spans="1:4" x14ac:dyDescent="0.3">
      <c r="A10273" s="5" t="s">
        <v>320</v>
      </c>
      <c r="B10273" s="5" t="s">
        <v>321</v>
      </c>
      <c r="C10273" s="6">
        <v>1961</v>
      </c>
      <c r="D10273" s="7">
        <v>2399722</v>
      </c>
    </row>
    <row r="10274" spans="1:4" x14ac:dyDescent="0.3">
      <c r="A10274" s="2" t="s">
        <v>320</v>
      </c>
      <c r="B10274" s="2" t="s">
        <v>321</v>
      </c>
      <c r="C10274" s="3">
        <v>1962</v>
      </c>
      <c r="D10274" s="4">
        <v>2450322</v>
      </c>
    </row>
    <row r="10275" spans="1:4" x14ac:dyDescent="0.3">
      <c r="A10275" s="5" t="s">
        <v>320</v>
      </c>
      <c r="B10275" s="5" t="s">
        <v>321</v>
      </c>
      <c r="C10275" s="6">
        <v>1963</v>
      </c>
      <c r="D10275" s="7">
        <v>2504530</v>
      </c>
    </row>
    <row r="10276" spans="1:4" x14ac:dyDescent="0.3">
      <c r="A10276" s="2" t="s">
        <v>320</v>
      </c>
      <c r="B10276" s="2" t="s">
        <v>321</v>
      </c>
      <c r="C10276" s="3">
        <v>1964</v>
      </c>
      <c r="D10276" s="4">
        <v>2554066</v>
      </c>
    </row>
    <row r="10277" spans="1:4" x14ac:dyDescent="0.3">
      <c r="A10277" s="5" t="s">
        <v>320</v>
      </c>
      <c r="B10277" s="5" t="s">
        <v>321</v>
      </c>
      <c r="C10277" s="6">
        <v>1965</v>
      </c>
      <c r="D10277" s="7">
        <v>2594000</v>
      </c>
    </row>
    <row r="10278" spans="1:4" x14ac:dyDescent="0.3">
      <c r="A10278" s="2" t="s">
        <v>320</v>
      </c>
      <c r="B10278" s="2" t="s">
        <v>321</v>
      </c>
      <c r="C10278" s="3">
        <v>1966</v>
      </c>
      <c r="D10278" s="4">
        <v>2624995</v>
      </c>
    </row>
    <row r="10279" spans="1:4" x14ac:dyDescent="0.3">
      <c r="A10279" s="5" t="s">
        <v>320</v>
      </c>
      <c r="B10279" s="5" t="s">
        <v>321</v>
      </c>
      <c r="C10279" s="6">
        <v>1967</v>
      </c>
      <c r="D10279" s="7">
        <v>2645674</v>
      </c>
    </row>
    <row r="10280" spans="1:4" x14ac:dyDescent="0.3">
      <c r="A10280" s="2" t="s">
        <v>320</v>
      </c>
      <c r="B10280" s="2" t="s">
        <v>321</v>
      </c>
      <c r="C10280" s="3">
        <v>1968</v>
      </c>
      <c r="D10280" s="4">
        <v>2662064</v>
      </c>
    </row>
    <row r="10281" spans="1:4" x14ac:dyDescent="0.3">
      <c r="A10281" s="5" t="s">
        <v>320</v>
      </c>
      <c r="B10281" s="5" t="s">
        <v>321</v>
      </c>
      <c r="C10281" s="6">
        <v>1969</v>
      </c>
      <c r="D10281" s="7">
        <v>2684150</v>
      </c>
    </row>
    <row r="10282" spans="1:4" x14ac:dyDescent="0.3">
      <c r="A10282" s="2" t="s">
        <v>320</v>
      </c>
      <c r="B10282" s="2" t="s">
        <v>321</v>
      </c>
      <c r="C10282" s="3">
        <v>1970</v>
      </c>
      <c r="D10282" s="4">
        <v>2718000</v>
      </c>
    </row>
    <row r="10283" spans="1:4" x14ac:dyDescent="0.3">
      <c r="A10283" s="5" t="s">
        <v>320</v>
      </c>
      <c r="B10283" s="5" t="s">
        <v>321</v>
      </c>
      <c r="C10283" s="6">
        <v>1971</v>
      </c>
      <c r="D10283" s="7">
        <v>2762190</v>
      </c>
    </row>
    <row r="10284" spans="1:4" x14ac:dyDescent="0.3">
      <c r="A10284" s="2" t="s">
        <v>320</v>
      </c>
      <c r="B10284" s="2" t="s">
        <v>321</v>
      </c>
      <c r="C10284" s="3">
        <v>1972</v>
      </c>
      <c r="D10284" s="4">
        <v>2817256</v>
      </c>
    </row>
    <row r="10285" spans="1:4" x14ac:dyDescent="0.3">
      <c r="A10285" s="5" t="s">
        <v>320</v>
      </c>
      <c r="B10285" s="5" t="s">
        <v>321</v>
      </c>
      <c r="C10285" s="6">
        <v>1973</v>
      </c>
      <c r="D10285" s="7">
        <v>2878786</v>
      </c>
    </row>
    <row r="10286" spans="1:4" x14ac:dyDescent="0.3">
      <c r="A10286" s="2" t="s">
        <v>320</v>
      </c>
      <c r="B10286" s="2" t="s">
        <v>321</v>
      </c>
      <c r="C10286" s="3">
        <v>1974</v>
      </c>
      <c r="D10286" s="4">
        <v>2939299</v>
      </c>
    </row>
    <row r="10287" spans="1:4" x14ac:dyDescent="0.3">
      <c r="A10287" s="5" t="s">
        <v>320</v>
      </c>
      <c r="B10287" s="5" t="s">
        <v>321</v>
      </c>
      <c r="C10287" s="6">
        <v>1975</v>
      </c>
      <c r="D10287" s="7">
        <v>2994000</v>
      </c>
    </row>
    <row r="10288" spans="1:4" x14ac:dyDescent="0.3">
      <c r="A10288" s="2" t="s">
        <v>320</v>
      </c>
      <c r="B10288" s="2" t="s">
        <v>321</v>
      </c>
      <c r="C10288" s="3">
        <v>1976</v>
      </c>
      <c r="D10288" s="4">
        <v>3043854</v>
      </c>
    </row>
    <row r="10289" spans="1:4" x14ac:dyDescent="0.3">
      <c r="A10289" s="5" t="s">
        <v>320</v>
      </c>
      <c r="B10289" s="5" t="s">
        <v>321</v>
      </c>
      <c r="C10289" s="6">
        <v>1977</v>
      </c>
      <c r="D10289" s="7">
        <v>3088690</v>
      </c>
    </row>
    <row r="10290" spans="1:4" x14ac:dyDescent="0.3">
      <c r="A10290" s="2" t="s">
        <v>320</v>
      </c>
      <c r="B10290" s="2" t="s">
        <v>321</v>
      </c>
      <c r="C10290" s="3">
        <v>1978</v>
      </c>
      <c r="D10290" s="4">
        <v>3129421</v>
      </c>
    </row>
    <row r="10291" spans="1:4" x14ac:dyDescent="0.3">
      <c r="A10291" s="5" t="s">
        <v>320</v>
      </c>
      <c r="B10291" s="5" t="s">
        <v>321</v>
      </c>
      <c r="C10291" s="6">
        <v>1979</v>
      </c>
      <c r="D10291" s="7">
        <v>3168088</v>
      </c>
    </row>
    <row r="10292" spans="1:4" x14ac:dyDescent="0.3">
      <c r="A10292" s="2" t="s">
        <v>320</v>
      </c>
      <c r="B10292" s="2" t="s">
        <v>321</v>
      </c>
      <c r="C10292" s="3">
        <v>1980</v>
      </c>
      <c r="D10292" s="4">
        <v>3206000</v>
      </c>
    </row>
    <row r="10293" spans="1:4" x14ac:dyDescent="0.3">
      <c r="A10293" s="5" t="s">
        <v>320</v>
      </c>
      <c r="B10293" s="5" t="s">
        <v>321</v>
      </c>
      <c r="C10293" s="6">
        <v>1981</v>
      </c>
      <c r="D10293" s="7">
        <v>3242552</v>
      </c>
    </row>
    <row r="10294" spans="1:4" x14ac:dyDescent="0.3">
      <c r="A10294" s="2" t="s">
        <v>320</v>
      </c>
      <c r="B10294" s="2" t="s">
        <v>321</v>
      </c>
      <c r="C10294" s="3">
        <v>1982</v>
      </c>
      <c r="D10294" s="4">
        <v>3277453</v>
      </c>
    </row>
    <row r="10295" spans="1:4" x14ac:dyDescent="0.3">
      <c r="A10295" s="5" t="s">
        <v>320</v>
      </c>
      <c r="B10295" s="5" t="s">
        <v>321</v>
      </c>
      <c r="C10295" s="6">
        <v>1983</v>
      </c>
      <c r="D10295" s="7">
        <v>3311138</v>
      </c>
    </row>
    <row r="10296" spans="1:4" x14ac:dyDescent="0.3">
      <c r="A10296" s="2" t="s">
        <v>320</v>
      </c>
      <c r="B10296" s="2" t="s">
        <v>321</v>
      </c>
      <c r="C10296" s="3">
        <v>1984</v>
      </c>
      <c r="D10296" s="4">
        <v>3344190</v>
      </c>
    </row>
    <row r="10297" spans="1:4" x14ac:dyDescent="0.3">
      <c r="A10297" s="5" t="s">
        <v>320</v>
      </c>
      <c r="B10297" s="5" t="s">
        <v>321</v>
      </c>
      <c r="C10297" s="6">
        <v>1985</v>
      </c>
      <c r="D10297" s="7">
        <v>3377000</v>
      </c>
    </row>
    <row r="10298" spans="1:4" x14ac:dyDescent="0.3">
      <c r="A10298" s="2" t="s">
        <v>320</v>
      </c>
      <c r="B10298" s="2" t="s">
        <v>321</v>
      </c>
      <c r="C10298" s="3">
        <v>1986</v>
      </c>
      <c r="D10298" s="4">
        <v>3409554</v>
      </c>
    </row>
    <row r="10299" spans="1:4" x14ac:dyDescent="0.3">
      <c r="A10299" s="5" t="s">
        <v>320</v>
      </c>
      <c r="B10299" s="5" t="s">
        <v>321</v>
      </c>
      <c r="C10299" s="6">
        <v>1987</v>
      </c>
      <c r="D10299" s="7">
        <v>3441850</v>
      </c>
    </row>
    <row r="10300" spans="1:4" x14ac:dyDescent="0.3">
      <c r="A10300" s="2" t="s">
        <v>320</v>
      </c>
      <c r="B10300" s="2" t="s">
        <v>321</v>
      </c>
      <c r="C10300" s="3">
        <v>1988</v>
      </c>
      <c r="D10300" s="4">
        <v>3473898</v>
      </c>
    </row>
    <row r="10301" spans="1:4" x14ac:dyDescent="0.3">
      <c r="A10301" s="5" t="s">
        <v>320</v>
      </c>
      <c r="B10301" s="5" t="s">
        <v>321</v>
      </c>
      <c r="C10301" s="6">
        <v>1989</v>
      </c>
      <c r="D10301" s="7">
        <v>3505650</v>
      </c>
    </row>
    <row r="10302" spans="1:4" x14ac:dyDescent="0.3">
      <c r="A10302" s="2" t="s">
        <v>320</v>
      </c>
      <c r="B10302" s="2" t="s">
        <v>321</v>
      </c>
      <c r="C10302" s="3">
        <v>1990</v>
      </c>
      <c r="D10302" s="4">
        <v>3537000</v>
      </c>
    </row>
    <row r="10303" spans="1:4" x14ac:dyDescent="0.3">
      <c r="A10303" s="5" t="s">
        <v>320</v>
      </c>
      <c r="B10303" s="5" t="s">
        <v>321</v>
      </c>
      <c r="C10303" s="6">
        <v>1991</v>
      </c>
      <c r="D10303" s="7">
        <v>3562110</v>
      </c>
    </row>
    <row r="10304" spans="1:4" x14ac:dyDescent="0.3">
      <c r="A10304" s="2" t="s">
        <v>320</v>
      </c>
      <c r="B10304" s="2" t="s">
        <v>321</v>
      </c>
      <c r="C10304" s="3">
        <v>1992</v>
      </c>
      <c r="D10304" s="4">
        <v>3585176</v>
      </c>
    </row>
    <row r="10305" spans="1:4" x14ac:dyDescent="0.3">
      <c r="A10305" s="5" t="s">
        <v>320</v>
      </c>
      <c r="B10305" s="5" t="s">
        <v>321</v>
      </c>
      <c r="C10305" s="6">
        <v>1993</v>
      </c>
      <c r="D10305" s="7">
        <v>3615497</v>
      </c>
    </row>
    <row r="10306" spans="1:4" x14ac:dyDescent="0.3">
      <c r="A10306" s="2" t="s">
        <v>320</v>
      </c>
      <c r="B10306" s="2" t="s">
        <v>321</v>
      </c>
      <c r="C10306" s="3">
        <v>1994</v>
      </c>
      <c r="D10306" s="4">
        <v>3649237</v>
      </c>
    </row>
    <row r="10307" spans="1:4" x14ac:dyDescent="0.3">
      <c r="A10307" s="5" t="s">
        <v>320</v>
      </c>
      <c r="B10307" s="5" t="s">
        <v>321</v>
      </c>
      <c r="C10307" s="6">
        <v>1995</v>
      </c>
      <c r="D10307" s="7">
        <v>3683103</v>
      </c>
    </row>
    <row r="10308" spans="1:4" x14ac:dyDescent="0.3">
      <c r="A10308" s="2" t="s">
        <v>320</v>
      </c>
      <c r="B10308" s="2" t="s">
        <v>321</v>
      </c>
      <c r="C10308" s="3">
        <v>1996</v>
      </c>
      <c r="D10308" s="4">
        <v>3724655</v>
      </c>
    </row>
    <row r="10309" spans="1:4" x14ac:dyDescent="0.3">
      <c r="A10309" s="5" t="s">
        <v>320</v>
      </c>
      <c r="B10309" s="5" t="s">
        <v>321</v>
      </c>
      <c r="C10309" s="6">
        <v>1997</v>
      </c>
      <c r="D10309" s="7">
        <v>3759430</v>
      </c>
    </row>
    <row r="10310" spans="1:4" x14ac:dyDescent="0.3">
      <c r="A10310" s="2" t="s">
        <v>320</v>
      </c>
      <c r="B10310" s="2" t="s">
        <v>321</v>
      </c>
      <c r="C10310" s="3">
        <v>1998</v>
      </c>
      <c r="D10310" s="4">
        <v>3781101</v>
      </c>
    </row>
    <row r="10311" spans="1:4" x14ac:dyDescent="0.3">
      <c r="A10311" s="5" t="s">
        <v>320</v>
      </c>
      <c r="B10311" s="5" t="s">
        <v>321</v>
      </c>
      <c r="C10311" s="6">
        <v>1999</v>
      </c>
      <c r="D10311" s="7">
        <v>3800081</v>
      </c>
    </row>
    <row r="10312" spans="1:4" x14ac:dyDescent="0.3">
      <c r="A10312" s="2" t="s">
        <v>320</v>
      </c>
      <c r="B10312" s="2" t="s">
        <v>321</v>
      </c>
      <c r="C10312" s="3">
        <v>2000</v>
      </c>
      <c r="D10312" s="4">
        <v>3810605</v>
      </c>
    </row>
    <row r="10313" spans="1:4" x14ac:dyDescent="0.3">
      <c r="A10313" s="5" t="s">
        <v>320</v>
      </c>
      <c r="B10313" s="5" t="s">
        <v>321</v>
      </c>
      <c r="C10313" s="6">
        <v>2001</v>
      </c>
      <c r="D10313" s="7">
        <v>3818774</v>
      </c>
    </row>
    <row r="10314" spans="1:4" x14ac:dyDescent="0.3">
      <c r="A10314" s="2" t="s">
        <v>320</v>
      </c>
      <c r="B10314" s="2" t="s">
        <v>321</v>
      </c>
      <c r="C10314" s="3">
        <v>2002</v>
      </c>
      <c r="D10314" s="4">
        <v>3823701</v>
      </c>
    </row>
    <row r="10315" spans="1:4" x14ac:dyDescent="0.3">
      <c r="A10315" s="5" t="s">
        <v>320</v>
      </c>
      <c r="B10315" s="5" t="s">
        <v>321</v>
      </c>
      <c r="C10315" s="6">
        <v>2003</v>
      </c>
      <c r="D10315" s="7">
        <v>3826095</v>
      </c>
    </row>
    <row r="10316" spans="1:4" x14ac:dyDescent="0.3">
      <c r="A10316" s="2" t="s">
        <v>320</v>
      </c>
      <c r="B10316" s="2" t="s">
        <v>321</v>
      </c>
      <c r="C10316" s="3">
        <v>2004</v>
      </c>
      <c r="D10316" s="4">
        <v>3826878</v>
      </c>
    </row>
    <row r="10317" spans="1:4" x14ac:dyDescent="0.3">
      <c r="A10317" s="5" t="s">
        <v>320</v>
      </c>
      <c r="B10317" s="5" t="s">
        <v>321</v>
      </c>
      <c r="C10317" s="6">
        <v>2005</v>
      </c>
      <c r="D10317" s="7">
        <v>3821362</v>
      </c>
    </row>
    <row r="10318" spans="1:4" x14ac:dyDescent="0.3">
      <c r="A10318" s="2" t="s">
        <v>320</v>
      </c>
      <c r="B10318" s="2" t="s">
        <v>321</v>
      </c>
      <c r="C10318" s="3">
        <v>2006</v>
      </c>
      <c r="D10318" s="4">
        <v>3805214</v>
      </c>
    </row>
    <row r="10319" spans="1:4" x14ac:dyDescent="0.3">
      <c r="A10319" s="5" t="s">
        <v>320</v>
      </c>
      <c r="B10319" s="5" t="s">
        <v>321</v>
      </c>
      <c r="C10319" s="6">
        <v>2007</v>
      </c>
      <c r="D10319" s="7">
        <v>3782995</v>
      </c>
    </row>
    <row r="10320" spans="1:4" x14ac:dyDescent="0.3">
      <c r="A10320" s="2" t="s">
        <v>320</v>
      </c>
      <c r="B10320" s="2" t="s">
        <v>321</v>
      </c>
      <c r="C10320" s="3">
        <v>2008</v>
      </c>
      <c r="D10320" s="4">
        <v>3760866</v>
      </c>
    </row>
    <row r="10321" spans="1:4" x14ac:dyDescent="0.3">
      <c r="A10321" s="5" t="s">
        <v>320</v>
      </c>
      <c r="B10321" s="5" t="s">
        <v>321</v>
      </c>
      <c r="C10321" s="6">
        <v>2009</v>
      </c>
      <c r="D10321" s="7">
        <v>3740410</v>
      </c>
    </row>
    <row r="10322" spans="1:4" x14ac:dyDescent="0.3">
      <c r="A10322" s="2" t="s">
        <v>320</v>
      </c>
      <c r="B10322" s="2" t="s">
        <v>321</v>
      </c>
      <c r="C10322" s="3">
        <v>2010</v>
      </c>
      <c r="D10322" s="4">
        <v>3724465</v>
      </c>
    </row>
    <row r="10323" spans="1:4" x14ac:dyDescent="0.3">
      <c r="A10323" s="5" t="s">
        <v>320</v>
      </c>
      <c r="B10323" s="5" t="s">
        <v>321</v>
      </c>
      <c r="C10323" s="6">
        <v>2011</v>
      </c>
      <c r="D10323" s="7">
        <v>3693464</v>
      </c>
    </row>
    <row r="10324" spans="1:4" x14ac:dyDescent="0.3">
      <c r="A10324" s="2" t="s">
        <v>320</v>
      </c>
      <c r="B10324" s="2" t="s">
        <v>321</v>
      </c>
      <c r="C10324" s="3">
        <v>2012</v>
      </c>
      <c r="D10324" s="4">
        <v>3661045</v>
      </c>
    </row>
    <row r="10325" spans="1:4" x14ac:dyDescent="0.3">
      <c r="A10325" s="5" t="s">
        <v>320</v>
      </c>
      <c r="B10325" s="5" t="s">
        <v>321</v>
      </c>
      <c r="C10325" s="6">
        <v>2013</v>
      </c>
      <c r="D10325" s="7">
        <v>3631427</v>
      </c>
    </row>
    <row r="10326" spans="1:4" x14ac:dyDescent="0.3">
      <c r="A10326" s="2" t="s">
        <v>320</v>
      </c>
      <c r="B10326" s="2" t="s">
        <v>321</v>
      </c>
      <c r="C10326" s="3">
        <v>2014</v>
      </c>
      <c r="D10326" s="4">
        <v>3585017</v>
      </c>
    </row>
    <row r="10327" spans="1:4" x14ac:dyDescent="0.3">
      <c r="A10327" s="5" t="s">
        <v>320</v>
      </c>
      <c r="B10327" s="5" t="s">
        <v>321</v>
      </c>
      <c r="C10327" s="6">
        <v>2015</v>
      </c>
      <c r="D10327" s="7">
        <v>3535167</v>
      </c>
    </row>
    <row r="10328" spans="1:4" x14ac:dyDescent="0.3">
      <c r="A10328" s="2" t="s">
        <v>320</v>
      </c>
      <c r="B10328" s="2" t="s">
        <v>321</v>
      </c>
      <c r="C10328" s="3">
        <v>2016</v>
      </c>
      <c r="D10328" s="4">
        <v>3480432</v>
      </c>
    </row>
    <row r="10329" spans="1:4" x14ac:dyDescent="0.3">
      <c r="A10329" s="5" t="s">
        <v>320</v>
      </c>
      <c r="B10329" s="5" t="s">
        <v>321</v>
      </c>
      <c r="C10329" s="6">
        <v>2017</v>
      </c>
      <c r="D10329" s="7">
        <v>3410837</v>
      </c>
    </row>
    <row r="10330" spans="1:4" x14ac:dyDescent="0.3">
      <c r="A10330" s="2" t="s">
        <v>320</v>
      </c>
      <c r="B10330" s="2" t="s">
        <v>321</v>
      </c>
      <c r="C10330" s="3">
        <v>2018</v>
      </c>
      <c r="D10330" s="4">
        <v>3290690</v>
      </c>
    </row>
    <row r="10331" spans="1:4" x14ac:dyDescent="0.3">
      <c r="A10331" s="5" t="s">
        <v>320</v>
      </c>
      <c r="B10331" s="5" t="s">
        <v>321</v>
      </c>
      <c r="C10331" s="6">
        <v>2019</v>
      </c>
      <c r="D10331" s="7">
        <v>3302691</v>
      </c>
    </row>
    <row r="10332" spans="1:4" x14ac:dyDescent="0.3">
      <c r="A10332" s="2" t="s">
        <v>320</v>
      </c>
      <c r="B10332" s="2" t="s">
        <v>321</v>
      </c>
      <c r="C10332" s="3">
        <v>2020</v>
      </c>
      <c r="D10332" s="4">
        <v>3281590</v>
      </c>
    </row>
    <row r="10333" spans="1:4" x14ac:dyDescent="0.3">
      <c r="A10333" s="5" t="s">
        <v>320</v>
      </c>
      <c r="B10333" s="5" t="s">
        <v>321</v>
      </c>
      <c r="C10333" s="6">
        <v>2021</v>
      </c>
      <c r="D10333" s="7">
        <v>3262711</v>
      </c>
    </row>
    <row r="10334" spans="1:4" x14ac:dyDescent="0.3">
      <c r="A10334" s="2" t="s">
        <v>320</v>
      </c>
      <c r="B10334" s="2" t="s">
        <v>321</v>
      </c>
      <c r="C10334" s="3">
        <v>2022</v>
      </c>
      <c r="D10334" s="4">
        <v>3220137</v>
      </c>
    </row>
    <row r="10335" spans="1:4" x14ac:dyDescent="0.3">
      <c r="A10335" s="5" t="s">
        <v>320</v>
      </c>
      <c r="B10335" s="5" t="s">
        <v>321</v>
      </c>
      <c r="C10335" s="6">
        <v>2023</v>
      </c>
      <c r="D10335" s="7">
        <v>3203792</v>
      </c>
    </row>
    <row r="10336" spans="1:4" x14ac:dyDescent="0.3">
      <c r="A10336" s="2" t="s">
        <v>320</v>
      </c>
      <c r="B10336" s="2" t="s">
        <v>321</v>
      </c>
      <c r="C10336" s="3">
        <v>2024</v>
      </c>
      <c r="D10336" s="4">
        <v>3203295</v>
      </c>
    </row>
    <row r="10337" spans="1:4" x14ac:dyDescent="0.3">
      <c r="A10337" s="5" t="s">
        <v>322</v>
      </c>
      <c r="B10337" s="5" t="s">
        <v>323</v>
      </c>
      <c r="C10337" s="6">
        <v>1960</v>
      </c>
      <c r="D10337" s="7">
        <v>36010</v>
      </c>
    </row>
    <row r="10338" spans="1:4" x14ac:dyDescent="0.3">
      <c r="A10338" s="2" t="s">
        <v>322</v>
      </c>
      <c r="B10338" s="2" t="s">
        <v>323</v>
      </c>
      <c r="C10338" s="3">
        <v>1961</v>
      </c>
      <c r="D10338" s="4">
        <v>39680</v>
      </c>
    </row>
    <row r="10339" spans="1:4" x14ac:dyDescent="0.3">
      <c r="A10339" s="5" t="s">
        <v>322</v>
      </c>
      <c r="B10339" s="5" t="s">
        <v>323</v>
      </c>
      <c r="C10339" s="6">
        <v>1962</v>
      </c>
      <c r="D10339" s="7">
        <v>44630</v>
      </c>
    </row>
    <row r="10340" spans="1:4" x14ac:dyDescent="0.3">
      <c r="A10340" s="2" t="s">
        <v>322</v>
      </c>
      <c r="B10340" s="2" t="s">
        <v>323</v>
      </c>
      <c r="C10340" s="3">
        <v>1963</v>
      </c>
      <c r="D10340" s="4">
        <v>50380</v>
      </c>
    </row>
    <row r="10341" spans="1:4" x14ac:dyDescent="0.3">
      <c r="A10341" s="5" t="s">
        <v>322</v>
      </c>
      <c r="B10341" s="5" t="s">
        <v>323</v>
      </c>
      <c r="C10341" s="6">
        <v>1964</v>
      </c>
      <c r="D10341" s="7">
        <v>56867</v>
      </c>
    </row>
    <row r="10342" spans="1:4" x14ac:dyDescent="0.3">
      <c r="A10342" s="2" t="s">
        <v>322</v>
      </c>
      <c r="B10342" s="2" t="s">
        <v>323</v>
      </c>
      <c r="C10342" s="3">
        <v>1965</v>
      </c>
      <c r="D10342" s="4">
        <v>64065</v>
      </c>
    </row>
    <row r="10343" spans="1:4" x14ac:dyDescent="0.3">
      <c r="A10343" s="5" t="s">
        <v>322</v>
      </c>
      <c r="B10343" s="5" t="s">
        <v>323</v>
      </c>
      <c r="C10343" s="6">
        <v>1966</v>
      </c>
      <c r="D10343" s="7">
        <v>72192</v>
      </c>
    </row>
    <row r="10344" spans="1:4" x14ac:dyDescent="0.3">
      <c r="A10344" s="2" t="s">
        <v>322</v>
      </c>
      <c r="B10344" s="2" t="s">
        <v>323</v>
      </c>
      <c r="C10344" s="3">
        <v>1967</v>
      </c>
      <c r="D10344" s="4">
        <v>81439</v>
      </c>
    </row>
    <row r="10345" spans="1:4" x14ac:dyDescent="0.3">
      <c r="A10345" s="5" t="s">
        <v>322</v>
      </c>
      <c r="B10345" s="5" t="s">
        <v>323</v>
      </c>
      <c r="C10345" s="6">
        <v>1968</v>
      </c>
      <c r="D10345" s="7">
        <v>91749</v>
      </c>
    </row>
    <row r="10346" spans="1:4" x14ac:dyDescent="0.3">
      <c r="A10346" s="2" t="s">
        <v>322</v>
      </c>
      <c r="B10346" s="2" t="s">
        <v>323</v>
      </c>
      <c r="C10346" s="3">
        <v>1969</v>
      </c>
      <c r="D10346" s="4">
        <v>103025</v>
      </c>
    </row>
    <row r="10347" spans="1:4" x14ac:dyDescent="0.3">
      <c r="A10347" s="5" t="s">
        <v>322</v>
      </c>
      <c r="B10347" s="5" t="s">
        <v>323</v>
      </c>
      <c r="C10347" s="6">
        <v>1970</v>
      </c>
      <c r="D10347" s="7">
        <v>116350</v>
      </c>
    </row>
    <row r="10348" spans="1:4" x14ac:dyDescent="0.3">
      <c r="A10348" s="2" t="s">
        <v>322</v>
      </c>
      <c r="B10348" s="2" t="s">
        <v>323</v>
      </c>
      <c r="C10348" s="3">
        <v>1971</v>
      </c>
      <c r="D10348" s="4">
        <v>131346</v>
      </c>
    </row>
    <row r="10349" spans="1:4" x14ac:dyDescent="0.3">
      <c r="A10349" s="5" t="s">
        <v>322</v>
      </c>
      <c r="B10349" s="5" t="s">
        <v>323</v>
      </c>
      <c r="C10349" s="6">
        <v>1972</v>
      </c>
      <c r="D10349" s="7">
        <v>146506</v>
      </c>
    </row>
    <row r="10350" spans="1:4" x14ac:dyDescent="0.3">
      <c r="A10350" s="2" t="s">
        <v>322</v>
      </c>
      <c r="B10350" s="2" t="s">
        <v>323</v>
      </c>
      <c r="C10350" s="3">
        <v>1973</v>
      </c>
      <c r="D10350" s="4">
        <v>161841</v>
      </c>
    </row>
    <row r="10351" spans="1:4" x14ac:dyDescent="0.3">
      <c r="A10351" s="5" t="s">
        <v>322</v>
      </c>
      <c r="B10351" s="5" t="s">
        <v>323</v>
      </c>
      <c r="C10351" s="6">
        <v>1974</v>
      </c>
      <c r="D10351" s="7">
        <v>177362</v>
      </c>
    </row>
    <row r="10352" spans="1:4" x14ac:dyDescent="0.3">
      <c r="A10352" s="2" t="s">
        <v>322</v>
      </c>
      <c r="B10352" s="2" t="s">
        <v>323</v>
      </c>
      <c r="C10352" s="3">
        <v>1975</v>
      </c>
      <c r="D10352" s="4">
        <v>193087</v>
      </c>
    </row>
    <row r="10353" spans="1:4" x14ac:dyDescent="0.3">
      <c r="A10353" s="5" t="s">
        <v>322</v>
      </c>
      <c r="B10353" s="5" t="s">
        <v>323</v>
      </c>
      <c r="C10353" s="6">
        <v>1976</v>
      </c>
      <c r="D10353" s="7">
        <v>209052</v>
      </c>
    </row>
    <row r="10354" spans="1:4" x14ac:dyDescent="0.3">
      <c r="A10354" s="2" t="s">
        <v>322</v>
      </c>
      <c r="B10354" s="2" t="s">
        <v>323</v>
      </c>
      <c r="C10354" s="3">
        <v>1977</v>
      </c>
      <c r="D10354" s="4">
        <v>225285</v>
      </c>
    </row>
    <row r="10355" spans="1:4" x14ac:dyDescent="0.3">
      <c r="A10355" s="5" t="s">
        <v>322</v>
      </c>
      <c r="B10355" s="5" t="s">
        <v>323</v>
      </c>
      <c r="C10355" s="6">
        <v>1978</v>
      </c>
      <c r="D10355" s="7">
        <v>241808</v>
      </c>
    </row>
    <row r="10356" spans="1:4" x14ac:dyDescent="0.3">
      <c r="A10356" s="2" t="s">
        <v>322</v>
      </c>
      <c r="B10356" s="2" t="s">
        <v>323</v>
      </c>
      <c r="C10356" s="3">
        <v>1979</v>
      </c>
      <c r="D10356" s="4">
        <v>258670</v>
      </c>
    </row>
    <row r="10357" spans="1:4" x14ac:dyDescent="0.3">
      <c r="A10357" s="5" t="s">
        <v>322</v>
      </c>
      <c r="B10357" s="5" t="s">
        <v>323</v>
      </c>
      <c r="C10357" s="6">
        <v>1980</v>
      </c>
      <c r="D10357" s="7">
        <v>275913</v>
      </c>
    </row>
    <row r="10358" spans="1:4" x14ac:dyDescent="0.3">
      <c r="A10358" s="2" t="s">
        <v>322</v>
      </c>
      <c r="B10358" s="2" t="s">
        <v>323</v>
      </c>
      <c r="C10358" s="3">
        <v>1981</v>
      </c>
      <c r="D10358" s="4">
        <v>293553</v>
      </c>
    </row>
    <row r="10359" spans="1:4" x14ac:dyDescent="0.3">
      <c r="A10359" s="5" t="s">
        <v>322</v>
      </c>
      <c r="B10359" s="5" t="s">
        <v>323</v>
      </c>
      <c r="C10359" s="6">
        <v>1982</v>
      </c>
      <c r="D10359" s="7">
        <v>311537</v>
      </c>
    </row>
    <row r="10360" spans="1:4" x14ac:dyDescent="0.3">
      <c r="A10360" s="2" t="s">
        <v>322</v>
      </c>
      <c r="B10360" s="2" t="s">
        <v>323</v>
      </c>
      <c r="C10360" s="3">
        <v>1983</v>
      </c>
      <c r="D10360" s="4">
        <v>329709</v>
      </c>
    </row>
    <row r="10361" spans="1:4" x14ac:dyDescent="0.3">
      <c r="A10361" s="5" t="s">
        <v>322</v>
      </c>
      <c r="B10361" s="5" t="s">
        <v>323</v>
      </c>
      <c r="C10361" s="6">
        <v>1984</v>
      </c>
      <c r="D10361" s="7">
        <v>347878</v>
      </c>
    </row>
    <row r="10362" spans="1:4" x14ac:dyDescent="0.3">
      <c r="A10362" s="2" t="s">
        <v>322</v>
      </c>
      <c r="B10362" s="2" t="s">
        <v>323</v>
      </c>
      <c r="C10362" s="3">
        <v>1985</v>
      </c>
      <c r="D10362" s="4">
        <v>365940</v>
      </c>
    </row>
    <row r="10363" spans="1:4" x14ac:dyDescent="0.3">
      <c r="A10363" s="5" t="s">
        <v>322</v>
      </c>
      <c r="B10363" s="5" t="s">
        <v>323</v>
      </c>
      <c r="C10363" s="6">
        <v>1986</v>
      </c>
      <c r="D10363" s="7">
        <v>382422</v>
      </c>
    </row>
    <row r="10364" spans="1:4" x14ac:dyDescent="0.3">
      <c r="A10364" s="2" t="s">
        <v>322</v>
      </c>
      <c r="B10364" s="2" t="s">
        <v>323</v>
      </c>
      <c r="C10364" s="3">
        <v>1987</v>
      </c>
      <c r="D10364" s="4">
        <v>397005</v>
      </c>
    </row>
    <row r="10365" spans="1:4" x14ac:dyDescent="0.3">
      <c r="A10365" s="5" t="s">
        <v>322</v>
      </c>
      <c r="B10365" s="5" t="s">
        <v>323</v>
      </c>
      <c r="C10365" s="6">
        <v>1988</v>
      </c>
      <c r="D10365" s="7">
        <v>411264</v>
      </c>
    </row>
    <row r="10366" spans="1:4" x14ac:dyDescent="0.3">
      <c r="A10366" s="2" t="s">
        <v>322</v>
      </c>
      <c r="B10366" s="2" t="s">
        <v>323</v>
      </c>
      <c r="C10366" s="3">
        <v>1989</v>
      </c>
      <c r="D10366" s="4">
        <v>425646</v>
      </c>
    </row>
    <row r="10367" spans="1:4" x14ac:dyDescent="0.3">
      <c r="A10367" s="5" t="s">
        <v>322</v>
      </c>
      <c r="B10367" s="5" t="s">
        <v>323</v>
      </c>
      <c r="C10367" s="6">
        <v>1990</v>
      </c>
      <c r="D10367" s="7">
        <v>440175</v>
      </c>
    </row>
    <row r="10368" spans="1:4" x14ac:dyDescent="0.3">
      <c r="A10368" s="2" t="s">
        <v>322</v>
      </c>
      <c r="B10368" s="2" t="s">
        <v>323</v>
      </c>
      <c r="C10368" s="3">
        <v>1991</v>
      </c>
      <c r="D10368" s="4">
        <v>454853</v>
      </c>
    </row>
    <row r="10369" spans="1:4" x14ac:dyDescent="0.3">
      <c r="A10369" s="5" t="s">
        <v>322</v>
      </c>
      <c r="B10369" s="5" t="s">
        <v>323</v>
      </c>
      <c r="C10369" s="6">
        <v>1992</v>
      </c>
      <c r="D10369" s="7">
        <v>469657</v>
      </c>
    </row>
    <row r="10370" spans="1:4" x14ac:dyDescent="0.3">
      <c r="A10370" s="2" t="s">
        <v>322</v>
      </c>
      <c r="B10370" s="2" t="s">
        <v>323</v>
      </c>
      <c r="C10370" s="3">
        <v>1993</v>
      </c>
      <c r="D10370" s="4">
        <v>484545</v>
      </c>
    </row>
    <row r="10371" spans="1:4" x14ac:dyDescent="0.3">
      <c r="A10371" s="5" t="s">
        <v>322</v>
      </c>
      <c r="B10371" s="5" t="s">
        <v>323</v>
      </c>
      <c r="C10371" s="6">
        <v>1994</v>
      </c>
      <c r="D10371" s="7">
        <v>499459</v>
      </c>
    </row>
    <row r="10372" spans="1:4" x14ac:dyDescent="0.3">
      <c r="A10372" s="2" t="s">
        <v>322</v>
      </c>
      <c r="B10372" s="2" t="s">
        <v>323</v>
      </c>
      <c r="C10372" s="3">
        <v>1995</v>
      </c>
      <c r="D10372" s="4">
        <v>514325</v>
      </c>
    </row>
    <row r="10373" spans="1:4" x14ac:dyDescent="0.3">
      <c r="A10373" s="5" t="s">
        <v>322</v>
      </c>
      <c r="B10373" s="5" t="s">
        <v>323</v>
      </c>
      <c r="C10373" s="6">
        <v>1996</v>
      </c>
      <c r="D10373" s="7">
        <v>529019</v>
      </c>
    </row>
    <row r="10374" spans="1:4" x14ac:dyDescent="0.3">
      <c r="A10374" s="2" t="s">
        <v>322</v>
      </c>
      <c r="B10374" s="2" t="s">
        <v>323</v>
      </c>
      <c r="C10374" s="3">
        <v>1997</v>
      </c>
      <c r="D10374" s="4">
        <v>550500</v>
      </c>
    </row>
    <row r="10375" spans="1:4" x14ac:dyDescent="0.3">
      <c r="A10375" s="5" t="s">
        <v>322</v>
      </c>
      <c r="B10375" s="5" t="s">
        <v>323</v>
      </c>
      <c r="C10375" s="6">
        <v>1998</v>
      </c>
      <c r="D10375" s="7">
        <v>580540</v>
      </c>
    </row>
    <row r="10376" spans="1:4" x14ac:dyDescent="0.3">
      <c r="A10376" s="2" t="s">
        <v>322</v>
      </c>
      <c r="B10376" s="2" t="s">
        <v>323</v>
      </c>
      <c r="C10376" s="3">
        <v>1999</v>
      </c>
      <c r="D10376" s="4">
        <v>612500</v>
      </c>
    </row>
    <row r="10377" spans="1:4" x14ac:dyDescent="0.3">
      <c r="A10377" s="5" t="s">
        <v>322</v>
      </c>
      <c r="B10377" s="5" t="s">
        <v>323</v>
      </c>
      <c r="C10377" s="6">
        <v>2000</v>
      </c>
      <c r="D10377" s="7">
        <v>644989</v>
      </c>
    </row>
    <row r="10378" spans="1:4" x14ac:dyDescent="0.3">
      <c r="A10378" s="2" t="s">
        <v>322</v>
      </c>
      <c r="B10378" s="2" t="s">
        <v>323</v>
      </c>
      <c r="C10378" s="3">
        <v>2001</v>
      </c>
      <c r="D10378" s="4">
        <v>677925</v>
      </c>
    </row>
    <row r="10379" spans="1:4" x14ac:dyDescent="0.3">
      <c r="A10379" s="5" t="s">
        <v>322</v>
      </c>
      <c r="B10379" s="5" t="s">
        <v>323</v>
      </c>
      <c r="C10379" s="6">
        <v>2002</v>
      </c>
      <c r="D10379" s="7">
        <v>711205</v>
      </c>
    </row>
    <row r="10380" spans="1:4" x14ac:dyDescent="0.3">
      <c r="A10380" s="2" t="s">
        <v>322</v>
      </c>
      <c r="B10380" s="2" t="s">
        <v>323</v>
      </c>
      <c r="C10380" s="3">
        <v>2003</v>
      </c>
      <c r="D10380" s="4">
        <v>744682</v>
      </c>
    </row>
    <row r="10381" spans="1:4" x14ac:dyDescent="0.3">
      <c r="A10381" s="5" t="s">
        <v>322</v>
      </c>
      <c r="B10381" s="5" t="s">
        <v>323</v>
      </c>
      <c r="C10381" s="6">
        <v>2004</v>
      </c>
      <c r="D10381" s="7">
        <v>773332</v>
      </c>
    </row>
    <row r="10382" spans="1:4" x14ac:dyDescent="0.3">
      <c r="A10382" s="2" t="s">
        <v>322</v>
      </c>
      <c r="B10382" s="2" t="s">
        <v>323</v>
      </c>
      <c r="C10382" s="3">
        <v>2005</v>
      </c>
      <c r="D10382" s="4">
        <v>825408</v>
      </c>
    </row>
    <row r="10383" spans="1:4" x14ac:dyDescent="0.3">
      <c r="A10383" s="5" t="s">
        <v>322</v>
      </c>
      <c r="B10383" s="5" t="s">
        <v>323</v>
      </c>
      <c r="C10383" s="6">
        <v>2006</v>
      </c>
      <c r="D10383" s="7">
        <v>972831</v>
      </c>
    </row>
    <row r="10384" spans="1:4" x14ac:dyDescent="0.3">
      <c r="A10384" s="2" t="s">
        <v>322</v>
      </c>
      <c r="B10384" s="2" t="s">
        <v>323</v>
      </c>
      <c r="C10384" s="3">
        <v>2007</v>
      </c>
      <c r="D10384" s="4">
        <v>1208595</v>
      </c>
    </row>
    <row r="10385" spans="1:4" x14ac:dyDescent="0.3">
      <c r="A10385" s="5" t="s">
        <v>322</v>
      </c>
      <c r="B10385" s="5" t="s">
        <v>323</v>
      </c>
      <c r="C10385" s="6">
        <v>2008</v>
      </c>
      <c r="D10385" s="7">
        <v>1426938</v>
      </c>
    </row>
    <row r="10386" spans="1:4" x14ac:dyDescent="0.3">
      <c r="A10386" s="2" t="s">
        <v>322</v>
      </c>
      <c r="B10386" s="2" t="s">
        <v>323</v>
      </c>
      <c r="C10386" s="3">
        <v>2009</v>
      </c>
      <c r="D10386" s="4">
        <v>1608903</v>
      </c>
    </row>
    <row r="10387" spans="1:4" x14ac:dyDescent="0.3">
      <c r="A10387" s="5" t="s">
        <v>322</v>
      </c>
      <c r="B10387" s="5" t="s">
        <v>323</v>
      </c>
      <c r="C10387" s="6">
        <v>2010</v>
      </c>
      <c r="D10387" s="7">
        <v>1616832</v>
      </c>
    </row>
    <row r="10388" spans="1:4" x14ac:dyDescent="0.3">
      <c r="A10388" s="2" t="s">
        <v>322</v>
      </c>
      <c r="B10388" s="2" t="s">
        <v>323</v>
      </c>
      <c r="C10388" s="3">
        <v>2011</v>
      </c>
      <c r="D10388" s="4">
        <v>1624761</v>
      </c>
    </row>
    <row r="10389" spans="1:4" x14ac:dyDescent="0.3">
      <c r="A10389" s="5" t="s">
        <v>322</v>
      </c>
      <c r="B10389" s="5" t="s">
        <v>323</v>
      </c>
      <c r="C10389" s="6">
        <v>2012</v>
      </c>
      <c r="D10389" s="7">
        <v>1722438</v>
      </c>
    </row>
    <row r="10390" spans="1:4" x14ac:dyDescent="0.3">
      <c r="A10390" s="2" t="s">
        <v>322</v>
      </c>
      <c r="B10390" s="2" t="s">
        <v>323</v>
      </c>
      <c r="C10390" s="3">
        <v>2013</v>
      </c>
      <c r="D10390" s="4">
        <v>1916426</v>
      </c>
    </row>
    <row r="10391" spans="1:4" x14ac:dyDescent="0.3">
      <c r="A10391" s="5" t="s">
        <v>322</v>
      </c>
      <c r="B10391" s="5" t="s">
        <v>323</v>
      </c>
      <c r="C10391" s="6">
        <v>2014</v>
      </c>
      <c r="D10391" s="7">
        <v>2151745</v>
      </c>
    </row>
    <row r="10392" spans="1:4" x14ac:dyDescent="0.3">
      <c r="A10392" s="2" t="s">
        <v>322</v>
      </c>
      <c r="B10392" s="2" t="s">
        <v>323</v>
      </c>
      <c r="C10392" s="3">
        <v>2015</v>
      </c>
      <c r="D10392" s="4">
        <v>2344557</v>
      </c>
    </row>
    <row r="10393" spans="1:4" x14ac:dyDescent="0.3">
      <c r="A10393" s="5" t="s">
        <v>322</v>
      </c>
      <c r="B10393" s="5" t="s">
        <v>323</v>
      </c>
      <c r="C10393" s="6">
        <v>2016</v>
      </c>
      <c r="D10393" s="7">
        <v>2477113</v>
      </c>
    </row>
    <row r="10394" spans="1:4" x14ac:dyDescent="0.3">
      <c r="A10394" s="2" t="s">
        <v>322</v>
      </c>
      <c r="B10394" s="2" t="s">
        <v>323</v>
      </c>
      <c r="C10394" s="3">
        <v>2017</v>
      </c>
      <c r="D10394" s="4">
        <v>2545820</v>
      </c>
    </row>
    <row r="10395" spans="1:4" x14ac:dyDescent="0.3">
      <c r="A10395" s="5" t="s">
        <v>322</v>
      </c>
      <c r="B10395" s="5" t="s">
        <v>323</v>
      </c>
      <c r="C10395" s="6">
        <v>2018</v>
      </c>
      <c r="D10395" s="7">
        <v>2580734</v>
      </c>
    </row>
    <row r="10396" spans="1:4" x14ac:dyDescent="0.3">
      <c r="A10396" s="2" t="s">
        <v>322</v>
      </c>
      <c r="B10396" s="2" t="s">
        <v>323</v>
      </c>
      <c r="C10396" s="3">
        <v>2019</v>
      </c>
      <c r="D10396" s="4">
        <v>2638657</v>
      </c>
    </row>
    <row r="10397" spans="1:4" x14ac:dyDescent="0.3">
      <c r="A10397" s="5" t="s">
        <v>322</v>
      </c>
      <c r="B10397" s="5" t="s">
        <v>323</v>
      </c>
      <c r="C10397" s="6">
        <v>2020</v>
      </c>
      <c r="D10397" s="7">
        <v>2794148</v>
      </c>
    </row>
    <row r="10398" spans="1:4" x14ac:dyDescent="0.3">
      <c r="A10398" s="2" t="s">
        <v>322</v>
      </c>
      <c r="B10398" s="2" t="s">
        <v>323</v>
      </c>
      <c r="C10398" s="3">
        <v>2021</v>
      </c>
      <c r="D10398" s="4">
        <v>2504910</v>
      </c>
    </row>
    <row r="10399" spans="1:4" x14ac:dyDescent="0.3">
      <c r="A10399" s="5" t="s">
        <v>322</v>
      </c>
      <c r="B10399" s="5" t="s">
        <v>323</v>
      </c>
      <c r="C10399" s="6">
        <v>2022</v>
      </c>
      <c r="D10399" s="7">
        <v>2657333</v>
      </c>
    </row>
    <row r="10400" spans="1:4" x14ac:dyDescent="0.3">
      <c r="A10400" s="2" t="s">
        <v>322</v>
      </c>
      <c r="B10400" s="2" t="s">
        <v>323</v>
      </c>
      <c r="C10400" s="3">
        <v>2023</v>
      </c>
      <c r="D10400" s="4">
        <v>2656032</v>
      </c>
    </row>
    <row r="10401" spans="1:4" x14ac:dyDescent="0.3">
      <c r="A10401" s="5" t="s">
        <v>322</v>
      </c>
      <c r="B10401" s="5" t="s">
        <v>323</v>
      </c>
      <c r="C10401" s="6">
        <v>2024</v>
      </c>
      <c r="D10401" s="7">
        <v>2857822</v>
      </c>
    </row>
    <row r="10402" spans="1:4" x14ac:dyDescent="0.3">
      <c r="A10402" s="2" t="s">
        <v>324</v>
      </c>
      <c r="B10402" s="2" t="s">
        <v>325</v>
      </c>
      <c r="C10402" s="3">
        <v>1960</v>
      </c>
      <c r="D10402" s="4">
        <v>18406905</v>
      </c>
    </row>
    <row r="10403" spans="1:4" x14ac:dyDescent="0.3">
      <c r="A10403" s="5" t="s">
        <v>324</v>
      </c>
      <c r="B10403" s="5" t="s">
        <v>325</v>
      </c>
      <c r="C10403" s="6">
        <v>1961</v>
      </c>
      <c r="D10403" s="7">
        <v>18555250</v>
      </c>
    </row>
    <row r="10404" spans="1:4" x14ac:dyDescent="0.3">
      <c r="A10404" s="2" t="s">
        <v>324</v>
      </c>
      <c r="B10404" s="2" t="s">
        <v>325</v>
      </c>
      <c r="C10404" s="3">
        <v>1962</v>
      </c>
      <c r="D10404" s="4">
        <v>18676550</v>
      </c>
    </row>
    <row r="10405" spans="1:4" x14ac:dyDescent="0.3">
      <c r="A10405" s="5" t="s">
        <v>324</v>
      </c>
      <c r="B10405" s="5" t="s">
        <v>325</v>
      </c>
      <c r="C10405" s="6">
        <v>1963</v>
      </c>
      <c r="D10405" s="7">
        <v>18797850</v>
      </c>
    </row>
    <row r="10406" spans="1:4" x14ac:dyDescent="0.3">
      <c r="A10406" s="2" t="s">
        <v>324</v>
      </c>
      <c r="B10406" s="2" t="s">
        <v>325</v>
      </c>
      <c r="C10406" s="3">
        <v>1964</v>
      </c>
      <c r="D10406" s="4">
        <v>18919126</v>
      </c>
    </row>
    <row r="10407" spans="1:4" x14ac:dyDescent="0.3">
      <c r="A10407" s="5" t="s">
        <v>324</v>
      </c>
      <c r="B10407" s="5" t="s">
        <v>325</v>
      </c>
      <c r="C10407" s="6">
        <v>1965</v>
      </c>
      <c r="D10407" s="7">
        <v>19031576</v>
      </c>
    </row>
    <row r="10408" spans="1:4" x14ac:dyDescent="0.3">
      <c r="A10408" s="2" t="s">
        <v>324</v>
      </c>
      <c r="B10408" s="2" t="s">
        <v>325</v>
      </c>
      <c r="C10408" s="3">
        <v>1966</v>
      </c>
      <c r="D10408" s="4">
        <v>19215450</v>
      </c>
    </row>
    <row r="10409" spans="1:4" x14ac:dyDescent="0.3">
      <c r="A10409" s="5" t="s">
        <v>324</v>
      </c>
      <c r="B10409" s="5" t="s">
        <v>325</v>
      </c>
      <c r="C10409" s="6">
        <v>1967</v>
      </c>
      <c r="D10409" s="7">
        <v>19534242</v>
      </c>
    </row>
    <row r="10410" spans="1:4" x14ac:dyDescent="0.3">
      <c r="A10410" s="2" t="s">
        <v>324</v>
      </c>
      <c r="B10410" s="2" t="s">
        <v>325</v>
      </c>
      <c r="C10410" s="3">
        <v>1968</v>
      </c>
      <c r="D10410" s="4">
        <v>19799831</v>
      </c>
    </row>
    <row r="10411" spans="1:4" x14ac:dyDescent="0.3">
      <c r="A10411" s="5" t="s">
        <v>324</v>
      </c>
      <c r="B10411" s="5" t="s">
        <v>325</v>
      </c>
      <c r="C10411" s="6">
        <v>1969</v>
      </c>
      <c r="D10411" s="7">
        <v>20009141</v>
      </c>
    </row>
    <row r="10412" spans="1:4" x14ac:dyDescent="0.3">
      <c r="A10412" s="2" t="s">
        <v>324</v>
      </c>
      <c r="B10412" s="2" t="s">
        <v>325</v>
      </c>
      <c r="C10412" s="3">
        <v>1970</v>
      </c>
      <c r="D10412" s="4">
        <v>20250398</v>
      </c>
    </row>
    <row r="10413" spans="1:4" x14ac:dyDescent="0.3">
      <c r="A10413" s="5" t="s">
        <v>324</v>
      </c>
      <c r="B10413" s="5" t="s">
        <v>325</v>
      </c>
      <c r="C10413" s="6">
        <v>1971</v>
      </c>
      <c r="D10413" s="7">
        <v>20461567</v>
      </c>
    </row>
    <row r="10414" spans="1:4" x14ac:dyDescent="0.3">
      <c r="A10414" s="2" t="s">
        <v>324</v>
      </c>
      <c r="B10414" s="2" t="s">
        <v>325</v>
      </c>
      <c r="C10414" s="3">
        <v>1972</v>
      </c>
      <c r="D10414" s="4">
        <v>20657957</v>
      </c>
    </row>
    <row r="10415" spans="1:4" x14ac:dyDescent="0.3">
      <c r="A10415" s="5" t="s">
        <v>324</v>
      </c>
      <c r="B10415" s="5" t="s">
        <v>325</v>
      </c>
      <c r="C10415" s="6">
        <v>1973</v>
      </c>
      <c r="D10415" s="7">
        <v>20835681</v>
      </c>
    </row>
    <row r="10416" spans="1:4" x14ac:dyDescent="0.3">
      <c r="A10416" s="2" t="s">
        <v>324</v>
      </c>
      <c r="B10416" s="2" t="s">
        <v>325</v>
      </c>
      <c r="C10416" s="3">
        <v>1974</v>
      </c>
      <c r="D10416" s="4">
        <v>21029429</v>
      </c>
    </row>
    <row r="10417" spans="1:4" x14ac:dyDescent="0.3">
      <c r="A10417" s="5" t="s">
        <v>324</v>
      </c>
      <c r="B10417" s="5" t="s">
        <v>325</v>
      </c>
      <c r="C10417" s="6">
        <v>1975</v>
      </c>
      <c r="D10417" s="7">
        <v>21293583</v>
      </c>
    </row>
    <row r="10418" spans="1:4" x14ac:dyDescent="0.3">
      <c r="A10418" s="2" t="s">
        <v>324</v>
      </c>
      <c r="B10418" s="2" t="s">
        <v>325</v>
      </c>
      <c r="C10418" s="3">
        <v>1976</v>
      </c>
      <c r="D10418" s="4">
        <v>21551634</v>
      </c>
    </row>
    <row r="10419" spans="1:4" x14ac:dyDescent="0.3">
      <c r="A10419" s="5" t="s">
        <v>324</v>
      </c>
      <c r="B10419" s="5" t="s">
        <v>325</v>
      </c>
      <c r="C10419" s="6">
        <v>1977</v>
      </c>
      <c r="D10419" s="7">
        <v>21756096</v>
      </c>
    </row>
    <row r="10420" spans="1:4" x14ac:dyDescent="0.3">
      <c r="A10420" s="2" t="s">
        <v>324</v>
      </c>
      <c r="B10420" s="2" t="s">
        <v>325</v>
      </c>
      <c r="C10420" s="3">
        <v>1978</v>
      </c>
      <c r="D10420" s="4">
        <v>21951464</v>
      </c>
    </row>
    <row r="10421" spans="1:4" x14ac:dyDescent="0.3">
      <c r="A10421" s="5" t="s">
        <v>324</v>
      </c>
      <c r="B10421" s="5" t="s">
        <v>325</v>
      </c>
      <c r="C10421" s="6">
        <v>1979</v>
      </c>
      <c r="D10421" s="7">
        <v>22090488</v>
      </c>
    </row>
    <row r="10422" spans="1:4" x14ac:dyDescent="0.3">
      <c r="A10422" s="2" t="s">
        <v>324</v>
      </c>
      <c r="B10422" s="2" t="s">
        <v>325</v>
      </c>
      <c r="C10422" s="3">
        <v>1980</v>
      </c>
      <c r="D10422" s="4">
        <v>22207282</v>
      </c>
    </row>
    <row r="10423" spans="1:4" x14ac:dyDescent="0.3">
      <c r="A10423" s="5" t="s">
        <v>324</v>
      </c>
      <c r="B10423" s="5" t="s">
        <v>325</v>
      </c>
      <c r="C10423" s="6">
        <v>1981</v>
      </c>
      <c r="D10423" s="7">
        <v>22353070</v>
      </c>
    </row>
    <row r="10424" spans="1:4" x14ac:dyDescent="0.3">
      <c r="A10424" s="2" t="s">
        <v>324</v>
      </c>
      <c r="B10424" s="2" t="s">
        <v>325</v>
      </c>
      <c r="C10424" s="3">
        <v>1982</v>
      </c>
      <c r="D10424" s="4">
        <v>22475741</v>
      </c>
    </row>
    <row r="10425" spans="1:4" x14ac:dyDescent="0.3">
      <c r="A10425" s="5" t="s">
        <v>324</v>
      </c>
      <c r="B10425" s="5" t="s">
        <v>325</v>
      </c>
      <c r="C10425" s="6">
        <v>1983</v>
      </c>
      <c r="D10425" s="7">
        <v>22560478</v>
      </c>
    </row>
    <row r="10426" spans="1:4" x14ac:dyDescent="0.3">
      <c r="A10426" s="2" t="s">
        <v>324</v>
      </c>
      <c r="B10426" s="2" t="s">
        <v>325</v>
      </c>
      <c r="C10426" s="3">
        <v>1984</v>
      </c>
      <c r="D10426" s="4">
        <v>22640547</v>
      </c>
    </row>
    <row r="10427" spans="1:4" x14ac:dyDescent="0.3">
      <c r="A10427" s="5" t="s">
        <v>324</v>
      </c>
      <c r="B10427" s="5" t="s">
        <v>325</v>
      </c>
      <c r="C10427" s="6">
        <v>1985</v>
      </c>
      <c r="D10427" s="7">
        <v>22732999</v>
      </c>
    </row>
    <row r="10428" spans="1:4" x14ac:dyDescent="0.3">
      <c r="A10428" s="2" t="s">
        <v>324</v>
      </c>
      <c r="B10428" s="2" t="s">
        <v>325</v>
      </c>
      <c r="C10428" s="3">
        <v>1986</v>
      </c>
      <c r="D10428" s="4">
        <v>22836841</v>
      </c>
    </row>
    <row r="10429" spans="1:4" x14ac:dyDescent="0.3">
      <c r="A10429" s="5" t="s">
        <v>324</v>
      </c>
      <c r="B10429" s="5" t="s">
        <v>325</v>
      </c>
      <c r="C10429" s="6">
        <v>1987</v>
      </c>
      <c r="D10429" s="7">
        <v>22949430</v>
      </c>
    </row>
    <row r="10430" spans="1:4" x14ac:dyDescent="0.3">
      <c r="A10430" s="2" t="s">
        <v>324</v>
      </c>
      <c r="B10430" s="2" t="s">
        <v>325</v>
      </c>
      <c r="C10430" s="3">
        <v>1988</v>
      </c>
      <c r="D10430" s="4">
        <v>23057662</v>
      </c>
    </row>
    <row r="10431" spans="1:4" x14ac:dyDescent="0.3">
      <c r="A10431" s="5" t="s">
        <v>324</v>
      </c>
      <c r="B10431" s="5" t="s">
        <v>325</v>
      </c>
      <c r="C10431" s="6">
        <v>1989</v>
      </c>
      <c r="D10431" s="7">
        <v>23161458</v>
      </c>
    </row>
    <row r="10432" spans="1:4" x14ac:dyDescent="0.3">
      <c r="A10432" s="2" t="s">
        <v>324</v>
      </c>
      <c r="B10432" s="2" t="s">
        <v>325</v>
      </c>
      <c r="C10432" s="3">
        <v>1990</v>
      </c>
      <c r="D10432" s="4">
        <v>23201835</v>
      </c>
    </row>
    <row r="10433" spans="1:4" x14ac:dyDescent="0.3">
      <c r="A10433" s="5" t="s">
        <v>324</v>
      </c>
      <c r="B10433" s="5" t="s">
        <v>325</v>
      </c>
      <c r="C10433" s="6">
        <v>1991</v>
      </c>
      <c r="D10433" s="7">
        <v>23001155</v>
      </c>
    </row>
    <row r="10434" spans="1:4" x14ac:dyDescent="0.3">
      <c r="A10434" s="2" t="s">
        <v>324</v>
      </c>
      <c r="B10434" s="2" t="s">
        <v>325</v>
      </c>
      <c r="C10434" s="3">
        <v>1992</v>
      </c>
      <c r="D10434" s="4">
        <v>22794284</v>
      </c>
    </row>
    <row r="10435" spans="1:4" x14ac:dyDescent="0.3">
      <c r="A10435" s="5" t="s">
        <v>324</v>
      </c>
      <c r="B10435" s="5" t="s">
        <v>325</v>
      </c>
      <c r="C10435" s="6">
        <v>1993</v>
      </c>
      <c r="D10435" s="7">
        <v>22763280</v>
      </c>
    </row>
    <row r="10436" spans="1:4" x14ac:dyDescent="0.3">
      <c r="A10436" s="2" t="s">
        <v>324</v>
      </c>
      <c r="B10436" s="2" t="s">
        <v>325</v>
      </c>
      <c r="C10436" s="3">
        <v>1994</v>
      </c>
      <c r="D10436" s="4">
        <v>22730211</v>
      </c>
    </row>
    <row r="10437" spans="1:4" x14ac:dyDescent="0.3">
      <c r="A10437" s="5" t="s">
        <v>324</v>
      </c>
      <c r="B10437" s="5" t="s">
        <v>325</v>
      </c>
      <c r="C10437" s="6">
        <v>1995</v>
      </c>
      <c r="D10437" s="7">
        <v>22684270</v>
      </c>
    </row>
    <row r="10438" spans="1:4" x14ac:dyDescent="0.3">
      <c r="A10438" s="2" t="s">
        <v>324</v>
      </c>
      <c r="B10438" s="2" t="s">
        <v>325</v>
      </c>
      <c r="C10438" s="3">
        <v>1996</v>
      </c>
      <c r="D10438" s="4">
        <v>22619004</v>
      </c>
    </row>
    <row r="10439" spans="1:4" x14ac:dyDescent="0.3">
      <c r="A10439" s="5" t="s">
        <v>324</v>
      </c>
      <c r="B10439" s="5" t="s">
        <v>325</v>
      </c>
      <c r="C10439" s="6">
        <v>1997</v>
      </c>
      <c r="D10439" s="7">
        <v>22553978</v>
      </c>
    </row>
    <row r="10440" spans="1:4" x14ac:dyDescent="0.3">
      <c r="A10440" s="2" t="s">
        <v>324</v>
      </c>
      <c r="B10440" s="2" t="s">
        <v>325</v>
      </c>
      <c r="C10440" s="3">
        <v>1998</v>
      </c>
      <c r="D10440" s="4">
        <v>22507344</v>
      </c>
    </row>
    <row r="10441" spans="1:4" x14ac:dyDescent="0.3">
      <c r="A10441" s="5" t="s">
        <v>324</v>
      </c>
      <c r="B10441" s="5" t="s">
        <v>325</v>
      </c>
      <c r="C10441" s="6">
        <v>1999</v>
      </c>
      <c r="D10441" s="7">
        <v>22472040</v>
      </c>
    </row>
    <row r="10442" spans="1:4" x14ac:dyDescent="0.3">
      <c r="A10442" s="2" t="s">
        <v>324</v>
      </c>
      <c r="B10442" s="2" t="s">
        <v>325</v>
      </c>
      <c r="C10442" s="3">
        <v>2000</v>
      </c>
      <c r="D10442" s="4">
        <v>22442971</v>
      </c>
    </row>
    <row r="10443" spans="1:4" x14ac:dyDescent="0.3">
      <c r="A10443" s="5" t="s">
        <v>324</v>
      </c>
      <c r="B10443" s="5" t="s">
        <v>325</v>
      </c>
      <c r="C10443" s="6">
        <v>2001</v>
      </c>
      <c r="D10443" s="7">
        <v>22131970</v>
      </c>
    </row>
    <row r="10444" spans="1:4" x14ac:dyDescent="0.3">
      <c r="A10444" s="2" t="s">
        <v>324</v>
      </c>
      <c r="B10444" s="2" t="s">
        <v>325</v>
      </c>
      <c r="C10444" s="3">
        <v>2002</v>
      </c>
      <c r="D10444" s="4">
        <v>21730496</v>
      </c>
    </row>
    <row r="10445" spans="1:4" x14ac:dyDescent="0.3">
      <c r="A10445" s="5" t="s">
        <v>324</v>
      </c>
      <c r="B10445" s="5" t="s">
        <v>325</v>
      </c>
      <c r="C10445" s="6">
        <v>2003</v>
      </c>
      <c r="D10445" s="7">
        <v>21574326</v>
      </c>
    </row>
    <row r="10446" spans="1:4" x14ac:dyDescent="0.3">
      <c r="A10446" s="2" t="s">
        <v>324</v>
      </c>
      <c r="B10446" s="2" t="s">
        <v>325</v>
      </c>
      <c r="C10446" s="3">
        <v>2004</v>
      </c>
      <c r="D10446" s="4">
        <v>21451748</v>
      </c>
    </row>
    <row r="10447" spans="1:4" x14ac:dyDescent="0.3">
      <c r="A10447" s="5" t="s">
        <v>324</v>
      </c>
      <c r="B10447" s="5" t="s">
        <v>325</v>
      </c>
      <c r="C10447" s="6">
        <v>2005</v>
      </c>
      <c r="D10447" s="7">
        <v>21319685</v>
      </c>
    </row>
    <row r="10448" spans="1:4" x14ac:dyDescent="0.3">
      <c r="A10448" s="2" t="s">
        <v>324</v>
      </c>
      <c r="B10448" s="2" t="s">
        <v>325</v>
      </c>
      <c r="C10448" s="3">
        <v>2006</v>
      </c>
      <c r="D10448" s="4">
        <v>21193760</v>
      </c>
    </row>
    <row r="10449" spans="1:4" x14ac:dyDescent="0.3">
      <c r="A10449" s="5" t="s">
        <v>324</v>
      </c>
      <c r="B10449" s="5" t="s">
        <v>325</v>
      </c>
      <c r="C10449" s="6">
        <v>2007</v>
      </c>
      <c r="D10449" s="7">
        <v>20882982</v>
      </c>
    </row>
    <row r="10450" spans="1:4" x14ac:dyDescent="0.3">
      <c r="A10450" s="2" t="s">
        <v>324</v>
      </c>
      <c r="B10450" s="2" t="s">
        <v>325</v>
      </c>
      <c r="C10450" s="3">
        <v>2008</v>
      </c>
      <c r="D10450" s="4">
        <v>20537875</v>
      </c>
    </row>
    <row r="10451" spans="1:4" x14ac:dyDescent="0.3">
      <c r="A10451" s="5" t="s">
        <v>324</v>
      </c>
      <c r="B10451" s="5" t="s">
        <v>325</v>
      </c>
      <c r="C10451" s="6">
        <v>2009</v>
      </c>
      <c r="D10451" s="7">
        <v>20367487</v>
      </c>
    </row>
    <row r="10452" spans="1:4" x14ac:dyDescent="0.3">
      <c r="A10452" s="2" t="s">
        <v>324</v>
      </c>
      <c r="B10452" s="2" t="s">
        <v>325</v>
      </c>
      <c r="C10452" s="3">
        <v>2010</v>
      </c>
      <c r="D10452" s="4">
        <v>20246871</v>
      </c>
    </row>
    <row r="10453" spans="1:4" x14ac:dyDescent="0.3">
      <c r="A10453" s="5" t="s">
        <v>324</v>
      </c>
      <c r="B10453" s="5" t="s">
        <v>325</v>
      </c>
      <c r="C10453" s="6">
        <v>2011</v>
      </c>
      <c r="D10453" s="7">
        <v>20147528</v>
      </c>
    </row>
    <row r="10454" spans="1:4" x14ac:dyDescent="0.3">
      <c r="A10454" s="2" t="s">
        <v>324</v>
      </c>
      <c r="B10454" s="2" t="s">
        <v>325</v>
      </c>
      <c r="C10454" s="3">
        <v>2012</v>
      </c>
      <c r="D10454" s="4">
        <v>20058035</v>
      </c>
    </row>
    <row r="10455" spans="1:4" x14ac:dyDescent="0.3">
      <c r="A10455" s="5" t="s">
        <v>324</v>
      </c>
      <c r="B10455" s="5" t="s">
        <v>325</v>
      </c>
      <c r="C10455" s="6">
        <v>2013</v>
      </c>
      <c r="D10455" s="7">
        <v>19983693</v>
      </c>
    </row>
    <row r="10456" spans="1:4" x14ac:dyDescent="0.3">
      <c r="A10456" s="2" t="s">
        <v>324</v>
      </c>
      <c r="B10456" s="2" t="s">
        <v>325</v>
      </c>
      <c r="C10456" s="3">
        <v>2014</v>
      </c>
      <c r="D10456" s="4">
        <v>19908979</v>
      </c>
    </row>
    <row r="10457" spans="1:4" x14ac:dyDescent="0.3">
      <c r="A10457" s="5" t="s">
        <v>324</v>
      </c>
      <c r="B10457" s="5" t="s">
        <v>325</v>
      </c>
      <c r="C10457" s="6">
        <v>2015</v>
      </c>
      <c r="D10457" s="7">
        <v>19815616</v>
      </c>
    </row>
    <row r="10458" spans="1:4" x14ac:dyDescent="0.3">
      <c r="A10458" s="2" t="s">
        <v>324</v>
      </c>
      <c r="B10458" s="2" t="s">
        <v>325</v>
      </c>
      <c r="C10458" s="3">
        <v>2016</v>
      </c>
      <c r="D10458" s="4">
        <v>19702267</v>
      </c>
    </row>
    <row r="10459" spans="1:4" x14ac:dyDescent="0.3">
      <c r="A10459" s="5" t="s">
        <v>324</v>
      </c>
      <c r="B10459" s="5" t="s">
        <v>325</v>
      </c>
      <c r="C10459" s="6">
        <v>2017</v>
      </c>
      <c r="D10459" s="7">
        <v>19588715</v>
      </c>
    </row>
    <row r="10460" spans="1:4" x14ac:dyDescent="0.3">
      <c r="A10460" s="2" t="s">
        <v>324</v>
      </c>
      <c r="B10460" s="2" t="s">
        <v>325</v>
      </c>
      <c r="C10460" s="3">
        <v>2018</v>
      </c>
      <c r="D10460" s="4">
        <v>19473970</v>
      </c>
    </row>
    <row r="10461" spans="1:4" x14ac:dyDescent="0.3">
      <c r="A10461" s="5" t="s">
        <v>324</v>
      </c>
      <c r="B10461" s="5" t="s">
        <v>325</v>
      </c>
      <c r="C10461" s="6">
        <v>2019</v>
      </c>
      <c r="D10461" s="7">
        <v>19371648</v>
      </c>
    </row>
    <row r="10462" spans="1:4" x14ac:dyDescent="0.3">
      <c r="A10462" s="2" t="s">
        <v>324</v>
      </c>
      <c r="B10462" s="2" t="s">
        <v>325</v>
      </c>
      <c r="C10462" s="3">
        <v>2020</v>
      </c>
      <c r="D10462" s="4">
        <v>19265250</v>
      </c>
    </row>
    <row r="10463" spans="1:4" x14ac:dyDescent="0.3">
      <c r="A10463" s="5" t="s">
        <v>324</v>
      </c>
      <c r="B10463" s="5" t="s">
        <v>325</v>
      </c>
      <c r="C10463" s="6">
        <v>2021</v>
      </c>
      <c r="D10463" s="7">
        <v>19122059</v>
      </c>
    </row>
    <row r="10464" spans="1:4" x14ac:dyDescent="0.3">
      <c r="A10464" s="2" t="s">
        <v>324</v>
      </c>
      <c r="B10464" s="2" t="s">
        <v>325</v>
      </c>
      <c r="C10464" s="3">
        <v>2022</v>
      </c>
      <c r="D10464" s="4">
        <v>19048502</v>
      </c>
    </row>
    <row r="10465" spans="1:4" x14ac:dyDescent="0.3">
      <c r="A10465" s="5" t="s">
        <v>324</v>
      </c>
      <c r="B10465" s="5" t="s">
        <v>325</v>
      </c>
      <c r="C10465" s="6">
        <v>2023</v>
      </c>
      <c r="D10465" s="7">
        <v>19059479</v>
      </c>
    </row>
    <row r="10466" spans="1:4" x14ac:dyDescent="0.3">
      <c r="A10466" s="2" t="s">
        <v>324</v>
      </c>
      <c r="B10466" s="2" t="s">
        <v>325</v>
      </c>
      <c r="C10466" s="3">
        <v>2024</v>
      </c>
      <c r="D10466" s="4">
        <v>19069340</v>
      </c>
    </row>
    <row r="10467" spans="1:4" x14ac:dyDescent="0.3">
      <c r="A10467" s="5" t="s">
        <v>326</v>
      </c>
      <c r="B10467" s="5" t="s">
        <v>327</v>
      </c>
      <c r="C10467" s="6">
        <v>1960</v>
      </c>
      <c r="D10467" s="7">
        <v>119897000</v>
      </c>
    </row>
    <row r="10468" spans="1:4" x14ac:dyDescent="0.3">
      <c r="A10468" s="2" t="s">
        <v>326</v>
      </c>
      <c r="B10468" s="2" t="s">
        <v>327</v>
      </c>
      <c r="C10468" s="3">
        <v>1961</v>
      </c>
      <c r="D10468" s="4">
        <v>121236000</v>
      </c>
    </row>
    <row r="10469" spans="1:4" x14ac:dyDescent="0.3">
      <c r="A10469" s="5" t="s">
        <v>326</v>
      </c>
      <c r="B10469" s="5" t="s">
        <v>327</v>
      </c>
      <c r="C10469" s="6">
        <v>1962</v>
      </c>
      <c r="D10469" s="7">
        <v>122591000</v>
      </c>
    </row>
    <row r="10470" spans="1:4" x14ac:dyDescent="0.3">
      <c r="A10470" s="2" t="s">
        <v>326</v>
      </c>
      <c r="B10470" s="2" t="s">
        <v>327</v>
      </c>
      <c r="C10470" s="3">
        <v>1963</v>
      </c>
      <c r="D10470" s="4">
        <v>123960000</v>
      </c>
    </row>
    <row r="10471" spans="1:4" x14ac:dyDescent="0.3">
      <c r="A10471" s="5" t="s">
        <v>326</v>
      </c>
      <c r="B10471" s="5" t="s">
        <v>327</v>
      </c>
      <c r="C10471" s="6">
        <v>1964</v>
      </c>
      <c r="D10471" s="7">
        <v>125345000</v>
      </c>
    </row>
    <row r="10472" spans="1:4" x14ac:dyDescent="0.3">
      <c r="A10472" s="2" t="s">
        <v>326</v>
      </c>
      <c r="B10472" s="2" t="s">
        <v>327</v>
      </c>
      <c r="C10472" s="3">
        <v>1965</v>
      </c>
      <c r="D10472" s="4">
        <v>126745000</v>
      </c>
    </row>
    <row r="10473" spans="1:4" x14ac:dyDescent="0.3">
      <c r="A10473" s="5" t="s">
        <v>326</v>
      </c>
      <c r="B10473" s="5" t="s">
        <v>327</v>
      </c>
      <c r="C10473" s="6">
        <v>1966</v>
      </c>
      <c r="D10473" s="7">
        <v>127468000</v>
      </c>
    </row>
    <row r="10474" spans="1:4" x14ac:dyDescent="0.3">
      <c r="A10474" s="2" t="s">
        <v>326</v>
      </c>
      <c r="B10474" s="2" t="s">
        <v>327</v>
      </c>
      <c r="C10474" s="3">
        <v>1967</v>
      </c>
      <c r="D10474" s="4">
        <v>128196000</v>
      </c>
    </row>
    <row r="10475" spans="1:4" x14ac:dyDescent="0.3">
      <c r="A10475" s="5" t="s">
        <v>326</v>
      </c>
      <c r="B10475" s="5" t="s">
        <v>327</v>
      </c>
      <c r="C10475" s="6">
        <v>1968</v>
      </c>
      <c r="D10475" s="7">
        <v>128928000</v>
      </c>
    </row>
    <row r="10476" spans="1:4" x14ac:dyDescent="0.3">
      <c r="A10476" s="2" t="s">
        <v>326</v>
      </c>
      <c r="B10476" s="2" t="s">
        <v>327</v>
      </c>
      <c r="C10476" s="3">
        <v>1969</v>
      </c>
      <c r="D10476" s="4">
        <v>129664000</v>
      </c>
    </row>
    <row r="10477" spans="1:4" x14ac:dyDescent="0.3">
      <c r="A10477" s="5" t="s">
        <v>326</v>
      </c>
      <c r="B10477" s="5" t="s">
        <v>327</v>
      </c>
      <c r="C10477" s="6">
        <v>1970</v>
      </c>
      <c r="D10477" s="7">
        <v>130404000</v>
      </c>
    </row>
    <row r="10478" spans="1:4" x14ac:dyDescent="0.3">
      <c r="A10478" s="2" t="s">
        <v>326</v>
      </c>
      <c r="B10478" s="2" t="s">
        <v>327</v>
      </c>
      <c r="C10478" s="3">
        <v>1971</v>
      </c>
      <c r="D10478" s="4">
        <v>131155000</v>
      </c>
    </row>
    <row r="10479" spans="1:4" x14ac:dyDescent="0.3">
      <c r="A10479" s="5" t="s">
        <v>326</v>
      </c>
      <c r="B10479" s="5" t="s">
        <v>327</v>
      </c>
      <c r="C10479" s="6">
        <v>1972</v>
      </c>
      <c r="D10479" s="7">
        <v>131909000</v>
      </c>
    </row>
    <row r="10480" spans="1:4" x14ac:dyDescent="0.3">
      <c r="A10480" s="2" t="s">
        <v>326</v>
      </c>
      <c r="B10480" s="2" t="s">
        <v>327</v>
      </c>
      <c r="C10480" s="3">
        <v>1973</v>
      </c>
      <c r="D10480" s="4">
        <v>132669000</v>
      </c>
    </row>
    <row r="10481" spans="1:4" x14ac:dyDescent="0.3">
      <c r="A10481" s="5" t="s">
        <v>326</v>
      </c>
      <c r="B10481" s="5" t="s">
        <v>327</v>
      </c>
      <c r="C10481" s="6">
        <v>1974</v>
      </c>
      <c r="D10481" s="7">
        <v>133432000</v>
      </c>
    </row>
    <row r="10482" spans="1:4" x14ac:dyDescent="0.3">
      <c r="A10482" s="2" t="s">
        <v>326</v>
      </c>
      <c r="B10482" s="2" t="s">
        <v>327</v>
      </c>
      <c r="C10482" s="3">
        <v>1975</v>
      </c>
      <c r="D10482" s="4">
        <v>134200000</v>
      </c>
    </row>
    <row r="10483" spans="1:4" x14ac:dyDescent="0.3">
      <c r="A10483" s="5" t="s">
        <v>326</v>
      </c>
      <c r="B10483" s="5" t="s">
        <v>327</v>
      </c>
      <c r="C10483" s="6">
        <v>1976</v>
      </c>
      <c r="D10483" s="7">
        <v>135147000</v>
      </c>
    </row>
    <row r="10484" spans="1:4" x14ac:dyDescent="0.3">
      <c r="A10484" s="2" t="s">
        <v>326</v>
      </c>
      <c r="B10484" s="2" t="s">
        <v>327</v>
      </c>
      <c r="C10484" s="3">
        <v>1977</v>
      </c>
      <c r="D10484" s="4">
        <v>136100000</v>
      </c>
    </row>
    <row r="10485" spans="1:4" x14ac:dyDescent="0.3">
      <c r="A10485" s="5" t="s">
        <v>326</v>
      </c>
      <c r="B10485" s="5" t="s">
        <v>327</v>
      </c>
      <c r="C10485" s="6">
        <v>1978</v>
      </c>
      <c r="D10485" s="7">
        <v>137060000</v>
      </c>
    </row>
    <row r="10486" spans="1:4" x14ac:dyDescent="0.3">
      <c r="A10486" s="2" t="s">
        <v>326</v>
      </c>
      <c r="B10486" s="2" t="s">
        <v>327</v>
      </c>
      <c r="C10486" s="3">
        <v>1979</v>
      </c>
      <c r="D10486" s="4">
        <v>138027000</v>
      </c>
    </row>
    <row r="10487" spans="1:4" x14ac:dyDescent="0.3">
      <c r="A10487" s="5" t="s">
        <v>326</v>
      </c>
      <c r="B10487" s="5" t="s">
        <v>327</v>
      </c>
      <c r="C10487" s="6">
        <v>1980</v>
      </c>
      <c r="D10487" s="7">
        <v>139010000</v>
      </c>
    </row>
    <row r="10488" spans="1:4" x14ac:dyDescent="0.3">
      <c r="A10488" s="2" t="s">
        <v>326</v>
      </c>
      <c r="B10488" s="2" t="s">
        <v>327</v>
      </c>
      <c r="C10488" s="3">
        <v>1981</v>
      </c>
      <c r="D10488" s="4">
        <v>139941000</v>
      </c>
    </row>
    <row r="10489" spans="1:4" x14ac:dyDescent="0.3">
      <c r="A10489" s="5" t="s">
        <v>326</v>
      </c>
      <c r="B10489" s="5" t="s">
        <v>327</v>
      </c>
      <c r="C10489" s="6">
        <v>1982</v>
      </c>
      <c r="D10489" s="7">
        <v>140823000</v>
      </c>
    </row>
    <row r="10490" spans="1:4" x14ac:dyDescent="0.3">
      <c r="A10490" s="2" t="s">
        <v>326</v>
      </c>
      <c r="B10490" s="2" t="s">
        <v>327</v>
      </c>
      <c r="C10490" s="3">
        <v>1983</v>
      </c>
      <c r="D10490" s="4">
        <v>141668000</v>
      </c>
    </row>
    <row r="10491" spans="1:4" x14ac:dyDescent="0.3">
      <c r="A10491" s="5" t="s">
        <v>326</v>
      </c>
      <c r="B10491" s="5" t="s">
        <v>327</v>
      </c>
      <c r="C10491" s="6">
        <v>1984</v>
      </c>
      <c r="D10491" s="7">
        <v>142745000</v>
      </c>
    </row>
    <row r="10492" spans="1:4" x14ac:dyDescent="0.3">
      <c r="A10492" s="2" t="s">
        <v>326</v>
      </c>
      <c r="B10492" s="2" t="s">
        <v>327</v>
      </c>
      <c r="C10492" s="3">
        <v>1985</v>
      </c>
      <c r="D10492" s="4">
        <v>143858000</v>
      </c>
    </row>
    <row r="10493" spans="1:4" x14ac:dyDescent="0.3">
      <c r="A10493" s="5" t="s">
        <v>326</v>
      </c>
      <c r="B10493" s="5" t="s">
        <v>327</v>
      </c>
      <c r="C10493" s="6">
        <v>1986</v>
      </c>
      <c r="D10493" s="7">
        <v>144894000</v>
      </c>
    </row>
    <row r="10494" spans="1:4" x14ac:dyDescent="0.3">
      <c r="A10494" s="2" t="s">
        <v>326</v>
      </c>
      <c r="B10494" s="2" t="s">
        <v>327</v>
      </c>
      <c r="C10494" s="3">
        <v>1987</v>
      </c>
      <c r="D10494" s="4">
        <v>145908000</v>
      </c>
    </row>
    <row r="10495" spans="1:4" x14ac:dyDescent="0.3">
      <c r="A10495" s="5" t="s">
        <v>326</v>
      </c>
      <c r="B10495" s="5" t="s">
        <v>327</v>
      </c>
      <c r="C10495" s="6">
        <v>1988</v>
      </c>
      <c r="D10495" s="7">
        <v>146857000</v>
      </c>
    </row>
    <row r="10496" spans="1:4" x14ac:dyDescent="0.3">
      <c r="A10496" s="2" t="s">
        <v>326</v>
      </c>
      <c r="B10496" s="2" t="s">
        <v>327</v>
      </c>
      <c r="C10496" s="3">
        <v>1989</v>
      </c>
      <c r="D10496" s="4">
        <v>147721000</v>
      </c>
    </row>
    <row r="10497" spans="1:4" x14ac:dyDescent="0.3">
      <c r="A10497" s="5" t="s">
        <v>326</v>
      </c>
      <c r="B10497" s="5" t="s">
        <v>327</v>
      </c>
      <c r="C10497" s="6">
        <v>1990</v>
      </c>
      <c r="D10497" s="7">
        <v>147969406</v>
      </c>
    </row>
    <row r="10498" spans="1:4" x14ac:dyDescent="0.3">
      <c r="A10498" s="2" t="s">
        <v>326</v>
      </c>
      <c r="B10498" s="2" t="s">
        <v>327</v>
      </c>
      <c r="C10498" s="3">
        <v>1991</v>
      </c>
      <c r="D10498" s="4">
        <v>148394216</v>
      </c>
    </row>
    <row r="10499" spans="1:4" x14ac:dyDescent="0.3">
      <c r="A10499" s="5" t="s">
        <v>326</v>
      </c>
      <c r="B10499" s="5" t="s">
        <v>327</v>
      </c>
      <c r="C10499" s="6">
        <v>1992</v>
      </c>
      <c r="D10499" s="7">
        <v>148538197</v>
      </c>
    </row>
    <row r="10500" spans="1:4" x14ac:dyDescent="0.3">
      <c r="A10500" s="2" t="s">
        <v>326</v>
      </c>
      <c r="B10500" s="2" t="s">
        <v>327</v>
      </c>
      <c r="C10500" s="3">
        <v>1993</v>
      </c>
      <c r="D10500" s="4">
        <v>148458777</v>
      </c>
    </row>
    <row r="10501" spans="1:4" x14ac:dyDescent="0.3">
      <c r="A10501" s="5" t="s">
        <v>326</v>
      </c>
      <c r="B10501" s="5" t="s">
        <v>327</v>
      </c>
      <c r="C10501" s="6">
        <v>1994</v>
      </c>
      <c r="D10501" s="7">
        <v>148407912</v>
      </c>
    </row>
    <row r="10502" spans="1:4" x14ac:dyDescent="0.3">
      <c r="A10502" s="2" t="s">
        <v>326</v>
      </c>
      <c r="B10502" s="2" t="s">
        <v>327</v>
      </c>
      <c r="C10502" s="3">
        <v>1995</v>
      </c>
      <c r="D10502" s="4">
        <v>148375787</v>
      </c>
    </row>
    <row r="10503" spans="1:4" x14ac:dyDescent="0.3">
      <c r="A10503" s="5" t="s">
        <v>326</v>
      </c>
      <c r="B10503" s="5" t="s">
        <v>327</v>
      </c>
      <c r="C10503" s="6">
        <v>1996</v>
      </c>
      <c r="D10503" s="7">
        <v>148160129</v>
      </c>
    </row>
    <row r="10504" spans="1:4" x14ac:dyDescent="0.3">
      <c r="A10504" s="2" t="s">
        <v>326</v>
      </c>
      <c r="B10504" s="2" t="s">
        <v>327</v>
      </c>
      <c r="C10504" s="3">
        <v>1997</v>
      </c>
      <c r="D10504" s="4">
        <v>147915361</v>
      </c>
    </row>
    <row r="10505" spans="1:4" x14ac:dyDescent="0.3">
      <c r="A10505" s="5" t="s">
        <v>326</v>
      </c>
      <c r="B10505" s="5" t="s">
        <v>327</v>
      </c>
      <c r="C10505" s="6">
        <v>1998</v>
      </c>
      <c r="D10505" s="7">
        <v>147670784</v>
      </c>
    </row>
    <row r="10506" spans="1:4" x14ac:dyDescent="0.3">
      <c r="A10506" s="2" t="s">
        <v>326</v>
      </c>
      <c r="B10506" s="2" t="s">
        <v>327</v>
      </c>
      <c r="C10506" s="3">
        <v>1999</v>
      </c>
      <c r="D10506" s="4">
        <v>147214776</v>
      </c>
    </row>
    <row r="10507" spans="1:4" x14ac:dyDescent="0.3">
      <c r="A10507" s="5" t="s">
        <v>326</v>
      </c>
      <c r="B10507" s="5" t="s">
        <v>327</v>
      </c>
      <c r="C10507" s="6">
        <v>2000</v>
      </c>
      <c r="D10507" s="7">
        <v>146596869</v>
      </c>
    </row>
    <row r="10508" spans="1:4" x14ac:dyDescent="0.3">
      <c r="A10508" s="2" t="s">
        <v>326</v>
      </c>
      <c r="B10508" s="2" t="s">
        <v>327</v>
      </c>
      <c r="C10508" s="3">
        <v>2001</v>
      </c>
      <c r="D10508" s="4">
        <v>145976482</v>
      </c>
    </row>
    <row r="10509" spans="1:4" x14ac:dyDescent="0.3">
      <c r="A10509" s="5" t="s">
        <v>326</v>
      </c>
      <c r="B10509" s="5" t="s">
        <v>327</v>
      </c>
      <c r="C10509" s="6">
        <v>2002</v>
      </c>
      <c r="D10509" s="7">
        <v>145306497</v>
      </c>
    </row>
    <row r="10510" spans="1:4" x14ac:dyDescent="0.3">
      <c r="A10510" s="2" t="s">
        <v>326</v>
      </c>
      <c r="B10510" s="2" t="s">
        <v>327</v>
      </c>
      <c r="C10510" s="3">
        <v>2003</v>
      </c>
      <c r="D10510" s="4">
        <v>144648618</v>
      </c>
    </row>
    <row r="10511" spans="1:4" x14ac:dyDescent="0.3">
      <c r="A10511" s="5" t="s">
        <v>326</v>
      </c>
      <c r="B10511" s="5" t="s">
        <v>327</v>
      </c>
      <c r="C10511" s="6">
        <v>2004</v>
      </c>
      <c r="D10511" s="7">
        <v>144067316</v>
      </c>
    </row>
    <row r="10512" spans="1:4" x14ac:dyDescent="0.3">
      <c r="A10512" s="2" t="s">
        <v>326</v>
      </c>
      <c r="B10512" s="2" t="s">
        <v>327</v>
      </c>
      <c r="C10512" s="3">
        <v>2005</v>
      </c>
      <c r="D10512" s="4">
        <v>143518814</v>
      </c>
    </row>
    <row r="10513" spans="1:4" x14ac:dyDescent="0.3">
      <c r="A10513" s="5" t="s">
        <v>326</v>
      </c>
      <c r="B10513" s="5" t="s">
        <v>327</v>
      </c>
      <c r="C10513" s="6">
        <v>2006</v>
      </c>
      <c r="D10513" s="7">
        <v>143049637</v>
      </c>
    </row>
    <row r="10514" spans="1:4" x14ac:dyDescent="0.3">
      <c r="A10514" s="2" t="s">
        <v>326</v>
      </c>
      <c r="B10514" s="2" t="s">
        <v>327</v>
      </c>
      <c r="C10514" s="3">
        <v>2007</v>
      </c>
      <c r="D10514" s="4">
        <v>142805114</v>
      </c>
    </row>
    <row r="10515" spans="1:4" x14ac:dyDescent="0.3">
      <c r="A10515" s="5" t="s">
        <v>326</v>
      </c>
      <c r="B10515" s="5" t="s">
        <v>327</v>
      </c>
      <c r="C10515" s="6">
        <v>2008</v>
      </c>
      <c r="D10515" s="7">
        <v>142742366</v>
      </c>
    </row>
    <row r="10516" spans="1:4" x14ac:dyDescent="0.3">
      <c r="A10516" s="2" t="s">
        <v>326</v>
      </c>
      <c r="B10516" s="2" t="s">
        <v>327</v>
      </c>
      <c r="C10516" s="3">
        <v>2009</v>
      </c>
      <c r="D10516" s="4">
        <v>142785348</v>
      </c>
    </row>
    <row r="10517" spans="1:4" x14ac:dyDescent="0.3">
      <c r="A10517" s="5" t="s">
        <v>326</v>
      </c>
      <c r="B10517" s="5" t="s">
        <v>327</v>
      </c>
      <c r="C10517" s="6">
        <v>2010</v>
      </c>
      <c r="D10517" s="7">
        <v>142849468</v>
      </c>
    </row>
    <row r="10518" spans="1:4" x14ac:dyDescent="0.3">
      <c r="A10518" s="2" t="s">
        <v>326</v>
      </c>
      <c r="B10518" s="2" t="s">
        <v>327</v>
      </c>
      <c r="C10518" s="3">
        <v>2011</v>
      </c>
      <c r="D10518" s="4">
        <v>143018195</v>
      </c>
    </row>
    <row r="10519" spans="1:4" x14ac:dyDescent="0.3">
      <c r="A10519" s="5" t="s">
        <v>326</v>
      </c>
      <c r="B10519" s="5" t="s">
        <v>327</v>
      </c>
      <c r="C10519" s="6">
        <v>2012</v>
      </c>
      <c r="D10519" s="7">
        <v>143378447</v>
      </c>
    </row>
    <row r="10520" spans="1:4" x14ac:dyDescent="0.3">
      <c r="A10520" s="2" t="s">
        <v>326</v>
      </c>
      <c r="B10520" s="2" t="s">
        <v>327</v>
      </c>
      <c r="C10520" s="3">
        <v>2013</v>
      </c>
      <c r="D10520" s="4">
        <v>143805638</v>
      </c>
    </row>
    <row r="10521" spans="1:4" x14ac:dyDescent="0.3">
      <c r="A10521" s="5" t="s">
        <v>326</v>
      </c>
      <c r="B10521" s="5" t="s">
        <v>327</v>
      </c>
      <c r="C10521" s="6">
        <v>2014</v>
      </c>
      <c r="D10521" s="7">
        <v>144237223</v>
      </c>
    </row>
    <row r="10522" spans="1:4" x14ac:dyDescent="0.3">
      <c r="A10522" s="2" t="s">
        <v>326</v>
      </c>
      <c r="B10522" s="2" t="s">
        <v>327</v>
      </c>
      <c r="C10522" s="3">
        <v>2015</v>
      </c>
      <c r="D10522" s="4">
        <v>144640716</v>
      </c>
    </row>
    <row r="10523" spans="1:4" x14ac:dyDescent="0.3">
      <c r="A10523" s="5" t="s">
        <v>326</v>
      </c>
      <c r="B10523" s="5" t="s">
        <v>327</v>
      </c>
      <c r="C10523" s="6">
        <v>2016</v>
      </c>
      <c r="D10523" s="7">
        <v>145015460</v>
      </c>
    </row>
    <row r="10524" spans="1:4" x14ac:dyDescent="0.3">
      <c r="A10524" s="2" t="s">
        <v>326</v>
      </c>
      <c r="B10524" s="2" t="s">
        <v>327</v>
      </c>
      <c r="C10524" s="3">
        <v>2017</v>
      </c>
      <c r="D10524" s="4">
        <v>145293260</v>
      </c>
    </row>
    <row r="10525" spans="1:4" x14ac:dyDescent="0.3">
      <c r="A10525" s="5" t="s">
        <v>326</v>
      </c>
      <c r="B10525" s="5" t="s">
        <v>327</v>
      </c>
      <c r="C10525" s="6">
        <v>2018</v>
      </c>
      <c r="D10525" s="7">
        <v>145398106</v>
      </c>
    </row>
    <row r="10526" spans="1:4" x14ac:dyDescent="0.3">
      <c r="A10526" s="2" t="s">
        <v>326</v>
      </c>
      <c r="B10526" s="2" t="s">
        <v>327</v>
      </c>
      <c r="C10526" s="3">
        <v>2019</v>
      </c>
      <c r="D10526" s="4">
        <v>145453291</v>
      </c>
    </row>
    <row r="10527" spans="1:4" x14ac:dyDescent="0.3">
      <c r="A10527" s="5" t="s">
        <v>326</v>
      </c>
      <c r="B10527" s="5" t="s">
        <v>327</v>
      </c>
      <c r="C10527" s="6">
        <v>2020</v>
      </c>
      <c r="D10527" s="7">
        <v>145245148</v>
      </c>
    </row>
    <row r="10528" spans="1:4" x14ac:dyDescent="0.3">
      <c r="A10528" s="2" t="s">
        <v>326</v>
      </c>
      <c r="B10528" s="2" t="s">
        <v>327</v>
      </c>
      <c r="C10528" s="3">
        <v>2021</v>
      </c>
      <c r="D10528" s="4">
        <v>144746762</v>
      </c>
    </row>
    <row r="10529" spans="1:4" x14ac:dyDescent="0.3">
      <c r="A10529" s="5" t="s">
        <v>326</v>
      </c>
      <c r="B10529" s="5" t="s">
        <v>327</v>
      </c>
      <c r="C10529" s="6">
        <v>2022</v>
      </c>
      <c r="D10529" s="7">
        <v>144236933</v>
      </c>
    </row>
    <row r="10530" spans="1:4" x14ac:dyDescent="0.3">
      <c r="A10530" s="2" t="s">
        <v>326</v>
      </c>
      <c r="B10530" s="2" t="s">
        <v>327</v>
      </c>
      <c r="C10530" s="3">
        <v>2023</v>
      </c>
      <c r="D10530" s="4">
        <v>143826130</v>
      </c>
    </row>
    <row r="10531" spans="1:4" x14ac:dyDescent="0.3">
      <c r="A10531" s="5" t="s">
        <v>326</v>
      </c>
      <c r="B10531" s="5" t="s">
        <v>327</v>
      </c>
      <c r="C10531" s="6">
        <v>2024</v>
      </c>
      <c r="D10531" s="7">
        <v>143533851</v>
      </c>
    </row>
    <row r="10532" spans="1:4" x14ac:dyDescent="0.3">
      <c r="A10532" s="2" t="s">
        <v>328</v>
      </c>
      <c r="B10532" s="2" t="s">
        <v>329</v>
      </c>
      <c r="C10532" s="3">
        <v>1960</v>
      </c>
      <c r="D10532" s="4">
        <v>3022294</v>
      </c>
    </row>
    <row r="10533" spans="1:4" x14ac:dyDescent="0.3">
      <c r="A10533" s="5" t="s">
        <v>328</v>
      </c>
      <c r="B10533" s="5" t="s">
        <v>329</v>
      </c>
      <c r="C10533" s="6">
        <v>1961</v>
      </c>
      <c r="D10533" s="7">
        <v>3106779</v>
      </c>
    </row>
    <row r="10534" spans="1:4" x14ac:dyDescent="0.3">
      <c r="A10534" s="2" t="s">
        <v>328</v>
      </c>
      <c r="B10534" s="2" t="s">
        <v>329</v>
      </c>
      <c r="C10534" s="3">
        <v>1962</v>
      </c>
      <c r="D10534" s="4">
        <v>3186025</v>
      </c>
    </row>
    <row r="10535" spans="1:4" x14ac:dyDescent="0.3">
      <c r="A10535" s="5" t="s">
        <v>328</v>
      </c>
      <c r="B10535" s="5" t="s">
        <v>329</v>
      </c>
      <c r="C10535" s="6">
        <v>1963</v>
      </c>
      <c r="D10535" s="7">
        <v>3258890</v>
      </c>
    </row>
    <row r="10536" spans="1:4" x14ac:dyDescent="0.3">
      <c r="A10536" s="2" t="s">
        <v>328</v>
      </c>
      <c r="B10536" s="2" t="s">
        <v>329</v>
      </c>
      <c r="C10536" s="3">
        <v>1964</v>
      </c>
      <c r="D10536" s="4">
        <v>3334834</v>
      </c>
    </row>
    <row r="10537" spans="1:4" x14ac:dyDescent="0.3">
      <c r="A10537" s="5" t="s">
        <v>328</v>
      </c>
      <c r="B10537" s="5" t="s">
        <v>329</v>
      </c>
      <c r="C10537" s="6">
        <v>1965</v>
      </c>
      <c r="D10537" s="7">
        <v>3423210</v>
      </c>
    </row>
    <row r="10538" spans="1:4" x14ac:dyDescent="0.3">
      <c r="A10538" s="2" t="s">
        <v>328</v>
      </c>
      <c r="B10538" s="2" t="s">
        <v>329</v>
      </c>
      <c r="C10538" s="3">
        <v>1966</v>
      </c>
      <c r="D10538" s="4">
        <v>3521626</v>
      </c>
    </row>
    <row r="10539" spans="1:4" x14ac:dyDescent="0.3">
      <c r="A10539" s="5" t="s">
        <v>328</v>
      </c>
      <c r="B10539" s="5" t="s">
        <v>329</v>
      </c>
      <c r="C10539" s="6">
        <v>1967</v>
      </c>
      <c r="D10539" s="7">
        <v>3629577</v>
      </c>
    </row>
    <row r="10540" spans="1:4" x14ac:dyDescent="0.3">
      <c r="A10540" s="2" t="s">
        <v>328</v>
      </c>
      <c r="B10540" s="2" t="s">
        <v>329</v>
      </c>
      <c r="C10540" s="3">
        <v>1968</v>
      </c>
      <c r="D10540" s="4">
        <v>3744010</v>
      </c>
    </row>
    <row r="10541" spans="1:4" x14ac:dyDescent="0.3">
      <c r="A10541" s="5" t="s">
        <v>328</v>
      </c>
      <c r="B10541" s="5" t="s">
        <v>329</v>
      </c>
      <c r="C10541" s="6">
        <v>1969</v>
      </c>
      <c r="D10541" s="7">
        <v>3861271</v>
      </c>
    </row>
    <row r="10542" spans="1:4" x14ac:dyDescent="0.3">
      <c r="A10542" s="2" t="s">
        <v>328</v>
      </c>
      <c r="B10542" s="2" t="s">
        <v>329</v>
      </c>
      <c r="C10542" s="3">
        <v>1970</v>
      </c>
      <c r="D10542" s="4">
        <v>3980669</v>
      </c>
    </row>
    <row r="10543" spans="1:4" x14ac:dyDescent="0.3">
      <c r="A10543" s="5" t="s">
        <v>328</v>
      </c>
      <c r="B10543" s="5" t="s">
        <v>329</v>
      </c>
      <c r="C10543" s="6">
        <v>1971</v>
      </c>
      <c r="D10543" s="7">
        <v>4100044</v>
      </c>
    </row>
    <row r="10544" spans="1:4" x14ac:dyDescent="0.3">
      <c r="A10544" s="2" t="s">
        <v>328</v>
      </c>
      <c r="B10544" s="2" t="s">
        <v>329</v>
      </c>
      <c r="C10544" s="3">
        <v>1972</v>
      </c>
      <c r="D10544" s="4">
        <v>4220335</v>
      </c>
    </row>
    <row r="10545" spans="1:4" x14ac:dyDescent="0.3">
      <c r="A10545" s="5" t="s">
        <v>328</v>
      </c>
      <c r="B10545" s="5" t="s">
        <v>329</v>
      </c>
      <c r="C10545" s="6">
        <v>1973</v>
      </c>
      <c r="D10545" s="7">
        <v>4345047</v>
      </c>
    </row>
    <row r="10546" spans="1:4" x14ac:dyDescent="0.3">
      <c r="A10546" s="2" t="s">
        <v>328</v>
      </c>
      <c r="B10546" s="2" t="s">
        <v>329</v>
      </c>
      <c r="C10546" s="3">
        <v>1974</v>
      </c>
      <c r="D10546" s="4">
        <v>4474228</v>
      </c>
    </row>
    <row r="10547" spans="1:4" x14ac:dyDescent="0.3">
      <c r="A10547" s="5" t="s">
        <v>328</v>
      </c>
      <c r="B10547" s="5" t="s">
        <v>329</v>
      </c>
      <c r="C10547" s="6">
        <v>1975</v>
      </c>
      <c r="D10547" s="7">
        <v>4607728</v>
      </c>
    </row>
    <row r="10548" spans="1:4" x14ac:dyDescent="0.3">
      <c r="A10548" s="2" t="s">
        <v>328</v>
      </c>
      <c r="B10548" s="2" t="s">
        <v>329</v>
      </c>
      <c r="C10548" s="3">
        <v>1976</v>
      </c>
      <c r="D10548" s="4">
        <v>4745954</v>
      </c>
    </row>
    <row r="10549" spans="1:4" x14ac:dyDescent="0.3">
      <c r="A10549" s="5" t="s">
        <v>328</v>
      </c>
      <c r="B10549" s="5" t="s">
        <v>329</v>
      </c>
      <c r="C10549" s="6">
        <v>1977</v>
      </c>
      <c r="D10549" s="7">
        <v>4888240</v>
      </c>
    </row>
    <row r="10550" spans="1:4" x14ac:dyDescent="0.3">
      <c r="A10550" s="2" t="s">
        <v>328</v>
      </c>
      <c r="B10550" s="2" t="s">
        <v>329</v>
      </c>
      <c r="C10550" s="3">
        <v>1978</v>
      </c>
      <c r="D10550" s="4">
        <v>5035171</v>
      </c>
    </row>
    <row r="10551" spans="1:4" x14ac:dyDescent="0.3">
      <c r="A10551" s="5" t="s">
        <v>328</v>
      </c>
      <c r="B10551" s="5" t="s">
        <v>329</v>
      </c>
      <c r="C10551" s="6">
        <v>1979</v>
      </c>
      <c r="D10551" s="7">
        <v>5189541</v>
      </c>
    </row>
    <row r="10552" spans="1:4" x14ac:dyDescent="0.3">
      <c r="A10552" s="2" t="s">
        <v>328</v>
      </c>
      <c r="B10552" s="2" t="s">
        <v>329</v>
      </c>
      <c r="C10552" s="3">
        <v>1980</v>
      </c>
      <c r="D10552" s="4">
        <v>5353259</v>
      </c>
    </row>
    <row r="10553" spans="1:4" x14ac:dyDescent="0.3">
      <c r="A10553" s="5" t="s">
        <v>328</v>
      </c>
      <c r="B10553" s="5" t="s">
        <v>329</v>
      </c>
      <c r="C10553" s="6">
        <v>1981</v>
      </c>
      <c r="D10553" s="7">
        <v>5527230</v>
      </c>
    </row>
    <row r="10554" spans="1:4" x14ac:dyDescent="0.3">
      <c r="A10554" s="2" t="s">
        <v>328</v>
      </c>
      <c r="B10554" s="2" t="s">
        <v>329</v>
      </c>
      <c r="C10554" s="3">
        <v>1982</v>
      </c>
      <c r="D10554" s="4">
        <v>5711549</v>
      </c>
    </row>
    <row r="10555" spans="1:4" x14ac:dyDescent="0.3">
      <c r="A10555" s="5" t="s">
        <v>328</v>
      </c>
      <c r="B10555" s="5" t="s">
        <v>329</v>
      </c>
      <c r="C10555" s="6">
        <v>1983</v>
      </c>
      <c r="D10555" s="7">
        <v>5905311</v>
      </c>
    </row>
    <row r="10556" spans="1:4" x14ac:dyDescent="0.3">
      <c r="A10556" s="2" t="s">
        <v>328</v>
      </c>
      <c r="B10556" s="2" t="s">
        <v>329</v>
      </c>
      <c r="C10556" s="3">
        <v>1984</v>
      </c>
      <c r="D10556" s="4">
        <v>6107627</v>
      </c>
    </row>
    <row r="10557" spans="1:4" x14ac:dyDescent="0.3">
      <c r="A10557" s="5" t="s">
        <v>328</v>
      </c>
      <c r="B10557" s="5" t="s">
        <v>329</v>
      </c>
      <c r="C10557" s="6">
        <v>1985</v>
      </c>
      <c r="D10557" s="7">
        <v>6317228</v>
      </c>
    </row>
    <row r="10558" spans="1:4" x14ac:dyDescent="0.3">
      <c r="A10558" s="2" t="s">
        <v>328</v>
      </c>
      <c r="B10558" s="2" t="s">
        <v>329</v>
      </c>
      <c r="C10558" s="3">
        <v>1986</v>
      </c>
      <c r="D10558" s="4">
        <v>6531881</v>
      </c>
    </row>
    <row r="10559" spans="1:4" x14ac:dyDescent="0.3">
      <c r="A10559" s="5" t="s">
        <v>328</v>
      </c>
      <c r="B10559" s="5" t="s">
        <v>329</v>
      </c>
      <c r="C10559" s="6">
        <v>1987</v>
      </c>
      <c r="D10559" s="7">
        <v>6749493</v>
      </c>
    </row>
    <row r="10560" spans="1:4" x14ac:dyDescent="0.3">
      <c r="A10560" s="2" t="s">
        <v>328</v>
      </c>
      <c r="B10560" s="2" t="s">
        <v>329</v>
      </c>
      <c r="C10560" s="3">
        <v>1988</v>
      </c>
      <c r="D10560" s="4">
        <v>6968071</v>
      </c>
    </row>
    <row r="10561" spans="1:4" x14ac:dyDescent="0.3">
      <c r="A10561" s="5" t="s">
        <v>328</v>
      </c>
      <c r="B10561" s="5" t="s">
        <v>329</v>
      </c>
      <c r="C10561" s="6">
        <v>1989</v>
      </c>
      <c r="D10561" s="7">
        <v>7184706</v>
      </c>
    </row>
    <row r="10562" spans="1:4" x14ac:dyDescent="0.3">
      <c r="A10562" s="2" t="s">
        <v>328</v>
      </c>
      <c r="B10562" s="2" t="s">
        <v>329</v>
      </c>
      <c r="C10562" s="3">
        <v>1990</v>
      </c>
      <c r="D10562" s="4">
        <v>7375307</v>
      </c>
    </row>
    <row r="10563" spans="1:4" x14ac:dyDescent="0.3">
      <c r="A10563" s="5" t="s">
        <v>328</v>
      </c>
      <c r="B10563" s="5" t="s">
        <v>329</v>
      </c>
      <c r="C10563" s="6">
        <v>1991</v>
      </c>
      <c r="D10563" s="7">
        <v>7526966</v>
      </c>
    </row>
    <row r="10564" spans="1:4" x14ac:dyDescent="0.3">
      <c r="A10564" s="2" t="s">
        <v>328</v>
      </c>
      <c r="B10564" s="2" t="s">
        <v>329</v>
      </c>
      <c r="C10564" s="3">
        <v>1992</v>
      </c>
      <c r="D10564" s="4">
        <v>7683266</v>
      </c>
    </row>
    <row r="10565" spans="1:4" x14ac:dyDescent="0.3">
      <c r="A10565" s="5" t="s">
        <v>328</v>
      </c>
      <c r="B10565" s="5" t="s">
        <v>329</v>
      </c>
      <c r="C10565" s="6">
        <v>1993</v>
      </c>
      <c r="D10565" s="7">
        <v>7981132</v>
      </c>
    </row>
    <row r="10566" spans="1:4" x14ac:dyDescent="0.3">
      <c r="A10566" s="2" t="s">
        <v>328</v>
      </c>
      <c r="B10566" s="2" t="s">
        <v>329</v>
      </c>
      <c r="C10566" s="3">
        <v>1994</v>
      </c>
      <c r="D10566" s="4">
        <v>6792352</v>
      </c>
    </row>
    <row r="10567" spans="1:4" x14ac:dyDescent="0.3">
      <c r="A10567" s="5" t="s">
        <v>328</v>
      </c>
      <c r="B10567" s="5" t="s">
        <v>329</v>
      </c>
      <c r="C10567" s="6">
        <v>1995</v>
      </c>
      <c r="D10567" s="7">
        <v>5674118</v>
      </c>
    </row>
    <row r="10568" spans="1:4" x14ac:dyDescent="0.3">
      <c r="A10568" s="2" t="s">
        <v>328</v>
      </c>
      <c r="B10568" s="2" t="s">
        <v>329</v>
      </c>
      <c r="C10568" s="3">
        <v>1996</v>
      </c>
      <c r="D10568" s="4">
        <v>6708764</v>
      </c>
    </row>
    <row r="10569" spans="1:4" x14ac:dyDescent="0.3">
      <c r="A10569" s="5" t="s">
        <v>328</v>
      </c>
      <c r="B10569" s="5" t="s">
        <v>329</v>
      </c>
      <c r="C10569" s="6">
        <v>1997</v>
      </c>
      <c r="D10569" s="7">
        <v>7755238</v>
      </c>
    </row>
    <row r="10570" spans="1:4" x14ac:dyDescent="0.3">
      <c r="A10570" s="2" t="s">
        <v>328</v>
      </c>
      <c r="B10570" s="2" t="s">
        <v>329</v>
      </c>
      <c r="C10570" s="3">
        <v>1998</v>
      </c>
      <c r="D10570" s="4">
        <v>8081681</v>
      </c>
    </row>
    <row r="10571" spans="1:4" x14ac:dyDescent="0.3">
      <c r="A10571" s="5" t="s">
        <v>328</v>
      </c>
      <c r="B10571" s="5" t="s">
        <v>329</v>
      </c>
      <c r="C10571" s="6">
        <v>1999</v>
      </c>
      <c r="D10571" s="7">
        <v>8147912</v>
      </c>
    </row>
    <row r="10572" spans="1:4" x14ac:dyDescent="0.3">
      <c r="A10572" s="2" t="s">
        <v>328</v>
      </c>
      <c r="B10572" s="2" t="s">
        <v>329</v>
      </c>
      <c r="C10572" s="3">
        <v>2000</v>
      </c>
      <c r="D10572" s="4">
        <v>8213931</v>
      </c>
    </row>
    <row r="10573" spans="1:4" x14ac:dyDescent="0.3">
      <c r="A10573" s="5" t="s">
        <v>328</v>
      </c>
      <c r="B10573" s="5" t="s">
        <v>329</v>
      </c>
      <c r="C10573" s="6">
        <v>2001</v>
      </c>
      <c r="D10573" s="7">
        <v>8287094</v>
      </c>
    </row>
    <row r="10574" spans="1:4" x14ac:dyDescent="0.3">
      <c r="A10574" s="2" t="s">
        <v>328</v>
      </c>
      <c r="B10574" s="2" t="s">
        <v>329</v>
      </c>
      <c r="C10574" s="3">
        <v>2002</v>
      </c>
      <c r="D10574" s="4">
        <v>8400180</v>
      </c>
    </row>
    <row r="10575" spans="1:4" x14ac:dyDescent="0.3">
      <c r="A10575" s="5" t="s">
        <v>328</v>
      </c>
      <c r="B10575" s="5" t="s">
        <v>329</v>
      </c>
      <c r="C10575" s="6">
        <v>2003</v>
      </c>
      <c r="D10575" s="7">
        <v>8586875</v>
      </c>
    </row>
    <row r="10576" spans="1:4" x14ac:dyDescent="0.3">
      <c r="A10576" s="2" t="s">
        <v>328</v>
      </c>
      <c r="B10576" s="2" t="s">
        <v>329</v>
      </c>
      <c r="C10576" s="3">
        <v>2004</v>
      </c>
      <c r="D10576" s="4">
        <v>8816844</v>
      </c>
    </row>
    <row r="10577" spans="1:4" x14ac:dyDescent="0.3">
      <c r="A10577" s="5" t="s">
        <v>328</v>
      </c>
      <c r="B10577" s="5" t="s">
        <v>329</v>
      </c>
      <c r="C10577" s="6">
        <v>2005</v>
      </c>
      <c r="D10577" s="7">
        <v>9054528</v>
      </c>
    </row>
    <row r="10578" spans="1:4" x14ac:dyDescent="0.3">
      <c r="A10578" s="2" t="s">
        <v>328</v>
      </c>
      <c r="B10578" s="2" t="s">
        <v>329</v>
      </c>
      <c r="C10578" s="3">
        <v>2006</v>
      </c>
      <c r="D10578" s="4">
        <v>9299246</v>
      </c>
    </row>
    <row r="10579" spans="1:4" x14ac:dyDescent="0.3">
      <c r="A10579" s="5" t="s">
        <v>328</v>
      </c>
      <c r="B10579" s="5" t="s">
        <v>329</v>
      </c>
      <c r="C10579" s="6">
        <v>2007</v>
      </c>
      <c r="D10579" s="7">
        <v>9549933</v>
      </c>
    </row>
    <row r="10580" spans="1:4" x14ac:dyDescent="0.3">
      <c r="A10580" s="2" t="s">
        <v>328</v>
      </c>
      <c r="B10580" s="2" t="s">
        <v>329</v>
      </c>
      <c r="C10580" s="3">
        <v>2008</v>
      </c>
      <c r="D10580" s="4">
        <v>9804269</v>
      </c>
    </row>
    <row r="10581" spans="1:4" x14ac:dyDescent="0.3">
      <c r="A10581" s="5" t="s">
        <v>328</v>
      </c>
      <c r="B10581" s="5" t="s">
        <v>329</v>
      </c>
      <c r="C10581" s="6">
        <v>2009</v>
      </c>
      <c r="D10581" s="7">
        <v>10060432</v>
      </c>
    </row>
    <row r="10582" spans="1:4" x14ac:dyDescent="0.3">
      <c r="A10582" s="2" t="s">
        <v>328</v>
      </c>
      <c r="B10582" s="2" t="s">
        <v>329</v>
      </c>
      <c r="C10582" s="3">
        <v>2010</v>
      </c>
      <c r="D10582" s="4">
        <v>10317553</v>
      </c>
    </row>
    <row r="10583" spans="1:4" x14ac:dyDescent="0.3">
      <c r="A10583" s="5" t="s">
        <v>328</v>
      </c>
      <c r="B10583" s="5" t="s">
        <v>329</v>
      </c>
      <c r="C10583" s="6">
        <v>2011</v>
      </c>
      <c r="D10583" s="7">
        <v>10573733</v>
      </c>
    </row>
    <row r="10584" spans="1:4" x14ac:dyDescent="0.3">
      <c r="A10584" s="2" t="s">
        <v>328</v>
      </c>
      <c r="B10584" s="2" t="s">
        <v>329</v>
      </c>
      <c r="C10584" s="3">
        <v>2012</v>
      </c>
      <c r="D10584" s="4">
        <v>10829901</v>
      </c>
    </row>
    <row r="10585" spans="1:4" x14ac:dyDescent="0.3">
      <c r="A10585" s="5" t="s">
        <v>328</v>
      </c>
      <c r="B10585" s="5" t="s">
        <v>329</v>
      </c>
      <c r="C10585" s="6">
        <v>2013</v>
      </c>
      <c r="D10585" s="7">
        <v>11093340</v>
      </c>
    </row>
    <row r="10586" spans="1:4" x14ac:dyDescent="0.3">
      <c r="A10586" s="2" t="s">
        <v>328</v>
      </c>
      <c r="B10586" s="2" t="s">
        <v>329</v>
      </c>
      <c r="C10586" s="3">
        <v>2014</v>
      </c>
      <c r="D10586" s="4">
        <v>11364757</v>
      </c>
    </row>
    <row r="10587" spans="1:4" x14ac:dyDescent="0.3">
      <c r="A10587" s="5" t="s">
        <v>328</v>
      </c>
      <c r="B10587" s="5" t="s">
        <v>329</v>
      </c>
      <c r="C10587" s="6">
        <v>2015</v>
      </c>
      <c r="D10587" s="7">
        <v>11640022</v>
      </c>
    </row>
    <row r="10588" spans="1:4" x14ac:dyDescent="0.3">
      <c r="A10588" s="2" t="s">
        <v>328</v>
      </c>
      <c r="B10588" s="2" t="s">
        <v>329</v>
      </c>
      <c r="C10588" s="3">
        <v>2016</v>
      </c>
      <c r="D10588" s="4">
        <v>11919183</v>
      </c>
    </row>
    <row r="10589" spans="1:4" x14ac:dyDescent="0.3">
      <c r="A10589" s="5" t="s">
        <v>328</v>
      </c>
      <c r="B10589" s="5" t="s">
        <v>329</v>
      </c>
      <c r="C10589" s="6">
        <v>2017</v>
      </c>
      <c r="D10589" s="7">
        <v>12202060</v>
      </c>
    </row>
    <row r="10590" spans="1:4" x14ac:dyDescent="0.3">
      <c r="A10590" s="2" t="s">
        <v>328</v>
      </c>
      <c r="B10590" s="2" t="s">
        <v>329</v>
      </c>
      <c r="C10590" s="3">
        <v>2018</v>
      </c>
      <c r="D10590" s="4">
        <v>12487996</v>
      </c>
    </row>
    <row r="10591" spans="1:4" x14ac:dyDescent="0.3">
      <c r="A10591" s="5" t="s">
        <v>328</v>
      </c>
      <c r="B10591" s="5" t="s">
        <v>329</v>
      </c>
      <c r="C10591" s="6">
        <v>2019</v>
      </c>
      <c r="D10591" s="7">
        <v>12776103</v>
      </c>
    </row>
    <row r="10592" spans="1:4" x14ac:dyDescent="0.3">
      <c r="A10592" s="2" t="s">
        <v>328</v>
      </c>
      <c r="B10592" s="2" t="s">
        <v>329</v>
      </c>
      <c r="C10592" s="3">
        <v>2020</v>
      </c>
      <c r="D10592" s="4">
        <v>13065837</v>
      </c>
    </row>
    <row r="10593" spans="1:4" x14ac:dyDescent="0.3">
      <c r="A10593" s="5" t="s">
        <v>328</v>
      </c>
      <c r="B10593" s="5" t="s">
        <v>329</v>
      </c>
      <c r="C10593" s="6">
        <v>2021</v>
      </c>
      <c r="D10593" s="7">
        <v>13355260</v>
      </c>
    </row>
    <row r="10594" spans="1:4" x14ac:dyDescent="0.3">
      <c r="A10594" s="2" t="s">
        <v>328</v>
      </c>
      <c r="B10594" s="2" t="s">
        <v>329</v>
      </c>
      <c r="C10594" s="3">
        <v>2022</v>
      </c>
      <c r="D10594" s="4">
        <v>13651030</v>
      </c>
    </row>
    <row r="10595" spans="1:4" x14ac:dyDescent="0.3">
      <c r="A10595" s="5" t="s">
        <v>328</v>
      </c>
      <c r="B10595" s="5" t="s">
        <v>329</v>
      </c>
      <c r="C10595" s="6">
        <v>2023</v>
      </c>
      <c r="D10595" s="7">
        <v>13954471</v>
      </c>
    </row>
    <row r="10596" spans="1:4" x14ac:dyDescent="0.3">
      <c r="A10596" s="2" t="s">
        <v>328</v>
      </c>
      <c r="B10596" s="2" t="s">
        <v>329</v>
      </c>
      <c r="C10596" s="3">
        <v>2024</v>
      </c>
      <c r="D10596" s="4">
        <v>14256567</v>
      </c>
    </row>
    <row r="10597" spans="1:4" x14ac:dyDescent="0.3">
      <c r="A10597" s="5" t="s">
        <v>330</v>
      </c>
      <c r="B10597" s="5" t="s">
        <v>331</v>
      </c>
      <c r="C10597" s="6">
        <v>1960</v>
      </c>
      <c r="D10597" s="7">
        <v>112490</v>
      </c>
    </row>
    <row r="10598" spans="1:4" x14ac:dyDescent="0.3">
      <c r="A10598" s="2" t="s">
        <v>330</v>
      </c>
      <c r="B10598" s="2" t="s">
        <v>331</v>
      </c>
      <c r="C10598" s="3">
        <v>1961</v>
      </c>
      <c r="D10598" s="4">
        <v>115496</v>
      </c>
    </row>
    <row r="10599" spans="1:4" x14ac:dyDescent="0.3">
      <c r="A10599" s="5" t="s">
        <v>330</v>
      </c>
      <c r="B10599" s="5" t="s">
        <v>331</v>
      </c>
      <c r="C10599" s="6">
        <v>1962</v>
      </c>
      <c r="D10599" s="7">
        <v>118597</v>
      </c>
    </row>
    <row r="10600" spans="1:4" x14ac:dyDescent="0.3">
      <c r="A10600" s="2" t="s">
        <v>330</v>
      </c>
      <c r="B10600" s="2" t="s">
        <v>331</v>
      </c>
      <c r="C10600" s="3">
        <v>1963</v>
      </c>
      <c r="D10600" s="4">
        <v>121764</v>
      </c>
    </row>
    <row r="10601" spans="1:4" x14ac:dyDescent="0.3">
      <c r="A10601" s="5" t="s">
        <v>330</v>
      </c>
      <c r="B10601" s="5" t="s">
        <v>331</v>
      </c>
      <c r="C10601" s="6">
        <v>1964</v>
      </c>
      <c r="D10601" s="7">
        <v>124894</v>
      </c>
    </row>
    <row r="10602" spans="1:4" x14ac:dyDescent="0.3">
      <c r="A10602" s="2" t="s">
        <v>330</v>
      </c>
      <c r="B10602" s="2" t="s">
        <v>331</v>
      </c>
      <c r="C10602" s="3">
        <v>1965</v>
      </c>
      <c r="D10602" s="4">
        <v>127978</v>
      </c>
    </row>
    <row r="10603" spans="1:4" x14ac:dyDescent="0.3">
      <c r="A10603" s="5" t="s">
        <v>330</v>
      </c>
      <c r="B10603" s="5" t="s">
        <v>331</v>
      </c>
      <c r="C10603" s="6">
        <v>1966</v>
      </c>
      <c r="D10603" s="7">
        <v>131073</v>
      </c>
    </row>
    <row r="10604" spans="1:4" x14ac:dyDescent="0.3">
      <c r="A10604" s="2" t="s">
        <v>330</v>
      </c>
      <c r="B10604" s="2" t="s">
        <v>331</v>
      </c>
      <c r="C10604" s="3">
        <v>1967</v>
      </c>
      <c r="D10604" s="4">
        <v>133764</v>
      </c>
    </row>
    <row r="10605" spans="1:4" x14ac:dyDescent="0.3">
      <c r="A10605" s="5" t="s">
        <v>330</v>
      </c>
      <c r="B10605" s="5" t="s">
        <v>331</v>
      </c>
      <c r="C10605" s="6">
        <v>1968</v>
      </c>
      <c r="D10605" s="7">
        <v>136020</v>
      </c>
    </row>
    <row r="10606" spans="1:4" x14ac:dyDescent="0.3">
      <c r="A10606" s="2" t="s">
        <v>330</v>
      </c>
      <c r="B10606" s="2" t="s">
        <v>331</v>
      </c>
      <c r="C10606" s="3">
        <v>1969</v>
      </c>
      <c r="D10606" s="4">
        <v>138233</v>
      </c>
    </row>
    <row r="10607" spans="1:4" x14ac:dyDescent="0.3">
      <c r="A10607" s="5" t="s">
        <v>330</v>
      </c>
      <c r="B10607" s="5" t="s">
        <v>331</v>
      </c>
      <c r="C10607" s="6">
        <v>1970</v>
      </c>
      <c r="D10607" s="7">
        <v>140400</v>
      </c>
    </row>
    <row r="10608" spans="1:4" x14ac:dyDescent="0.3">
      <c r="A10608" s="2" t="s">
        <v>330</v>
      </c>
      <c r="B10608" s="2" t="s">
        <v>331</v>
      </c>
      <c r="C10608" s="3">
        <v>1971</v>
      </c>
      <c r="D10608" s="4">
        <v>142503</v>
      </c>
    </row>
    <row r="10609" spans="1:4" x14ac:dyDescent="0.3">
      <c r="A10609" s="5" t="s">
        <v>330</v>
      </c>
      <c r="B10609" s="5" t="s">
        <v>331</v>
      </c>
      <c r="C10609" s="6">
        <v>1972</v>
      </c>
      <c r="D10609" s="7">
        <v>144538</v>
      </c>
    </row>
    <row r="10610" spans="1:4" x14ac:dyDescent="0.3">
      <c r="A10610" s="2" t="s">
        <v>330</v>
      </c>
      <c r="B10610" s="2" t="s">
        <v>331</v>
      </c>
      <c r="C10610" s="3">
        <v>1973</v>
      </c>
      <c r="D10610" s="4">
        <v>146516</v>
      </c>
    </row>
    <row r="10611" spans="1:4" x14ac:dyDescent="0.3">
      <c r="A10611" s="5" t="s">
        <v>330</v>
      </c>
      <c r="B10611" s="5" t="s">
        <v>331</v>
      </c>
      <c r="C10611" s="6">
        <v>1974</v>
      </c>
      <c r="D10611" s="7">
        <v>149431</v>
      </c>
    </row>
    <row r="10612" spans="1:4" x14ac:dyDescent="0.3">
      <c r="A10612" s="2" t="s">
        <v>330</v>
      </c>
      <c r="B10612" s="2" t="s">
        <v>331</v>
      </c>
      <c r="C10612" s="3">
        <v>1975</v>
      </c>
      <c r="D10612" s="4">
        <v>153344</v>
      </c>
    </row>
    <row r="10613" spans="1:4" x14ac:dyDescent="0.3">
      <c r="A10613" s="5" t="s">
        <v>330</v>
      </c>
      <c r="B10613" s="5" t="s">
        <v>331</v>
      </c>
      <c r="C10613" s="6">
        <v>1976</v>
      </c>
      <c r="D10613" s="7">
        <v>157113</v>
      </c>
    </row>
    <row r="10614" spans="1:4" x14ac:dyDescent="0.3">
      <c r="A10614" s="2" t="s">
        <v>330</v>
      </c>
      <c r="B10614" s="2" t="s">
        <v>331</v>
      </c>
      <c r="C10614" s="3">
        <v>1977</v>
      </c>
      <c r="D10614" s="4">
        <v>159753</v>
      </c>
    </row>
    <row r="10615" spans="1:4" x14ac:dyDescent="0.3">
      <c r="A10615" s="5" t="s">
        <v>330</v>
      </c>
      <c r="B10615" s="5" t="s">
        <v>331</v>
      </c>
      <c r="C10615" s="6">
        <v>1978</v>
      </c>
      <c r="D10615" s="7">
        <v>161375</v>
      </c>
    </row>
    <row r="10616" spans="1:4" x14ac:dyDescent="0.3">
      <c r="A10616" s="2" t="s">
        <v>330</v>
      </c>
      <c r="B10616" s="2" t="s">
        <v>331</v>
      </c>
      <c r="C10616" s="3">
        <v>1979</v>
      </c>
      <c r="D10616" s="4">
        <v>162882</v>
      </c>
    </row>
    <row r="10617" spans="1:4" x14ac:dyDescent="0.3">
      <c r="A10617" s="5" t="s">
        <v>330</v>
      </c>
      <c r="B10617" s="5" t="s">
        <v>331</v>
      </c>
      <c r="C10617" s="6">
        <v>1980</v>
      </c>
      <c r="D10617" s="7">
        <v>164322</v>
      </c>
    </row>
    <row r="10618" spans="1:4" x14ac:dyDescent="0.3">
      <c r="A10618" s="2" t="s">
        <v>330</v>
      </c>
      <c r="B10618" s="2" t="s">
        <v>331</v>
      </c>
      <c r="C10618" s="3">
        <v>1981</v>
      </c>
      <c r="D10618" s="4">
        <v>165678</v>
      </c>
    </row>
    <row r="10619" spans="1:4" x14ac:dyDescent="0.3">
      <c r="A10619" s="5" t="s">
        <v>330</v>
      </c>
      <c r="B10619" s="5" t="s">
        <v>331</v>
      </c>
      <c r="C10619" s="6">
        <v>1982</v>
      </c>
      <c r="D10619" s="7">
        <v>166484</v>
      </c>
    </row>
    <row r="10620" spans="1:4" x14ac:dyDescent="0.3">
      <c r="A10620" s="2" t="s">
        <v>330</v>
      </c>
      <c r="B10620" s="2" t="s">
        <v>331</v>
      </c>
      <c r="C10620" s="3">
        <v>1983</v>
      </c>
      <c r="D10620" s="4">
        <v>166714</v>
      </c>
    </row>
    <row r="10621" spans="1:4" x14ac:dyDescent="0.3">
      <c r="A10621" s="5" t="s">
        <v>330</v>
      </c>
      <c r="B10621" s="5" t="s">
        <v>331</v>
      </c>
      <c r="C10621" s="6">
        <v>1984</v>
      </c>
      <c r="D10621" s="7">
        <v>166796</v>
      </c>
    </row>
    <row r="10622" spans="1:4" x14ac:dyDescent="0.3">
      <c r="A10622" s="2" t="s">
        <v>330</v>
      </c>
      <c r="B10622" s="2" t="s">
        <v>331</v>
      </c>
      <c r="C10622" s="3">
        <v>1985</v>
      </c>
      <c r="D10622" s="4">
        <v>166849</v>
      </c>
    </row>
    <row r="10623" spans="1:4" x14ac:dyDescent="0.3">
      <c r="A10623" s="5" t="s">
        <v>330</v>
      </c>
      <c r="B10623" s="5" t="s">
        <v>331</v>
      </c>
      <c r="C10623" s="6">
        <v>1986</v>
      </c>
      <c r="D10623" s="7">
        <v>167061</v>
      </c>
    </row>
    <row r="10624" spans="1:4" x14ac:dyDescent="0.3">
      <c r="A10624" s="2" t="s">
        <v>330</v>
      </c>
      <c r="B10624" s="2" t="s">
        <v>331</v>
      </c>
      <c r="C10624" s="3">
        <v>1987</v>
      </c>
      <c r="D10624" s="4">
        <v>167661</v>
      </c>
    </row>
    <row r="10625" spans="1:4" x14ac:dyDescent="0.3">
      <c r="A10625" s="5" t="s">
        <v>330</v>
      </c>
      <c r="B10625" s="5" t="s">
        <v>331</v>
      </c>
      <c r="C10625" s="6">
        <v>1988</v>
      </c>
      <c r="D10625" s="7">
        <v>168346</v>
      </c>
    </row>
    <row r="10626" spans="1:4" x14ac:dyDescent="0.3">
      <c r="A10626" s="2" t="s">
        <v>330</v>
      </c>
      <c r="B10626" s="2" t="s">
        <v>331</v>
      </c>
      <c r="C10626" s="3">
        <v>1989</v>
      </c>
      <c r="D10626" s="4">
        <v>168768</v>
      </c>
    </row>
    <row r="10627" spans="1:4" x14ac:dyDescent="0.3">
      <c r="A10627" s="5" t="s">
        <v>330</v>
      </c>
      <c r="B10627" s="5" t="s">
        <v>331</v>
      </c>
      <c r="C10627" s="6">
        <v>1990</v>
      </c>
      <c r="D10627" s="7">
        <v>169042</v>
      </c>
    </row>
    <row r="10628" spans="1:4" x14ac:dyDescent="0.3">
      <c r="A10628" s="2" t="s">
        <v>330</v>
      </c>
      <c r="B10628" s="2" t="s">
        <v>331</v>
      </c>
      <c r="C10628" s="3">
        <v>1991</v>
      </c>
      <c r="D10628" s="4">
        <v>169368</v>
      </c>
    </row>
    <row r="10629" spans="1:4" x14ac:dyDescent="0.3">
      <c r="A10629" s="5" t="s">
        <v>330</v>
      </c>
      <c r="B10629" s="5" t="s">
        <v>331</v>
      </c>
      <c r="C10629" s="6">
        <v>1992</v>
      </c>
      <c r="D10629" s="7">
        <v>170331</v>
      </c>
    </row>
    <row r="10630" spans="1:4" x14ac:dyDescent="0.3">
      <c r="A10630" s="2" t="s">
        <v>330</v>
      </c>
      <c r="B10630" s="2" t="s">
        <v>331</v>
      </c>
      <c r="C10630" s="3">
        <v>1993</v>
      </c>
      <c r="D10630" s="4">
        <v>171774</v>
      </c>
    </row>
    <row r="10631" spans="1:4" x14ac:dyDescent="0.3">
      <c r="A10631" s="5" t="s">
        <v>330</v>
      </c>
      <c r="B10631" s="5" t="s">
        <v>331</v>
      </c>
      <c r="C10631" s="6">
        <v>1994</v>
      </c>
      <c r="D10631" s="7">
        <v>173159</v>
      </c>
    </row>
    <row r="10632" spans="1:4" x14ac:dyDescent="0.3">
      <c r="A10632" s="2" t="s">
        <v>330</v>
      </c>
      <c r="B10632" s="2" t="s">
        <v>331</v>
      </c>
      <c r="C10632" s="3">
        <v>1995</v>
      </c>
      <c r="D10632" s="4">
        <v>174571</v>
      </c>
    </row>
    <row r="10633" spans="1:4" x14ac:dyDescent="0.3">
      <c r="A10633" s="5" t="s">
        <v>330</v>
      </c>
      <c r="B10633" s="5" t="s">
        <v>331</v>
      </c>
      <c r="C10633" s="6">
        <v>1996</v>
      </c>
      <c r="D10633" s="7">
        <v>176071</v>
      </c>
    </row>
    <row r="10634" spans="1:4" x14ac:dyDescent="0.3">
      <c r="A10634" s="2" t="s">
        <v>330</v>
      </c>
      <c r="B10634" s="2" t="s">
        <v>331</v>
      </c>
      <c r="C10634" s="3">
        <v>1997</v>
      </c>
      <c r="D10634" s="4">
        <v>177547</v>
      </c>
    </row>
    <row r="10635" spans="1:4" x14ac:dyDescent="0.3">
      <c r="A10635" s="5" t="s">
        <v>330</v>
      </c>
      <c r="B10635" s="5" t="s">
        <v>331</v>
      </c>
      <c r="C10635" s="6">
        <v>1998</v>
      </c>
      <c r="D10635" s="7">
        <v>178905</v>
      </c>
    </row>
    <row r="10636" spans="1:4" x14ac:dyDescent="0.3">
      <c r="A10636" s="2" t="s">
        <v>330</v>
      </c>
      <c r="B10636" s="2" t="s">
        <v>331</v>
      </c>
      <c r="C10636" s="3">
        <v>1999</v>
      </c>
      <c r="D10636" s="4">
        <v>180275</v>
      </c>
    </row>
    <row r="10637" spans="1:4" x14ac:dyDescent="0.3">
      <c r="A10637" s="5" t="s">
        <v>330</v>
      </c>
      <c r="B10637" s="5" t="s">
        <v>331</v>
      </c>
      <c r="C10637" s="6">
        <v>2000</v>
      </c>
      <c r="D10637" s="7">
        <v>181685</v>
      </c>
    </row>
    <row r="10638" spans="1:4" x14ac:dyDescent="0.3">
      <c r="A10638" s="2" t="s">
        <v>330</v>
      </c>
      <c r="B10638" s="2" t="s">
        <v>331</v>
      </c>
      <c r="C10638" s="3">
        <v>2001</v>
      </c>
      <c r="D10638" s="4">
        <v>183166</v>
      </c>
    </row>
    <row r="10639" spans="1:4" x14ac:dyDescent="0.3">
      <c r="A10639" s="5" t="s">
        <v>330</v>
      </c>
      <c r="B10639" s="5" t="s">
        <v>331</v>
      </c>
      <c r="C10639" s="6">
        <v>2002</v>
      </c>
      <c r="D10639" s="7">
        <v>184471</v>
      </c>
    </row>
    <row r="10640" spans="1:4" x14ac:dyDescent="0.3">
      <c r="A10640" s="2" t="s">
        <v>330</v>
      </c>
      <c r="B10640" s="2" t="s">
        <v>331</v>
      </c>
      <c r="C10640" s="3">
        <v>2003</v>
      </c>
      <c r="D10640" s="4">
        <v>185430</v>
      </c>
    </row>
    <row r="10641" spans="1:4" x14ac:dyDescent="0.3">
      <c r="A10641" s="5" t="s">
        <v>330</v>
      </c>
      <c r="B10641" s="5" t="s">
        <v>331</v>
      </c>
      <c r="C10641" s="6">
        <v>2004</v>
      </c>
      <c r="D10641" s="7">
        <v>186249</v>
      </c>
    </row>
    <row r="10642" spans="1:4" x14ac:dyDescent="0.3">
      <c r="A10642" s="2" t="s">
        <v>330</v>
      </c>
      <c r="B10642" s="2" t="s">
        <v>331</v>
      </c>
      <c r="C10642" s="3">
        <v>2005</v>
      </c>
      <c r="D10642" s="4">
        <v>186978</v>
      </c>
    </row>
    <row r="10643" spans="1:4" x14ac:dyDescent="0.3">
      <c r="A10643" s="5" t="s">
        <v>330</v>
      </c>
      <c r="B10643" s="5" t="s">
        <v>331</v>
      </c>
      <c r="C10643" s="6">
        <v>2006</v>
      </c>
      <c r="D10643" s="7">
        <v>187709</v>
      </c>
    </row>
    <row r="10644" spans="1:4" x14ac:dyDescent="0.3">
      <c r="A10644" s="2" t="s">
        <v>330</v>
      </c>
      <c r="B10644" s="2" t="s">
        <v>331</v>
      </c>
      <c r="C10644" s="3">
        <v>2007</v>
      </c>
      <c r="D10644" s="4">
        <v>188753</v>
      </c>
    </row>
    <row r="10645" spans="1:4" x14ac:dyDescent="0.3">
      <c r="A10645" s="5" t="s">
        <v>330</v>
      </c>
      <c r="B10645" s="5" t="s">
        <v>331</v>
      </c>
      <c r="C10645" s="6">
        <v>2008</v>
      </c>
      <c r="D10645" s="7">
        <v>190107</v>
      </c>
    </row>
    <row r="10646" spans="1:4" x14ac:dyDescent="0.3">
      <c r="A10646" s="2" t="s">
        <v>330</v>
      </c>
      <c r="B10646" s="2" t="s">
        <v>331</v>
      </c>
      <c r="C10646" s="3">
        <v>2009</v>
      </c>
      <c r="D10646" s="4">
        <v>191513</v>
      </c>
    </row>
    <row r="10647" spans="1:4" x14ac:dyDescent="0.3">
      <c r="A10647" s="5" t="s">
        <v>330</v>
      </c>
      <c r="B10647" s="5" t="s">
        <v>331</v>
      </c>
      <c r="C10647" s="6">
        <v>2010</v>
      </c>
      <c r="D10647" s="7">
        <v>193023</v>
      </c>
    </row>
    <row r="10648" spans="1:4" x14ac:dyDescent="0.3">
      <c r="A10648" s="2" t="s">
        <v>330</v>
      </c>
      <c r="B10648" s="2" t="s">
        <v>331</v>
      </c>
      <c r="C10648" s="3">
        <v>2011</v>
      </c>
      <c r="D10648" s="4">
        <v>194713</v>
      </c>
    </row>
    <row r="10649" spans="1:4" x14ac:dyDescent="0.3">
      <c r="A10649" s="5" t="s">
        <v>330</v>
      </c>
      <c r="B10649" s="5" t="s">
        <v>331</v>
      </c>
      <c r="C10649" s="6">
        <v>2012</v>
      </c>
      <c r="D10649" s="7">
        <v>196498</v>
      </c>
    </row>
    <row r="10650" spans="1:4" x14ac:dyDescent="0.3">
      <c r="A10650" s="2" t="s">
        <v>330</v>
      </c>
      <c r="B10650" s="2" t="s">
        <v>331</v>
      </c>
      <c r="C10650" s="3">
        <v>2013</v>
      </c>
      <c r="D10650" s="4">
        <v>198268</v>
      </c>
    </row>
    <row r="10651" spans="1:4" x14ac:dyDescent="0.3">
      <c r="A10651" s="5" t="s">
        <v>330</v>
      </c>
      <c r="B10651" s="5" t="s">
        <v>331</v>
      </c>
      <c r="C10651" s="6">
        <v>2014</v>
      </c>
      <c r="D10651" s="7">
        <v>200037</v>
      </c>
    </row>
    <row r="10652" spans="1:4" x14ac:dyDescent="0.3">
      <c r="A10652" s="2" t="s">
        <v>330</v>
      </c>
      <c r="B10652" s="2" t="s">
        <v>331</v>
      </c>
      <c r="C10652" s="3">
        <v>2015</v>
      </c>
      <c r="D10652" s="4">
        <v>201782</v>
      </c>
    </row>
    <row r="10653" spans="1:4" x14ac:dyDescent="0.3">
      <c r="A10653" s="5" t="s">
        <v>330</v>
      </c>
      <c r="B10653" s="5" t="s">
        <v>331</v>
      </c>
      <c r="C10653" s="6">
        <v>2016</v>
      </c>
      <c r="D10653" s="7">
        <v>203499</v>
      </c>
    </row>
    <row r="10654" spans="1:4" x14ac:dyDescent="0.3">
      <c r="A10654" s="2" t="s">
        <v>330</v>
      </c>
      <c r="B10654" s="2" t="s">
        <v>331</v>
      </c>
      <c r="C10654" s="3">
        <v>2017</v>
      </c>
      <c r="D10654" s="4">
        <v>205415</v>
      </c>
    </row>
    <row r="10655" spans="1:4" x14ac:dyDescent="0.3">
      <c r="A10655" s="5" t="s">
        <v>330</v>
      </c>
      <c r="B10655" s="5" t="s">
        <v>331</v>
      </c>
      <c r="C10655" s="6">
        <v>2018</v>
      </c>
      <c r="D10655" s="7">
        <v>207582</v>
      </c>
    </row>
    <row r="10656" spans="1:4" x14ac:dyDescent="0.3">
      <c r="A10656" s="2" t="s">
        <v>330</v>
      </c>
      <c r="B10656" s="2" t="s">
        <v>331</v>
      </c>
      <c r="C10656" s="3">
        <v>2019</v>
      </c>
      <c r="D10656" s="4">
        <v>209780</v>
      </c>
    </row>
    <row r="10657" spans="1:4" x14ac:dyDescent="0.3">
      <c r="A10657" s="5" t="s">
        <v>330</v>
      </c>
      <c r="B10657" s="5" t="s">
        <v>331</v>
      </c>
      <c r="C10657" s="6">
        <v>2020</v>
      </c>
      <c r="D10657" s="7">
        <v>211944</v>
      </c>
    </row>
    <row r="10658" spans="1:4" x14ac:dyDescent="0.3">
      <c r="A10658" s="2" t="s">
        <v>330</v>
      </c>
      <c r="B10658" s="2" t="s">
        <v>331</v>
      </c>
      <c r="C10658" s="3">
        <v>2021</v>
      </c>
      <c r="D10658" s="4">
        <v>213779</v>
      </c>
    </row>
    <row r="10659" spans="1:4" x14ac:dyDescent="0.3">
      <c r="A10659" s="5" t="s">
        <v>330</v>
      </c>
      <c r="B10659" s="5" t="s">
        <v>331</v>
      </c>
      <c r="C10659" s="6">
        <v>2022</v>
      </c>
      <c r="D10659" s="7">
        <v>215261</v>
      </c>
    </row>
    <row r="10660" spans="1:4" x14ac:dyDescent="0.3">
      <c r="A10660" s="2" t="s">
        <v>330</v>
      </c>
      <c r="B10660" s="2" t="s">
        <v>331</v>
      </c>
      <c r="C10660" s="3">
        <v>2023</v>
      </c>
      <c r="D10660" s="4">
        <v>216663</v>
      </c>
    </row>
    <row r="10661" spans="1:4" x14ac:dyDescent="0.3">
      <c r="A10661" s="5" t="s">
        <v>330</v>
      </c>
      <c r="B10661" s="5" t="s">
        <v>331</v>
      </c>
      <c r="C10661" s="6">
        <v>2024</v>
      </c>
      <c r="D10661" s="7">
        <v>218019</v>
      </c>
    </row>
    <row r="10662" spans="1:4" x14ac:dyDescent="0.3">
      <c r="A10662" s="2" t="s">
        <v>332</v>
      </c>
      <c r="B10662" s="2" t="s">
        <v>333</v>
      </c>
      <c r="C10662" s="3">
        <v>1960</v>
      </c>
      <c r="D10662" s="4">
        <v>15428</v>
      </c>
    </row>
    <row r="10663" spans="1:4" x14ac:dyDescent="0.3">
      <c r="A10663" s="5" t="s">
        <v>332</v>
      </c>
      <c r="B10663" s="5" t="s">
        <v>333</v>
      </c>
      <c r="C10663" s="6">
        <v>1961</v>
      </c>
      <c r="D10663" s="7">
        <v>15799</v>
      </c>
    </row>
    <row r="10664" spans="1:4" x14ac:dyDescent="0.3">
      <c r="A10664" s="2" t="s">
        <v>332</v>
      </c>
      <c r="B10664" s="2" t="s">
        <v>333</v>
      </c>
      <c r="C10664" s="3">
        <v>1962</v>
      </c>
      <c r="D10664" s="4">
        <v>16183</v>
      </c>
    </row>
    <row r="10665" spans="1:4" x14ac:dyDescent="0.3">
      <c r="A10665" s="5" t="s">
        <v>332</v>
      </c>
      <c r="B10665" s="5" t="s">
        <v>333</v>
      </c>
      <c r="C10665" s="6">
        <v>1963</v>
      </c>
      <c r="D10665" s="7">
        <v>16580</v>
      </c>
    </row>
    <row r="10666" spans="1:4" x14ac:dyDescent="0.3">
      <c r="A10666" s="2" t="s">
        <v>332</v>
      </c>
      <c r="B10666" s="2" t="s">
        <v>333</v>
      </c>
      <c r="C10666" s="3">
        <v>1964</v>
      </c>
      <c r="D10666" s="4">
        <v>16977</v>
      </c>
    </row>
    <row r="10667" spans="1:4" x14ac:dyDescent="0.3">
      <c r="A10667" s="5" t="s">
        <v>332</v>
      </c>
      <c r="B10667" s="5" t="s">
        <v>333</v>
      </c>
      <c r="C10667" s="6">
        <v>1965</v>
      </c>
      <c r="D10667" s="7">
        <v>17305</v>
      </c>
    </row>
    <row r="10668" spans="1:4" x14ac:dyDescent="0.3">
      <c r="A10668" s="2" t="s">
        <v>332</v>
      </c>
      <c r="B10668" s="2" t="s">
        <v>333</v>
      </c>
      <c r="C10668" s="3">
        <v>1966</v>
      </c>
      <c r="D10668" s="4">
        <v>17523</v>
      </c>
    </row>
    <row r="10669" spans="1:4" x14ac:dyDescent="0.3">
      <c r="A10669" s="5" t="s">
        <v>332</v>
      </c>
      <c r="B10669" s="5" t="s">
        <v>333</v>
      </c>
      <c r="C10669" s="6">
        <v>1967</v>
      </c>
      <c r="D10669" s="7">
        <v>17688</v>
      </c>
    </row>
    <row r="10670" spans="1:4" x14ac:dyDescent="0.3">
      <c r="A10670" s="2" t="s">
        <v>332</v>
      </c>
      <c r="B10670" s="2" t="s">
        <v>333</v>
      </c>
      <c r="C10670" s="3">
        <v>1968</v>
      </c>
      <c r="D10670" s="4">
        <v>17861</v>
      </c>
    </row>
    <row r="10671" spans="1:4" x14ac:dyDescent="0.3">
      <c r="A10671" s="5" t="s">
        <v>332</v>
      </c>
      <c r="B10671" s="5" t="s">
        <v>333</v>
      </c>
      <c r="C10671" s="6">
        <v>1969</v>
      </c>
      <c r="D10671" s="7">
        <v>18026</v>
      </c>
    </row>
    <row r="10672" spans="1:4" x14ac:dyDescent="0.3">
      <c r="A10672" s="2" t="s">
        <v>332</v>
      </c>
      <c r="B10672" s="2" t="s">
        <v>333</v>
      </c>
      <c r="C10672" s="3">
        <v>1970</v>
      </c>
      <c r="D10672" s="4">
        <v>18168</v>
      </c>
    </row>
    <row r="10673" spans="1:4" x14ac:dyDescent="0.3">
      <c r="A10673" s="5" t="s">
        <v>332</v>
      </c>
      <c r="B10673" s="5" t="s">
        <v>333</v>
      </c>
      <c r="C10673" s="6">
        <v>1971</v>
      </c>
      <c r="D10673" s="7">
        <v>18419</v>
      </c>
    </row>
    <row r="10674" spans="1:4" x14ac:dyDescent="0.3">
      <c r="A10674" s="2" t="s">
        <v>332</v>
      </c>
      <c r="B10674" s="2" t="s">
        <v>333</v>
      </c>
      <c r="C10674" s="3">
        <v>1972</v>
      </c>
      <c r="D10674" s="4">
        <v>18787</v>
      </c>
    </row>
    <row r="10675" spans="1:4" x14ac:dyDescent="0.3">
      <c r="A10675" s="5" t="s">
        <v>332</v>
      </c>
      <c r="B10675" s="5" t="s">
        <v>333</v>
      </c>
      <c r="C10675" s="6">
        <v>1973</v>
      </c>
      <c r="D10675" s="7">
        <v>18992</v>
      </c>
    </row>
    <row r="10676" spans="1:4" x14ac:dyDescent="0.3">
      <c r="A10676" s="2" t="s">
        <v>332</v>
      </c>
      <c r="B10676" s="2" t="s">
        <v>333</v>
      </c>
      <c r="C10676" s="3">
        <v>1974</v>
      </c>
      <c r="D10676" s="4">
        <v>19030</v>
      </c>
    </row>
    <row r="10677" spans="1:4" x14ac:dyDescent="0.3">
      <c r="A10677" s="5" t="s">
        <v>332</v>
      </c>
      <c r="B10677" s="5" t="s">
        <v>333</v>
      </c>
      <c r="C10677" s="6">
        <v>1975</v>
      </c>
      <c r="D10677" s="7">
        <v>19046</v>
      </c>
    </row>
    <row r="10678" spans="1:4" x14ac:dyDescent="0.3">
      <c r="A10678" s="2" t="s">
        <v>332</v>
      </c>
      <c r="B10678" s="2" t="s">
        <v>333</v>
      </c>
      <c r="C10678" s="3">
        <v>1976</v>
      </c>
      <c r="D10678" s="4">
        <v>19110</v>
      </c>
    </row>
    <row r="10679" spans="1:4" x14ac:dyDescent="0.3">
      <c r="A10679" s="5" t="s">
        <v>332</v>
      </c>
      <c r="B10679" s="5" t="s">
        <v>333</v>
      </c>
      <c r="C10679" s="6">
        <v>1977</v>
      </c>
      <c r="D10679" s="7">
        <v>20017</v>
      </c>
    </row>
    <row r="10680" spans="1:4" x14ac:dyDescent="0.3">
      <c r="A10680" s="2" t="s">
        <v>332</v>
      </c>
      <c r="B10680" s="2" t="s">
        <v>333</v>
      </c>
      <c r="C10680" s="3">
        <v>1978</v>
      </c>
      <c r="D10680" s="4">
        <v>21026</v>
      </c>
    </row>
    <row r="10681" spans="1:4" x14ac:dyDescent="0.3">
      <c r="A10681" s="5" t="s">
        <v>332</v>
      </c>
      <c r="B10681" s="5" t="s">
        <v>333</v>
      </c>
      <c r="C10681" s="6">
        <v>1979</v>
      </c>
      <c r="D10681" s="7">
        <v>21320</v>
      </c>
    </row>
    <row r="10682" spans="1:4" x14ac:dyDescent="0.3">
      <c r="A10682" s="2" t="s">
        <v>332</v>
      </c>
      <c r="B10682" s="2" t="s">
        <v>333</v>
      </c>
      <c r="C10682" s="3">
        <v>1980</v>
      </c>
      <c r="D10682" s="4">
        <v>21585</v>
      </c>
    </row>
    <row r="10683" spans="1:4" x14ac:dyDescent="0.3">
      <c r="A10683" s="5" t="s">
        <v>332</v>
      </c>
      <c r="B10683" s="5" t="s">
        <v>333</v>
      </c>
      <c r="C10683" s="6">
        <v>1981</v>
      </c>
      <c r="D10683" s="7">
        <v>21840</v>
      </c>
    </row>
    <row r="10684" spans="1:4" x14ac:dyDescent="0.3">
      <c r="A10684" s="2" t="s">
        <v>332</v>
      </c>
      <c r="B10684" s="2" t="s">
        <v>333</v>
      </c>
      <c r="C10684" s="3">
        <v>1982</v>
      </c>
      <c r="D10684" s="4">
        <v>22055</v>
      </c>
    </row>
    <row r="10685" spans="1:4" x14ac:dyDescent="0.3">
      <c r="A10685" s="5" t="s">
        <v>332</v>
      </c>
      <c r="B10685" s="5" t="s">
        <v>333</v>
      </c>
      <c r="C10685" s="6">
        <v>1983</v>
      </c>
      <c r="D10685" s="7">
        <v>22229</v>
      </c>
    </row>
    <row r="10686" spans="1:4" x14ac:dyDescent="0.3">
      <c r="A10686" s="2" t="s">
        <v>332</v>
      </c>
      <c r="B10686" s="2" t="s">
        <v>333</v>
      </c>
      <c r="C10686" s="3">
        <v>1984</v>
      </c>
      <c r="D10686" s="4">
        <v>22346</v>
      </c>
    </row>
    <row r="10687" spans="1:4" x14ac:dyDescent="0.3">
      <c r="A10687" s="5" t="s">
        <v>332</v>
      </c>
      <c r="B10687" s="5" t="s">
        <v>333</v>
      </c>
      <c r="C10687" s="6">
        <v>1985</v>
      </c>
      <c r="D10687" s="7">
        <v>22485</v>
      </c>
    </row>
    <row r="10688" spans="1:4" x14ac:dyDescent="0.3">
      <c r="A10688" s="2" t="s">
        <v>332</v>
      </c>
      <c r="B10688" s="2" t="s">
        <v>333</v>
      </c>
      <c r="C10688" s="3">
        <v>1986</v>
      </c>
      <c r="D10688" s="4">
        <v>22636</v>
      </c>
    </row>
    <row r="10689" spans="1:4" x14ac:dyDescent="0.3">
      <c r="A10689" s="5" t="s">
        <v>332</v>
      </c>
      <c r="B10689" s="5" t="s">
        <v>333</v>
      </c>
      <c r="C10689" s="6">
        <v>1987</v>
      </c>
      <c r="D10689" s="7">
        <v>22686</v>
      </c>
    </row>
    <row r="10690" spans="1:4" x14ac:dyDescent="0.3">
      <c r="A10690" s="2" t="s">
        <v>332</v>
      </c>
      <c r="B10690" s="2" t="s">
        <v>333</v>
      </c>
      <c r="C10690" s="3">
        <v>1988</v>
      </c>
      <c r="D10690" s="4">
        <v>22843</v>
      </c>
    </row>
    <row r="10691" spans="1:4" x14ac:dyDescent="0.3">
      <c r="A10691" s="5" t="s">
        <v>332</v>
      </c>
      <c r="B10691" s="5" t="s">
        <v>333</v>
      </c>
      <c r="C10691" s="6">
        <v>1989</v>
      </c>
      <c r="D10691" s="7">
        <v>23154</v>
      </c>
    </row>
    <row r="10692" spans="1:4" x14ac:dyDescent="0.3">
      <c r="A10692" s="2" t="s">
        <v>332</v>
      </c>
      <c r="B10692" s="2" t="s">
        <v>333</v>
      </c>
      <c r="C10692" s="3">
        <v>1990</v>
      </c>
      <c r="D10692" s="4">
        <v>23475</v>
      </c>
    </row>
    <row r="10693" spans="1:4" x14ac:dyDescent="0.3">
      <c r="A10693" s="5" t="s">
        <v>332</v>
      </c>
      <c r="B10693" s="5" t="s">
        <v>333</v>
      </c>
      <c r="C10693" s="6">
        <v>1991</v>
      </c>
      <c r="D10693" s="7">
        <v>23797</v>
      </c>
    </row>
    <row r="10694" spans="1:4" x14ac:dyDescent="0.3">
      <c r="A10694" s="2" t="s">
        <v>332</v>
      </c>
      <c r="B10694" s="2" t="s">
        <v>333</v>
      </c>
      <c r="C10694" s="3">
        <v>1992</v>
      </c>
      <c r="D10694" s="4">
        <v>24125</v>
      </c>
    </row>
    <row r="10695" spans="1:4" x14ac:dyDescent="0.3">
      <c r="A10695" s="5" t="s">
        <v>332</v>
      </c>
      <c r="B10695" s="5" t="s">
        <v>333</v>
      </c>
      <c r="C10695" s="6">
        <v>1993</v>
      </c>
      <c r="D10695" s="7">
        <v>24472</v>
      </c>
    </row>
    <row r="10696" spans="1:4" x14ac:dyDescent="0.3">
      <c r="A10696" s="2" t="s">
        <v>332</v>
      </c>
      <c r="B10696" s="2" t="s">
        <v>333</v>
      </c>
      <c r="C10696" s="3">
        <v>1994</v>
      </c>
      <c r="D10696" s="4">
        <v>24823</v>
      </c>
    </row>
    <row r="10697" spans="1:4" x14ac:dyDescent="0.3">
      <c r="A10697" s="5" t="s">
        <v>332</v>
      </c>
      <c r="B10697" s="5" t="s">
        <v>333</v>
      </c>
      <c r="C10697" s="6">
        <v>1995</v>
      </c>
      <c r="D10697" s="7">
        <v>25158</v>
      </c>
    </row>
    <row r="10698" spans="1:4" x14ac:dyDescent="0.3">
      <c r="A10698" s="2" t="s">
        <v>332</v>
      </c>
      <c r="B10698" s="2" t="s">
        <v>333</v>
      </c>
      <c r="C10698" s="3">
        <v>1996</v>
      </c>
      <c r="D10698" s="4">
        <v>25482</v>
      </c>
    </row>
    <row r="10699" spans="1:4" x14ac:dyDescent="0.3">
      <c r="A10699" s="5" t="s">
        <v>332</v>
      </c>
      <c r="B10699" s="5" t="s">
        <v>333</v>
      </c>
      <c r="C10699" s="6">
        <v>1997</v>
      </c>
      <c r="D10699" s="7">
        <v>25800</v>
      </c>
    </row>
    <row r="10700" spans="1:4" x14ac:dyDescent="0.3">
      <c r="A10700" s="2" t="s">
        <v>332</v>
      </c>
      <c r="B10700" s="2" t="s">
        <v>333</v>
      </c>
      <c r="C10700" s="3">
        <v>1998</v>
      </c>
      <c r="D10700" s="4">
        <v>26125</v>
      </c>
    </row>
    <row r="10701" spans="1:4" x14ac:dyDescent="0.3">
      <c r="A10701" s="5" t="s">
        <v>332</v>
      </c>
      <c r="B10701" s="5" t="s">
        <v>333</v>
      </c>
      <c r="C10701" s="6">
        <v>1999</v>
      </c>
      <c r="D10701" s="7">
        <v>26459</v>
      </c>
    </row>
    <row r="10702" spans="1:4" x14ac:dyDescent="0.3">
      <c r="A10702" s="2" t="s">
        <v>332</v>
      </c>
      <c r="B10702" s="2" t="s">
        <v>333</v>
      </c>
      <c r="C10702" s="3">
        <v>2000</v>
      </c>
      <c r="D10702" s="4">
        <v>26799</v>
      </c>
    </row>
    <row r="10703" spans="1:4" x14ac:dyDescent="0.3">
      <c r="A10703" s="5" t="s">
        <v>332</v>
      </c>
      <c r="B10703" s="5" t="s">
        <v>333</v>
      </c>
      <c r="C10703" s="6">
        <v>2001</v>
      </c>
      <c r="D10703" s="7">
        <v>27143</v>
      </c>
    </row>
    <row r="10704" spans="1:4" x14ac:dyDescent="0.3">
      <c r="A10704" s="2" t="s">
        <v>332</v>
      </c>
      <c r="B10704" s="2" t="s">
        <v>333</v>
      </c>
      <c r="C10704" s="3">
        <v>2002</v>
      </c>
      <c r="D10704" s="4">
        <v>27491</v>
      </c>
    </row>
    <row r="10705" spans="1:4" x14ac:dyDescent="0.3">
      <c r="A10705" s="5" t="s">
        <v>332</v>
      </c>
      <c r="B10705" s="5" t="s">
        <v>333</v>
      </c>
      <c r="C10705" s="6">
        <v>2003</v>
      </c>
      <c r="D10705" s="7">
        <v>27843</v>
      </c>
    </row>
    <row r="10706" spans="1:4" x14ac:dyDescent="0.3">
      <c r="A10706" s="2" t="s">
        <v>332</v>
      </c>
      <c r="B10706" s="2" t="s">
        <v>333</v>
      </c>
      <c r="C10706" s="3">
        <v>2004</v>
      </c>
      <c r="D10706" s="4">
        <v>29457</v>
      </c>
    </row>
    <row r="10707" spans="1:4" x14ac:dyDescent="0.3">
      <c r="A10707" s="5" t="s">
        <v>332</v>
      </c>
      <c r="B10707" s="5" t="s">
        <v>333</v>
      </c>
      <c r="C10707" s="6">
        <v>2005</v>
      </c>
      <c r="D10707" s="7">
        <v>29836</v>
      </c>
    </row>
    <row r="10708" spans="1:4" x14ac:dyDescent="0.3">
      <c r="A10708" s="2" t="s">
        <v>332</v>
      </c>
      <c r="B10708" s="2" t="s">
        <v>333</v>
      </c>
      <c r="C10708" s="3">
        <v>2006</v>
      </c>
      <c r="D10708" s="4">
        <v>30184</v>
      </c>
    </row>
    <row r="10709" spans="1:4" x14ac:dyDescent="0.3">
      <c r="A10709" s="5" t="s">
        <v>332</v>
      </c>
      <c r="B10709" s="5" t="s">
        <v>333</v>
      </c>
      <c r="C10709" s="6">
        <v>2007</v>
      </c>
      <c r="D10709" s="7">
        <v>31211</v>
      </c>
    </row>
    <row r="10710" spans="1:4" x14ac:dyDescent="0.3">
      <c r="A10710" s="2" t="s">
        <v>332</v>
      </c>
      <c r="B10710" s="2" t="s">
        <v>333</v>
      </c>
      <c r="C10710" s="3">
        <v>2008</v>
      </c>
      <c r="D10710" s="4">
        <v>31662</v>
      </c>
    </row>
    <row r="10711" spans="1:4" x14ac:dyDescent="0.3">
      <c r="A10711" s="5" t="s">
        <v>332</v>
      </c>
      <c r="B10711" s="5" t="s">
        <v>333</v>
      </c>
      <c r="C10711" s="6">
        <v>2009</v>
      </c>
      <c r="D10711" s="7">
        <v>33066</v>
      </c>
    </row>
    <row r="10712" spans="1:4" x14ac:dyDescent="0.3">
      <c r="A10712" s="2" t="s">
        <v>332</v>
      </c>
      <c r="B10712" s="2" t="s">
        <v>333</v>
      </c>
      <c r="C10712" s="3">
        <v>2010</v>
      </c>
      <c r="D10712" s="4">
        <v>33270</v>
      </c>
    </row>
    <row r="10713" spans="1:4" x14ac:dyDescent="0.3">
      <c r="A10713" s="5" t="s">
        <v>332</v>
      </c>
      <c r="B10713" s="5" t="s">
        <v>333</v>
      </c>
      <c r="C10713" s="6">
        <v>2011</v>
      </c>
      <c r="D10713" s="7">
        <v>32620</v>
      </c>
    </row>
    <row r="10714" spans="1:4" x14ac:dyDescent="0.3">
      <c r="A10714" s="2" t="s">
        <v>332</v>
      </c>
      <c r="B10714" s="2" t="s">
        <v>333</v>
      </c>
      <c r="C10714" s="3">
        <v>2012</v>
      </c>
      <c r="D10714" s="4">
        <v>33469</v>
      </c>
    </row>
    <row r="10715" spans="1:4" x14ac:dyDescent="0.3">
      <c r="A10715" s="5" t="s">
        <v>332</v>
      </c>
      <c r="B10715" s="5" t="s">
        <v>333</v>
      </c>
      <c r="C10715" s="6">
        <v>2013</v>
      </c>
      <c r="D10715" s="7">
        <v>33041</v>
      </c>
    </row>
    <row r="10716" spans="1:4" x14ac:dyDescent="0.3">
      <c r="A10716" s="2" t="s">
        <v>332</v>
      </c>
      <c r="B10716" s="2" t="s">
        <v>333</v>
      </c>
      <c r="C10716" s="3">
        <v>2014</v>
      </c>
      <c r="D10716" s="4">
        <v>32655</v>
      </c>
    </row>
    <row r="10717" spans="1:4" x14ac:dyDescent="0.3">
      <c r="A10717" s="5" t="s">
        <v>332</v>
      </c>
      <c r="B10717" s="5" t="s">
        <v>333</v>
      </c>
      <c r="C10717" s="6">
        <v>2015</v>
      </c>
      <c r="D10717" s="7">
        <v>32897</v>
      </c>
    </row>
    <row r="10718" spans="1:4" x14ac:dyDescent="0.3">
      <c r="A10718" s="2" t="s">
        <v>332</v>
      </c>
      <c r="B10718" s="2" t="s">
        <v>333</v>
      </c>
      <c r="C10718" s="3">
        <v>2016</v>
      </c>
      <c r="D10718" s="4">
        <v>33101</v>
      </c>
    </row>
    <row r="10719" spans="1:4" x14ac:dyDescent="0.3">
      <c r="A10719" s="5" t="s">
        <v>332</v>
      </c>
      <c r="B10719" s="5" t="s">
        <v>333</v>
      </c>
      <c r="C10719" s="6">
        <v>2017</v>
      </c>
      <c r="D10719" s="7">
        <v>33825</v>
      </c>
    </row>
    <row r="10720" spans="1:4" x14ac:dyDescent="0.3">
      <c r="A10720" s="2" t="s">
        <v>332</v>
      </c>
      <c r="B10720" s="2" t="s">
        <v>333</v>
      </c>
      <c r="C10720" s="3">
        <v>2018</v>
      </c>
      <c r="D10720" s="4">
        <v>34522</v>
      </c>
    </row>
    <row r="10721" spans="1:4" x14ac:dyDescent="0.3">
      <c r="A10721" s="5" t="s">
        <v>332</v>
      </c>
      <c r="B10721" s="5" t="s">
        <v>333</v>
      </c>
      <c r="C10721" s="6">
        <v>2019</v>
      </c>
      <c r="D10721" s="7">
        <v>34663</v>
      </c>
    </row>
    <row r="10722" spans="1:4" x14ac:dyDescent="0.3">
      <c r="A10722" s="2" t="s">
        <v>332</v>
      </c>
      <c r="B10722" s="2" t="s">
        <v>333</v>
      </c>
      <c r="C10722" s="3">
        <v>2020</v>
      </c>
      <c r="D10722" s="4">
        <v>34770</v>
      </c>
    </row>
    <row r="10723" spans="1:4" x14ac:dyDescent="0.3">
      <c r="A10723" s="5" t="s">
        <v>332</v>
      </c>
      <c r="B10723" s="5" t="s">
        <v>333</v>
      </c>
      <c r="C10723" s="6">
        <v>2021</v>
      </c>
      <c r="D10723" s="7">
        <v>34252</v>
      </c>
    </row>
    <row r="10724" spans="1:4" x14ac:dyDescent="0.3">
      <c r="A10724" s="2" t="s">
        <v>332</v>
      </c>
      <c r="B10724" s="2" t="s">
        <v>333</v>
      </c>
      <c r="C10724" s="3">
        <v>2022</v>
      </c>
      <c r="D10724" s="4">
        <v>33755</v>
      </c>
    </row>
    <row r="10725" spans="1:4" x14ac:dyDescent="0.3">
      <c r="A10725" s="5" t="s">
        <v>332</v>
      </c>
      <c r="B10725" s="5" t="s">
        <v>333</v>
      </c>
      <c r="C10725" s="6">
        <v>2023</v>
      </c>
      <c r="D10725" s="7">
        <v>33860</v>
      </c>
    </row>
    <row r="10726" spans="1:4" x14ac:dyDescent="0.3">
      <c r="A10726" s="2" t="s">
        <v>332</v>
      </c>
      <c r="B10726" s="2" t="s">
        <v>333</v>
      </c>
      <c r="C10726" s="3">
        <v>2024</v>
      </c>
      <c r="D10726" s="4">
        <v>33977</v>
      </c>
    </row>
    <row r="10727" spans="1:4" x14ac:dyDescent="0.3">
      <c r="A10727" s="5" t="s">
        <v>334</v>
      </c>
      <c r="B10727" s="5" t="s">
        <v>335</v>
      </c>
      <c r="C10727" s="6">
        <v>1960</v>
      </c>
      <c r="D10727" s="7">
        <v>68012</v>
      </c>
    </row>
    <row r="10728" spans="1:4" x14ac:dyDescent="0.3">
      <c r="A10728" s="2" t="s">
        <v>334</v>
      </c>
      <c r="B10728" s="2" t="s">
        <v>335</v>
      </c>
      <c r="C10728" s="3">
        <v>1961</v>
      </c>
      <c r="D10728" s="4">
        <v>68707</v>
      </c>
    </row>
    <row r="10729" spans="1:4" x14ac:dyDescent="0.3">
      <c r="A10729" s="5" t="s">
        <v>334</v>
      </c>
      <c r="B10729" s="5" t="s">
        <v>335</v>
      </c>
      <c r="C10729" s="6">
        <v>1962</v>
      </c>
      <c r="D10729" s="7">
        <v>69403</v>
      </c>
    </row>
    <row r="10730" spans="1:4" x14ac:dyDescent="0.3">
      <c r="A10730" s="2" t="s">
        <v>334</v>
      </c>
      <c r="B10730" s="2" t="s">
        <v>335</v>
      </c>
      <c r="C10730" s="3">
        <v>1963</v>
      </c>
      <c r="D10730" s="4">
        <v>70112</v>
      </c>
    </row>
    <row r="10731" spans="1:4" x14ac:dyDescent="0.3">
      <c r="A10731" s="5" t="s">
        <v>334</v>
      </c>
      <c r="B10731" s="5" t="s">
        <v>335</v>
      </c>
      <c r="C10731" s="6">
        <v>1964</v>
      </c>
      <c r="D10731" s="7">
        <v>70865</v>
      </c>
    </row>
    <row r="10732" spans="1:4" x14ac:dyDescent="0.3">
      <c r="A10732" s="2" t="s">
        <v>334</v>
      </c>
      <c r="B10732" s="2" t="s">
        <v>335</v>
      </c>
      <c r="C10732" s="3">
        <v>1965</v>
      </c>
      <c r="D10732" s="4">
        <v>71680</v>
      </c>
    </row>
    <row r="10733" spans="1:4" x14ac:dyDescent="0.3">
      <c r="A10733" s="5" t="s">
        <v>334</v>
      </c>
      <c r="B10733" s="5" t="s">
        <v>335</v>
      </c>
      <c r="C10733" s="6">
        <v>1966</v>
      </c>
      <c r="D10733" s="7">
        <v>72576</v>
      </c>
    </row>
    <row r="10734" spans="1:4" x14ac:dyDescent="0.3">
      <c r="A10734" s="2" t="s">
        <v>334</v>
      </c>
      <c r="B10734" s="2" t="s">
        <v>335</v>
      </c>
      <c r="C10734" s="3">
        <v>1967</v>
      </c>
      <c r="D10734" s="4">
        <v>73596</v>
      </c>
    </row>
    <row r="10735" spans="1:4" x14ac:dyDescent="0.3">
      <c r="A10735" s="5" t="s">
        <v>334</v>
      </c>
      <c r="B10735" s="5" t="s">
        <v>335</v>
      </c>
      <c r="C10735" s="6">
        <v>1968</v>
      </c>
      <c r="D10735" s="7">
        <v>74765</v>
      </c>
    </row>
    <row r="10736" spans="1:4" x14ac:dyDescent="0.3">
      <c r="A10736" s="2" t="s">
        <v>334</v>
      </c>
      <c r="B10736" s="2" t="s">
        <v>335</v>
      </c>
      <c r="C10736" s="3">
        <v>1969</v>
      </c>
      <c r="D10736" s="4">
        <v>76083</v>
      </c>
    </row>
    <row r="10737" spans="1:4" x14ac:dyDescent="0.3">
      <c r="A10737" s="5" t="s">
        <v>334</v>
      </c>
      <c r="B10737" s="5" t="s">
        <v>335</v>
      </c>
      <c r="C10737" s="6">
        <v>1970</v>
      </c>
      <c r="D10737" s="7">
        <v>77626</v>
      </c>
    </row>
    <row r="10738" spans="1:4" x14ac:dyDescent="0.3">
      <c r="A10738" s="2" t="s">
        <v>334</v>
      </c>
      <c r="B10738" s="2" t="s">
        <v>335</v>
      </c>
      <c r="C10738" s="3">
        <v>1971</v>
      </c>
      <c r="D10738" s="4">
        <v>79330</v>
      </c>
    </row>
    <row r="10739" spans="1:4" x14ac:dyDescent="0.3">
      <c r="A10739" s="5" t="s">
        <v>334</v>
      </c>
      <c r="B10739" s="5" t="s">
        <v>335</v>
      </c>
      <c r="C10739" s="6">
        <v>1972</v>
      </c>
      <c r="D10739" s="7">
        <v>81041</v>
      </c>
    </row>
    <row r="10740" spans="1:4" x14ac:dyDescent="0.3">
      <c r="A10740" s="2" t="s">
        <v>334</v>
      </c>
      <c r="B10740" s="2" t="s">
        <v>335</v>
      </c>
      <c r="C10740" s="3">
        <v>1973</v>
      </c>
      <c r="D10740" s="4">
        <v>82798</v>
      </c>
    </row>
    <row r="10741" spans="1:4" x14ac:dyDescent="0.3">
      <c r="A10741" s="5" t="s">
        <v>334</v>
      </c>
      <c r="B10741" s="5" t="s">
        <v>335</v>
      </c>
      <c r="C10741" s="6">
        <v>1974</v>
      </c>
      <c r="D10741" s="7">
        <v>84672</v>
      </c>
    </row>
    <row r="10742" spans="1:4" x14ac:dyDescent="0.3">
      <c r="A10742" s="2" t="s">
        <v>334</v>
      </c>
      <c r="B10742" s="2" t="s">
        <v>335</v>
      </c>
      <c r="C10742" s="3">
        <v>1975</v>
      </c>
      <c r="D10742" s="4">
        <v>86708</v>
      </c>
    </row>
    <row r="10743" spans="1:4" x14ac:dyDescent="0.3">
      <c r="A10743" s="5" t="s">
        <v>334</v>
      </c>
      <c r="B10743" s="5" t="s">
        <v>335</v>
      </c>
      <c r="C10743" s="6">
        <v>1976</v>
      </c>
      <c r="D10743" s="7">
        <v>88922</v>
      </c>
    </row>
    <row r="10744" spans="1:4" x14ac:dyDescent="0.3">
      <c r="A10744" s="2" t="s">
        <v>334</v>
      </c>
      <c r="B10744" s="2" t="s">
        <v>335</v>
      </c>
      <c r="C10744" s="3">
        <v>1977</v>
      </c>
      <c r="D10744" s="4">
        <v>91301</v>
      </c>
    </row>
    <row r="10745" spans="1:4" x14ac:dyDescent="0.3">
      <c r="A10745" s="5" t="s">
        <v>334</v>
      </c>
      <c r="B10745" s="5" t="s">
        <v>335</v>
      </c>
      <c r="C10745" s="6">
        <v>1978</v>
      </c>
      <c r="D10745" s="7">
        <v>93794</v>
      </c>
    </row>
    <row r="10746" spans="1:4" x14ac:dyDescent="0.3">
      <c r="A10746" s="2" t="s">
        <v>334</v>
      </c>
      <c r="B10746" s="2" t="s">
        <v>335</v>
      </c>
      <c r="C10746" s="3">
        <v>1979</v>
      </c>
      <c r="D10746" s="4">
        <v>96252</v>
      </c>
    </row>
    <row r="10747" spans="1:4" x14ac:dyDescent="0.3">
      <c r="A10747" s="5" t="s">
        <v>334</v>
      </c>
      <c r="B10747" s="5" t="s">
        <v>335</v>
      </c>
      <c r="C10747" s="6">
        <v>1980</v>
      </c>
      <c r="D10747" s="7">
        <v>98544</v>
      </c>
    </row>
    <row r="10748" spans="1:4" x14ac:dyDescent="0.3">
      <c r="A10748" s="2" t="s">
        <v>334</v>
      </c>
      <c r="B10748" s="2" t="s">
        <v>335</v>
      </c>
      <c r="C10748" s="3">
        <v>1981</v>
      </c>
      <c r="D10748" s="4">
        <v>100615</v>
      </c>
    </row>
    <row r="10749" spans="1:4" x14ac:dyDescent="0.3">
      <c r="A10749" s="5" t="s">
        <v>334</v>
      </c>
      <c r="B10749" s="5" t="s">
        <v>335</v>
      </c>
      <c r="C10749" s="6">
        <v>1982</v>
      </c>
      <c r="D10749" s="7">
        <v>102508</v>
      </c>
    </row>
    <row r="10750" spans="1:4" x14ac:dyDescent="0.3">
      <c r="A10750" s="2" t="s">
        <v>334</v>
      </c>
      <c r="B10750" s="2" t="s">
        <v>335</v>
      </c>
      <c r="C10750" s="3">
        <v>1983</v>
      </c>
      <c r="D10750" s="4">
        <v>104380</v>
      </c>
    </row>
    <row r="10751" spans="1:4" x14ac:dyDescent="0.3">
      <c r="A10751" s="5" t="s">
        <v>334</v>
      </c>
      <c r="B10751" s="5" t="s">
        <v>335</v>
      </c>
      <c r="C10751" s="6">
        <v>1984</v>
      </c>
      <c r="D10751" s="7">
        <v>106394</v>
      </c>
    </row>
    <row r="10752" spans="1:4" x14ac:dyDescent="0.3">
      <c r="A10752" s="2" t="s">
        <v>334</v>
      </c>
      <c r="B10752" s="2" t="s">
        <v>335</v>
      </c>
      <c r="C10752" s="3">
        <v>1985</v>
      </c>
      <c r="D10752" s="4">
        <v>108658</v>
      </c>
    </row>
    <row r="10753" spans="1:4" x14ac:dyDescent="0.3">
      <c r="A10753" s="5" t="s">
        <v>334</v>
      </c>
      <c r="B10753" s="5" t="s">
        <v>335</v>
      </c>
      <c r="C10753" s="6">
        <v>1986</v>
      </c>
      <c r="D10753" s="7">
        <v>111150</v>
      </c>
    </row>
    <row r="10754" spans="1:4" x14ac:dyDescent="0.3">
      <c r="A10754" s="2" t="s">
        <v>334</v>
      </c>
      <c r="B10754" s="2" t="s">
        <v>335</v>
      </c>
      <c r="C10754" s="3">
        <v>1987</v>
      </c>
      <c r="D10754" s="4">
        <v>113919</v>
      </c>
    </row>
    <row r="10755" spans="1:4" x14ac:dyDescent="0.3">
      <c r="A10755" s="5" t="s">
        <v>334</v>
      </c>
      <c r="B10755" s="5" t="s">
        <v>335</v>
      </c>
      <c r="C10755" s="6">
        <v>1988</v>
      </c>
      <c r="D10755" s="7">
        <v>116939</v>
      </c>
    </row>
    <row r="10756" spans="1:4" x14ac:dyDescent="0.3">
      <c r="A10756" s="2" t="s">
        <v>334</v>
      </c>
      <c r="B10756" s="2" t="s">
        <v>335</v>
      </c>
      <c r="C10756" s="3">
        <v>1989</v>
      </c>
      <c r="D10756" s="4">
        <v>119979</v>
      </c>
    </row>
    <row r="10757" spans="1:4" x14ac:dyDescent="0.3">
      <c r="A10757" s="5" t="s">
        <v>334</v>
      </c>
      <c r="B10757" s="5" t="s">
        <v>335</v>
      </c>
      <c r="C10757" s="6">
        <v>1990</v>
      </c>
      <c r="D10757" s="7">
        <v>122980</v>
      </c>
    </row>
    <row r="10758" spans="1:4" x14ac:dyDescent="0.3">
      <c r="A10758" s="2" t="s">
        <v>334</v>
      </c>
      <c r="B10758" s="2" t="s">
        <v>335</v>
      </c>
      <c r="C10758" s="3">
        <v>1991</v>
      </c>
      <c r="D10758" s="4">
        <v>125697</v>
      </c>
    </row>
    <row r="10759" spans="1:4" x14ac:dyDescent="0.3">
      <c r="A10759" s="5" t="s">
        <v>334</v>
      </c>
      <c r="B10759" s="5" t="s">
        <v>335</v>
      </c>
      <c r="C10759" s="6">
        <v>1992</v>
      </c>
      <c r="D10759" s="7">
        <v>128110</v>
      </c>
    </row>
    <row r="10760" spans="1:4" x14ac:dyDescent="0.3">
      <c r="A10760" s="2" t="s">
        <v>334</v>
      </c>
      <c r="B10760" s="2" t="s">
        <v>335</v>
      </c>
      <c r="C10760" s="3">
        <v>1993</v>
      </c>
      <c r="D10760" s="4">
        <v>130467</v>
      </c>
    </row>
    <row r="10761" spans="1:4" x14ac:dyDescent="0.3">
      <c r="A10761" s="5" t="s">
        <v>334</v>
      </c>
      <c r="B10761" s="5" t="s">
        <v>335</v>
      </c>
      <c r="C10761" s="6">
        <v>1994</v>
      </c>
      <c r="D10761" s="7">
        <v>132732</v>
      </c>
    </row>
    <row r="10762" spans="1:4" x14ac:dyDescent="0.3">
      <c r="A10762" s="2" t="s">
        <v>334</v>
      </c>
      <c r="B10762" s="2" t="s">
        <v>335</v>
      </c>
      <c r="C10762" s="3">
        <v>1995</v>
      </c>
      <c r="D10762" s="4">
        <v>134895</v>
      </c>
    </row>
    <row r="10763" spans="1:4" x14ac:dyDescent="0.3">
      <c r="A10763" s="5" t="s">
        <v>334</v>
      </c>
      <c r="B10763" s="5" t="s">
        <v>335</v>
      </c>
      <c r="C10763" s="6">
        <v>1996</v>
      </c>
      <c r="D10763" s="7">
        <v>136962</v>
      </c>
    </row>
    <row r="10764" spans="1:4" x14ac:dyDescent="0.3">
      <c r="A10764" s="2" t="s">
        <v>334</v>
      </c>
      <c r="B10764" s="2" t="s">
        <v>335</v>
      </c>
      <c r="C10764" s="3">
        <v>1997</v>
      </c>
      <c r="D10764" s="4">
        <v>138922</v>
      </c>
    </row>
    <row r="10765" spans="1:4" x14ac:dyDescent="0.3">
      <c r="A10765" s="5" t="s">
        <v>334</v>
      </c>
      <c r="B10765" s="5" t="s">
        <v>335</v>
      </c>
      <c r="C10765" s="6">
        <v>1998</v>
      </c>
      <c r="D10765" s="7">
        <v>140751</v>
      </c>
    </row>
    <row r="10766" spans="1:4" x14ac:dyDescent="0.3">
      <c r="A10766" s="2" t="s">
        <v>334</v>
      </c>
      <c r="B10766" s="2" t="s">
        <v>335</v>
      </c>
      <c r="C10766" s="3">
        <v>1999</v>
      </c>
      <c r="D10766" s="4">
        <v>142442</v>
      </c>
    </row>
    <row r="10767" spans="1:4" x14ac:dyDescent="0.3">
      <c r="A10767" s="5" t="s">
        <v>334</v>
      </c>
      <c r="B10767" s="5" t="s">
        <v>335</v>
      </c>
      <c r="C10767" s="6">
        <v>2000</v>
      </c>
      <c r="D10767" s="7">
        <v>144018</v>
      </c>
    </row>
    <row r="10768" spans="1:4" x14ac:dyDescent="0.3">
      <c r="A10768" s="2" t="s">
        <v>334</v>
      </c>
      <c r="B10768" s="2" t="s">
        <v>335</v>
      </c>
      <c r="C10768" s="3">
        <v>2001</v>
      </c>
      <c r="D10768" s="4">
        <v>146375</v>
      </c>
    </row>
    <row r="10769" spans="1:4" x14ac:dyDescent="0.3">
      <c r="A10769" s="5" t="s">
        <v>334</v>
      </c>
      <c r="B10769" s="5" t="s">
        <v>335</v>
      </c>
      <c r="C10769" s="6">
        <v>2002</v>
      </c>
      <c r="D10769" s="7">
        <v>149922</v>
      </c>
    </row>
    <row r="10770" spans="1:4" x14ac:dyDescent="0.3">
      <c r="A10770" s="2" t="s">
        <v>334</v>
      </c>
      <c r="B10770" s="2" t="s">
        <v>335</v>
      </c>
      <c r="C10770" s="3">
        <v>2003</v>
      </c>
      <c r="D10770" s="4">
        <v>153814</v>
      </c>
    </row>
    <row r="10771" spans="1:4" x14ac:dyDescent="0.3">
      <c r="A10771" s="5" t="s">
        <v>334</v>
      </c>
      <c r="B10771" s="5" t="s">
        <v>335</v>
      </c>
      <c r="C10771" s="6">
        <v>2004</v>
      </c>
      <c r="D10771" s="7">
        <v>157705</v>
      </c>
    </row>
    <row r="10772" spans="1:4" x14ac:dyDescent="0.3">
      <c r="A10772" s="2" t="s">
        <v>334</v>
      </c>
      <c r="B10772" s="2" t="s">
        <v>335</v>
      </c>
      <c r="C10772" s="3">
        <v>2005</v>
      </c>
      <c r="D10772" s="4">
        <v>161639</v>
      </c>
    </row>
    <row r="10773" spans="1:4" x14ac:dyDescent="0.3">
      <c r="A10773" s="5" t="s">
        <v>334</v>
      </c>
      <c r="B10773" s="5" t="s">
        <v>335</v>
      </c>
      <c r="C10773" s="6">
        <v>2006</v>
      </c>
      <c r="D10773" s="7">
        <v>165638</v>
      </c>
    </row>
    <row r="10774" spans="1:4" x14ac:dyDescent="0.3">
      <c r="A10774" s="2" t="s">
        <v>334</v>
      </c>
      <c r="B10774" s="2" t="s">
        <v>335</v>
      </c>
      <c r="C10774" s="3">
        <v>2007</v>
      </c>
      <c r="D10774" s="4">
        <v>169700</v>
      </c>
    </row>
    <row r="10775" spans="1:4" x14ac:dyDescent="0.3">
      <c r="A10775" s="5" t="s">
        <v>334</v>
      </c>
      <c r="B10775" s="5" t="s">
        <v>335</v>
      </c>
      <c r="C10775" s="6">
        <v>2008</v>
      </c>
      <c r="D10775" s="7">
        <v>173793</v>
      </c>
    </row>
    <row r="10776" spans="1:4" x14ac:dyDescent="0.3">
      <c r="A10776" s="2" t="s">
        <v>334</v>
      </c>
      <c r="B10776" s="2" t="s">
        <v>335</v>
      </c>
      <c r="C10776" s="3">
        <v>2009</v>
      </c>
      <c r="D10776" s="4">
        <v>177853</v>
      </c>
    </row>
    <row r="10777" spans="1:4" x14ac:dyDescent="0.3">
      <c r="A10777" s="5" t="s">
        <v>334</v>
      </c>
      <c r="B10777" s="5" t="s">
        <v>335</v>
      </c>
      <c r="C10777" s="6">
        <v>2010</v>
      </c>
      <c r="D10777" s="7">
        <v>181802</v>
      </c>
    </row>
    <row r="10778" spans="1:4" x14ac:dyDescent="0.3">
      <c r="A10778" s="2" t="s">
        <v>334</v>
      </c>
      <c r="B10778" s="2" t="s">
        <v>335</v>
      </c>
      <c r="C10778" s="3">
        <v>2011</v>
      </c>
      <c r="D10778" s="4">
        <v>185649</v>
      </c>
    </row>
    <row r="10779" spans="1:4" x14ac:dyDescent="0.3">
      <c r="A10779" s="5" t="s">
        <v>334</v>
      </c>
      <c r="B10779" s="5" t="s">
        <v>335</v>
      </c>
      <c r="C10779" s="6">
        <v>2012</v>
      </c>
      <c r="D10779" s="7">
        <v>189439</v>
      </c>
    </row>
    <row r="10780" spans="1:4" x14ac:dyDescent="0.3">
      <c r="A10780" s="2" t="s">
        <v>334</v>
      </c>
      <c r="B10780" s="2" t="s">
        <v>335</v>
      </c>
      <c r="C10780" s="3">
        <v>2013</v>
      </c>
      <c r="D10780" s="4">
        <v>193148</v>
      </c>
    </row>
    <row r="10781" spans="1:4" x14ac:dyDescent="0.3">
      <c r="A10781" s="5" t="s">
        <v>334</v>
      </c>
      <c r="B10781" s="5" t="s">
        <v>335</v>
      </c>
      <c r="C10781" s="6">
        <v>2014</v>
      </c>
      <c r="D10781" s="7">
        <v>196767</v>
      </c>
    </row>
    <row r="10782" spans="1:4" x14ac:dyDescent="0.3">
      <c r="A10782" s="2" t="s">
        <v>334</v>
      </c>
      <c r="B10782" s="2" t="s">
        <v>335</v>
      </c>
      <c r="C10782" s="3">
        <v>2015</v>
      </c>
      <c r="D10782" s="4">
        <v>200291</v>
      </c>
    </row>
    <row r="10783" spans="1:4" x14ac:dyDescent="0.3">
      <c r="A10783" s="5" t="s">
        <v>334</v>
      </c>
      <c r="B10783" s="5" t="s">
        <v>335</v>
      </c>
      <c r="C10783" s="6">
        <v>2016</v>
      </c>
      <c r="D10783" s="7">
        <v>203689</v>
      </c>
    </row>
    <row r="10784" spans="1:4" x14ac:dyDescent="0.3">
      <c r="A10784" s="2" t="s">
        <v>334</v>
      </c>
      <c r="B10784" s="2" t="s">
        <v>335</v>
      </c>
      <c r="C10784" s="3">
        <v>2017</v>
      </c>
      <c r="D10784" s="4">
        <v>206970</v>
      </c>
    </row>
    <row r="10785" spans="1:4" x14ac:dyDescent="0.3">
      <c r="A10785" s="5" t="s">
        <v>334</v>
      </c>
      <c r="B10785" s="5" t="s">
        <v>335</v>
      </c>
      <c r="C10785" s="6">
        <v>2018</v>
      </c>
      <c r="D10785" s="7">
        <v>210187</v>
      </c>
    </row>
    <row r="10786" spans="1:4" x14ac:dyDescent="0.3">
      <c r="A10786" s="2" t="s">
        <v>334</v>
      </c>
      <c r="B10786" s="2" t="s">
        <v>335</v>
      </c>
      <c r="C10786" s="3">
        <v>2019</v>
      </c>
      <c r="D10786" s="4">
        <v>213392</v>
      </c>
    </row>
    <row r="10787" spans="1:4" x14ac:dyDescent="0.3">
      <c r="A10787" s="5" t="s">
        <v>334</v>
      </c>
      <c r="B10787" s="5" t="s">
        <v>335</v>
      </c>
      <c r="C10787" s="6">
        <v>2020</v>
      </c>
      <c r="D10787" s="7">
        <v>217435</v>
      </c>
    </row>
    <row r="10788" spans="1:4" x14ac:dyDescent="0.3">
      <c r="A10788" s="2" t="s">
        <v>334</v>
      </c>
      <c r="B10788" s="2" t="s">
        <v>335</v>
      </c>
      <c r="C10788" s="3">
        <v>2021</v>
      </c>
      <c r="D10788" s="4">
        <v>221961</v>
      </c>
    </row>
    <row r="10789" spans="1:4" x14ac:dyDescent="0.3">
      <c r="A10789" s="5" t="s">
        <v>334</v>
      </c>
      <c r="B10789" s="5" t="s">
        <v>335</v>
      </c>
      <c r="C10789" s="6">
        <v>2022</v>
      </c>
      <c r="D10789" s="7">
        <v>226305</v>
      </c>
    </row>
    <row r="10790" spans="1:4" x14ac:dyDescent="0.3">
      <c r="A10790" s="2" t="s">
        <v>334</v>
      </c>
      <c r="B10790" s="2" t="s">
        <v>335</v>
      </c>
      <c r="C10790" s="3">
        <v>2023</v>
      </c>
      <c r="D10790" s="4">
        <v>230871</v>
      </c>
    </row>
    <row r="10791" spans="1:4" x14ac:dyDescent="0.3">
      <c r="A10791" s="5" t="s">
        <v>334</v>
      </c>
      <c r="B10791" s="5" t="s">
        <v>335</v>
      </c>
      <c r="C10791" s="6">
        <v>2024</v>
      </c>
      <c r="D10791" s="7">
        <v>235536</v>
      </c>
    </row>
    <row r="10792" spans="1:4" x14ac:dyDescent="0.3">
      <c r="A10792" s="2" t="s">
        <v>336</v>
      </c>
      <c r="B10792" s="2" t="s">
        <v>337</v>
      </c>
      <c r="C10792" s="3">
        <v>1960</v>
      </c>
      <c r="D10792" s="4">
        <v>2435403</v>
      </c>
    </row>
    <row r="10793" spans="1:4" x14ac:dyDescent="0.3">
      <c r="A10793" s="5" t="s">
        <v>336</v>
      </c>
      <c r="B10793" s="5" t="s">
        <v>337</v>
      </c>
      <c r="C10793" s="6">
        <v>1961</v>
      </c>
      <c r="D10793" s="7">
        <v>2526347</v>
      </c>
    </row>
    <row r="10794" spans="1:4" x14ac:dyDescent="0.3">
      <c r="A10794" s="2" t="s">
        <v>336</v>
      </c>
      <c r="B10794" s="2" t="s">
        <v>337</v>
      </c>
      <c r="C10794" s="3">
        <v>1962</v>
      </c>
      <c r="D10794" s="4">
        <v>2620910</v>
      </c>
    </row>
    <row r="10795" spans="1:4" x14ac:dyDescent="0.3">
      <c r="A10795" s="5" t="s">
        <v>336</v>
      </c>
      <c r="B10795" s="5" t="s">
        <v>337</v>
      </c>
      <c r="C10795" s="6">
        <v>1963</v>
      </c>
      <c r="D10795" s="7">
        <v>2719341</v>
      </c>
    </row>
    <row r="10796" spans="1:4" x14ac:dyDescent="0.3">
      <c r="A10796" s="2" t="s">
        <v>336</v>
      </c>
      <c r="B10796" s="2" t="s">
        <v>337</v>
      </c>
      <c r="C10796" s="3">
        <v>1964</v>
      </c>
      <c r="D10796" s="4">
        <v>2821968</v>
      </c>
    </row>
    <row r="10797" spans="1:4" x14ac:dyDescent="0.3">
      <c r="A10797" s="5" t="s">
        <v>336</v>
      </c>
      <c r="B10797" s="5" t="s">
        <v>337</v>
      </c>
      <c r="C10797" s="6">
        <v>1965</v>
      </c>
      <c r="D10797" s="7">
        <v>2928771</v>
      </c>
    </row>
    <row r="10798" spans="1:4" x14ac:dyDescent="0.3">
      <c r="A10798" s="2" t="s">
        <v>336</v>
      </c>
      <c r="B10798" s="2" t="s">
        <v>337</v>
      </c>
      <c r="C10798" s="3">
        <v>1966</v>
      </c>
      <c r="D10798" s="4">
        <v>3039887</v>
      </c>
    </row>
    <row r="10799" spans="1:4" x14ac:dyDescent="0.3">
      <c r="A10799" s="5" t="s">
        <v>336</v>
      </c>
      <c r="B10799" s="5" t="s">
        <v>337</v>
      </c>
      <c r="C10799" s="6">
        <v>1967</v>
      </c>
      <c r="D10799" s="7">
        <v>3157242</v>
      </c>
    </row>
    <row r="10800" spans="1:4" x14ac:dyDescent="0.3">
      <c r="A10800" s="2" t="s">
        <v>336</v>
      </c>
      <c r="B10800" s="2" t="s">
        <v>337</v>
      </c>
      <c r="C10800" s="3">
        <v>1968</v>
      </c>
      <c r="D10800" s="4">
        <v>3282711</v>
      </c>
    </row>
    <row r="10801" spans="1:4" x14ac:dyDescent="0.3">
      <c r="A10801" s="5" t="s">
        <v>336</v>
      </c>
      <c r="B10801" s="5" t="s">
        <v>337</v>
      </c>
      <c r="C10801" s="6">
        <v>1969</v>
      </c>
      <c r="D10801" s="7">
        <v>3417114</v>
      </c>
    </row>
    <row r="10802" spans="1:4" x14ac:dyDescent="0.3">
      <c r="A10802" s="2" t="s">
        <v>336</v>
      </c>
      <c r="B10802" s="2" t="s">
        <v>337</v>
      </c>
      <c r="C10802" s="3">
        <v>1970</v>
      </c>
      <c r="D10802" s="4">
        <v>3562470</v>
      </c>
    </row>
    <row r="10803" spans="1:4" x14ac:dyDescent="0.3">
      <c r="A10803" s="5" t="s">
        <v>336</v>
      </c>
      <c r="B10803" s="5" t="s">
        <v>337</v>
      </c>
      <c r="C10803" s="6">
        <v>1971</v>
      </c>
      <c r="D10803" s="7">
        <v>3724031</v>
      </c>
    </row>
    <row r="10804" spans="1:4" x14ac:dyDescent="0.3">
      <c r="A10804" s="2" t="s">
        <v>336</v>
      </c>
      <c r="B10804" s="2" t="s">
        <v>337</v>
      </c>
      <c r="C10804" s="3">
        <v>1972</v>
      </c>
      <c r="D10804" s="4">
        <v>3905722</v>
      </c>
    </row>
    <row r="10805" spans="1:4" x14ac:dyDescent="0.3">
      <c r="A10805" s="5" t="s">
        <v>336</v>
      </c>
      <c r="B10805" s="5" t="s">
        <v>337</v>
      </c>
      <c r="C10805" s="6">
        <v>1973</v>
      </c>
      <c r="D10805" s="7">
        <v>4106344</v>
      </c>
    </row>
    <row r="10806" spans="1:4" x14ac:dyDescent="0.3">
      <c r="A10806" s="2" t="s">
        <v>336</v>
      </c>
      <c r="B10806" s="2" t="s">
        <v>337</v>
      </c>
      <c r="C10806" s="3">
        <v>1974</v>
      </c>
      <c r="D10806" s="4">
        <v>4323632</v>
      </c>
    </row>
    <row r="10807" spans="1:4" x14ac:dyDescent="0.3">
      <c r="A10807" s="5" t="s">
        <v>336</v>
      </c>
      <c r="B10807" s="5" t="s">
        <v>337</v>
      </c>
      <c r="C10807" s="6">
        <v>1975</v>
      </c>
      <c r="D10807" s="7">
        <v>4556287</v>
      </c>
    </row>
    <row r="10808" spans="1:4" x14ac:dyDescent="0.3">
      <c r="A10808" s="2" t="s">
        <v>336</v>
      </c>
      <c r="B10808" s="2" t="s">
        <v>337</v>
      </c>
      <c r="C10808" s="3">
        <v>1976</v>
      </c>
      <c r="D10808" s="4">
        <v>4807933</v>
      </c>
    </row>
    <row r="10809" spans="1:4" x14ac:dyDescent="0.3">
      <c r="A10809" s="5" t="s">
        <v>336</v>
      </c>
      <c r="B10809" s="5" t="s">
        <v>337</v>
      </c>
      <c r="C10809" s="6">
        <v>1977</v>
      </c>
      <c r="D10809" s="7">
        <v>5083048</v>
      </c>
    </row>
    <row r="10810" spans="1:4" x14ac:dyDescent="0.3">
      <c r="A10810" s="2" t="s">
        <v>336</v>
      </c>
      <c r="B10810" s="2" t="s">
        <v>337</v>
      </c>
      <c r="C10810" s="3">
        <v>1978</v>
      </c>
      <c r="D10810" s="4">
        <v>5381902</v>
      </c>
    </row>
    <row r="10811" spans="1:4" x14ac:dyDescent="0.3">
      <c r="A10811" s="5" t="s">
        <v>336</v>
      </c>
      <c r="B10811" s="5" t="s">
        <v>337</v>
      </c>
      <c r="C10811" s="6">
        <v>1979</v>
      </c>
      <c r="D10811" s="7">
        <v>5703698</v>
      </c>
    </row>
    <row r="10812" spans="1:4" x14ac:dyDescent="0.3">
      <c r="A10812" s="2" t="s">
        <v>336</v>
      </c>
      <c r="B10812" s="2" t="s">
        <v>337</v>
      </c>
      <c r="C10812" s="3">
        <v>1980</v>
      </c>
      <c r="D10812" s="4">
        <v>6047997</v>
      </c>
    </row>
    <row r="10813" spans="1:4" x14ac:dyDescent="0.3">
      <c r="A10813" s="5" t="s">
        <v>336</v>
      </c>
      <c r="B10813" s="5" t="s">
        <v>337</v>
      </c>
      <c r="C10813" s="6">
        <v>1981</v>
      </c>
      <c r="D10813" s="7">
        <v>6420551</v>
      </c>
    </row>
    <row r="10814" spans="1:4" x14ac:dyDescent="0.3">
      <c r="A10814" s="2" t="s">
        <v>336</v>
      </c>
      <c r="B10814" s="2" t="s">
        <v>337</v>
      </c>
      <c r="C10814" s="3">
        <v>1982</v>
      </c>
      <c r="D10814" s="4">
        <v>6824486</v>
      </c>
    </row>
    <row r="10815" spans="1:4" x14ac:dyDescent="0.3">
      <c r="A10815" s="5" t="s">
        <v>336</v>
      </c>
      <c r="B10815" s="5" t="s">
        <v>337</v>
      </c>
      <c r="C10815" s="6">
        <v>1983</v>
      </c>
      <c r="D10815" s="7">
        <v>7252941</v>
      </c>
    </row>
    <row r="10816" spans="1:4" x14ac:dyDescent="0.3">
      <c r="A10816" s="2" t="s">
        <v>336</v>
      </c>
      <c r="B10816" s="2" t="s">
        <v>337</v>
      </c>
      <c r="C10816" s="3">
        <v>1984</v>
      </c>
      <c r="D10816" s="4">
        <v>7697307</v>
      </c>
    </row>
    <row r="10817" spans="1:4" x14ac:dyDescent="0.3">
      <c r="A10817" s="5" t="s">
        <v>336</v>
      </c>
      <c r="B10817" s="5" t="s">
        <v>337</v>
      </c>
      <c r="C10817" s="6">
        <v>1985</v>
      </c>
      <c r="D10817" s="7">
        <v>8151779</v>
      </c>
    </row>
    <row r="10818" spans="1:4" x14ac:dyDescent="0.3">
      <c r="A10818" s="2" t="s">
        <v>336</v>
      </c>
      <c r="B10818" s="2" t="s">
        <v>337</v>
      </c>
      <c r="C10818" s="3">
        <v>1986</v>
      </c>
      <c r="D10818" s="4">
        <v>8628639</v>
      </c>
    </row>
    <row r="10819" spans="1:4" x14ac:dyDescent="0.3">
      <c r="A10819" s="5" t="s">
        <v>336</v>
      </c>
      <c r="B10819" s="5" t="s">
        <v>337</v>
      </c>
      <c r="C10819" s="6">
        <v>1987</v>
      </c>
      <c r="D10819" s="7">
        <v>9130194</v>
      </c>
    </row>
    <row r="10820" spans="1:4" x14ac:dyDescent="0.3">
      <c r="A10820" s="2" t="s">
        <v>336</v>
      </c>
      <c r="B10820" s="2" t="s">
        <v>337</v>
      </c>
      <c r="C10820" s="3">
        <v>1988</v>
      </c>
      <c r="D10820" s="4">
        <v>9629165</v>
      </c>
    </row>
    <row r="10821" spans="1:4" x14ac:dyDescent="0.3">
      <c r="A10821" s="5" t="s">
        <v>336</v>
      </c>
      <c r="B10821" s="5" t="s">
        <v>337</v>
      </c>
      <c r="C10821" s="6">
        <v>1989</v>
      </c>
      <c r="D10821" s="7">
        <v>10128394</v>
      </c>
    </row>
    <row r="10822" spans="1:4" x14ac:dyDescent="0.3">
      <c r="A10822" s="2" t="s">
        <v>336</v>
      </c>
      <c r="B10822" s="2" t="s">
        <v>337</v>
      </c>
      <c r="C10822" s="3">
        <v>1990</v>
      </c>
      <c r="D10822" s="4">
        <v>10640691</v>
      </c>
    </row>
    <row r="10823" spans="1:4" x14ac:dyDescent="0.3">
      <c r="A10823" s="5" t="s">
        <v>336</v>
      </c>
      <c r="B10823" s="5" t="s">
        <v>337</v>
      </c>
      <c r="C10823" s="6">
        <v>1991</v>
      </c>
      <c r="D10823" s="7">
        <v>11160744</v>
      </c>
    </row>
    <row r="10824" spans="1:4" x14ac:dyDescent="0.3">
      <c r="A10824" s="2" t="s">
        <v>336</v>
      </c>
      <c r="B10824" s="2" t="s">
        <v>337</v>
      </c>
      <c r="C10824" s="3">
        <v>1992</v>
      </c>
      <c r="D10824" s="4">
        <v>11686676</v>
      </c>
    </row>
    <row r="10825" spans="1:4" x14ac:dyDescent="0.3">
      <c r="A10825" s="5" t="s">
        <v>336</v>
      </c>
      <c r="B10825" s="5" t="s">
        <v>337</v>
      </c>
      <c r="C10825" s="6">
        <v>1993</v>
      </c>
      <c r="D10825" s="7">
        <v>12215862</v>
      </c>
    </row>
    <row r="10826" spans="1:4" x14ac:dyDescent="0.3">
      <c r="A10826" s="2" t="s">
        <v>336</v>
      </c>
      <c r="B10826" s="2" t="s">
        <v>337</v>
      </c>
      <c r="C10826" s="3">
        <v>1994</v>
      </c>
      <c r="D10826" s="4">
        <v>12750040</v>
      </c>
    </row>
    <row r="10827" spans="1:4" x14ac:dyDescent="0.3">
      <c r="A10827" s="5" t="s">
        <v>336</v>
      </c>
      <c r="B10827" s="5" t="s">
        <v>337</v>
      </c>
      <c r="C10827" s="6">
        <v>1995</v>
      </c>
      <c r="D10827" s="7">
        <v>13289245</v>
      </c>
    </row>
    <row r="10828" spans="1:4" x14ac:dyDescent="0.3">
      <c r="A10828" s="2" t="s">
        <v>336</v>
      </c>
      <c r="B10828" s="2" t="s">
        <v>337</v>
      </c>
      <c r="C10828" s="3">
        <v>1996</v>
      </c>
      <c r="D10828" s="4">
        <v>13831009</v>
      </c>
    </row>
    <row r="10829" spans="1:4" x14ac:dyDescent="0.3">
      <c r="A10829" s="5" t="s">
        <v>336</v>
      </c>
      <c r="B10829" s="5" t="s">
        <v>337</v>
      </c>
      <c r="C10829" s="6">
        <v>1997</v>
      </c>
      <c r="D10829" s="7">
        <v>14374943</v>
      </c>
    </row>
    <row r="10830" spans="1:4" x14ac:dyDescent="0.3">
      <c r="A10830" s="2" t="s">
        <v>336</v>
      </c>
      <c r="B10830" s="2" t="s">
        <v>337</v>
      </c>
      <c r="C10830" s="3">
        <v>1998</v>
      </c>
      <c r="D10830" s="4">
        <v>14922185</v>
      </c>
    </row>
    <row r="10831" spans="1:4" x14ac:dyDescent="0.3">
      <c r="A10831" s="5" t="s">
        <v>336</v>
      </c>
      <c r="B10831" s="5" t="s">
        <v>337</v>
      </c>
      <c r="C10831" s="6">
        <v>1999</v>
      </c>
      <c r="D10831" s="7">
        <v>15472075</v>
      </c>
    </row>
    <row r="10832" spans="1:4" x14ac:dyDescent="0.3">
      <c r="A10832" s="2" t="s">
        <v>336</v>
      </c>
      <c r="B10832" s="2" t="s">
        <v>337</v>
      </c>
      <c r="C10832" s="3">
        <v>2000</v>
      </c>
      <c r="D10832" s="4">
        <v>16177722</v>
      </c>
    </row>
    <row r="10833" spans="1:4" x14ac:dyDescent="0.3">
      <c r="A10833" s="5" t="s">
        <v>336</v>
      </c>
      <c r="B10833" s="5" t="s">
        <v>337</v>
      </c>
      <c r="C10833" s="6">
        <v>2001</v>
      </c>
      <c r="D10833" s="7">
        <v>17041397</v>
      </c>
    </row>
    <row r="10834" spans="1:4" x14ac:dyDescent="0.3">
      <c r="A10834" s="2" t="s">
        <v>336</v>
      </c>
      <c r="B10834" s="2" t="s">
        <v>337</v>
      </c>
      <c r="C10834" s="3">
        <v>2002</v>
      </c>
      <c r="D10834" s="4">
        <v>17910910</v>
      </c>
    </row>
    <row r="10835" spans="1:4" x14ac:dyDescent="0.3">
      <c r="A10835" s="5" t="s">
        <v>336</v>
      </c>
      <c r="B10835" s="5" t="s">
        <v>337</v>
      </c>
      <c r="C10835" s="6">
        <v>2003</v>
      </c>
      <c r="D10835" s="7">
        <v>18786767</v>
      </c>
    </row>
    <row r="10836" spans="1:4" x14ac:dyDescent="0.3">
      <c r="A10836" s="2" t="s">
        <v>336</v>
      </c>
      <c r="B10836" s="2" t="s">
        <v>337</v>
      </c>
      <c r="C10836" s="3">
        <v>2004</v>
      </c>
      <c r="D10836" s="4">
        <v>19669480</v>
      </c>
    </row>
    <row r="10837" spans="1:4" x14ac:dyDescent="0.3">
      <c r="A10837" s="5" t="s">
        <v>336</v>
      </c>
      <c r="B10837" s="5" t="s">
        <v>337</v>
      </c>
      <c r="C10837" s="6">
        <v>2005</v>
      </c>
      <c r="D10837" s="7">
        <v>20559890</v>
      </c>
    </row>
    <row r="10838" spans="1:4" x14ac:dyDescent="0.3">
      <c r="A10838" s="2" t="s">
        <v>336</v>
      </c>
      <c r="B10838" s="2" t="s">
        <v>337</v>
      </c>
      <c r="C10838" s="3">
        <v>2006</v>
      </c>
      <c r="D10838" s="4">
        <v>21459144</v>
      </c>
    </row>
    <row r="10839" spans="1:4" x14ac:dyDescent="0.3">
      <c r="A10839" s="5" t="s">
        <v>336</v>
      </c>
      <c r="B10839" s="5" t="s">
        <v>337</v>
      </c>
      <c r="C10839" s="6">
        <v>2007</v>
      </c>
      <c r="D10839" s="7">
        <v>22368313</v>
      </c>
    </row>
    <row r="10840" spans="1:4" x14ac:dyDescent="0.3">
      <c r="A10840" s="2" t="s">
        <v>336</v>
      </c>
      <c r="B10840" s="2" t="s">
        <v>337</v>
      </c>
      <c r="C10840" s="3">
        <v>2008</v>
      </c>
      <c r="D10840" s="4">
        <v>23287877</v>
      </c>
    </row>
    <row r="10841" spans="1:4" x14ac:dyDescent="0.3">
      <c r="A10841" s="5" t="s">
        <v>336</v>
      </c>
      <c r="B10841" s="5" t="s">
        <v>337</v>
      </c>
      <c r="C10841" s="6">
        <v>2009</v>
      </c>
      <c r="D10841" s="7">
        <v>24217654</v>
      </c>
    </row>
    <row r="10842" spans="1:4" x14ac:dyDescent="0.3">
      <c r="A10842" s="2" t="s">
        <v>336</v>
      </c>
      <c r="B10842" s="2" t="s">
        <v>337</v>
      </c>
      <c r="C10842" s="3">
        <v>2010</v>
      </c>
      <c r="D10842" s="4">
        <v>23978487</v>
      </c>
    </row>
    <row r="10843" spans="1:4" x14ac:dyDescent="0.3">
      <c r="A10843" s="5" t="s">
        <v>336</v>
      </c>
      <c r="B10843" s="5" t="s">
        <v>337</v>
      </c>
      <c r="C10843" s="6">
        <v>2011</v>
      </c>
      <c r="D10843" s="7">
        <v>25091867</v>
      </c>
    </row>
    <row r="10844" spans="1:4" x14ac:dyDescent="0.3">
      <c r="A10844" s="2" t="s">
        <v>336</v>
      </c>
      <c r="B10844" s="2" t="s">
        <v>337</v>
      </c>
      <c r="C10844" s="3">
        <v>2012</v>
      </c>
      <c r="D10844" s="4">
        <v>26168861</v>
      </c>
    </row>
    <row r="10845" spans="1:4" x14ac:dyDescent="0.3">
      <c r="A10845" s="5" t="s">
        <v>336</v>
      </c>
      <c r="B10845" s="5" t="s">
        <v>337</v>
      </c>
      <c r="C10845" s="6">
        <v>2013</v>
      </c>
      <c r="D10845" s="7">
        <v>27624004</v>
      </c>
    </row>
    <row r="10846" spans="1:4" x14ac:dyDescent="0.3">
      <c r="A10846" s="2" t="s">
        <v>336</v>
      </c>
      <c r="B10846" s="2" t="s">
        <v>337</v>
      </c>
      <c r="C10846" s="3">
        <v>2014</v>
      </c>
      <c r="D10846" s="4">
        <v>28309273</v>
      </c>
    </row>
    <row r="10847" spans="1:4" x14ac:dyDescent="0.3">
      <c r="A10847" s="5" t="s">
        <v>336</v>
      </c>
      <c r="B10847" s="5" t="s">
        <v>337</v>
      </c>
      <c r="C10847" s="6">
        <v>2015</v>
      </c>
      <c r="D10847" s="7">
        <v>29816382</v>
      </c>
    </row>
    <row r="10848" spans="1:4" x14ac:dyDescent="0.3">
      <c r="A10848" s="2" t="s">
        <v>336</v>
      </c>
      <c r="B10848" s="2" t="s">
        <v>337</v>
      </c>
      <c r="C10848" s="3">
        <v>2016</v>
      </c>
      <c r="D10848" s="4">
        <v>30954198</v>
      </c>
    </row>
    <row r="10849" spans="1:4" x14ac:dyDescent="0.3">
      <c r="A10849" s="5" t="s">
        <v>336</v>
      </c>
      <c r="B10849" s="5" t="s">
        <v>337</v>
      </c>
      <c r="C10849" s="6">
        <v>2017</v>
      </c>
      <c r="D10849" s="7">
        <v>30977355</v>
      </c>
    </row>
    <row r="10850" spans="1:4" x14ac:dyDescent="0.3">
      <c r="A10850" s="2" t="s">
        <v>336</v>
      </c>
      <c r="B10850" s="2" t="s">
        <v>337</v>
      </c>
      <c r="C10850" s="3">
        <v>2018</v>
      </c>
      <c r="D10850" s="4">
        <v>30196281</v>
      </c>
    </row>
    <row r="10851" spans="1:4" x14ac:dyDescent="0.3">
      <c r="A10851" s="5" t="s">
        <v>336</v>
      </c>
      <c r="B10851" s="5" t="s">
        <v>337</v>
      </c>
      <c r="C10851" s="6">
        <v>2019</v>
      </c>
      <c r="D10851" s="7">
        <v>30063799</v>
      </c>
    </row>
    <row r="10852" spans="1:4" x14ac:dyDescent="0.3">
      <c r="A10852" s="2" t="s">
        <v>336</v>
      </c>
      <c r="B10852" s="2" t="s">
        <v>337</v>
      </c>
      <c r="C10852" s="3">
        <v>2020</v>
      </c>
      <c r="D10852" s="4">
        <v>31552510</v>
      </c>
    </row>
    <row r="10853" spans="1:4" x14ac:dyDescent="0.3">
      <c r="A10853" s="5" t="s">
        <v>336</v>
      </c>
      <c r="B10853" s="5" t="s">
        <v>337</v>
      </c>
      <c r="C10853" s="6">
        <v>2021</v>
      </c>
      <c r="D10853" s="7">
        <v>30784383</v>
      </c>
    </row>
    <row r="10854" spans="1:4" x14ac:dyDescent="0.3">
      <c r="A10854" s="2" t="s">
        <v>336</v>
      </c>
      <c r="B10854" s="2" t="s">
        <v>337</v>
      </c>
      <c r="C10854" s="3">
        <v>2022</v>
      </c>
      <c r="D10854" s="4">
        <v>32175224</v>
      </c>
    </row>
    <row r="10855" spans="1:4" x14ac:dyDescent="0.3">
      <c r="A10855" s="5" t="s">
        <v>336</v>
      </c>
      <c r="B10855" s="5" t="s">
        <v>337</v>
      </c>
      <c r="C10855" s="6">
        <v>2023</v>
      </c>
      <c r="D10855" s="7">
        <v>33702731</v>
      </c>
    </row>
    <row r="10856" spans="1:4" x14ac:dyDescent="0.3">
      <c r="A10856" s="2" t="s">
        <v>336</v>
      </c>
      <c r="B10856" s="2" t="s">
        <v>337</v>
      </c>
      <c r="C10856" s="3">
        <v>2024</v>
      </c>
      <c r="D10856" s="4">
        <v>35300280</v>
      </c>
    </row>
    <row r="10857" spans="1:4" x14ac:dyDescent="0.3">
      <c r="A10857" s="5" t="s">
        <v>338</v>
      </c>
      <c r="B10857" s="5" t="s">
        <v>339</v>
      </c>
      <c r="C10857" s="6">
        <v>1960</v>
      </c>
      <c r="D10857" s="7">
        <v>3340907</v>
      </c>
    </row>
    <row r="10858" spans="1:4" x14ac:dyDescent="0.3">
      <c r="A10858" s="2" t="s">
        <v>338</v>
      </c>
      <c r="B10858" s="2" t="s">
        <v>339</v>
      </c>
      <c r="C10858" s="3">
        <v>1961</v>
      </c>
      <c r="D10858" s="4">
        <v>3436375</v>
      </c>
    </row>
    <row r="10859" spans="1:4" x14ac:dyDescent="0.3">
      <c r="A10859" s="5" t="s">
        <v>338</v>
      </c>
      <c r="B10859" s="5" t="s">
        <v>339</v>
      </c>
      <c r="C10859" s="6">
        <v>1962</v>
      </c>
      <c r="D10859" s="7">
        <v>3534686</v>
      </c>
    </row>
    <row r="10860" spans="1:4" x14ac:dyDescent="0.3">
      <c r="A10860" s="2" t="s">
        <v>338</v>
      </c>
      <c r="B10860" s="2" t="s">
        <v>339</v>
      </c>
      <c r="C10860" s="3">
        <v>1963</v>
      </c>
      <c r="D10860" s="4">
        <v>3635876</v>
      </c>
    </row>
    <row r="10861" spans="1:4" x14ac:dyDescent="0.3">
      <c r="A10861" s="5" t="s">
        <v>338</v>
      </c>
      <c r="B10861" s="5" t="s">
        <v>339</v>
      </c>
      <c r="C10861" s="6">
        <v>1964</v>
      </c>
      <c r="D10861" s="7">
        <v>3740535</v>
      </c>
    </row>
    <row r="10862" spans="1:4" x14ac:dyDescent="0.3">
      <c r="A10862" s="2" t="s">
        <v>338</v>
      </c>
      <c r="B10862" s="2" t="s">
        <v>339</v>
      </c>
      <c r="C10862" s="3">
        <v>1965</v>
      </c>
      <c r="D10862" s="4">
        <v>3849788</v>
      </c>
    </row>
    <row r="10863" spans="1:4" x14ac:dyDescent="0.3">
      <c r="A10863" s="5" t="s">
        <v>338</v>
      </c>
      <c r="B10863" s="5" t="s">
        <v>339</v>
      </c>
      <c r="C10863" s="6">
        <v>1966</v>
      </c>
      <c r="D10863" s="7">
        <v>3964299</v>
      </c>
    </row>
    <row r="10864" spans="1:4" x14ac:dyDescent="0.3">
      <c r="A10864" s="2" t="s">
        <v>338</v>
      </c>
      <c r="B10864" s="2" t="s">
        <v>339</v>
      </c>
      <c r="C10864" s="3">
        <v>1967</v>
      </c>
      <c r="D10864" s="4">
        <v>4083870</v>
      </c>
    </row>
    <row r="10865" spans="1:4" x14ac:dyDescent="0.3">
      <c r="A10865" s="5" t="s">
        <v>338</v>
      </c>
      <c r="B10865" s="5" t="s">
        <v>339</v>
      </c>
      <c r="C10865" s="6">
        <v>1968</v>
      </c>
      <c r="D10865" s="7">
        <v>4207587</v>
      </c>
    </row>
    <row r="10866" spans="1:4" x14ac:dyDescent="0.3">
      <c r="A10866" s="2" t="s">
        <v>338</v>
      </c>
      <c r="B10866" s="2" t="s">
        <v>339</v>
      </c>
      <c r="C10866" s="3">
        <v>1969</v>
      </c>
      <c r="D10866" s="4">
        <v>4334974</v>
      </c>
    </row>
    <row r="10867" spans="1:4" x14ac:dyDescent="0.3">
      <c r="A10867" s="5" t="s">
        <v>338</v>
      </c>
      <c r="B10867" s="5" t="s">
        <v>339</v>
      </c>
      <c r="C10867" s="6">
        <v>1970</v>
      </c>
      <c r="D10867" s="7">
        <v>4466328</v>
      </c>
    </row>
    <row r="10868" spans="1:4" x14ac:dyDescent="0.3">
      <c r="A10868" s="2" t="s">
        <v>338</v>
      </c>
      <c r="B10868" s="2" t="s">
        <v>339</v>
      </c>
      <c r="C10868" s="3">
        <v>1971</v>
      </c>
      <c r="D10868" s="4">
        <v>4601864</v>
      </c>
    </row>
    <row r="10869" spans="1:4" x14ac:dyDescent="0.3">
      <c r="A10869" s="5" t="s">
        <v>338</v>
      </c>
      <c r="B10869" s="5" t="s">
        <v>339</v>
      </c>
      <c r="C10869" s="6">
        <v>1972</v>
      </c>
      <c r="D10869" s="7">
        <v>4741631</v>
      </c>
    </row>
    <row r="10870" spans="1:4" x14ac:dyDescent="0.3">
      <c r="A10870" s="2" t="s">
        <v>338</v>
      </c>
      <c r="B10870" s="2" t="s">
        <v>339</v>
      </c>
      <c r="C10870" s="3">
        <v>1973</v>
      </c>
      <c r="D10870" s="4">
        <v>4885181</v>
      </c>
    </row>
    <row r="10871" spans="1:4" x14ac:dyDescent="0.3">
      <c r="A10871" s="5" t="s">
        <v>338</v>
      </c>
      <c r="B10871" s="5" t="s">
        <v>339</v>
      </c>
      <c r="C10871" s="6">
        <v>1974</v>
      </c>
      <c r="D10871" s="7">
        <v>5029437</v>
      </c>
    </row>
    <row r="10872" spans="1:4" x14ac:dyDescent="0.3">
      <c r="A10872" s="2" t="s">
        <v>338</v>
      </c>
      <c r="B10872" s="2" t="s">
        <v>339</v>
      </c>
      <c r="C10872" s="3">
        <v>1975</v>
      </c>
      <c r="D10872" s="4">
        <v>5170810</v>
      </c>
    </row>
    <row r="10873" spans="1:4" x14ac:dyDescent="0.3">
      <c r="A10873" s="5" t="s">
        <v>338</v>
      </c>
      <c r="B10873" s="5" t="s">
        <v>339</v>
      </c>
      <c r="C10873" s="6">
        <v>1976</v>
      </c>
      <c r="D10873" s="7">
        <v>5308564</v>
      </c>
    </row>
    <row r="10874" spans="1:4" x14ac:dyDescent="0.3">
      <c r="A10874" s="2" t="s">
        <v>338</v>
      </c>
      <c r="B10874" s="2" t="s">
        <v>339</v>
      </c>
      <c r="C10874" s="3">
        <v>1977</v>
      </c>
      <c r="D10874" s="4">
        <v>5439549</v>
      </c>
    </row>
    <row r="10875" spans="1:4" x14ac:dyDescent="0.3">
      <c r="A10875" s="5" t="s">
        <v>338</v>
      </c>
      <c r="B10875" s="5" t="s">
        <v>339</v>
      </c>
      <c r="C10875" s="6">
        <v>1978</v>
      </c>
      <c r="D10875" s="7">
        <v>5568096</v>
      </c>
    </row>
    <row r="10876" spans="1:4" x14ac:dyDescent="0.3">
      <c r="A10876" s="2" t="s">
        <v>338</v>
      </c>
      <c r="B10876" s="2" t="s">
        <v>339</v>
      </c>
      <c r="C10876" s="3">
        <v>1979</v>
      </c>
      <c r="D10876" s="4">
        <v>5702895</v>
      </c>
    </row>
    <row r="10877" spans="1:4" x14ac:dyDescent="0.3">
      <c r="A10877" s="5" t="s">
        <v>338</v>
      </c>
      <c r="B10877" s="5" t="s">
        <v>339</v>
      </c>
      <c r="C10877" s="6">
        <v>1980</v>
      </c>
      <c r="D10877" s="7">
        <v>5845638</v>
      </c>
    </row>
    <row r="10878" spans="1:4" x14ac:dyDescent="0.3">
      <c r="A10878" s="2" t="s">
        <v>338</v>
      </c>
      <c r="B10878" s="2" t="s">
        <v>339</v>
      </c>
      <c r="C10878" s="3">
        <v>1981</v>
      </c>
      <c r="D10878" s="4">
        <v>5997160</v>
      </c>
    </row>
    <row r="10879" spans="1:4" x14ac:dyDescent="0.3">
      <c r="A10879" s="5" t="s">
        <v>338</v>
      </c>
      <c r="B10879" s="5" t="s">
        <v>339</v>
      </c>
      <c r="C10879" s="6">
        <v>1982</v>
      </c>
      <c r="D10879" s="7">
        <v>6156961</v>
      </c>
    </row>
    <row r="10880" spans="1:4" x14ac:dyDescent="0.3">
      <c r="A10880" s="2" t="s">
        <v>338</v>
      </c>
      <c r="B10880" s="2" t="s">
        <v>339</v>
      </c>
      <c r="C10880" s="3">
        <v>1983</v>
      </c>
      <c r="D10880" s="4">
        <v>6324504</v>
      </c>
    </row>
    <row r="10881" spans="1:4" x14ac:dyDescent="0.3">
      <c r="A10881" s="5" t="s">
        <v>338</v>
      </c>
      <c r="B10881" s="5" t="s">
        <v>339</v>
      </c>
      <c r="C10881" s="6">
        <v>1984</v>
      </c>
      <c r="D10881" s="7">
        <v>6499364</v>
      </c>
    </row>
    <row r="10882" spans="1:4" x14ac:dyDescent="0.3">
      <c r="A10882" s="2" t="s">
        <v>338</v>
      </c>
      <c r="B10882" s="2" t="s">
        <v>339</v>
      </c>
      <c r="C10882" s="3">
        <v>1985</v>
      </c>
      <c r="D10882" s="4">
        <v>6683287</v>
      </c>
    </row>
    <row r="10883" spans="1:4" x14ac:dyDescent="0.3">
      <c r="A10883" s="5" t="s">
        <v>338</v>
      </c>
      <c r="B10883" s="5" t="s">
        <v>339</v>
      </c>
      <c r="C10883" s="6">
        <v>1986</v>
      </c>
      <c r="D10883" s="7">
        <v>6878192</v>
      </c>
    </row>
    <row r="10884" spans="1:4" x14ac:dyDescent="0.3">
      <c r="A10884" s="2" t="s">
        <v>338</v>
      </c>
      <c r="B10884" s="2" t="s">
        <v>339</v>
      </c>
      <c r="C10884" s="3">
        <v>1987</v>
      </c>
      <c r="D10884" s="4">
        <v>7081530</v>
      </c>
    </row>
    <row r="10885" spans="1:4" x14ac:dyDescent="0.3">
      <c r="A10885" s="5" t="s">
        <v>338</v>
      </c>
      <c r="B10885" s="5" t="s">
        <v>339</v>
      </c>
      <c r="C10885" s="6">
        <v>1988</v>
      </c>
      <c r="D10885" s="7">
        <v>7289618</v>
      </c>
    </row>
    <row r="10886" spans="1:4" x14ac:dyDescent="0.3">
      <c r="A10886" s="2" t="s">
        <v>338</v>
      </c>
      <c r="B10886" s="2" t="s">
        <v>339</v>
      </c>
      <c r="C10886" s="3">
        <v>1989</v>
      </c>
      <c r="D10886" s="4">
        <v>7502207</v>
      </c>
    </row>
    <row r="10887" spans="1:4" x14ac:dyDescent="0.3">
      <c r="A10887" s="5" t="s">
        <v>338</v>
      </c>
      <c r="B10887" s="5" t="s">
        <v>339</v>
      </c>
      <c r="C10887" s="6">
        <v>1990</v>
      </c>
      <c r="D10887" s="7">
        <v>7720523</v>
      </c>
    </row>
    <row r="10888" spans="1:4" x14ac:dyDescent="0.3">
      <c r="A10888" s="2" t="s">
        <v>338</v>
      </c>
      <c r="B10888" s="2" t="s">
        <v>339</v>
      </c>
      <c r="C10888" s="3">
        <v>1991</v>
      </c>
      <c r="D10888" s="4">
        <v>7943085</v>
      </c>
    </row>
    <row r="10889" spans="1:4" x14ac:dyDescent="0.3">
      <c r="A10889" s="5" t="s">
        <v>338</v>
      </c>
      <c r="B10889" s="5" t="s">
        <v>339</v>
      </c>
      <c r="C10889" s="6">
        <v>1992</v>
      </c>
      <c r="D10889" s="7">
        <v>8168395</v>
      </c>
    </row>
    <row r="10890" spans="1:4" x14ac:dyDescent="0.3">
      <c r="A10890" s="2" t="s">
        <v>338</v>
      </c>
      <c r="B10890" s="2" t="s">
        <v>339</v>
      </c>
      <c r="C10890" s="3">
        <v>1993</v>
      </c>
      <c r="D10890" s="4">
        <v>8396288</v>
      </c>
    </row>
    <row r="10891" spans="1:4" x14ac:dyDescent="0.3">
      <c r="A10891" s="5" t="s">
        <v>338</v>
      </c>
      <c r="B10891" s="5" t="s">
        <v>339</v>
      </c>
      <c r="C10891" s="6">
        <v>1994</v>
      </c>
      <c r="D10891" s="7">
        <v>8624078</v>
      </c>
    </row>
    <row r="10892" spans="1:4" x14ac:dyDescent="0.3">
      <c r="A10892" s="2" t="s">
        <v>338</v>
      </c>
      <c r="B10892" s="2" t="s">
        <v>339</v>
      </c>
      <c r="C10892" s="3">
        <v>1995</v>
      </c>
      <c r="D10892" s="4">
        <v>8848101</v>
      </c>
    </row>
    <row r="10893" spans="1:4" x14ac:dyDescent="0.3">
      <c r="A10893" s="5" t="s">
        <v>338</v>
      </c>
      <c r="B10893" s="5" t="s">
        <v>339</v>
      </c>
      <c r="C10893" s="6">
        <v>1996</v>
      </c>
      <c r="D10893" s="7">
        <v>9067014</v>
      </c>
    </row>
    <row r="10894" spans="1:4" x14ac:dyDescent="0.3">
      <c r="A10894" s="2" t="s">
        <v>338</v>
      </c>
      <c r="B10894" s="2" t="s">
        <v>339</v>
      </c>
      <c r="C10894" s="3">
        <v>1997</v>
      </c>
      <c r="D10894" s="4">
        <v>9283495</v>
      </c>
    </row>
    <row r="10895" spans="1:4" x14ac:dyDescent="0.3">
      <c r="A10895" s="5" t="s">
        <v>338</v>
      </c>
      <c r="B10895" s="5" t="s">
        <v>339</v>
      </c>
      <c r="C10895" s="6">
        <v>1998</v>
      </c>
      <c r="D10895" s="7">
        <v>9502952</v>
      </c>
    </row>
    <row r="10896" spans="1:4" x14ac:dyDescent="0.3">
      <c r="A10896" s="2" t="s">
        <v>338</v>
      </c>
      <c r="B10896" s="2" t="s">
        <v>339</v>
      </c>
      <c r="C10896" s="3">
        <v>1999</v>
      </c>
      <c r="D10896" s="4">
        <v>9730887</v>
      </c>
    </row>
    <row r="10897" spans="1:4" x14ac:dyDescent="0.3">
      <c r="A10897" s="5" t="s">
        <v>338</v>
      </c>
      <c r="B10897" s="5" t="s">
        <v>339</v>
      </c>
      <c r="C10897" s="6">
        <v>2000</v>
      </c>
      <c r="D10897" s="7">
        <v>9968260</v>
      </c>
    </row>
    <row r="10898" spans="1:4" x14ac:dyDescent="0.3">
      <c r="A10898" s="2" t="s">
        <v>338</v>
      </c>
      <c r="B10898" s="2" t="s">
        <v>339</v>
      </c>
      <c r="C10898" s="3">
        <v>2001</v>
      </c>
      <c r="D10898" s="4">
        <v>10212942</v>
      </c>
    </row>
    <row r="10899" spans="1:4" x14ac:dyDescent="0.3">
      <c r="A10899" s="5" t="s">
        <v>338</v>
      </c>
      <c r="B10899" s="5" t="s">
        <v>339</v>
      </c>
      <c r="C10899" s="6">
        <v>2002</v>
      </c>
      <c r="D10899" s="7">
        <v>10466214</v>
      </c>
    </row>
    <row r="10900" spans="1:4" x14ac:dyDescent="0.3">
      <c r="A10900" s="2" t="s">
        <v>338</v>
      </c>
      <c r="B10900" s="2" t="s">
        <v>339</v>
      </c>
      <c r="C10900" s="3">
        <v>2003</v>
      </c>
      <c r="D10900" s="4">
        <v>10721176</v>
      </c>
    </row>
    <row r="10901" spans="1:4" x14ac:dyDescent="0.3">
      <c r="A10901" s="5" t="s">
        <v>338</v>
      </c>
      <c r="B10901" s="5" t="s">
        <v>339</v>
      </c>
      <c r="C10901" s="6">
        <v>2004</v>
      </c>
      <c r="D10901" s="7">
        <v>10975704</v>
      </c>
    </row>
    <row r="10902" spans="1:4" x14ac:dyDescent="0.3">
      <c r="A10902" s="2" t="s">
        <v>338</v>
      </c>
      <c r="B10902" s="2" t="s">
        <v>339</v>
      </c>
      <c r="C10902" s="3">
        <v>2005</v>
      </c>
      <c r="D10902" s="4">
        <v>11235472</v>
      </c>
    </row>
    <row r="10903" spans="1:4" x14ac:dyDescent="0.3">
      <c r="A10903" s="5" t="s">
        <v>338</v>
      </c>
      <c r="B10903" s="5" t="s">
        <v>339</v>
      </c>
      <c r="C10903" s="6">
        <v>2006</v>
      </c>
      <c r="D10903" s="7">
        <v>11500094</v>
      </c>
    </row>
    <row r="10904" spans="1:4" x14ac:dyDescent="0.3">
      <c r="A10904" s="2" t="s">
        <v>338</v>
      </c>
      <c r="B10904" s="2" t="s">
        <v>339</v>
      </c>
      <c r="C10904" s="3">
        <v>2007</v>
      </c>
      <c r="D10904" s="4">
        <v>11770344</v>
      </c>
    </row>
    <row r="10905" spans="1:4" x14ac:dyDescent="0.3">
      <c r="A10905" s="5" t="s">
        <v>338</v>
      </c>
      <c r="B10905" s="5" t="s">
        <v>339</v>
      </c>
      <c r="C10905" s="6">
        <v>2008</v>
      </c>
      <c r="D10905" s="7">
        <v>12048959</v>
      </c>
    </row>
    <row r="10906" spans="1:4" x14ac:dyDescent="0.3">
      <c r="A10906" s="2" t="s">
        <v>338</v>
      </c>
      <c r="B10906" s="2" t="s">
        <v>339</v>
      </c>
      <c r="C10906" s="3">
        <v>2009</v>
      </c>
      <c r="D10906" s="4">
        <v>12337389</v>
      </c>
    </row>
    <row r="10907" spans="1:4" x14ac:dyDescent="0.3">
      <c r="A10907" s="5" t="s">
        <v>338</v>
      </c>
      <c r="B10907" s="5" t="s">
        <v>339</v>
      </c>
      <c r="C10907" s="6">
        <v>2010</v>
      </c>
      <c r="D10907" s="7">
        <v>12635413</v>
      </c>
    </row>
    <row r="10908" spans="1:4" x14ac:dyDescent="0.3">
      <c r="A10908" s="2" t="s">
        <v>338</v>
      </c>
      <c r="B10908" s="2" t="s">
        <v>339</v>
      </c>
      <c r="C10908" s="3">
        <v>2011</v>
      </c>
      <c r="D10908" s="4">
        <v>12958897</v>
      </c>
    </row>
    <row r="10909" spans="1:4" x14ac:dyDescent="0.3">
      <c r="A10909" s="5" t="s">
        <v>338</v>
      </c>
      <c r="B10909" s="5" t="s">
        <v>339</v>
      </c>
      <c r="C10909" s="6">
        <v>2012</v>
      </c>
      <c r="D10909" s="7">
        <v>13310495</v>
      </c>
    </row>
    <row r="10910" spans="1:4" x14ac:dyDescent="0.3">
      <c r="A10910" s="2" t="s">
        <v>338</v>
      </c>
      <c r="B10910" s="2" t="s">
        <v>339</v>
      </c>
      <c r="C10910" s="3">
        <v>2013</v>
      </c>
      <c r="D10910" s="4">
        <v>13710849</v>
      </c>
    </row>
    <row r="10911" spans="1:4" x14ac:dyDescent="0.3">
      <c r="A10911" s="5" t="s">
        <v>338</v>
      </c>
      <c r="B10911" s="5" t="s">
        <v>339</v>
      </c>
      <c r="C10911" s="6">
        <v>2014</v>
      </c>
      <c r="D10911" s="7">
        <v>14152102</v>
      </c>
    </row>
    <row r="10912" spans="1:4" x14ac:dyDescent="0.3">
      <c r="A10912" s="2" t="s">
        <v>338</v>
      </c>
      <c r="B10912" s="2" t="s">
        <v>339</v>
      </c>
      <c r="C10912" s="3">
        <v>2015</v>
      </c>
      <c r="D10912" s="4">
        <v>14593331</v>
      </c>
    </row>
    <row r="10913" spans="1:4" x14ac:dyDescent="0.3">
      <c r="A10913" s="5" t="s">
        <v>338</v>
      </c>
      <c r="B10913" s="5" t="s">
        <v>339</v>
      </c>
      <c r="C10913" s="6">
        <v>2016</v>
      </c>
      <c r="D10913" s="7">
        <v>15034521</v>
      </c>
    </row>
    <row r="10914" spans="1:4" x14ac:dyDescent="0.3">
      <c r="A10914" s="2" t="s">
        <v>338</v>
      </c>
      <c r="B10914" s="2" t="s">
        <v>339</v>
      </c>
      <c r="C10914" s="3">
        <v>2017</v>
      </c>
      <c r="D10914" s="4">
        <v>15475002</v>
      </c>
    </row>
    <row r="10915" spans="1:4" x14ac:dyDescent="0.3">
      <c r="A10915" s="5" t="s">
        <v>338</v>
      </c>
      <c r="B10915" s="5" t="s">
        <v>339</v>
      </c>
      <c r="C10915" s="6">
        <v>2018</v>
      </c>
      <c r="D10915" s="7">
        <v>15914498</v>
      </c>
    </row>
    <row r="10916" spans="1:4" x14ac:dyDescent="0.3">
      <c r="A10916" s="2" t="s">
        <v>338</v>
      </c>
      <c r="B10916" s="2" t="s">
        <v>339</v>
      </c>
      <c r="C10916" s="3">
        <v>2019</v>
      </c>
      <c r="D10916" s="4">
        <v>16352922</v>
      </c>
    </row>
    <row r="10917" spans="1:4" x14ac:dyDescent="0.3">
      <c r="A10917" s="5" t="s">
        <v>338</v>
      </c>
      <c r="B10917" s="5" t="s">
        <v>339</v>
      </c>
      <c r="C10917" s="6">
        <v>2020</v>
      </c>
      <c r="D10917" s="7">
        <v>16789219</v>
      </c>
    </row>
    <row r="10918" spans="1:4" x14ac:dyDescent="0.3">
      <c r="A10918" s="2" t="s">
        <v>338</v>
      </c>
      <c r="B10918" s="2" t="s">
        <v>339</v>
      </c>
      <c r="C10918" s="3">
        <v>2021</v>
      </c>
      <c r="D10918" s="4">
        <v>17220867</v>
      </c>
    </row>
    <row r="10919" spans="1:4" x14ac:dyDescent="0.3">
      <c r="A10919" s="5" t="s">
        <v>338</v>
      </c>
      <c r="B10919" s="5" t="s">
        <v>339</v>
      </c>
      <c r="C10919" s="6">
        <v>2022</v>
      </c>
      <c r="D10919" s="7">
        <v>17651103</v>
      </c>
    </row>
    <row r="10920" spans="1:4" x14ac:dyDescent="0.3">
      <c r="A10920" s="2" t="s">
        <v>338</v>
      </c>
      <c r="B10920" s="2" t="s">
        <v>339</v>
      </c>
      <c r="C10920" s="3">
        <v>2023</v>
      </c>
      <c r="D10920" s="4">
        <v>18077573</v>
      </c>
    </row>
    <row r="10921" spans="1:4" x14ac:dyDescent="0.3">
      <c r="A10921" s="5" t="s">
        <v>338</v>
      </c>
      <c r="B10921" s="5" t="s">
        <v>339</v>
      </c>
      <c r="C10921" s="6">
        <v>2024</v>
      </c>
      <c r="D10921" s="7">
        <v>18501984</v>
      </c>
    </row>
    <row r="10922" spans="1:4" x14ac:dyDescent="0.3">
      <c r="A10922" s="2" t="s">
        <v>340</v>
      </c>
      <c r="B10922" s="2" t="s">
        <v>341</v>
      </c>
      <c r="C10922" s="3">
        <v>1960</v>
      </c>
      <c r="D10922" s="4">
        <v>6638992</v>
      </c>
    </row>
    <row r="10923" spans="1:4" x14ac:dyDescent="0.3">
      <c r="A10923" s="5" t="s">
        <v>340</v>
      </c>
      <c r="B10923" s="5" t="s">
        <v>341</v>
      </c>
      <c r="C10923" s="6">
        <v>1961</v>
      </c>
      <c r="D10923" s="7">
        <v>6689077</v>
      </c>
    </row>
    <row r="10924" spans="1:4" x14ac:dyDescent="0.3">
      <c r="A10924" s="2" t="s">
        <v>340</v>
      </c>
      <c r="B10924" s="2" t="s">
        <v>341</v>
      </c>
      <c r="C10924" s="3">
        <v>1962</v>
      </c>
      <c r="D10924" s="4">
        <v>6740264</v>
      </c>
    </row>
    <row r="10925" spans="1:4" x14ac:dyDescent="0.3">
      <c r="A10925" s="5" t="s">
        <v>340</v>
      </c>
      <c r="B10925" s="5" t="s">
        <v>341</v>
      </c>
      <c r="C10925" s="6">
        <v>1963</v>
      </c>
      <c r="D10925" s="7">
        <v>6787950</v>
      </c>
    </row>
    <row r="10926" spans="1:4" x14ac:dyDescent="0.3">
      <c r="A10926" s="2" t="s">
        <v>340</v>
      </c>
      <c r="B10926" s="2" t="s">
        <v>341</v>
      </c>
      <c r="C10926" s="3">
        <v>1964</v>
      </c>
      <c r="D10926" s="4">
        <v>6832855</v>
      </c>
    </row>
    <row r="10927" spans="1:4" x14ac:dyDescent="0.3">
      <c r="A10927" s="5" t="s">
        <v>340</v>
      </c>
      <c r="B10927" s="5" t="s">
        <v>341</v>
      </c>
      <c r="C10927" s="6">
        <v>1965</v>
      </c>
      <c r="D10927" s="7">
        <v>6876624</v>
      </c>
    </row>
    <row r="10928" spans="1:4" x14ac:dyDescent="0.3">
      <c r="A10928" s="2" t="s">
        <v>340</v>
      </c>
      <c r="B10928" s="2" t="s">
        <v>341</v>
      </c>
      <c r="C10928" s="3">
        <v>1966</v>
      </c>
      <c r="D10928" s="4">
        <v>6927969</v>
      </c>
    </row>
    <row r="10929" spans="1:4" x14ac:dyDescent="0.3">
      <c r="A10929" s="5" t="s">
        <v>340</v>
      </c>
      <c r="B10929" s="5" t="s">
        <v>341</v>
      </c>
      <c r="C10929" s="6">
        <v>1967</v>
      </c>
      <c r="D10929" s="7">
        <v>6966522</v>
      </c>
    </row>
    <row r="10930" spans="1:4" x14ac:dyDescent="0.3">
      <c r="A10930" s="2" t="s">
        <v>340</v>
      </c>
      <c r="B10930" s="2" t="s">
        <v>341</v>
      </c>
      <c r="C10930" s="3">
        <v>1968</v>
      </c>
      <c r="D10930" s="4">
        <v>7007586</v>
      </c>
    </row>
    <row r="10931" spans="1:4" x14ac:dyDescent="0.3">
      <c r="A10931" s="5" t="s">
        <v>340</v>
      </c>
      <c r="B10931" s="5" t="s">
        <v>341</v>
      </c>
      <c r="C10931" s="6">
        <v>1969</v>
      </c>
      <c r="D10931" s="7">
        <v>7123249</v>
      </c>
    </row>
    <row r="10932" spans="1:4" x14ac:dyDescent="0.3">
      <c r="A10932" s="2" t="s">
        <v>340</v>
      </c>
      <c r="B10932" s="2" t="s">
        <v>341</v>
      </c>
      <c r="C10932" s="3">
        <v>1970</v>
      </c>
      <c r="D10932" s="4">
        <v>7164993</v>
      </c>
    </row>
    <row r="10933" spans="1:4" x14ac:dyDescent="0.3">
      <c r="A10933" s="5" t="s">
        <v>340</v>
      </c>
      <c r="B10933" s="5" t="s">
        <v>341</v>
      </c>
      <c r="C10933" s="6">
        <v>1971</v>
      </c>
      <c r="D10933" s="7">
        <v>7211716</v>
      </c>
    </row>
    <row r="10934" spans="1:4" x14ac:dyDescent="0.3">
      <c r="A10934" s="2" t="s">
        <v>340</v>
      </c>
      <c r="B10934" s="2" t="s">
        <v>341</v>
      </c>
      <c r="C10934" s="3">
        <v>1972</v>
      </c>
      <c r="D10934" s="4">
        <v>7252012</v>
      </c>
    </row>
    <row r="10935" spans="1:4" x14ac:dyDescent="0.3">
      <c r="A10935" s="5" t="s">
        <v>340</v>
      </c>
      <c r="B10935" s="5" t="s">
        <v>341</v>
      </c>
      <c r="C10935" s="6">
        <v>1973</v>
      </c>
      <c r="D10935" s="7">
        <v>7283902</v>
      </c>
    </row>
    <row r="10936" spans="1:4" x14ac:dyDescent="0.3">
      <c r="A10936" s="2" t="s">
        <v>340</v>
      </c>
      <c r="B10936" s="2" t="s">
        <v>341</v>
      </c>
      <c r="C10936" s="3">
        <v>1974</v>
      </c>
      <c r="D10936" s="4">
        <v>7326043</v>
      </c>
    </row>
    <row r="10937" spans="1:4" x14ac:dyDescent="0.3">
      <c r="A10937" s="5" t="s">
        <v>340</v>
      </c>
      <c r="B10937" s="5" t="s">
        <v>341</v>
      </c>
      <c r="C10937" s="6">
        <v>1975</v>
      </c>
      <c r="D10937" s="7">
        <v>7368717</v>
      </c>
    </row>
    <row r="10938" spans="1:4" x14ac:dyDescent="0.3">
      <c r="A10938" s="2" t="s">
        <v>340</v>
      </c>
      <c r="B10938" s="2" t="s">
        <v>341</v>
      </c>
      <c r="C10938" s="3">
        <v>1976</v>
      </c>
      <c r="D10938" s="4">
        <v>7418973</v>
      </c>
    </row>
    <row r="10939" spans="1:4" x14ac:dyDescent="0.3">
      <c r="A10939" s="5" t="s">
        <v>340</v>
      </c>
      <c r="B10939" s="5" t="s">
        <v>341</v>
      </c>
      <c r="C10939" s="6">
        <v>1977</v>
      </c>
      <c r="D10939" s="7">
        <v>7462783</v>
      </c>
    </row>
    <row r="10940" spans="1:4" x14ac:dyDescent="0.3">
      <c r="A10940" s="2" t="s">
        <v>340</v>
      </c>
      <c r="B10940" s="2" t="s">
        <v>341</v>
      </c>
      <c r="C10940" s="3">
        <v>1978</v>
      </c>
      <c r="D10940" s="4">
        <v>7504017</v>
      </c>
    </row>
    <row r="10941" spans="1:4" x14ac:dyDescent="0.3">
      <c r="A10941" s="5" t="s">
        <v>340</v>
      </c>
      <c r="B10941" s="5" t="s">
        <v>341</v>
      </c>
      <c r="C10941" s="6">
        <v>1979</v>
      </c>
      <c r="D10941" s="7">
        <v>7541997</v>
      </c>
    </row>
    <row r="10942" spans="1:4" x14ac:dyDescent="0.3">
      <c r="A10942" s="2" t="s">
        <v>340</v>
      </c>
      <c r="B10942" s="2" t="s">
        <v>341</v>
      </c>
      <c r="C10942" s="3">
        <v>1980</v>
      </c>
      <c r="D10942" s="4">
        <v>7709544</v>
      </c>
    </row>
    <row r="10943" spans="1:4" x14ac:dyDescent="0.3">
      <c r="A10943" s="5" t="s">
        <v>340</v>
      </c>
      <c r="B10943" s="5" t="s">
        <v>341</v>
      </c>
      <c r="C10943" s="6">
        <v>1981</v>
      </c>
      <c r="D10943" s="7">
        <v>7736787</v>
      </c>
    </row>
    <row r="10944" spans="1:4" x14ac:dyDescent="0.3">
      <c r="A10944" s="2" t="s">
        <v>340</v>
      </c>
      <c r="B10944" s="2" t="s">
        <v>341</v>
      </c>
      <c r="C10944" s="3">
        <v>1982</v>
      </c>
      <c r="D10944" s="4">
        <v>7763335</v>
      </c>
    </row>
    <row r="10945" spans="1:4" x14ac:dyDescent="0.3">
      <c r="A10945" s="5" t="s">
        <v>340</v>
      </c>
      <c r="B10945" s="5" t="s">
        <v>341</v>
      </c>
      <c r="C10945" s="6">
        <v>1983</v>
      </c>
      <c r="D10945" s="7">
        <v>7788100</v>
      </c>
    </row>
    <row r="10946" spans="1:4" x14ac:dyDescent="0.3">
      <c r="A10946" s="2" t="s">
        <v>340</v>
      </c>
      <c r="B10946" s="2" t="s">
        <v>341</v>
      </c>
      <c r="C10946" s="3">
        <v>1984</v>
      </c>
      <c r="D10946" s="4">
        <v>7813549</v>
      </c>
    </row>
    <row r="10947" spans="1:4" x14ac:dyDescent="0.3">
      <c r="A10947" s="5" t="s">
        <v>340</v>
      </c>
      <c r="B10947" s="5" t="s">
        <v>341</v>
      </c>
      <c r="C10947" s="6">
        <v>1985</v>
      </c>
      <c r="D10947" s="7">
        <v>7835902</v>
      </c>
    </row>
    <row r="10948" spans="1:4" x14ac:dyDescent="0.3">
      <c r="A10948" s="2" t="s">
        <v>340</v>
      </c>
      <c r="B10948" s="2" t="s">
        <v>341</v>
      </c>
      <c r="C10948" s="3">
        <v>1986</v>
      </c>
      <c r="D10948" s="4">
        <v>7853824</v>
      </c>
    </row>
    <row r="10949" spans="1:4" x14ac:dyDescent="0.3">
      <c r="A10949" s="5" t="s">
        <v>340</v>
      </c>
      <c r="B10949" s="5" t="s">
        <v>341</v>
      </c>
      <c r="C10949" s="6">
        <v>1987</v>
      </c>
      <c r="D10949" s="7">
        <v>7868027</v>
      </c>
    </row>
    <row r="10950" spans="1:4" x14ac:dyDescent="0.3">
      <c r="A10950" s="2" t="s">
        <v>340</v>
      </c>
      <c r="B10950" s="2" t="s">
        <v>341</v>
      </c>
      <c r="C10950" s="3">
        <v>1988</v>
      </c>
      <c r="D10950" s="4">
        <v>7884218</v>
      </c>
    </row>
    <row r="10951" spans="1:4" x14ac:dyDescent="0.3">
      <c r="A10951" s="5" t="s">
        <v>340</v>
      </c>
      <c r="B10951" s="5" t="s">
        <v>341</v>
      </c>
      <c r="C10951" s="6">
        <v>1989</v>
      </c>
      <c r="D10951" s="7">
        <v>7893787</v>
      </c>
    </row>
    <row r="10952" spans="1:4" x14ac:dyDescent="0.3">
      <c r="A10952" s="2" t="s">
        <v>340</v>
      </c>
      <c r="B10952" s="2" t="s">
        <v>341</v>
      </c>
      <c r="C10952" s="3">
        <v>1990</v>
      </c>
      <c r="D10952" s="4">
        <v>7897937</v>
      </c>
    </row>
    <row r="10953" spans="1:4" x14ac:dyDescent="0.3">
      <c r="A10953" s="5" t="s">
        <v>340</v>
      </c>
      <c r="B10953" s="5" t="s">
        <v>341</v>
      </c>
      <c r="C10953" s="6">
        <v>1991</v>
      </c>
      <c r="D10953" s="7">
        <v>7595636</v>
      </c>
    </row>
    <row r="10954" spans="1:4" x14ac:dyDescent="0.3">
      <c r="A10954" s="2" t="s">
        <v>340</v>
      </c>
      <c r="B10954" s="2" t="s">
        <v>341</v>
      </c>
      <c r="C10954" s="3">
        <v>1992</v>
      </c>
      <c r="D10954" s="4">
        <v>7604063</v>
      </c>
    </row>
    <row r="10955" spans="1:4" x14ac:dyDescent="0.3">
      <c r="A10955" s="5" t="s">
        <v>340</v>
      </c>
      <c r="B10955" s="5" t="s">
        <v>341</v>
      </c>
      <c r="C10955" s="6">
        <v>1993</v>
      </c>
      <c r="D10955" s="7">
        <v>7614328</v>
      </c>
    </row>
    <row r="10956" spans="1:4" x14ac:dyDescent="0.3">
      <c r="A10956" s="2" t="s">
        <v>340</v>
      </c>
      <c r="B10956" s="2" t="s">
        <v>341</v>
      </c>
      <c r="C10956" s="3">
        <v>1994</v>
      </c>
      <c r="D10956" s="4">
        <v>7622711</v>
      </c>
    </row>
    <row r="10957" spans="1:4" x14ac:dyDescent="0.3">
      <c r="A10957" s="5" t="s">
        <v>340</v>
      </c>
      <c r="B10957" s="5" t="s">
        <v>341</v>
      </c>
      <c r="C10957" s="6">
        <v>1995</v>
      </c>
      <c r="D10957" s="7">
        <v>7628264</v>
      </c>
    </row>
    <row r="10958" spans="1:4" x14ac:dyDescent="0.3">
      <c r="A10958" s="2" t="s">
        <v>340</v>
      </c>
      <c r="B10958" s="2" t="s">
        <v>341</v>
      </c>
      <c r="C10958" s="3">
        <v>1996</v>
      </c>
      <c r="D10958" s="4">
        <v>7622185</v>
      </c>
    </row>
    <row r="10959" spans="1:4" x14ac:dyDescent="0.3">
      <c r="A10959" s="5" t="s">
        <v>340</v>
      </c>
      <c r="B10959" s="5" t="s">
        <v>341</v>
      </c>
      <c r="C10959" s="6">
        <v>1997</v>
      </c>
      <c r="D10959" s="7">
        <v>7598538</v>
      </c>
    </row>
    <row r="10960" spans="1:4" x14ac:dyDescent="0.3">
      <c r="A10960" s="2" t="s">
        <v>340</v>
      </c>
      <c r="B10960" s="2" t="s">
        <v>341</v>
      </c>
      <c r="C10960" s="3">
        <v>1998</v>
      </c>
      <c r="D10960" s="4">
        <v>7567745</v>
      </c>
    </row>
    <row r="10961" spans="1:4" x14ac:dyDescent="0.3">
      <c r="A10961" s="5" t="s">
        <v>340</v>
      </c>
      <c r="B10961" s="5" t="s">
        <v>341</v>
      </c>
      <c r="C10961" s="6">
        <v>1999</v>
      </c>
      <c r="D10961" s="7">
        <v>7540401</v>
      </c>
    </row>
    <row r="10962" spans="1:4" x14ac:dyDescent="0.3">
      <c r="A10962" s="2" t="s">
        <v>340</v>
      </c>
      <c r="B10962" s="2" t="s">
        <v>341</v>
      </c>
      <c r="C10962" s="3">
        <v>2000</v>
      </c>
      <c r="D10962" s="4">
        <v>7516346</v>
      </c>
    </row>
    <row r="10963" spans="1:4" x14ac:dyDescent="0.3">
      <c r="A10963" s="5" t="s">
        <v>340</v>
      </c>
      <c r="B10963" s="5" t="s">
        <v>341</v>
      </c>
      <c r="C10963" s="6">
        <v>2001</v>
      </c>
      <c r="D10963" s="7">
        <v>7503433</v>
      </c>
    </row>
    <row r="10964" spans="1:4" x14ac:dyDescent="0.3">
      <c r="A10964" s="2" t="s">
        <v>340</v>
      </c>
      <c r="B10964" s="2" t="s">
        <v>341</v>
      </c>
      <c r="C10964" s="3">
        <v>2002</v>
      </c>
      <c r="D10964" s="4">
        <v>7500031</v>
      </c>
    </row>
    <row r="10965" spans="1:4" x14ac:dyDescent="0.3">
      <c r="A10965" s="5" t="s">
        <v>340</v>
      </c>
      <c r="B10965" s="5" t="s">
        <v>341</v>
      </c>
      <c r="C10965" s="6">
        <v>2003</v>
      </c>
      <c r="D10965" s="7">
        <v>7480591</v>
      </c>
    </row>
    <row r="10966" spans="1:4" x14ac:dyDescent="0.3">
      <c r="A10966" s="2" t="s">
        <v>340</v>
      </c>
      <c r="B10966" s="2" t="s">
        <v>341</v>
      </c>
      <c r="C10966" s="3">
        <v>2004</v>
      </c>
      <c r="D10966" s="4">
        <v>7463157</v>
      </c>
    </row>
    <row r="10967" spans="1:4" x14ac:dyDescent="0.3">
      <c r="A10967" s="5" t="s">
        <v>340</v>
      </c>
      <c r="B10967" s="5" t="s">
        <v>341</v>
      </c>
      <c r="C10967" s="6">
        <v>2005</v>
      </c>
      <c r="D10967" s="7">
        <v>7440769</v>
      </c>
    </row>
    <row r="10968" spans="1:4" x14ac:dyDescent="0.3">
      <c r="A10968" s="2" t="s">
        <v>340</v>
      </c>
      <c r="B10968" s="2" t="s">
        <v>341</v>
      </c>
      <c r="C10968" s="3">
        <v>2006</v>
      </c>
      <c r="D10968" s="4">
        <v>7411569</v>
      </c>
    </row>
    <row r="10969" spans="1:4" x14ac:dyDescent="0.3">
      <c r="A10969" s="5" t="s">
        <v>340</v>
      </c>
      <c r="B10969" s="5" t="s">
        <v>341</v>
      </c>
      <c r="C10969" s="6">
        <v>2007</v>
      </c>
      <c r="D10969" s="7">
        <v>7381579</v>
      </c>
    </row>
    <row r="10970" spans="1:4" x14ac:dyDescent="0.3">
      <c r="A10970" s="2" t="s">
        <v>340</v>
      </c>
      <c r="B10970" s="2" t="s">
        <v>341</v>
      </c>
      <c r="C10970" s="3">
        <v>2008</v>
      </c>
      <c r="D10970" s="4">
        <v>7350222</v>
      </c>
    </row>
    <row r="10971" spans="1:4" x14ac:dyDescent="0.3">
      <c r="A10971" s="5" t="s">
        <v>340</v>
      </c>
      <c r="B10971" s="5" t="s">
        <v>341</v>
      </c>
      <c r="C10971" s="6">
        <v>2009</v>
      </c>
      <c r="D10971" s="7">
        <v>7320807</v>
      </c>
    </row>
    <row r="10972" spans="1:4" x14ac:dyDescent="0.3">
      <c r="A10972" s="2" t="s">
        <v>340</v>
      </c>
      <c r="B10972" s="2" t="s">
        <v>341</v>
      </c>
      <c r="C10972" s="3">
        <v>2010</v>
      </c>
      <c r="D10972" s="4">
        <v>7291436</v>
      </c>
    </row>
    <row r="10973" spans="1:4" x14ac:dyDescent="0.3">
      <c r="A10973" s="5" t="s">
        <v>340</v>
      </c>
      <c r="B10973" s="5" t="s">
        <v>341</v>
      </c>
      <c r="C10973" s="6">
        <v>2011</v>
      </c>
      <c r="D10973" s="7">
        <v>7236519</v>
      </c>
    </row>
    <row r="10974" spans="1:4" x14ac:dyDescent="0.3">
      <c r="A10974" s="2" t="s">
        <v>340</v>
      </c>
      <c r="B10974" s="2" t="s">
        <v>341</v>
      </c>
      <c r="C10974" s="3">
        <v>2012</v>
      </c>
      <c r="D10974" s="4">
        <v>7201497</v>
      </c>
    </row>
    <row r="10975" spans="1:4" x14ac:dyDescent="0.3">
      <c r="A10975" s="5" t="s">
        <v>340</v>
      </c>
      <c r="B10975" s="5" t="s">
        <v>341</v>
      </c>
      <c r="C10975" s="6">
        <v>2013</v>
      </c>
      <c r="D10975" s="7">
        <v>7166553</v>
      </c>
    </row>
    <row r="10976" spans="1:4" x14ac:dyDescent="0.3">
      <c r="A10976" s="2" t="s">
        <v>340</v>
      </c>
      <c r="B10976" s="2" t="s">
        <v>341</v>
      </c>
      <c r="C10976" s="3">
        <v>2014</v>
      </c>
      <c r="D10976" s="4">
        <v>7131787</v>
      </c>
    </row>
    <row r="10977" spans="1:4" x14ac:dyDescent="0.3">
      <c r="A10977" s="5" t="s">
        <v>340</v>
      </c>
      <c r="B10977" s="5" t="s">
        <v>341</v>
      </c>
      <c r="C10977" s="6">
        <v>2015</v>
      </c>
      <c r="D10977" s="7">
        <v>7095383</v>
      </c>
    </row>
    <row r="10978" spans="1:4" x14ac:dyDescent="0.3">
      <c r="A10978" s="2" t="s">
        <v>340</v>
      </c>
      <c r="B10978" s="2" t="s">
        <v>341</v>
      </c>
      <c r="C10978" s="3">
        <v>2016</v>
      </c>
      <c r="D10978" s="4">
        <v>7058322</v>
      </c>
    </row>
    <row r="10979" spans="1:4" x14ac:dyDescent="0.3">
      <c r="A10979" s="5" t="s">
        <v>340</v>
      </c>
      <c r="B10979" s="5" t="s">
        <v>341</v>
      </c>
      <c r="C10979" s="6">
        <v>2017</v>
      </c>
      <c r="D10979" s="7">
        <v>7020858</v>
      </c>
    </row>
    <row r="10980" spans="1:4" x14ac:dyDescent="0.3">
      <c r="A10980" s="2" t="s">
        <v>340</v>
      </c>
      <c r="B10980" s="2" t="s">
        <v>341</v>
      </c>
      <c r="C10980" s="3">
        <v>2018</v>
      </c>
      <c r="D10980" s="4">
        <v>6982604</v>
      </c>
    </row>
    <row r="10981" spans="1:4" x14ac:dyDescent="0.3">
      <c r="A10981" s="5" t="s">
        <v>340</v>
      </c>
      <c r="B10981" s="5" t="s">
        <v>341</v>
      </c>
      <c r="C10981" s="6">
        <v>2019</v>
      </c>
      <c r="D10981" s="7">
        <v>6945235</v>
      </c>
    </row>
    <row r="10982" spans="1:4" x14ac:dyDescent="0.3">
      <c r="A10982" s="2" t="s">
        <v>340</v>
      </c>
      <c r="B10982" s="2" t="s">
        <v>341</v>
      </c>
      <c r="C10982" s="3">
        <v>2020</v>
      </c>
      <c r="D10982" s="4">
        <v>6899126</v>
      </c>
    </row>
    <row r="10983" spans="1:4" x14ac:dyDescent="0.3">
      <c r="A10983" s="5" t="s">
        <v>340</v>
      </c>
      <c r="B10983" s="5" t="s">
        <v>341</v>
      </c>
      <c r="C10983" s="6">
        <v>2021</v>
      </c>
      <c r="D10983" s="7">
        <v>6834326</v>
      </c>
    </row>
    <row r="10984" spans="1:4" x14ac:dyDescent="0.3">
      <c r="A10984" s="2" t="s">
        <v>340</v>
      </c>
      <c r="B10984" s="2" t="s">
        <v>341</v>
      </c>
      <c r="C10984" s="3">
        <v>2022</v>
      </c>
      <c r="D10984" s="4">
        <v>6664449</v>
      </c>
    </row>
    <row r="10985" spans="1:4" x14ac:dyDescent="0.3">
      <c r="A10985" s="5" t="s">
        <v>340</v>
      </c>
      <c r="B10985" s="5" t="s">
        <v>341</v>
      </c>
      <c r="C10985" s="6">
        <v>2023</v>
      </c>
      <c r="D10985" s="7">
        <v>6623183</v>
      </c>
    </row>
    <row r="10986" spans="1:4" x14ac:dyDescent="0.3">
      <c r="A10986" s="2" t="s">
        <v>340</v>
      </c>
      <c r="B10986" s="2" t="s">
        <v>341</v>
      </c>
      <c r="C10986" s="3">
        <v>2024</v>
      </c>
      <c r="D10986" s="4">
        <v>6587202</v>
      </c>
    </row>
    <row r="10987" spans="1:4" x14ac:dyDescent="0.3">
      <c r="A10987" s="5" t="s">
        <v>342</v>
      </c>
      <c r="B10987" s="5" t="s">
        <v>343</v>
      </c>
      <c r="C10987" s="6">
        <v>1960</v>
      </c>
      <c r="D10987" s="7">
        <v>41700</v>
      </c>
    </row>
    <row r="10988" spans="1:4" x14ac:dyDescent="0.3">
      <c r="A10988" s="2" t="s">
        <v>342</v>
      </c>
      <c r="B10988" s="2" t="s">
        <v>343</v>
      </c>
      <c r="C10988" s="3">
        <v>1961</v>
      </c>
      <c r="D10988" s="4">
        <v>42889</v>
      </c>
    </row>
    <row r="10989" spans="1:4" x14ac:dyDescent="0.3">
      <c r="A10989" s="5" t="s">
        <v>342</v>
      </c>
      <c r="B10989" s="5" t="s">
        <v>343</v>
      </c>
      <c r="C10989" s="6">
        <v>1962</v>
      </c>
      <c r="D10989" s="7">
        <v>44042</v>
      </c>
    </row>
    <row r="10990" spans="1:4" x14ac:dyDescent="0.3">
      <c r="A10990" s="2" t="s">
        <v>342</v>
      </c>
      <c r="B10990" s="2" t="s">
        <v>343</v>
      </c>
      <c r="C10990" s="3">
        <v>1963</v>
      </c>
      <c r="D10990" s="4">
        <v>45176</v>
      </c>
    </row>
    <row r="10991" spans="1:4" x14ac:dyDescent="0.3">
      <c r="A10991" s="5" t="s">
        <v>342</v>
      </c>
      <c r="B10991" s="5" t="s">
        <v>343</v>
      </c>
      <c r="C10991" s="6">
        <v>1964</v>
      </c>
      <c r="D10991" s="7">
        <v>46322</v>
      </c>
    </row>
    <row r="10992" spans="1:4" x14ac:dyDescent="0.3">
      <c r="A10992" s="2" t="s">
        <v>342</v>
      </c>
      <c r="B10992" s="2" t="s">
        <v>343</v>
      </c>
      <c r="C10992" s="3">
        <v>1965</v>
      </c>
      <c r="D10992" s="4">
        <v>47500</v>
      </c>
    </row>
    <row r="10993" spans="1:4" x14ac:dyDescent="0.3">
      <c r="A10993" s="5" t="s">
        <v>342</v>
      </c>
      <c r="B10993" s="5" t="s">
        <v>343</v>
      </c>
      <c r="C10993" s="6">
        <v>1966</v>
      </c>
      <c r="D10993" s="7">
        <v>48699</v>
      </c>
    </row>
    <row r="10994" spans="1:4" x14ac:dyDescent="0.3">
      <c r="A10994" s="2" t="s">
        <v>342</v>
      </c>
      <c r="B10994" s="2" t="s">
        <v>343</v>
      </c>
      <c r="C10994" s="3">
        <v>1967</v>
      </c>
      <c r="D10994" s="4">
        <v>49911</v>
      </c>
    </row>
    <row r="10995" spans="1:4" x14ac:dyDescent="0.3">
      <c r="A10995" s="5" t="s">
        <v>342</v>
      </c>
      <c r="B10995" s="5" t="s">
        <v>343</v>
      </c>
      <c r="C10995" s="6">
        <v>1968</v>
      </c>
      <c r="D10995" s="7">
        <v>51134</v>
      </c>
    </row>
    <row r="10996" spans="1:4" x14ac:dyDescent="0.3">
      <c r="A10996" s="2" t="s">
        <v>342</v>
      </c>
      <c r="B10996" s="2" t="s">
        <v>343</v>
      </c>
      <c r="C10996" s="3">
        <v>1969</v>
      </c>
      <c r="D10996" s="4">
        <v>52365</v>
      </c>
    </row>
    <row r="10997" spans="1:4" x14ac:dyDescent="0.3">
      <c r="A10997" s="5" t="s">
        <v>342</v>
      </c>
      <c r="B10997" s="5" t="s">
        <v>343</v>
      </c>
      <c r="C10997" s="6">
        <v>1970</v>
      </c>
      <c r="D10997" s="7">
        <v>53600</v>
      </c>
    </row>
    <row r="10998" spans="1:4" x14ac:dyDescent="0.3">
      <c r="A10998" s="2" t="s">
        <v>342</v>
      </c>
      <c r="B10998" s="2" t="s">
        <v>343</v>
      </c>
      <c r="C10998" s="3">
        <v>1971</v>
      </c>
      <c r="D10998" s="4">
        <v>54695</v>
      </c>
    </row>
    <row r="10999" spans="1:4" x14ac:dyDescent="0.3">
      <c r="A10999" s="5" t="s">
        <v>342</v>
      </c>
      <c r="B10999" s="5" t="s">
        <v>343</v>
      </c>
      <c r="C10999" s="6">
        <v>1972</v>
      </c>
      <c r="D10999" s="7">
        <v>56029</v>
      </c>
    </row>
    <row r="11000" spans="1:4" x14ac:dyDescent="0.3">
      <c r="A11000" s="2" t="s">
        <v>342</v>
      </c>
      <c r="B11000" s="2" t="s">
        <v>343</v>
      </c>
      <c r="C11000" s="3">
        <v>1973</v>
      </c>
      <c r="D11000" s="4">
        <v>56892</v>
      </c>
    </row>
    <row r="11001" spans="1:4" x14ac:dyDescent="0.3">
      <c r="A11001" s="5" t="s">
        <v>342</v>
      </c>
      <c r="B11001" s="5" t="s">
        <v>343</v>
      </c>
      <c r="C11001" s="6">
        <v>1974</v>
      </c>
      <c r="D11001" s="7">
        <v>57937</v>
      </c>
    </row>
    <row r="11002" spans="1:4" x14ac:dyDescent="0.3">
      <c r="A11002" s="2" t="s">
        <v>342</v>
      </c>
      <c r="B11002" s="2" t="s">
        <v>343</v>
      </c>
      <c r="C11002" s="3">
        <v>1975</v>
      </c>
      <c r="D11002" s="4">
        <v>59292</v>
      </c>
    </row>
    <row r="11003" spans="1:4" x14ac:dyDescent="0.3">
      <c r="A11003" s="5" t="s">
        <v>342</v>
      </c>
      <c r="B11003" s="5" t="s">
        <v>343</v>
      </c>
      <c r="C11003" s="6">
        <v>1976</v>
      </c>
      <c r="D11003" s="7">
        <v>60504</v>
      </c>
    </row>
    <row r="11004" spans="1:4" x14ac:dyDescent="0.3">
      <c r="A11004" s="2" t="s">
        <v>342</v>
      </c>
      <c r="B11004" s="2" t="s">
        <v>343</v>
      </c>
      <c r="C11004" s="3">
        <v>1977</v>
      </c>
      <c r="D11004" s="4">
        <v>61786</v>
      </c>
    </row>
    <row r="11005" spans="1:4" x14ac:dyDescent="0.3">
      <c r="A11005" s="5" t="s">
        <v>342</v>
      </c>
      <c r="B11005" s="5" t="s">
        <v>343</v>
      </c>
      <c r="C11005" s="6">
        <v>1978</v>
      </c>
      <c r="D11005" s="7">
        <v>62150</v>
      </c>
    </row>
    <row r="11006" spans="1:4" x14ac:dyDescent="0.3">
      <c r="A11006" s="2" t="s">
        <v>342</v>
      </c>
      <c r="B11006" s="2" t="s">
        <v>343</v>
      </c>
      <c r="C11006" s="3">
        <v>1979</v>
      </c>
      <c r="D11006" s="4">
        <v>62686</v>
      </c>
    </row>
    <row r="11007" spans="1:4" x14ac:dyDescent="0.3">
      <c r="A11007" s="5" t="s">
        <v>342</v>
      </c>
      <c r="B11007" s="5" t="s">
        <v>343</v>
      </c>
      <c r="C11007" s="6">
        <v>1980</v>
      </c>
      <c r="D11007" s="7">
        <v>63261</v>
      </c>
    </row>
    <row r="11008" spans="1:4" x14ac:dyDescent="0.3">
      <c r="A11008" s="2" t="s">
        <v>342</v>
      </c>
      <c r="B11008" s="2" t="s">
        <v>343</v>
      </c>
      <c r="C11008" s="3">
        <v>1981</v>
      </c>
      <c r="D11008" s="4">
        <v>64035</v>
      </c>
    </row>
    <row r="11009" spans="1:4" x14ac:dyDescent="0.3">
      <c r="A11009" s="5" t="s">
        <v>342</v>
      </c>
      <c r="B11009" s="5" t="s">
        <v>343</v>
      </c>
      <c r="C11009" s="6">
        <v>1982</v>
      </c>
      <c r="D11009" s="7">
        <v>64413</v>
      </c>
    </row>
    <row r="11010" spans="1:4" x14ac:dyDescent="0.3">
      <c r="A11010" s="2" t="s">
        <v>342</v>
      </c>
      <c r="B11010" s="2" t="s">
        <v>343</v>
      </c>
      <c r="C11010" s="3">
        <v>1983</v>
      </c>
      <c r="D11010" s="4">
        <v>64335</v>
      </c>
    </row>
    <row r="11011" spans="1:4" x14ac:dyDescent="0.3">
      <c r="A11011" s="5" t="s">
        <v>342</v>
      </c>
      <c r="B11011" s="5" t="s">
        <v>343</v>
      </c>
      <c r="C11011" s="6">
        <v>1984</v>
      </c>
      <c r="D11011" s="7">
        <v>64717</v>
      </c>
    </row>
    <row r="11012" spans="1:4" x14ac:dyDescent="0.3">
      <c r="A11012" s="2" t="s">
        <v>342</v>
      </c>
      <c r="B11012" s="2" t="s">
        <v>343</v>
      </c>
      <c r="C11012" s="3">
        <v>1985</v>
      </c>
      <c r="D11012" s="4">
        <v>65244</v>
      </c>
    </row>
    <row r="11013" spans="1:4" x14ac:dyDescent="0.3">
      <c r="A11013" s="5" t="s">
        <v>342</v>
      </c>
      <c r="B11013" s="5" t="s">
        <v>343</v>
      </c>
      <c r="C11013" s="6">
        <v>1986</v>
      </c>
      <c r="D11013" s="7">
        <v>65652</v>
      </c>
    </row>
    <row r="11014" spans="1:4" x14ac:dyDescent="0.3">
      <c r="A11014" s="2" t="s">
        <v>342</v>
      </c>
      <c r="B11014" s="2" t="s">
        <v>343</v>
      </c>
      <c r="C11014" s="3">
        <v>1987</v>
      </c>
      <c r="D11014" s="4">
        <v>68499</v>
      </c>
    </row>
    <row r="11015" spans="1:4" x14ac:dyDescent="0.3">
      <c r="A11015" s="5" t="s">
        <v>342</v>
      </c>
      <c r="B11015" s="5" t="s">
        <v>343</v>
      </c>
      <c r="C11015" s="6">
        <v>1988</v>
      </c>
      <c r="D11015" s="7">
        <v>68755</v>
      </c>
    </row>
    <row r="11016" spans="1:4" x14ac:dyDescent="0.3">
      <c r="A11016" s="2" t="s">
        <v>342</v>
      </c>
      <c r="B11016" s="2" t="s">
        <v>343</v>
      </c>
      <c r="C11016" s="3">
        <v>1989</v>
      </c>
      <c r="D11016" s="4">
        <v>69167</v>
      </c>
    </row>
    <row r="11017" spans="1:4" x14ac:dyDescent="0.3">
      <c r="A11017" s="5" t="s">
        <v>342</v>
      </c>
      <c r="B11017" s="5" t="s">
        <v>343</v>
      </c>
      <c r="C11017" s="6">
        <v>1990</v>
      </c>
      <c r="D11017" s="7">
        <v>69507</v>
      </c>
    </row>
    <row r="11018" spans="1:4" x14ac:dyDescent="0.3">
      <c r="A11018" s="2" t="s">
        <v>342</v>
      </c>
      <c r="B11018" s="2" t="s">
        <v>343</v>
      </c>
      <c r="C11018" s="3">
        <v>1991</v>
      </c>
      <c r="D11018" s="4">
        <v>70439</v>
      </c>
    </row>
    <row r="11019" spans="1:4" x14ac:dyDescent="0.3">
      <c r="A11019" s="5" t="s">
        <v>342</v>
      </c>
      <c r="B11019" s="5" t="s">
        <v>343</v>
      </c>
      <c r="C11019" s="6">
        <v>1992</v>
      </c>
      <c r="D11019" s="7">
        <v>70763</v>
      </c>
    </row>
    <row r="11020" spans="1:4" x14ac:dyDescent="0.3">
      <c r="A11020" s="2" t="s">
        <v>342</v>
      </c>
      <c r="B11020" s="2" t="s">
        <v>343</v>
      </c>
      <c r="C11020" s="3">
        <v>1993</v>
      </c>
      <c r="D11020" s="4">
        <v>72253</v>
      </c>
    </row>
    <row r="11021" spans="1:4" x14ac:dyDescent="0.3">
      <c r="A11021" s="5" t="s">
        <v>342</v>
      </c>
      <c r="B11021" s="5" t="s">
        <v>343</v>
      </c>
      <c r="C11021" s="6">
        <v>1994</v>
      </c>
      <c r="D11021" s="7">
        <v>74205</v>
      </c>
    </row>
    <row r="11022" spans="1:4" x14ac:dyDescent="0.3">
      <c r="A11022" s="2" t="s">
        <v>342</v>
      </c>
      <c r="B11022" s="2" t="s">
        <v>343</v>
      </c>
      <c r="C11022" s="3">
        <v>1995</v>
      </c>
      <c r="D11022" s="4">
        <v>75304</v>
      </c>
    </row>
    <row r="11023" spans="1:4" x14ac:dyDescent="0.3">
      <c r="A11023" s="5" t="s">
        <v>342</v>
      </c>
      <c r="B11023" s="5" t="s">
        <v>343</v>
      </c>
      <c r="C11023" s="6">
        <v>1996</v>
      </c>
      <c r="D11023" s="7">
        <v>76417</v>
      </c>
    </row>
    <row r="11024" spans="1:4" x14ac:dyDescent="0.3">
      <c r="A11024" s="2" t="s">
        <v>342</v>
      </c>
      <c r="B11024" s="2" t="s">
        <v>343</v>
      </c>
      <c r="C11024" s="3">
        <v>1997</v>
      </c>
      <c r="D11024" s="4">
        <v>77319</v>
      </c>
    </row>
    <row r="11025" spans="1:4" x14ac:dyDescent="0.3">
      <c r="A11025" s="5" t="s">
        <v>342</v>
      </c>
      <c r="B11025" s="5" t="s">
        <v>343</v>
      </c>
      <c r="C11025" s="6">
        <v>1998</v>
      </c>
      <c r="D11025" s="7">
        <v>78846</v>
      </c>
    </row>
    <row r="11026" spans="1:4" x14ac:dyDescent="0.3">
      <c r="A11026" s="2" t="s">
        <v>342</v>
      </c>
      <c r="B11026" s="2" t="s">
        <v>343</v>
      </c>
      <c r="C11026" s="3">
        <v>1999</v>
      </c>
      <c r="D11026" s="4">
        <v>80410</v>
      </c>
    </row>
    <row r="11027" spans="1:4" x14ac:dyDescent="0.3">
      <c r="A11027" s="5" t="s">
        <v>342</v>
      </c>
      <c r="B11027" s="5" t="s">
        <v>343</v>
      </c>
      <c r="C11027" s="6">
        <v>2000</v>
      </c>
      <c r="D11027" s="7">
        <v>81131</v>
      </c>
    </row>
    <row r="11028" spans="1:4" x14ac:dyDescent="0.3">
      <c r="A11028" s="2" t="s">
        <v>342</v>
      </c>
      <c r="B11028" s="2" t="s">
        <v>343</v>
      </c>
      <c r="C11028" s="3">
        <v>2001</v>
      </c>
      <c r="D11028" s="4">
        <v>81202</v>
      </c>
    </row>
    <row r="11029" spans="1:4" x14ac:dyDescent="0.3">
      <c r="A11029" s="5" t="s">
        <v>342</v>
      </c>
      <c r="B11029" s="5" t="s">
        <v>343</v>
      </c>
      <c r="C11029" s="6">
        <v>2002</v>
      </c>
      <c r="D11029" s="7">
        <v>83723</v>
      </c>
    </row>
    <row r="11030" spans="1:4" x14ac:dyDescent="0.3">
      <c r="A11030" s="2" t="s">
        <v>342</v>
      </c>
      <c r="B11030" s="2" t="s">
        <v>343</v>
      </c>
      <c r="C11030" s="3">
        <v>2003</v>
      </c>
      <c r="D11030" s="4">
        <v>82781</v>
      </c>
    </row>
    <row r="11031" spans="1:4" x14ac:dyDescent="0.3">
      <c r="A11031" s="5" t="s">
        <v>342</v>
      </c>
      <c r="B11031" s="5" t="s">
        <v>343</v>
      </c>
      <c r="C11031" s="6">
        <v>2004</v>
      </c>
      <c r="D11031" s="7">
        <v>82475</v>
      </c>
    </row>
    <row r="11032" spans="1:4" x14ac:dyDescent="0.3">
      <c r="A11032" s="2" t="s">
        <v>342</v>
      </c>
      <c r="B11032" s="2" t="s">
        <v>343</v>
      </c>
      <c r="C11032" s="3">
        <v>2005</v>
      </c>
      <c r="D11032" s="4">
        <v>82858</v>
      </c>
    </row>
    <row r="11033" spans="1:4" x14ac:dyDescent="0.3">
      <c r="A11033" s="5" t="s">
        <v>342</v>
      </c>
      <c r="B11033" s="5" t="s">
        <v>343</v>
      </c>
      <c r="C11033" s="6">
        <v>2006</v>
      </c>
      <c r="D11033" s="7">
        <v>84600</v>
      </c>
    </row>
    <row r="11034" spans="1:4" x14ac:dyDescent="0.3">
      <c r="A11034" s="2" t="s">
        <v>342</v>
      </c>
      <c r="B11034" s="2" t="s">
        <v>343</v>
      </c>
      <c r="C11034" s="3">
        <v>2007</v>
      </c>
      <c r="D11034" s="4">
        <v>85033</v>
      </c>
    </row>
    <row r="11035" spans="1:4" x14ac:dyDescent="0.3">
      <c r="A11035" s="5" t="s">
        <v>342</v>
      </c>
      <c r="B11035" s="5" t="s">
        <v>343</v>
      </c>
      <c r="C11035" s="6">
        <v>2008</v>
      </c>
      <c r="D11035" s="7">
        <v>86956</v>
      </c>
    </row>
    <row r="11036" spans="1:4" x14ac:dyDescent="0.3">
      <c r="A11036" s="2" t="s">
        <v>342</v>
      </c>
      <c r="B11036" s="2" t="s">
        <v>343</v>
      </c>
      <c r="C11036" s="3">
        <v>2009</v>
      </c>
      <c r="D11036" s="4">
        <v>87298</v>
      </c>
    </row>
    <row r="11037" spans="1:4" x14ac:dyDescent="0.3">
      <c r="A11037" s="5" t="s">
        <v>342</v>
      </c>
      <c r="B11037" s="5" t="s">
        <v>343</v>
      </c>
      <c r="C11037" s="6">
        <v>2010</v>
      </c>
      <c r="D11037" s="7">
        <v>89770</v>
      </c>
    </row>
    <row r="11038" spans="1:4" x14ac:dyDescent="0.3">
      <c r="A11038" s="2" t="s">
        <v>342</v>
      </c>
      <c r="B11038" s="2" t="s">
        <v>343</v>
      </c>
      <c r="C11038" s="3">
        <v>2011</v>
      </c>
      <c r="D11038" s="4">
        <v>87441</v>
      </c>
    </row>
    <row r="11039" spans="1:4" x14ac:dyDescent="0.3">
      <c r="A11039" s="5" t="s">
        <v>342</v>
      </c>
      <c r="B11039" s="5" t="s">
        <v>343</v>
      </c>
      <c r="C11039" s="6">
        <v>2012</v>
      </c>
      <c r="D11039" s="7">
        <v>88303</v>
      </c>
    </row>
    <row r="11040" spans="1:4" x14ac:dyDescent="0.3">
      <c r="A11040" s="2" t="s">
        <v>342</v>
      </c>
      <c r="B11040" s="2" t="s">
        <v>343</v>
      </c>
      <c r="C11040" s="3">
        <v>2013</v>
      </c>
      <c r="D11040" s="4">
        <v>89949</v>
      </c>
    </row>
    <row r="11041" spans="1:4" x14ac:dyDescent="0.3">
      <c r="A11041" s="5" t="s">
        <v>342</v>
      </c>
      <c r="B11041" s="5" t="s">
        <v>343</v>
      </c>
      <c r="C11041" s="6">
        <v>2014</v>
      </c>
      <c r="D11041" s="7">
        <v>91359</v>
      </c>
    </row>
    <row r="11042" spans="1:4" x14ac:dyDescent="0.3">
      <c r="A11042" s="2" t="s">
        <v>342</v>
      </c>
      <c r="B11042" s="2" t="s">
        <v>343</v>
      </c>
      <c r="C11042" s="3">
        <v>2015</v>
      </c>
      <c r="D11042" s="4">
        <v>93419</v>
      </c>
    </row>
    <row r="11043" spans="1:4" x14ac:dyDescent="0.3">
      <c r="A11043" s="5" t="s">
        <v>342</v>
      </c>
      <c r="B11043" s="5" t="s">
        <v>343</v>
      </c>
      <c r="C11043" s="6">
        <v>2016</v>
      </c>
      <c r="D11043" s="7">
        <v>94677</v>
      </c>
    </row>
    <row r="11044" spans="1:4" x14ac:dyDescent="0.3">
      <c r="A11044" s="2" t="s">
        <v>342</v>
      </c>
      <c r="B11044" s="2" t="s">
        <v>343</v>
      </c>
      <c r="C11044" s="3">
        <v>2017</v>
      </c>
      <c r="D11044" s="4">
        <v>95843</v>
      </c>
    </row>
    <row r="11045" spans="1:4" x14ac:dyDescent="0.3">
      <c r="A11045" s="5" t="s">
        <v>342</v>
      </c>
      <c r="B11045" s="5" t="s">
        <v>343</v>
      </c>
      <c r="C11045" s="6">
        <v>2018</v>
      </c>
      <c r="D11045" s="7">
        <v>96762</v>
      </c>
    </row>
    <row r="11046" spans="1:4" x14ac:dyDescent="0.3">
      <c r="A11046" s="2" t="s">
        <v>342</v>
      </c>
      <c r="B11046" s="2" t="s">
        <v>343</v>
      </c>
      <c r="C11046" s="3">
        <v>2019</v>
      </c>
      <c r="D11046" s="4">
        <v>97625</v>
      </c>
    </row>
    <row r="11047" spans="1:4" x14ac:dyDescent="0.3">
      <c r="A11047" s="5" t="s">
        <v>342</v>
      </c>
      <c r="B11047" s="5" t="s">
        <v>343</v>
      </c>
      <c r="C11047" s="6">
        <v>2020</v>
      </c>
      <c r="D11047" s="7">
        <v>98462</v>
      </c>
    </row>
    <row r="11048" spans="1:4" x14ac:dyDescent="0.3">
      <c r="A11048" s="2" t="s">
        <v>342</v>
      </c>
      <c r="B11048" s="2" t="s">
        <v>343</v>
      </c>
      <c r="C11048" s="3">
        <v>2021</v>
      </c>
      <c r="D11048" s="4">
        <v>99258</v>
      </c>
    </row>
    <row r="11049" spans="1:4" x14ac:dyDescent="0.3">
      <c r="A11049" s="5" t="s">
        <v>342</v>
      </c>
      <c r="B11049" s="5" t="s">
        <v>343</v>
      </c>
      <c r="C11049" s="6">
        <v>2022</v>
      </c>
      <c r="D11049" s="7">
        <v>119878</v>
      </c>
    </row>
    <row r="11050" spans="1:4" x14ac:dyDescent="0.3">
      <c r="A11050" s="2" t="s">
        <v>342</v>
      </c>
      <c r="B11050" s="2" t="s">
        <v>343</v>
      </c>
      <c r="C11050" s="3">
        <v>2023</v>
      </c>
      <c r="D11050" s="4">
        <v>119773</v>
      </c>
    </row>
    <row r="11051" spans="1:4" x14ac:dyDescent="0.3">
      <c r="A11051" s="5" t="s">
        <v>342</v>
      </c>
      <c r="B11051" s="5" t="s">
        <v>343</v>
      </c>
      <c r="C11051" s="6">
        <v>2024</v>
      </c>
      <c r="D11051" s="7">
        <v>121354</v>
      </c>
    </row>
    <row r="11052" spans="1:4" x14ac:dyDescent="0.3">
      <c r="A11052" s="2" t="s">
        <v>344</v>
      </c>
      <c r="B11052" s="2" t="s">
        <v>345</v>
      </c>
      <c r="C11052" s="3">
        <v>1960</v>
      </c>
      <c r="D11052" s="4">
        <v>2268356</v>
      </c>
    </row>
    <row r="11053" spans="1:4" x14ac:dyDescent="0.3">
      <c r="A11053" s="5" t="s">
        <v>344</v>
      </c>
      <c r="B11053" s="5" t="s">
        <v>345</v>
      </c>
      <c r="C11053" s="6">
        <v>1961</v>
      </c>
      <c r="D11053" s="7">
        <v>2304227</v>
      </c>
    </row>
    <row r="11054" spans="1:4" x14ac:dyDescent="0.3">
      <c r="A11054" s="2" t="s">
        <v>344</v>
      </c>
      <c r="B11054" s="2" t="s">
        <v>345</v>
      </c>
      <c r="C11054" s="3">
        <v>1962</v>
      </c>
      <c r="D11054" s="4">
        <v>2342242</v>
      </c>
    </row>
    <row r="11055" spans="1:4" x14ac:dyDescent="0.3">
      <c r="A11055" s="5" t="s">
        <v>344</v>
      </c>
      <c r="B11055" s="5" t="s">
        <v>345</v>
      </c>
      <c r="C11055" s="6">
        <v>1963</v>
      </c>
      <c r="D11055" s="7">
        <v>2382258</v>
      </c>
    </row>
    <row r="11056" spans="1:4" x14ac:dyDescent="0.3">
      <c r="A11056" s="2" t="s">
        <v>344</v>
      </c>
      <c r="B11056" s="2" t="s">
        <v>345</v>
      </c>
      <c r="C11056" s="3">
        <v>1964</v>
      </c>
      <c r="D11056" s="4">
        <v>2424390</v>
      </c>
    </row>
    <row r="11057" spans="1:4" x14ac:dyDescent="0.3">
      <c r="A11057" s="5" t="s">
        <v>344</v>
      </c>
      <c r="B11057" s="5" t="s">
        <v>345</v>
      </c>
      <c r="C11057" s="6">
        <v>1965</v>
      </c>
      <c r="D11057" s="7">
        <v>2468666</v>
      </c>
    </row>
    <row r="11058" spans="1:4" x14ac:dyDescent="0.3">
      <c r="A11058" s="2" t="s">
        <v>344</v>
      </c>
      <c r="B11058" s="2" t="s">
        <v>345</v>
      </c>
      <c r="C11058" s="3">
        <v>1966</v>
      </c>
      <c r="D11058" s="4">
        <v>2514638</v>
      </c>
    </row>
    <row r="11059" spans="1:4" x14ac:dyDescent="0.3">
      <c r="A11059" s="5" t="s">
        <v>344</v>
      </c>
      <c r="B11059" s="5" t="s">
        <v>345</v>
      </c>
      <c r="C11059" s="6">
        <v>1967</v>
      </c>
      <c r="D11059" s="7">
        <v>2562384</v>
      </c>
    </row>
    <row r="11060" spans="1:4" x14ac:dyDescent="0.3">
      <c r="A11060" s="2" t="s">
        <v>344</v>
      </c>
      <c r="B11060" s="2" t="s">
        <v>345</v>
      </c>
      <c r="C11060" s="3">
        <v>1968</v>
      </c>
      <c r="D11060" s="4">
        <v>2611532</v>
      </c>
    </row>
    <row r="11061" spans="1:4" x14ac:dyDescent="0.3">
      <c r="A11061" s="5" t="s">
        <v>344</v>
      </c>
      <c r="B11061" s="5" t="s">
        <v>345</v>
      </c>
      <c r="C11061" s="6">
        <v>1969</v>
      </c>
      <c r="D11061" s="7">
        <v>2661365</v>
      </c>
    </row>
    <row r="11062" spans="1:4" x14ac:dyDescent="0.3">
      <c r="A11062" s="2" t="s">
        <v>344</v>
      </c>
      <c r="B11062" s="2" t="s">
        <v>345</v>
      </c>
      <c r="C11062" s="3">
        <v>1970</v>
      </c>
      <c r="D11062" s="4">
        <v>2712286</v>
      </c>
    </row>
    <row r="11063" spans="1:4" x14ac:dyDescent="0.3">
      <c r="A11063" s="5" t="s">
        <v>344</v>
      </c>
      <c r="B11063" s="5" t="s">
        <v>345</v>
      </c>
      <c r="C11063" s="6">
        <v>1971</v>
      </c>
      <c r="D11063" s="7">
        <v>2763222</v>
      </c>
    </row>
    <row r="11064" spans="1:4" x14ac:dyDescent="0.3">
      <c r="A11064" s="2" t="s">
        <v>344</v>
      </c>
      <c r="B11064" s="2" t="s">
        <v>345</v>
      </c>
      <c r="C11064" s="3">
        <v>1972</v>
      </c>
      <c r="D11064" s="4">
        <v>2814388</v>
      </c>
    </row>
    <row r="11065" spans="1:4" x14ac:dyDescent="0.3">
      <c r="A11065" s="5" t="s">
        <v>344</v>
      </c>
      <c r="B11065" s="5" t="s">
        <v>345</v>
      </c>
      <c r="C11065" s="6">
        <v>1973</v>
      </c>
      <c r="D11065" s="7">
        <v>2866955</v>
      </c>
    </row>
    <row r="11066" spans="1:4" x14ac:dyDescent="0.3">
      <c r="A11066" s="2" t="s">
        <v>344</v>
      </c>
      <c r="B11066" s="2" t="s">
        <v>345</v>
      </c>
      <c r="C11066" s="3">
        <v>1974</v>
      </c>
      <c r="D11066" s="4">
        <v>2920459</v>
      </c>
    </row>
    <row r="11067" spans="1:4" x14ac:dyDescent="0.3">
      <c r="A11067" s="5" t="s">
        <v>344</v>
      </c>
      <c r="B11067" s="5" t="s">
        <v>345</v>
      </c>
      <c r="C11067" s="6">
        <v>1975</v>
      </c>
      <c r="D11067" s="7">
        <v>2974657</v>
      </c>
    </row>
    <row r="11068" spans="1:4" x14ac:dyDescent="0.3">
      <c r="A11068" s="2" t="s">
        <v>344</v>
      </c>
      <c r="B11068" s="2" t="s">
        <v>345</v>
      </c>
      <c r="C11068" s="3">
        <v>1976</v>
      </c>
      <c r="D11068" s="4">
        <v>3028820</v>
      </c>
    </row>
    <row r="11069" spans="1:4" x14ac:dyDescent="0.3">
      <c r="A11069" s="5" t="s">
        <v>344</v>
      </c>
      <c r="B11069" s="5" t="s">
        <v>345</v>
      </c>
      <c r="C11069" s="6">
        <v>1977</v>
      </c>
      <c r="D11069" s="7">
        <v>3085354</v>
      </c>
    </row>
    <row r="11070" spans="1:4" x14ac:dyDescent="0.3">
      <c r="A11070" s="2" t="s">
        <v>344</v>
      </c>
      <c r="B11070" s="2" t="s">
        <v>345</v>
      </c>
      <c r="C11070" s="3">
        <v>1978</v>
      </c>
      <c r="D11070" s="4">
        <v>3145517</v>
      </c>
    </row>
    <row r="11071" spans="1:4" x14ac:dyDescent="0.3">
      <c r="A11071" s="5" t="s">
        <v>344</v>
      </c>
      <c r="B11071" s="5" t="s">
        <v>345</v>
      </c>
      <c r="C11071" s="6">
        <v>1979</v>
      </c>
      <c r="D11071" s="7">
        <v>3207499</v>
      </c>
    </row>
    <row r="11072" spans="1:4" x14ac:dyDescent="0.3">
      <c r="A11072" s="2" t="s">
        <v>344</v>
      </c>
      <c r="B11072" s="2" t="s">
        <v>345</v>
      </c>
      <c r="C11072" s="3">
        <v>1980</v>
      </c>
      <c r="D11072" s="4">
        <v>3272089</v>
      </c>
    </row>
    <row r="11073" spans="1:4" x14ac:dyDescent="0.3">
      <c r="A11073" s="5" t="s">
        <v>344</v>
      </c>
      <c r="B11073" s="5" t="s">
        <v>345</v>
      </c>
      <c r="C11073" s="6">
        <v>1981</v>
      </c>
      <c r="D11073" s="7">
        <v>3338940</v>
      </c>
    </row>
    <row r="11074" spans="1:4" x14ac:dyDescent="0.3">
      <c r="A11074" s="2" t="s">
        <v>344</v>
      </c>
      <c r="B11074" s="2" t="s">
        <v>345</v>
      </c>
      <c r="C11074" s="3">
        <v>1982</v>
      </c>
      <c r="D11074" s="4">
        <v>3408183</v>
      </c>
    </row>
    <row r="11075" spans="1:4" x14ac:dyDescent="0.3">
      <c r="A11075" s="5" t="s">
        <v>344</v>
      </c>
      <c r="B11075" s="5" t="s">
        <v>345</v>
      </c>
      <c r="C11075" s="6">
        <v>1983</v>
      </c>
      <c r="D11075" s="7">
        <v>3481646</v>
      </c>
    </row>
    <row r="11076" spans="1:4" x14ac:dyDescent="0.3">
      <c r="A11076" s="2" t="s">
        <v>344</v>
      </c>
      <c r="B11076" s="2" t="s">
        <v>345</v>
      </c>
      <c r="C11076" s="3">
        <v>1984</v>
      </c>
      <c r="D11076" s="4">
        <v>3558758</v>
      </c>
    </row>
    <row r="11077" spans="1:4" x14ac:dyDescent="0.3">
      <c r="A11077" s="5" t="s">
        <v>344</v>
      </c>
      <c r="B11077" s="5" t="s">
        <v>345</v>
      </c>
      <c r="C11077" s="6">
        <v>1985</v>
      </c>
      <c r="D11077" s="7">
        <v>3638438</v>
      </c>
    </row>
    <row r="11078" spans="1:4" x14ac:dyDescent="0.3">
      <c r="A11078" s="2" t="s">
        <v>344</v>
      </c>
      <c r="B11078" s="2" t="s">
        <v>345</v>
      </c>
      <c r="C11078" s="3">
        <v>1986</v>
      </c>
      <c r="D11078" s="4">
        <v>3728380</v>
      </c>
    </row>
    <row r="11079" spans="1:4" x14ac:dyDescent="0.3">
      <c r="A11079" s="5" t="s">
        <v>344</v>
      </c>
      <c r="B11079" s="5" t="s">
        <v>345</v>
      </c>
      <c r="C11079" s="6">
        <v>1987</v>
      </c>
      <c r="D11079" s="7">
        <v>3829718</v>
      </c>
    </row>
    <row r="11080" spans="1:4" x14ac:dyDescent="0.3">
      <c r="A11080" s="2" t="s">
        <v>344</v>
      </c>
      <c r="B11080" s="2" t="s">
        <v>345</v>
      </c>
      <c r="C11080" s="3">
        <v>1988</v>
      </c>
      <c r="D11080" s="4">
        <v>3934517</v>
      </c>
    </row>
    <row r="11081" spans="1:4" x14ac:dyDescent="0.3">
      <c r="A11081" s="5" t="s">
        <v>344</v>
      </c>
      <c r="B11081" s="5" t="s">
        <v>345</v>
      </c>
      <c r="C11081" s="6">
        <v>1989</v>
      </c>
      <c r="D11081" s="7">
        <v>4034037</v>
      </c>
    </row>
    <row r="11082" spans="1:4" x14ac:dyDescent="0.3">
      <c r="A11082" s="2" t="s">
        <v>344</v>
      </c>
      <c r="B11082" s="2" t="s">
        <v>345</v>
      </c>
      <c r="C11082" s="3">
        <v>1990</v>
      </c>
      <c r="D11082" s="4">
        <v>4196828</v>
      </c>
    </row>
    <row r="11083" spans="1:4" x14ac:dyDescent="0.3">
      <c r="A11083" s="5" t="s">
        <v>344</v>
      </c>
      <c r="B11083" s="5" t="s">
        <v>345</v>
      </c>
      <c r="C11083" s="6">
        <v>1991</v>
      </c>
      <c r="D11083" s="7">
        <v>4246267</v>
      </c>
    </row>
    <row r="11084" spans="1:4" x14ac:dyDescent="0.3">
      <c r="A11084" s="2" t="s">
        <v>344</v>
      </c>
      <c r="B11084" s="2" t="s">
        <v>345</v>
      </c>
      <c r="C11084" s="3">
        <v>1992</v>
      </c>
      <c r="D11084" s="4">
        <v>4166366</v>
      </c>
    </row>
    <row r="11085" spans="1:4" x14ac:dyDescent="0.3">
      <c r="A11085" s="5" t="s">
        <v>344</v>
      </c>
      <c r="B11085" s="5" t="s">
        <v>345</v>
      </c>
      <c r="C11085" s="6">
        <v>1993</v>
      </c>
      <c r="D11085" s="7">
        <v>4157130</v>
      </c>
    </row>
    <row r="11086" spans="1:4" x14ac:dyDescent="0.3">
      <c r="A11086" s="2" t="s">
        <v>344</v>
      </c>
      <c r="B11086" s="2" t="s">
        <v>345</v>
      </c>
      <c r="C11086" s="3">
        <v>1994</v>
      </c>
      <c r="D11086" s="4">
        <v>4173105</v>
      </c>
    </row>
    <row r="11087" spans="1:4" x14ac:dyDescent="0.3">
      <c r="A11087" s="5" t="s">
        <v>344</v>
      </c>
      <c r="B11087" s="5" t="s">
        <v>345</v>
      </c>
      <c r="C11087" s="6">
        <v>1995</v>
      </c>
      <c r="D11087" s="7">
        <v>4179179</v>
      </c>
    </row>
    <row r="11088" spans="1:4" x14ac:dyDescent="0.3">
      <c r="A11088" s="2" t="s">
        <v>344</v>
      </c>
      <c r="B11088" s="2" t="s">
        <v>345</v>
      </c>
      <c r="C11088" s="3">
        <v>1996</v>
      </c>
      <c r="D11088" s="4">
        <v>4199210</v>
      </c>
    </row>
    <row r="11089" spans="1:4" x14ac:dyDescent="0.3">
      <c r="A11089" s="5" t="s">
        <v>344</v>
      </c>
      <c r="B11089" s="5" t="s">
        <v>345</v>
      </c>
      <c r="C11089" s="6">
        <v>1997</v>
      </c>
      <c r="D11089" s="7">
        <v>4253716</v>
      </c>
    </row>
    <row r="11090" spans="1:4" x14ac:dyDescent="0.3">
      <c r="A11090" s="2" t="s">
        <v>344</v>
      </c>
      <c r="B11090" s="2" t="s">
        <v>345</v>
      </c>
      <c r="C11090" s="3">
        <v>1998</v>
      </c>
      <c r="D11090" s="4">
        <v>4295785</v>
      </c>
    </row>
    <row r="11091" spans="1:4" x14ac:dyDescent="0.3">
      <c r="A11091" s="5" t="s">
        <v>344</v>
      </c>
      <c r="B11091" s="5" t="s">
        <v>345</v>
      </c>
      <c r="C11091" s="6">
        <v>1999</v>
      </c>
      <c r="D11091" s="7">
        <v>4318043</v>
      </c>
    </row>
    <row r="11092" spans="1:4" x14ac:dyDescent="0.3">
      <c r="A11092" s="2" t="s">
        <v>344</v>
      </c>
      <c r="B11092" s="2" t="s">
        <v>345</v>
      </c>
      <c r="C11092" s="3">
        <v>2000</v>
      </c>
      <c r="D11092" s="4">
        <v>4423611</v>
      </c>
    </row>
    <row r="11093" spans="1:4" x14ac:dyDescent="0.3">
      <c r="A11093" s="5" t="s">
        <v>344</v>
      </c>
      <c r="B11093" s="5" t="s">
        <v>345</v>
      </c>
      <c r="C11093" s="6">
        <v>2001</v>
      </c>
      <c r="D11093" s="7">
        <v>4692716</v>
      </c>
    </row>
    <row r="11094" spans="1:4" x14ac:dyDescent="0.3">
      <c r="A11094" s="2" t="s">
        <v>344</v>
      </c>
      <c r="B11094" s="2" t="s">
        <v>345</v>
      </c>
      <c r="C11094" s="3">
        <v>2002</v>
      </c>
      <c r="D11094" s="4">
        <v>4971435</v>
      </c>
    </row>
    <row r="11095" spans="1:4" x14ac:dyDescent="0.3">
      <c r="A11095" s="5" t="s">
        <v>344</v>
      </c>
      <c r="B11095" s="5" t="s">
        <v>345</v>
      </c>
      <c r="C11095" s="6">
        <v>2003</v>
      </c>
      <c r="D11095" s="7">
        <v>5177687</v>
      </c>
    </row>
    <row r="11096" spans="1:4" x14ac:dyDescent="0.3">
      <c r="A11096" s="2" t="s">
        <v>344</v>
      </c>
      <c r="B11096" s="2" t="s">
        <v>345</v>
      </c>
      <c r="C11096" s="3">
        <v>2004</v>
      </c>
      <c r="D11096" s="4">
        <v>5355717</v>
      </c>
    </row>
    <row r="11097" spans="1:4" x14ac:dyDescent="0.3">
      <c r="A11097" s="5" t="s">
        <v>344</v>
      </c>
      <c r="B11097" s="5" t="s">
        <v>345</v>
      </c>
      <c r="C11097" s="6">
        <v>2005</v>
      </c>
      <c r="D11097" s="7">
        <v>5501712</v>
      </c>
    </row>
    <row r="11098" spans="1:4" x14ac:dyDescent="0.3">
      <c r="A11098" s="2" t="s">
        <v>344</v>
      </c>
      <c r="B11098" s="2" t="s">
        <v>345</v>
      </c>
      <c r="C11098" s="3">
        <v>2006</v>
      </c>
      <c r="D11098" s="4">
        <v>5624466</v>
      </c>
    </row>
    <row r="11099" spans="1:4" x14ac:dyDescent="0.3">
      <c r="A11099" s="5" t="s">
        <v>344</v>
      </c>
      <c r="B11099" s="5" t="s">
        <v>345</v>
      </c>
      <c r="C11099" s="6">
        <v>2007</v>
      </c>
      <c r="D11099" s="7">
        <v>5749352</v>
      </c>
    </row>
    <row r="11100" spans="1:4" x14ac:dyDescent="0.3">
      <c r="A11100" s="2" t="s">
        <v>344</v>
      </c>
      <c r="B11100" s="2" t="s">
        <v>345</v>
      </c>
      <c r="C11100" s="3">
        <v>2008</v>
      </c>
      <c r="D11100" s="4">
        <v>5894722</v>
      </c>
    </row>
    <row r="11101" spans="1:4" x14ac:dyDescent="0.3">
      <c r="A11101" s="5" t="s">
        <v>344</v>
      </c>
      <c r="B11101" s="5" t="s">
        <v>345</v>
      </c>
      <c r="C11101" s="6">
        <v>2009</v>
      </c>
      <c r="D11101" s="7">
        <v>6055646</v>
      </c>
    </row>
    <row r="11102" spans="1:4" x14ac:dyDescent="0.3">
      <c r="A11102" s="2" t="s">
        <v>344</v>
      </c>
      <c r="B11102" s="2" t="s">
        <v>345</v>
      </c>
      <c r="C11102" s="3">
        <v>2010</v>
      </c>
      <c r="D11102" s="4">
        <v>6222714</v>
      </c>
    </row>
    <row r="11103" spans="1:4" x14ac:dyDescent="0.3">
      <c r="A11103" s="5" t="s">
        <v>344</v>
      </c>
      <c r="B11103" s="5" t="s">
        <v>345</v>
      </c>
      <c r="C11103" s="6">
        <v>2011</v>
      </c>
      <c r="D11103" s="7">
        <v>6387251</v>
      </c>
    </row>
    <row r="11104" spans="1:4" x14ac:dyDescent="0.3">
      <c r="A11104" s="2" t="s">
        <v>344</v>
      </c>
      <c r="B11104" s="2" t="s">
        <v>345</v>
      </c>
      <c r="C11104" s="3">
        <v>2012</v>
      </c>
      <c r="D11104" s="4">
        <v>6551080</v>
      </c>
    </row>
    <row r="11105" spans="1:4" x14ac:dyDescent="0.3">
      <c r="A11105" s="5" t="s">
        <v>344</v>
      </c>
      <c r="B11105" s="5" t="s">
        <v>345</v>
      </c>
      <c r="C11105" s="6">
        <v>2013</v>
      </c>
      <c r="D11105" s="7">
        <v>6714051</v>
      </c>
    </row>
    <row r="11106" spans="1:4" x14ac:dyDescent="0.3">
      <c r="A11106" s="2" t="s">
        <v>344</v>
      </c>
      <c r="B11106" s="2" t="s">
        <v>345</v>
      </c>
      <c r="C11106" s="3">
        <v>2014</v>
      </c>
      <c r="D11106" s="4">
        <v>6876385</v>
      </c>
    </row>
    <row r="11107" spans="1:4" x14ac:dyDescent="0.3">
      <c r="A11107" s="5" t="s">
        <v>344</v>
      </c>
      <c r="B11107" s="5" t="s">
        <v>345</v>
      </c>
      <c r="C11107" s="6">
        <v>2015</v>
      </c>
      <c r="D11107" s="7">
        <v>7037655</v>
      </c>
    </row>
    <row r="11108" spans="1:4" x14ac:dyDescent="0.3">
      <c r="A11108" s="2" t="s">
        <v>344</v>
      </c>
      <c r="B11108" s="2" t="s">
        <v>345</v>
      </c>
      <c r="C11108" s="3">
        <v>2016</v>
      </c>
      <c r="D11108" s="4">
        <v>7205328</v>
      </c>
    </row>
    <row r="11109" spans="1:4" x14ac:dyDescent="0.3">
      <c r="A11109" s="5" t="s">
        <v>344</v>
      </c>
      <c r="B11109" s="5" t="s">
        <v>345</v>
      </c>
      <c r="C11109" s="6">
        <v>2017</v>
      </c>
      <c r="D11109" s="7">
        <v>7379299</v>
      </c>
    </row>
    <row r="11110" spans="1:4" x14ac:dyDescent="0.3">
      <c r="A11110" s="2" t="s">
        <v>344</v>
      </c>
      <c r="B11110" s="2" t="s">
        <v>345</v>
      </c>
      <c r="C11110" s="3">
        <v>2018</v>
      </c>
      <c r="D11110" s="4">
        <v>7554563</v>
      </c>
    </row>
    <row r="11111" spans="1:4" x14ac:dyDescent="0.3">
      <c r="A11111" s="5" t="s">
        <v>344</v>
      </c>
      <c r="B11111" s="5" t="s">
        <v>345</v>
      </c>
      <c r="C11111" s="6">
        <v>2019</v>
      </c>
      <c r="D11111" s="7">
        <v>7731991</v>
      </c>
    </row>
    <row r="11112" spans="1:4" x14ac:dyDescent="0.3">
      <c r="A11112" s="2" t="s">
        <v>344</v>
      </c>
      <c r="B11112" s="2" t="s">
        <v>345</v>
      </c>
      <c r="C11112" s="3">
        <v>2020</v>
      </c>
      <c r="D11112" s="4">
        <v>7912558</v>
      </c>
    </row>
    <row r="11113" spans="1:4" x14ac:dyDescent="0.3">
      <c r="A11113" s="5" t="s">
        <v>344</v>
      </c>
      <c r="B11113" s="5" t="s">
        <v>345</v>
      </c>
      <c r="C11113" s="6">
        <v>2021</v>
      </c>
      <c r="D11113" s="7">
        <v>8094602</v>
      </c>
    </row>
    <row r="11114" spans="1:4" x14ac:dyDescent="0.3">
      <c r="A11114" s="2" t="s">
        <v>344</v>
      </c>
      <c r="B11114" s="2" t="s">
        <v>345</v>
      </c>
      <c r="C11114" s="3">
        <v>2022</v>
      </c>
      <c r="D11114" s="4">
        <v>8276807</v>
      </c>
    </row>
    <row r="11115" spans="1:4" x14ac:dyDescent="0.3">
      <c r="A11115" s="5" t="s">
        <v>344</v>
      </c>
      <c r="B11115" s="5" t="s">
        <v>345</v>
      </c>
      <c r="C11115" s="6">
        <v>2023</v>
      </c>
      <c r="D11115" s="7">
        <v>8460512</v>
      </c>
    </row>
    <row r="11116" spans="1:4" x14ac:dyDescent="0.3">
      <c r="A11116" s="2" t="s">
        <v>344</v>
      </c>
      <c r="B11116" s="2" t="s">
        <v>345</v>
      </c>
      <c r="C11116" s="3">
        <v>2024</v>
      </c>
      <c r="D11116" s="4">
        <v>8642022</v>
      </c>
    </row>
    <row r="11117" spans="1:4" x14ac:dyDescent="0.3">
      <c r="A11117" s="5" t="s">
        <v>346</v>
      </c>
      <c r="B11117" s="5" t="s">
        <v>347</v>
      </c>
      <c r="C11117" s="6">
        <v>1960</v>
      </c>
      <c r="D11117" s="7">
        <v>1646400</v>
      </c>
    </row>
    <row r="11118" spans="1:4" x14ac:dyDescent="0.3">
      <c r="A11118" s="2" t="s">
        <v>346</v>
      </c>
      <c r="B11118" s="2" t="s">
        <v>347</v>
      </c>
      <c r="C11118" s="3">
        <v>1961</v>
      </c>
      <c r="D11118" s="4">
        <v>1702400</v>
      </c>
    </row>
    <row r="11119" spans="1:4" x14ac:dyDescent="0.3">
      <c r="A11119" s="5" t="s">
        <v>346</v>
      </c>
      <c r="B11119" s="5" t="s">
        <v>347</v>
      </c>
      <c r="C11119" s="6">
        <v>1962</v>
      </c>
      <c r="D11119" s="7">
        <v>1750200</v>
      </c>
    </row>
    <row r="11120" spans="1:4" x14ac:dyDescent="0.3">
      <c r="A11120" s="2" t="s">
        <v>346</v>
      </c>
      <c r="B11120" s="2" t="s">
        <v>347</v>
      </c>
      <c r="C11120" s="3">
        <v>1963</v>
      </c>
      <c r="D11120" s="4">
        <v>1795000</v>
      </c>
    </row>
    <row r="11121" spans="1:4" x14ac:dyDescent="0.3">
      <c r="A11121" s="5" t="s">
        <v>346</v>
      </c>
      <c r="B11121" s="5" t="s">
        <v>347</v>
      </c>
      <c r="C11121" s="6">
        <v>1964</v>
      </c>
      <c r="D11121" s="7">
        <v>1841600</v>
      </c>
    </row>
    <row r="11122" spans="1:4" x14ac:dyDescent="0.3">
      <c r="A11122" s="2" t="s">
        <v>346</v>
      </c>
      <c r="B11122" s="2" t="s">
        <v>347</v>
      </c>
      <c r="C11122" s="3">
        <v>1965</v>
      </c>
      <c r="D11122" s="4">
        <v>1886900</v>
      </c>
    </row>
    <row r="11123" spans="1:4" x14ac:dyDescent="0.3">
      <c r="A11123" s="5" t="s">
        <v>346</v>
      </c>
      <c r="B11123" s="5" t="s">
        <v>347</v>
      </c>
      <c r="C11123" s="6">
        <v>1966</v>
      </c>
      <c r="D11123" s="7">
        <v>1934400</v>
      </c>
    </row>
    <row r="11124" spans="1:4" x14ac:dyDescent="0.3">
      <c r="A11124" s="2" t="s">
        <v>346</v>
      </c>
      <c r="B11124" s="2" t="s">
        <v>347</v>
      </c>
      <c r="C11124" s="3">
        <v>1967</v>
      </c>
      <c r="D11124" s="4">
        <v>1977600</v>
      </c>
    </row>
    <row r="11125" spans="1:4" x14ac:dyDescent="0.3">
      <c r="A11125" s="5" t="s">
        <v>346</v>
      </c>
      <c r="B11125" s="5" t="s">
        <v>347</v>
      </c>
      <c r="C11125" s="6">
        <v>1968</v>
      </c>
      <c r="D11125" s="7">
        <v>2012000</v>
      </c>
    </row>
    <row r="11126" spans="1:4" x14ac:dyDescent="0.3">
      <c r="A11126" s="2" t="s">
        <v>346</v>
      </c>
      <c r="B11126" s="2" t="s">
        <v>347</v>
      </c>
      <c r="C11126" s="3">
        <v>1969</v>
      </c>
      <c r="D11126" s="4">
        <v>2042500</v>
      </c>
    </row>
    <row r="11127" spans="1:4" x14ac:dyDescent="0.3">
      <c r="A11127" s="5" t="s">
        <v>346</v>
      </c>
      <c r="B11127" s="5" t="s">
        <v>347</v>
      </c>
      <c r="C11127" s="6">
        <v>1970</v>
      </c>
      <c r="D11127" s="7">
        <v>2074507</v>
      </c>
    </row>
    <row r="11128" spans="1:4" x14ac:dyDescent="0.3">
      <c r="A11128" s="2" t="s">
        <v>346</v>
      </c>
      <c r="B11128" s="2" t="s">
        <v>347</v>
      </c>
      <c r="C11128" s="3">
        <v>1971</v>
      </c>
      <c r="D11128" s="4">
        <v>2112900</v>
      </c>
    </row>
    <row r="11129" spans="1:4" x14ac:dyDescent="0.3">
      <c r="A11129" s="5" t="s">
        <v>346</v>
      </c>
      <c r="B11129" s="5" t="s">
        <v>347</v>
      </c>
      <c r="C11129" s="6">
        <v>1972</v>
      </c>
      <c r="D11129" s="7">
        <v>2152400</v>
      </c>
    </row>
    <row r="11130" spans="1:4" x14ac:dyDescent="0.3">
      <c r="A11130" s="2" t="s">
        <v>346</v>
      </c>
      <c r="B11130" s="2" t="s">
        <v>347</v>
      </c>
      <c r="C11130" s="3">
        <v>1973</v>
      </c>
      <c r="D11130" s="4">
        <v>2193000</v>
      </c>
    </row>
    <row r="11131" spans="1:4" x14ac:dyDescent="0.3">
      <c r="A11131" s="5" t="s">
        <v>346</v>
      </c>
      <c r="B11131" s="5" t="s">
        <v>347</v>
      </c>
      <c r="C11131" s="6">
        <v>1974</v>
      </c>
      <c r="D11131" s="7">
        <v>2229800</v>
      </c>
    </row>
    <row r="11132" spans="1:4" x14ac:dyDescent="0.3">
      <c r="A11132" s="2" t="s">
        <v>346</v>
      </c>
      <c r="B11132" s="2" t="s">
        <v>347</v>
      </c>
      <c r="C11132" s="3">
        <v>1975</v>
      </c>
      <c r="D11132" s="4">
        <v>2262600</v>
      </c>
    </row>
    <row r="11133" spans="1:4" x14ac:dyDescent="0.3">
      <c r="A11133" s="5" t="s">
        <v>346</v>
      </c>
      <c r="B11133" s="5" t="s">
        <v>347</v>
      </c>
      <c r="C11133" s="6">
        <v>1976</v>
      </c>
      <c r="D11133" s="7">
        <v>2293300</v>
      </c>
    </row>
    <row r="11134" spans="1:4" x14ac:dyDescent="0.3">
      <c r="A11134" s="2" t="s">
        <v>346</v>
      </c>
      <c r="B11134" s="2" t="s">
        <v>347</v>
      </c>
      <c r="C11134" s="3">
        <v>1977</v>
      </c>
      <c r="D11134" s="4">
        <v>2325300</v>
      </c>
    </row>
    <row r="11135" spans="1:4" x14ac:dyDescent="0.3">
      <c r="A11135" s="5" t="s">
        <v>346</v>
      </c>
      <c r="B11135" s="5" t="s">
        <v>347</v>
      </c>
      <c r="C11135" s="6">
        <v>1978</v>
      </c>
      <c r="D11135" s="7">
        <v>2353600</v>
      </c>
    </row>
    <row r="11136" spans="1:4" x14ac:dyDescent="0.3">
      <c r="A11136" s="2" t="s">
        <v>346</v>
      </c>
      <c r="B11136" s="2" t="s">
        <v>347</v>
      </c>
      <c r="C11136" s="3">
        <v>1979</v>
      </c>
      <c r="D11136" s="4">
        <v>2383500</v>
      </c>
    </row>
    <row r="11137" spans="1:4" x14ac:dyDescent="0.3">
      <c r="A11137" s="5" t="s">
        <v>346</v>
      </c>
      <c r="B11137" s="5" t="s">
        <v>347</v>
      </c>
      <c r="C11137" s="6">
        <v>1980</v>
      </c>
      <c r="D11137" s="7">
        <v>2413945</v>
      </c>
    </row>
    <row r="11138" spans="1:4" x14ac:dyDescent="0.3">
      <c r="A11138" s="2" t="s">
        <v>346</v>
      </c>
      <c r="B11138" s="2" t="s">
        <v>347</v>
      </c>
      <c r="C11138" s="3">
        <v>1981</v>
      </c>
      <c r="D11138" s="4">
        <v>2532835</v>
      </c>
    </row>
    <row r="11139" spans="1:4" x14ac:dyDescent="0.3">
      <c r="A11139" s="5" t="s">
        <v>346</v>
      </c>
      <c r="B11139" s="5" t="s">
        <v>347</v>
      </c>
      <c r="C11139" s="6">
        <v>1982</v>
      </c>
      <c r="D11139" s="7">
        <v>2646466</v>
      </c>
    </row>
    <row r="11140" spans="1:4" x14ac:dyDescent="0.3">
      <c r="A11140" s="2" t="s">
        <v>346</v>
      </c>
      <c r="B11140" s="2" t="s">
        <v>347</v>
      </c>
      <c r="C11140" s="3">
        <v>1983</v>
      </c>
      <c r="D11140" s="4">
        <v>2681061</v>
      </c>
    </row>
    <row r="11141" spans="1:4" x14ac:dyDescent="0.3">
      <c r="A11141" s="5" t="s">
        <v>346</v>
      </c>
      <c r="B11141" s="5" t="s">
        <v>347</v>
      </c>
      <c r="C11141" s="6">
        <v>1984</v>
      </c>
      <c r="D11141" s="7">
        <v>2732221</v>
      </c>
    </row>
    <row r="11142" spans="1:4" x14ac:dyDescent="0.3">
      <c r="A11142" s="2" t="s">
        <v>346</v>
      </c>
      <c r="B11142" s="2" t="s">
        <v>347</v>
      </c>
      <c r="C11142" s="3">
        <v>1985</v>
      </c>
      <c r="D11142" s="4">
        <v>2735957</v>
      </c>
    </row>
    <row r="11143" spans="1:4" x14ac:dyDescent="0.3">
      <c r="A11143" s="5" t="s">
        <v>346</v>
      </c>
      <c r="B11143" s="5" t="s">
        <v>347</v>
      </c>
      <c r="C11143" s="6">
        <v>1986</v>
      </c>
      <c r="D11143" s="7">
        <v>2733373</v>
      </c>
    </row>
    <row r="11144" spans="1:4" x14ac:dyDescent="0.3">
      <c r="A11144" s="2" t="s">
        <v>346</v>
      </c>
      <c r="B11144" s="2" t="s">
        <v>347</v>
      </c>
      <c r="C11144" s="3">
        <v>1987</v>
      </c>
      <c r="D11144" s="4">
        <v>2774789</v>
      </c>
    </row>
    <row r="11145" spans="1:4" x14ac:dyDescent="0.3">
      <c r="A11145" s="5" t="s">
        <v>346</v>
      </c>
      <c r="B11145" s="5" t="s">
        <v>347</v>
      </c>
      <c r="C11145" s="6">
        <v>1988</v>
      </c>
      <c r="D11145" s="7">
        <v>2846108</v>
      </c>
    </row>
    <row r="11146" spans="1:4" x14ac:dyDescent="0.3">
      <c r="A11146" s="2" t="s">
        <v>346</v>
      </c>
      <c r="B11146" s="2" t="s">
        <v>347</v>
      </c>
      <c r="C11146" s="3">
        <v>1989</v>
      </c>
      <c r="D11146" s="4">
        <v>2930901</v>
      </c>
    </row>
    <row r="11147" spans="1:4" x14ac:dyDescent="0.3">
      <c r="A11147" s="5" t="s">
        <v>346</v>
      </c>
      <c r="B11147" s="5" t="s">
        <v>347</v>
      </c>
      <c r="C11147" s="6">
        <v>1990</v>
      </c>
      <c r="D11147" s="7">
        <v>3047132</v>
      </c>
    </row>
    <row r="11148" spans="1:4" x14ac:dyDescent="0.3">
      <c r="A11148" s="2" t="s">
        <v>346</v>
      </c>
      <c r="B11148" s="2" t="s">
        <v>347</v>
      </c>
      <c r="C11148" s="3">
        <v>1991</v>
      </c>
      <c r="D11148" s="4">
        <v>3135083</v>
      </c>
    </row>
    <row r="11149" spans="1:4" x14ac:dyDescent="0.3">
      <c r="A11149" s="5" t="s">
        <v>346</v>
      </c>
      <c r="B11149" s="5" t="s">
        <v>347</v>
      </c>
      <c r="C11149" s="6">
        <v>1992</v>
      </c>
      <c r="D11149" s="7">
        <v>3230698</v>
      </c>
    </row>
    <row r="11150" spans="1:4" x14ac:dyDescent="0.3">
      <c r="A11150" s="2" t="s">
        <v>346</v>
      </c>
      <c r="B11150" s="2" t="s">
        <v>347</v>
      </c>
      <c r="C11150" s="3">
        <v>1993</v>
      </c>
      <c r="D11150" s="4">
        <v>3313471</v>
      </c>
    </row>
    <row r="11151" spans="1:4" x14ac:dyDescent="0.3">
      <c r="A11151" s="5" t="s">
        <v>346</v>
      </c>
      <c r="B11151" s="5" t="s">
        <v>347</v>
      </c>
      <c r="C11151" s="6">
        <v>1994</v>
      </c>
      <c r="D11151" s="7">
        <v>3419048</v>
      </c>
    </row>
    <row r="11152" spans="1:4" x14ac:dyDescent="0.3">
      <c r="A11152" s="2" t="s">
        <v>346</v>
      </c>
      <c r="B11152" s="2" t="s">
        <v>347</v>
      </c>
      <c r="C11152" s="3">
        <v>1995</v>
      </c>
      <c r="D11152" s="4">
        <v>3524506</v>
      </c>
    </row>
    <row r="11153" spans="1:4" x14ac:dyDescent="0.3">
      <c r="A11153" s="5" t="s">
        <v>346</v>
      </c>
      <c r="B11153" s="5" t="s">
        <v>347</v>
      </c>
      <c r="C11153" s="6">
        <v>1996</v>
      </c>
      <c r="D11153" s="7">
        <v>3670704</v>
      </c>
    </row>
    <row r="11154" spans="1:4" x14ac:dyDescent="0.3">
      <c r="A11154" s="2" t="s">
        <v>346</v>
      </c>
      <c r="B11154" s="2" t="s">
        <v>347</v>
      </c>
      <c r="C11154" s="3">
        <v>1997</v>
      </c>
      <c r="D11154" s="4">
        <v>3796038</v>
      </c>
    </row>
    <row r="11155" spans="1:4" x14ac:dyDescent="0.3">
      <c r="A11155" s="5" t="s">
        <v>346</v>
      </c>
      <c r="B11155" s="5" t="s">
        <v>347</v>
      </c>
      <c r="C11155" s="6">
        <v>1998</v>
      </c>
      <c r="D11155" s="7">
        <v>3927213</v>
      </c>
    </row>
    <row r="11156" spans="1:4" x14ac:dyDescent="0.3">
      <c r="A11156" s="2" t="s">
        <v>346</v>
      </c>
      <c r="B11156" s="2" t="s">
        <v>347</v>
      </c>
      <c r="C11156" s="3">
        <v>1999</v>
      </c>
      <c r="D11156" s="4">
        <v>3958723</v>
      </c>
    </row>
    <row r="11157" spans="1:4" x14ac:dyDescent="0.3">
      <c r="A11157" s="5" t="s">
        <v>346</v>
      </c>
      <c r="B11157" s="5" t="s">
        <v>347</v>
      </c>
      <c r="C11157" s="6">
        <v>2000</v>
      </c>
      <c r="D11157" s="7">
        <v>4027887</v>
      </c>
    </row>
    <row r="11158" spans="1:4" x14ac:dyDescent="0.3">
      <c r="A11158" s="2" t="s">
        <v>346</v>
      </c>
      <c r="B11158" s="2" t="s">
        <v>347</v>
      </c>
      <c r="C11158" s="3">
        <v>2001</v>
      </c>
      <c r="D11158" s="4">
        <v>4138012</v>
      </c>
    </row>
    <row r="11159" spans="1:4" x14ac:dyDescent="0.3">
      <c r="A11159" s="5" t="s">
        <v>346</v>
      </c>
      <c r="B11159" s="5" t="s">
        <v>347</v>
      </c>
      <c r="C11159" s="6">
        <v>2002</v>
      </c>
      <c r="D11159" s="7">
        <v>4175950</v>
      </c>
    </row>
    <row r="11160" spans="1:4" x14ac:dyDescent="0.3">
      <c r="A11160" s="2" t="s">
        <v>346</v>
      </c>
      <c r="B11160" s="2" t="s">
        <v>347</v>
      </c>
      <c r="C11160" s="3">
        <v>2003</v>
      </c>
      <c r="D11160" s="4">
        <v>4114826</v>
      </c>
    </row>
    <row r="11161" spans="1:4" x14ac:dyDescent="0.3">
      <c r="A11161" s="5" t="s">
        <v>346</v>
      </c>
      <c r="B11161" s="5" t="s">
        <v>347</v>
      </c>
      <c r="C11161" s="6">
        <v>2004</v>
      </c>
      <c r="D11161" s="7">
        <v>4166664</v>
      </c>
    </row>
    <row r="11162" spans="1:4" x14ac:dyDescent="0.3">
      <c r="A11162" s="2" t="s">
        <v>346</v>
      </c>
      <c r="B11162" s="2" t="s">
        <v>347</v>
      </c>
      <c r="C11162" s="3">
        <v>2005</v>
      </c>
      <c r="D11162" s="4">
        <v>4265762</v>
      </c>
    </row>
    <row r="11163" spans="1:4" x14ac:dyDescent="0.3">
      <c r="A11163" s="5" t="s">
        <v>346</v>
      </c>
      <c r="B11163" s="5" t="s">
        <v>347</v>
      </c>
      <c r="C11163" s="6">
        <v>2006</v>
      </c>
      <c r="D11163" s="7">
        <v>4401365</v>
      </c>
    </row>
    <row r="11164" spans="1:4" x14ac:dyDescent="0.3">
      <c r="A11164" s="2" t="s">
        <v>346</v>
      </c>
      <c r="B11164" s="2" t="s">
        <v>347</v>
      </c>
      <c r="C11164" s="3">
        <v>2007</v>
      </c>
      <c r="D11164" s="4">
        <v>4588599</v>
      </c>
    </row>
    <row r="11165" spans="1:4" x14ac:dyDescent="0.3">
      <c r="A11165" s="5" t="s">
        <v>346</v>
      </c>
      <c r="B11165" s="5" t="s">
        <v>347</v>
      </c>
      <c r="C11165" s="6">
        <v>2008</v>
      </c>
      <c r="D11165" s="7">
        <v>4839396</v>
      </c>
    </row>
    <row r="11166" spans="1:4" x14ac:dyDescent="0.3">
      <c r="A11166" s="2" t="s">
        <v>346</v>
      </c>
      <c r="B11166" s="2" t="s">
        <v>347</v>
      </c>
      <c r="C11166" s="3">
        <v>2009</v>
      </c>
      <c r="D11166" s="4">
        <v>4987573</v>
      </c>
    </row>
    <row r="11167" spans="1:4" x14ac:dyDescent="0.3">
      <c r="A11167" s="5" t="s">
        <v>346</v>
      </c>
      <c r="B11167" s="5" t="s">
        <v>347</v>
      </c>
      <c r="C11167" s="6">
        <v>2010</v>
      </c>
      <c r="D11167" s="7">
        <v>5076732</v>
      </c>
    </row>
    <row r="11168" spans="1:4" x14ac:dyDescent="0.3">
      <c r="A11168" s="2" t="s">
        <v>346</v>
      </c>
      <c r="B11168" s="2" t="s">
        <v>347</v>
      </c>
      <c r="C11168" s="3">
        <v>2011</v>
      </c>
      <c r="D11168" s="4">
        <v>5183688</v>
      </c>
    </row>
    <row r="11169" spans="1:4" x14ac:dyDescent="0.3">
      <c r="A11169" s="5" t="s">
        <v>346</v>
      </c>
      <c r="B11169" s="5" t="s">
        <v>347</v>
      </c>
      <c r="C11169" s="6">
        <v>2012</v>
      </c>
      <c r="D11169" s="7">
        <v>5312437</v>
      </c>
    </row>
    <row r="11170" spans="1:4" x14ac:dyDescent="0.3">
      <c r="A11170" s="2" t="s">
        <v>346</v>
      </c>
      <c r="B11170" s="2" t="s">
        <v>347</v>
      </c>
      <c r="C11170" s="3">
        <v>2013</v>
      </c>
      <c r="D11170" s="4">
        <v>5399162</v>
      </c>
    </row>
    <row r="11171" spans="1:4" x14ac:dyDescent="0.3">
      <c r="A11171" s="5" t="s">
        <v>346</v>
      </c>
      <c r="B11171" s="5" t="s">
        <v>347</v>
      </c>
      <c r="C11171" s="6">
        <v>2014</v>
      </c>
      <c r="D11171" s="7">
        <v>5469724</v>
      </c>
    </row>
    <row r="11172" spans="1:4" x14ac:dyDescent="0.3">
      <c r="A11172" s="2" t="s">
        <v>346</v>
      </c>
      <c r="B11172" s="2" t="s">
        <v>347</v>
      </c>
      <c r="C11172" s="3">
        <v>2015</v>
      </c>
      <c r="D11172" s="4">
        <v>5535002</v>
      </c>
    </row>
    <row r="11173" spans="1:4" x14ac:dyDescent="0.3">
      <c r="A11173" s="5" t="s">
        <v>346</v>
      </c>
      <c r="B11173" s="5" t="s">
        <v>347</v>
      </c>
      <c r="C11173" s="6">
        <v>2016</v>
      </c>
      <c r="D11173" s="7">
        <v>5607283</v>
      </c>
    </row>
    <row r="11174" spans="1:4" x14ac:dyDescent="0.3">
      <c r="A11174" s="2" t="s">
        <v>346</v>
      </c>
      <c r="B11174" s="2" t="s">
        <v>347</v>
      </c>
      <c r="C11174" s="3">
        <v>2017</v>
      </c>
      <c r="D11174" s="4">
        <v>5612253</v>
      </c>
    </row>
    <row r="11175" spans="1:4" x14ac:dyDescent="0.3">
      <c r="A11175" s="5" t="s">
        <v>346</v>
      </c>
      <c r="B11175" s="5" t="s">
        <v>347</v>
      </c>
      <c r="C11175" s="6">
        <v>2018</v>
      </c>
      <c r="D11175" s="7">
        <v>5638676</v>
      </c>
    </row>
    <row r="11176" spans="1:4" x14ac:dyDescent="0.3">
      <c r="A11176" s="2" t="s">
        <v>346</v>
      </c>
      <c r="B11176" s="2" t="s">
        <v>347</v>
      </c>
      <c r="C11176" s="3">
        <v>2019</v>
      </c>
      <c r="D11176" s="4">
        <v>5703569</v>
      </c>
    </row>
    <row r="11177" spans="1:4" x14ac:dyDescent="0.3">
      <c r="A11177" s="5" t="s">
        <v>346</v>
      </c>
      <c r="B11177" s="5" t="s">
        <v>347</v>
      </c>
      <c r="C11177" s="6">
        <v>2020</v>
      </c>
      <c r="D11177" s="7">
        <v>5685807</v>
      </c>
    </row>
    <row r="11178" spans="1:4" x14ac:dyDescent="0.3">
      <c r="A11178" s="2" t="s">
        <v>346</v>
      </c>
      <c r="B11178" s="2" t="s">
        <v>347</v>
      </c>
      <c r="C11178" s="3">
        <v>2021</v>
      </c>
      <c r="D11178" s="4">
        <v>5453566</v>
      </c>
    </row>
    <row r="11179" spans="1:4" x14ac:dyDescent="0.3">
      <c r="A11179" s="5" t="s">
        <v>346</v>
      </c>
      <c r="B11179" s="5" t="s">
        <v>347</v>
      </c>
      <c r="C11179" s="6">
        <v>2022</v>
      </c>
      <c r="D11179" s="7">
        <v>5637022</v>
      </c>
    </row>
    <row r="11180" spans="1:4" x14ac:dyDescent="0.3">
      <c r="A11180" s="2" t="s">
        <v>346</v>
      </c>
      <c r="B11180" s="2" t="s">
        <v>347</v>
      </c>
      <c r="C11180" s="3">
        <v>2023</v>
      </c>
      <c r="D11180" s="4">
        <v>5917648</v>
      </c>
    </row>
    <row r="11181" spans="1:4" x14ac:dyDescent="0.3">
      <c r="A11181" s="5" t="s">
        <v>346</v>
      </c>
      <c r="B11181" s="5" t="s">
        <v>347</v>
      </c>
      <c r="C11181" s="6">
        <v>2024</v>
      </c>
      <c r="D11181" s="7">
        <v>6036860</v>
      </c>
    </row>
    <row r="11182" spans="1:4" x14ac:dyDescent="0.3">
      <c r="A11182" s="2" t="s">
        <v>348</v>
      </c>
      <c r="B11182" s="2" t="s">
        <v>349</v>
      </c>
      <c r="C11182" s="3">
        <v>1960</v>
      </c>
      <c r="D11182" s="4">
        <v>2715</v>
      </c>
    </row>
    <row r="11183" spans="1:4" x14ac:dyDescent="0.3">
      <c r="A11183" s="5" t="s">
        <v>348</v>
      </c>
      <c r="B11183" s="5" t="s">
        <v>349</v>
      </c>
      <c r="C11183" s="6">
        <v>1961</v>
      </c>
      <c r="D11183" s="7">
        <v>2970</v>
      </c>
    </row>
    <row r="11184" spans="1:4" x14ac:dyDescent="0.3">
      <c r="A11184" s="2" t="s">
        <v>348</v>
      </c>
      <c r="B11184" s="2" t="s">
        <v>349</v>
      </c>
      <c r="C11184" s="3">
        <v>1962</v>
      </c>
      <c r="D11184" s="4">
        <v>3264</v>
      </c>
    </row>
    <row r="11185" spans="1:4" x14ac:dyDescent="0.3">
      <c r="A11185" s="5" t="s">
        <v>348</v>
      </c>
      <c r="B11185" s="5" t="s">
        <v>349</v>
      </c>
      <c r="C11185" s="6">
        <v>1963</v>
      </c>
      <c r="D11185" s="7">
        <v>3584</v>
      </c>
    </row>
    <row r="11186" spans="1:4" x14ac:dyDescent="0.3">
      <c r="A11186" s="2" t="s">
        <v>348</v>
      </c>
      <c r="B11186" s="2" t="s">
        <v>349</v>
      </c>
      <c r="C11186" s="3">
        <v>1964</v>
      </c>
      <c r="D11186" s="4">
        <v>3922</v>
      </c>
    </row>
    <row r="11187" spans="1:4" x14ac:dyDescent="0.3">
      <c r="A11187" s="5" t="s">
        <v>348</v>
      </c>
      <c r="B11187" s="5" t="s">
        <v>349</v>
      </c>
      <c r="C11187" s="6">
        <v>1965</v>
      </c>
      <c r="D11187" s="7">
        <v>4282</v>
      </c>
    </row>
    <row r="11188" spans="1:4" x14ac:dyDescent="0.3">
      <c r="A11188" s="2" t="s">
        <v>348</v>
      </c>
      <c r="B11188" s="2" t="s">
        <v>349</v>
      </c>
      <c r="C11188" s="3">
        <v>1966</v>
      </c>
      <c r="D11188" s="4">
        <v>4664</v>
      </c>
    </row>
    <row r="11189" spans="1:4" x14ac:dyDescent="0.3">
      <c r="A11189" s="5" t="s">
        <v>348</v>
      </c>
      <c r="B11189" s="5" t="s">
        <v>349</v>
      </c>
      <c r="C11189" s="6">
        <v>1967</v>
      </c>
      <c r="D11189" s="7">
        <v>5071</v>
      </c>
    </row>
    <row r="11190" spans="1:4" x14ac:dyDescent="0.3">
      <c r="A11190" s="2" t="s">
        <v>348</v>
      </c>
      <c r="B11190" s="2" t="s">
        <v>349</v>
      </c>
      <c r="C11190" s="3">
        <v>1968</v>
      </c>
      <c r="D11190" s="4">
        <v>5500</v>
      </c>
    </row>
    <row r="11191" spans="1:4" x14ac:dyDescent="0.3">
      <c r="A11191" s="5" t="s">
        <v>348</v>
      </c>
      <c r="B11191" s="5" t="s">
        <v>349</v>
      </c>
      <c r="C11191" s="6">
        <v>1969</v>
      </c>
      <c r="D11191" s="7">
        <v>5948</v>
      </c>
    </row>
    <row r="11192" spans="1:4" x14ac:dyDescent="0.3">
      <c r="A11192" s="2" t="s">
        <v>348</v>
      </c>
      <c r="B11192" s="2" t="s">
        <v>349</v>
      </c>
      <c r="C11192" s="3">
        <v>1970</v>
      </c>
      <c r="D11192" s="4">
        <v>6414</v>
      </c>
    </row>
    <row r="11193" spans="1:4" x14ac:dyDescent="0.3">
      <c r="A11193" s="5" t="s">
        <v>348</v>
      </c>
      <c r="B11193" s="5" t="s">
        <v>349</v>
      </c>
      <c r="C11193" s="6">
        <v>1971</v>
      </c>
      <c r="D11193" s="7">
        <v>6888</v>
      </c>
    </row>
    <row r="11194" spans="1:4" x14ac:dyDescent="0.3">
      <c r="A11194" s="2" t="s">
        <v>348</v>
      </c>
      <c r="B11194" s="2" t="s">
        <v>349</v>
      </c>
      <c r="C11194" s="3">
        <v>1972</v>
      </c>
      <c r="D11194" s="4">
        <v>7380</v>
      </c>
    </row>
    <row r="11195" spans="1:4" x14ac:dyDescent="0.3">
      <c r="A11195" s="5" t="s">
        <v>348</v>
      </c>
      <c r="B11195" s="5" t="s">
        <v>349</v>
      </c>
      <c r="C11195" s="6">
        <v>1973</v>
      </c>
      <c r="D11195" s="7">
        <v>7917</v>
      </c>
    </row>
    <row r="11196" spans="1:4" x14ac:dyDescent="0.3">
      <c r="A11196" s="2" t="s">
        <v>348</v>
      </c>
      <c r="B11196" s="2" t="s">
        <v>349</v>
      </c>
      <c r="C11196" s="3">
        <v>1974</v>
      </c>
      <c r="D11196" s="4">
        <v>8492</v>
      </c>
    </row>
    <row r="11197" spans="1:4" x14ac:dyDescent="0.3">
      <c r="A11197" s="5" t="s">
        <v>348</v>
      </c>
      <c r="B11197" s="5" t="s">
        <v>349</v>
      </c>
      <c r="C11197" s="6">
        <v>1975</v>
      </c>
      <c r="D11197" s="7">
        <v>9094</v>
      </c>
    </row>
    <row r="11198" spans="1:4" x14ac:dyDescent="0.3">
      <c r="A11198" s="2" t="s">
        <v>348</v>
      </c>
      <c r="B11198" s="2" t="s">
        <v>349</v>
      </c>
      <c r="C11198" s="3">
        <v>1976</v>
      </c>
      <c r="D11198" s="4">
        <v>9716</v>
      </c>
    </row>
    <row r="11199" spans="1:4" x14ac:dyDescent="0.3">
      <c r="A11199" s="5" t="s">
        <v>348</v>
      </c>
      <c r="B11199" s="5" t="s">
        <v>349</v>
      </c>
      <c r="C11199" s="6">
        <v>1977</v>
      </c>
      <c r="D11199" s="7">
        <v>10364</v>
      </c>
    </row>
    <row r="11200" spans="1:4" x14ac:dyDescent="0.3">
      <c r="A11200" s="2" t="s">
        <v>348</v>
      </c>
      <c r="B11200" s="2" t="s">
        <v>349</v>
      </c>
      <c r="C11200" s="3">
        <v>1978</v>
      </c>
      <c r="D11200" s="4">
        <v>11039</v>
      </c>
    </row>
    <row r="11201" spans="1:4" x14ac:dyDescent="0.3">
      <c r="A11201" s="5" t="s">
        <v>348</v>
      </c>
      <c r="B11201" s="5" t="s">
        <v>349</v>
      </c>
      <c r="C11201" s="6">
        <v>1979</v>
      </c>
      <c r="D11201" s="7">
        <v>11723</v>
      </c>
    </row>
    <row r="11202" spans="1:4" x14ac:dyDescent="0.3">
      <c r="A11202" s="2" t="s">
        <v>348</v>
      </c>
      <c r="B11202" s="2" t="s">
        <v>349</v>
      </c>
      <c r="C11202" s="3">
        <v>1980</v>
      </c>
      <c r="D11202" s="4">
        <v>12410</v>
      </c>
    </row>
    <row r="11203" spans="1:4" x14ac:dyDescent="0.3">
      <c r="A11203" s="5" t="s">
        <v>348</v>
      </c>
      <c r="B11203" s="5" t="s">
        <v>349</v>
      </c>
      <c r="C11203" s="6">
        <v>1981</v>
      </c>
      <c r="D11203" s="7">
        <v>13302</v>
      </c>
    </row>
    <row r="11204" spans="1:4" x14ac:dyDescent="0.3">
      <c r="A11204" s="2" t="s">
        <v>348</v>
      </c>
      <c r="B11204" s="2" t="s">
        <v>349</v>
      </c>
      <c r="C11204" s="3">
        <v>1982</v>
      </c>
      <c r="D11204" s="4">
        <v>14607</v>
      </c>
    </row>
    <row r="11205" spans="1:4" x14ac:dyDescent="0.3">
      <c r="A11205" s="5" t="s">
        <v>348</v>
      </c>
      <c r="B11205" s="5" t="s">
        <v>349</v>
      </c>
      <c r="C11205" s="6">
        <v>1983</v>
      </c>
      <c r="D11205" s="7">
        <v>16133</v>
      </c>
    </row>
    <row r="11206" spans="1:4" x14ac:dyDescent="0.3">
      <c r="A11206" s="2" t="s">
        <v>348</v>
      </c>
      <c r="B11206" s="2" t="s">
        <v>349</v>
      </c>
      <c r="C11206" s="3">
        <v>1984</v>
      </c>
      <c r="D11206" s="4">
        <v>17694</v>
      </c>
    </row>
    <row r="11207" spans="1:4" x14ac:dyDescent="0.3">
      <c r="A11207" s="5" t="s">
        <v>348</v>
      </c>
      <c r="B11207" s="5" t="s">
        <v>349</v>
      </c>
      <c r="C11207" s="6">
        <v>1985</v>
      </c>
      <c r="D11207" s="7">
        <v>19291</v>
      </c>
    </row>
    <row r="11208" spans="1:4" x14ac:dyDescent="0.3">
      <c r="A11208" s="2" t="s">
        <v>348</v>
      </c>
      <c r="B11208" s="2" t="s">
        <v>349</v>
      </c>
      <c r="C11208" s="3">
        <v>1986</v>
      </c>
      <c r="D11208" s="4">
        <v>20930</v>
      </c>
    </row>
    <row r="11209" spans="1:4" x14ac:dyDescent="0.3">
      <c r="A11209" s="5" t="s">
        <v>348</v>
      </c>
      <c r="B11209" s="5" t="s">
        <v>349</v>
      </c>
      <c r="C11209" s="6">
        <v>1987</v>
      </c>
      <c r="D11209" s="7">
        <v>22617</v>
      </c>
    </row>
    <row r="11210" spans="1:4" x14ac:dyDescent="0.3">
      <c r="A11210" s="2" t="s">
        <v>348</v>
      </c>
      <c r="B11210" s="2" t="s">
        <v>349</v>
      </c>
      <c r="C11210" s="3">
        <v>1988</v>
      </c>
      <c r="D11210" s="4">
        <v>24357</v>
      </c>
    </row>
    <row r="11211" spans="1:4" x14ac:dyDescent="0.3">
      <c r="A11211" s="5" t="s">
        <v>348</v>
      </c>
      <c r="B11211" s="5" t="s">
        <v>349</v>
      </c>
      <c r="C11211" s="6">
        <v>1989</v>
      </c>
      <c r="D11211" s="7">
        <v>26169</v>
      </c>
    </row>
    <row r="11212" spans="1:4" x14ac:dyDescent="0.3">
      <c r="A11212" s="2" t="s">
        <v>348</v>
      </c>
      <c r="B11212" s="2" t="s">
        <v>349</v>
      </c>
      <c r="C11212" s="3">
        <v>1990</v>
      </c>
      <c r="D11212" s="4">
        <v>28061</v>
      </c>
    </row>
    <row r="11213" spans="1:4" x14ac:dyDescent="0.3">
      <c r="A11213" s="5" t="s">
        <v>348</v>
      </c>
      <c r="B11213" s="5" t="s">
        <v>349</v>
      </c>
      <c r="C11213" s="6">
        <v>1991</v>
      </c>
      <c r="D11213" s="7">
        <v>30046</v>
      </c>
    </row>
    <row r="11214" spans="1:4" x14ac:dyDescent="0.3">
      <c r="A11214" s="2" t="s">
        <v>348</v>
      </c>
      <c r="B11214" s="2" t="s">
        <v>349</v>
      </c>
      <c r="C11214" s="3">
        <v>1992</v>
      </c>
      <c r="D11214" s="4">
        <v>31567</v>
      </c>
    </row>
    <row r="11215" spans="1:4" x14ac:dyDescent="0.3">
      <c r="A11215" s="5" t="s">
        <v>348</v>
      </c>
      <c r="B11215" s="5" t="s">
        <v>349</v>
      </c>
      <c r="C11215" s="6">
        <v>1993</v>
      </c>
      <c r="D11215" s="7">
        <v>32026</v>
      </c>
    </row>
    <row r="11216" spans="1:4" x14ac:dyDescent="0.3">
      <c r="A11216" s="2" t="s">
        <v>348</v>
      </c>
      <c r="B11216" s="2" t="s">
        <v>349</v>
      </c>
      <c r="C11216" s="3">
        <v>1994</v>
      </c>
      <c r="D11216" s="4">
        <v>31917</v>
      </c>
    </row>
    <row r="11217" spans="1:4" x14ac:dyDescent="0.3">
      <c r="A11217" s="5" t="s">
        <v>348</v>
      </c>
      <c r="B11217" s="5" t="s">
        <v>349</v>
      </c>
      <c r="C11217" s="6">
        <v>1995</v>
      </c>
      <c r="D11217" s="7">
        <v>31772</v>
      </c>
    </row>
    <row r="11218" spans="1:4" x14ac:dyDescent="0.3">
      <c r="A11218" s="2" t="s">
        <v>348</v>
      </c>
      <c r="B11218" s="2" t="s">
        <v>349</v>
      </c>
      <c r="C11218" s="3">
        <v>1996</v>
      </c>
      <c r="D11218" s="4">
        <v>31598</v>
      </c>
    </row>
    <row r="11219" spans="1:4" x14ac:dyDescent="0.3">
      <c r="A11219" s="5" t="s">
        <v>348</v>
      </c>
      <c r="B11219" s="5" t="s">
        <v>349</v>
      </c>
      <c r="C11219" s="6">
        <v>1997</v>
      </c>
      <c r="D11219" s="7">
        <v>31404</v>
      </c>
    </row>
    <row r="11220" spans="1:4" x14ac:dyDescent="0.3">
      <c r="A11220" s="2" t="s">
        <v>348</v>
      </c>
      <c r="B11220" s="2" t="s">
        <v>349</v>
      </c>
      <c r="C11220" s="3">
        <v>1998</v>
      </c>
      <c r="D11220" s="4">
        <v>31193</v>
      </c>
    </row>
    <row r="11221" spans="1:4" x14ac:dyDescent="0.3">
      <c r="A11221" s="5" t="s">
        <v>348</v>
      </c>
      <c r="B11221" s="5" t="s">
        <v>349</v>
      </c>
      <c r="C11221" s="6">
        <v>1999</v>
      </c>
      <c r="D11221" s="7">
        <v>30977</v>
      </c>
    </row>
    <row r="11222" spans="1:4" x14ac:dyDescent="0.3">
      <c r="A11222" s="2" t="s">
        <v>348</v>
      </c>
      <c r="B11222" s="2" t="s">
        <v>349</v>
      </c>
      <c r="C11222" s="3">
        <v>2000</v>
      </c>
      <c r="D11222" s="4">
        <v>30773</v>
      </c>
    </row>
    <row r="11223" spans="1:4" x14ac:dyDescent="0.3">
      <c r="A11223" s="5" t="s">
        <v>348</v>
      </c>
      <c r="B11223" s="5" t="s">
        <v>349</v>
      </c>
      <c r="C11223" s="6">
        <v>2001</v>
      </c>
      <c r="D11223" s="7">
        <v>30726</v>
      </c>
    </row>
    <row r="11224" spans="1:4" x14ac:dyDescent="0.3">
      <c r="A11224" s="2" t="s">
        <v>348</v>
      </c>
      <c r="B11224" s="2" t="s">
        <v>349</v>
      </c>
      <c r="C11224" s="3">
        <v>2002</v>
      </c>
      <c r="D11224" s="4">
        <v>30960</v>
      </c>
    </row>
    <row r="11225" spans="1:4" x14ac:dyDescent="0.3">
      <c r="A11225" s="5" t="s">
        <v>348</v>
      </c>
      <c r="B11225" s="5" t="s">
        <v>349</v>
      </c>
      <c r="C11225" s="6">
        <v>2003</v>
      </c>
      <c r="D11225" s="7">
        <v>31327</v>
      </c>
    </row>
    <row r="11226" spans="1:4" x14ac:dyDescent="0.3">
      <c r="A11226" s="2" t="s">
        <v>348</v>
      </c>
      <c r="B11226" s="2" t="s">
        <v>349</v>
      </c>
      <c r="C11226" s="3">
        <v>2004</v>
      </c>
      <c r="D11226" s="4">
        <v>31690</v>
      </c>
    </row>
    <row r="11227" spans="1:4" x14ac:dyDescent="0.3">
      <c r="A11227" s="5" t="s">
        <v>348</v>
      </c>
      <c r="B11227" s="5" t="s">
        <v>349</v>
      </c>
      <c r="C11227" s="6">
        <v>2005</v>
      </c>
      <c r="D11227" s="7">
        <v>32057</v>
      </c>
    </row>
    <row r="11228" spans="1:4" x14ac:dyDescent="0.3">
      <c r="A11228" s="2" t="s">
        <v>348</v>
      </c>
      <c r="B11228" s="2" t="s">
        <v>349</v>
      </c>
      <c r="C11228" s="3">
        <v>2006</v>
      </c>
      <c r="D11228" s="4">
        <v>32428</v>
      </c>
    </row>
    <row r="11229" spans="1:4" x14ac:dyDescent="0.3">
      <c r="A11229" s="5" t="s">
        <v>348</v>
      </c>
      <c r="B11229" s="5" t="s">
        <v>349</v>
      </c>
      <c r="C11229" s="6">
        <v>2007</v>
      </c>
      <c r="D11229" s="7">
        <v>32791</v>
      </c>
    </row>
    <row r="11230" spans="1:4" x14ac:dyDescent="0.3">
      <c r="A11230" s="2" t="s">
        <v>348</v>
      </c>
      <c r="B11230" s="2" t="s">
        <v>349</v>
      </c>
      <c r="C11230" s="3">
        <v>2008</v>
      </c>
      <c r="D11230" s="4">
        <v>33145</v>
      </c>
    </row>
    <row r="11231" spans="1:4" x14ac:dyDescent="0.3">
      <c r="A11231" s="5" t="s">
        <v>348</v>
      </c>
      <c r="B11231" s="5" t="s">
        <v>349</v>
      </c>
      <c r="C11231" s="6">
        <v>2009</v>
      </c>
      <c r="D11231" s="7">
        <v>33491</v>
      </c>
    </row>
    <row r="11232" spans="1:4" x14ac:dyDescent="0.3">
      <c r="A11232" s="2" t="s">
        <v>348</v>
      </c>
      <c r="B11232" s="2" t="s">
        <v>349</v>
      </c>
      <c r="C11232" s="3">
        <v>2010</v>
      </c>
      <c r="D11232" s="4">
        <v>33794</v>
      </c>
    </row>
    <row r="11233" spans="1:4" x14ac:dyDescent="0.3">
      <c r="A11233" s="5" t="s">
        <v>348</v>
      </c>
      <c r="B11233" s="5" t="s">
        <v>349</v>
      </c>
      <c r="C11233" s="6">
        <v>2011</v>
      </c>
      <c r="D11233" s="7">
        <v>34267</v>
      </c>
    </row>
    <row r="11234" spans="1:4" x14ac:dyDescent="0.3">
      <c r="A11234" s="2" t="s">
        <v>348</v>
      </c>
      <c r="B11234" s="2" t="s">
        <v>349</v>
      </c>
      <c r="C11234" s="3">
        <v>2012</v>
      </c>
      <c r="D11234" s="4">
        <v>35023</v>
      </c>
    </row>
    <row r="11235" spans="1:4" x14ac:dyDescent="0.3">
      <c r="A11235" s="5" t="s">
        <v>348</v>
      </c>
      <c r="B11235" s="5" t="s">
        <v>349</v>
      </c>
      <c r="C11235" s="6">
        <v>2013</v>
      </c>
      <c r="D11235" s="7">
        <v>35854</v>
      </c>
    </row>
    <row r="11236" spans="1:4" x14ac:dyDescent="0.3">
      <c r="A11236" s="2" t="s">
        <v>348</v>
      </c>
      <c r="B11236" s="2" t="s">
        <v>349</v>
      </c>
      <c r="C11236" s="3">
        <v>2014</v>
      </c>
      <c r="D11236" s="4">
        <v>36672</v>
      </c>
    </row>
    <row r="11237" spans="1:4" x14ac:dyDescent="0.3">
      <c r="A11237" s="5" t="s">
        <v>348</v>
      </c>
      <c r="B11237" s="5" t="s">
        <v>349</v>
      </c>
      <c r="C11237" s="6">
        <v>2015</v>
      </c>
      <c r="D11237" s="7">
        <v>37471</v>
      </c>
    </row>
    <row r="11238" spans="1:4" x14ac:dyDescent="0.3">
      <c r="A11238" s="2" t="s">
        <v>348</v>
      </c>
      <c r="B11238" s="2" t="s">
        <v>349</v>
      </c>
      <c r="C11238" s="3">
        <v>2016</v>
      </c>
      <c r="D11238" s="4">
        <v>38249</v>
      </c>
    </row>
    <row r="11239" spans="1:4" x14ac:dyDescent="0.3">
      <c r="A11239" s="5" t="s">
        <v>348</v>
      </c>
      <c r="B11239" s="5" t="s">
        <v>349</v>
      </c>
      <c r="C11239" s="6">
        <v>2017</v>
      </c>
      <c r="D11239" s="7">
        <v>38996</v>
      </c>
    </row>
    <row r="11240" spans="1:4" x14ac:dyDescent="0.3">
      <c r="A11240" s="2" t="s">
        <v>348</v>
      </c>
      <c r="B11240" s="2" t="s">
        <v>349</v>
      </c>
      <c r="C11240" s="3">
        <v>2018</v>
      </c>
      <c r="D11240" s="4">
        <v>39712</v>
      </c>
    </row>
    <row r="11241" spans="1:4" x14ac:dyDescent="0.3">
      <c r="A11241" s="5" t="s">
        <v>348</v>
      </c>
      <c r="B11241" s="5" t="s">
        <v>349</v>
      </c>
      <c r="C11241" s="6">
        <v>2019</v>
      </c>
      <c r="D11241" s="7">
        <v>40385</v>
      </c>
    </row>
    <row r="11242" spans="1:4" x14ac:dyDescent="0.3">
      <c r="A11242" s="2" t="s">
        <v>348</v>
      </c>
      <c r="B11242" s="2" t="s">
        <v>349</v>
      </c>
      <c r="C11242" s="3">
        <v>2020</v>
      </c>
      <c r="D11242" s="4">
        <v>41008</v>
      </c>
    </row>
    <row r="11243" spans="1:4" x14ac:dyDescent="0.3">
      <c r="A11243" s="5" t="s">
        <v>348</v>
      </c>
      <c r="B11243" s="5" t="s">
        <v>349</v>
      </c>
      <c r="C11243" s="6">
        <v>2021</v>
      </c>
      <c r="D11243" s="7">
        <v>41571</v>
      </c>
    </row>
    <row r="11244" spans="1:4" x14ac:dyDescent="0.3">
      <c r="A11244" s="2" t="s">
        <v>348</v>
      </c>
      <c r="B11244" s="2" t="s">
        <v>349</v>
      </c>
      <c r="C11244" s="3">
        <v>2022</v>
      </c>
      <c r="D11244" s="4">
        <v>42139</v>
      </c>
    </row>
    <row r="11245" spans="1:4" x14ac:dyDescent="0.3">
      <c r="A11245" s="5" t="s">
        <v>348</v>
      </c>
      <c r="B11245" s="5" t="s">
        <v>349</v>
      </c>
      <c r="C11245" s="6">
        <v>2023</v>
      </c>
      <c r="D11245" s="7">
        <v>42749</v>
      </c>
    </row>
    <row r="11246" spans="1:4" x14ac:dyDescent="0.3">
      <c r="A11246" s="2" t="s">
        <v>348</v>
      </c>
      <c r="B11246" s="2" t="s">
        <v>349</v>
      </c>
      <c r="C11246" s="3">
        <v>2024</v>
      </c>
      <c r="D11246" s="4">
        <v>43350</v>
      </c>
    </row>
    <row r="11247" spans="1:4" x14ac:dyDescent="0.3">
      <c r="A11247" s="5" t="s">
        <v>350</v>
      </c>
      <c r="B11247" s="5" t="s">
        <v>351</v>
      </c>
      <c r="C11247" s="6">
        <v>1960</v>
      </c>
      <c r="D11247" s="7">
        <v>4068095</v>
      </c>
    </row>
    <row r="11248" spans="1:4" x14ac:dyDescent="0.3">
      <c r="A11248" s="2" t="s">
        <v>350</v>
      </c>
      <c r="B11248" s="2" t="s">
        <v>351</v>
      </c>
      <c r="C11248" s="3">
        <v>1961</v>
      </c>
      <c r="D11248" s="4">
        <v>4191667</v>
      </c>
    </row>
    <row r="11249" spans="1:4" x14ac:dyDescent="0.3">
      <c r="A11249" s="5" t="s">
        <v>350</v>
      </c>
      <c r="B11249" s="5" t="s">
        <v>351</v>
      </c>
      <c r="C11249" s="6">
        <v>1962</v>
      </c>
      <c r="D11249" s="7">
        <v>4238188</v>
      </c>
    </row>
    <row r="11250" spans="1:4" x14ac:dyDescent="0.3">
      <c r="A11250" s="2" t="s">
        <v>350</v>
      </c>
      <c r="B11250" s="2" t="s">
        <v>351</v>
      </c>
      <c r="C11250" s="3">
        <v>1963</v>
      </c>
      <c r="D11250" s="4">
        <v>4282017</v>
      </c>
    </row>
    <row r="11251" spans="1:4" x14ac:dyDescent="0.3">
      <c r="A11251" s="5" t="s">
        <v>350</v>
      </c>
      <c r="B11251" s="5" t="s">
        <v>351</v>
      </c>
      <c r="C11251" s="6">
        <v>1964</v>
      </c>
      <c r="D11251" s="7">
        <v>4327341</v>
      </c>
    </row>
    <row r="11252" spans="1:4" x14ac:dyDescent="0.3">
      <c r="A11252" s="2" t="s">
        <v>350</v>
      </c>
      <c r="B11252" s="2" t="s">
        <v>351</v>
      </c>
      <c r="C11252" s="3">
        <v>1965</v>
      </c>
      <c r="D11252" s="4">
        <v>4370983</v>
      </c>
    </row>
    <row r="11253" spans="1:4" x14ac:dyDescent="0.3">
      <c r="A11253" s="5" t="s">
        <v>350</v>
      </c>
      <c r="B11253" s="5" t="s">
        <v>351</v>
      </c>
      <c r="C11253" s="6">
        <v>1966</v>
      </c>
      <c r="D11253" s="7">
        <v>4411666</v>
      </c>
    </row>
    <row r="11254" spans="1:4" x14ac:dyDescent="0.3">
      <c r="A11254" s="2" t="s">
        <v>350</v>
      </c>
      <c r="B11254" s="2" t="s">
        <v>351</v>
      </c>
      <c r="C11254" s="3">
        <v>1967</v>
      </c>
      <c r="D11254" s="4">
        <v>4449367</v>
      </c>
    </row>
    <row r="11255" spans="1:4" x14ac:dyDescent="0.3">
      <c r="A11255" s="5" t="s">
        <v>350</v>
      </c>
      <c r="B11255" s="5" t="s">
        <v>351</v>
      </c>
      <c r="C11255" s="6">
        <v>1968</v>
      </c>
      <c r="D11255" s="7">
        <v>4483915</v>
      </c>
    </row>
    <row r="11256" spans="1:4" x14ac:dyDescent="0.3">
      <c r="A11256" s="2" t="s">
        <v>350</v>
      </c>
      <c r="B11256" s="2" t="s">
        <v>351</v>
      </c>
      <c r="C11256" s="3">
        <v>1969</v>
      </c>
      <c r="D11256" s="4">
        <v>4518607</v>
      </c>
    </row>
    <row r="11257" spans="1:4" x14ac:dyDescent="0.3">
      <c r="A11257" s="5" t="s">
        <v>350</v>
      </c>
      <c r="B11257" s="5" t="s">
        <v>351</v>
      </c>
      <c r="C11257" s="6">
        <v>1970</v>
      </c>
      <c r="D11257" s="7">
        <v>4538223</v>
      </c>
    </row>
    <row r="11258" spans="1:4" x14ac:dyDescent="0.3">
      <c r="A11258" s="2" t="s">
        <v>350</v>
      </c>
      <c r="B11258" s="2" t="s">
        <v>351</v>
      </c>
      <c r="C11258" s="3">
        <v>1971</v>
      </c>
      <c r="D11258" s="4">
        <v>4557449</v>
      </c>
    </row>
    <row r="11259" spans="1:4" x14ac:dyDescent="0.3">
      <c r="A11259" s="5" t="s">
        <v>350</v>
      </c>
      <c r="B11259" s="5" t="s">
        <v>351</v>
      </c>
      <c r="C11259" s="6">
        <v>1972</v>
      </c>
      <c r="D11259" s="7">
        <v>4596622</v>
      </c>
    </row>
    <row r="11260" spans="1:4" x14ac:dyDescent="0.3">
      <c r="A11260" s="2" t="s">
        <v>350</v>
      </c>
      <c r="B11260" s="2" t="s">
        <v>351</v>
      </c>
      <c r="C11260" s="3">
        <v>1973</v>
      </c>
      <c r="D11260" s="4">
        <v>4641445</v>
      </c>
    </row>
    <row r="11261" spans="1:4" x14ac:dyDescent="0.3">
      <c r="A11261" s="5" t="s">
        <v>350</v>
      </c>
      <c r="B11261" s="5" t="s">
        <v>351</v>
      </c>
      <c r="C11261" s="6">
        <v>1974</v>
      </c>
      <c r="D11261" s="7">
        <v>4689623</v>
      </c>
    </row>
    <row r="11262" spans="1:4" x14ac:dyDescent="0.3">
      <c r="A11262" s="2" t="s">
        <v>350</v>
      </c>
      <c r="B11262" s="2" t="s">
        <v>351</v>
      </c>
      <c r="C11262" s="3">
        <v>1975</v>
      </c>
      <c r="D11262" s="4">
        <v>4739105</v>
      </c>
    </row>
    <row r="11263" spans="1:4" x14ac:dyDescent="0.3">
      <c r="A11263" s="5" t="s">
        <v>350</v>
      </c>
      <c r="B11263" s="5" t="s">
        <v>351</v>
      </c>
      <c r="C11263" s="6">
        <v>1976</v>
      </c>
      <c r="D11263" s="7">
        <v>4789507</v>
      </c>
    </row>
    <row r="11264" spans="1:4" x14ac:dyDescent="0.3">
      <c r="A11264" s="2" t="s">
        <v>350</v>
      </c>
      <c r="B11264" s="2" t="s">
        <v>351</v>
      </c>
      <c r="C11264" s="3">
        <v>1977</v>
      </c>
      <c r="D11264" s="4">
        <v>4840501</v>
      </c>
    </row>
    <row r="11265" spans="1:4" x14ac:dyDescent="0.3">
      <c r="A11265" s="5" t="s">
        <v>350</v>
      </c>
      <c r="B11265" s="5" t="s">
        <v>351</v>
      </c>
      <c r="C11265" s="6">
        <v>1978</v>
      </c>
      <c r="D11265" s="7">
        <v>4890125</v>
      </c>
    </row>
    <row r="11266" spans="1:4" x14ac:dyDescent="0.3">
      <c r="A11266" s="2" t="s">
        <v>350</v>
      </c>
      <c r="B11266" s="2" t="s">
        <v>351</v>
      </c>
      <c r="C11266" s="3">
        <v>1979</v>
      </c>
      <c r="D11266" s="4">
        <v>4938973</v>
      </c>
    </row>
    <row r="11267" spans="1:4" x14ac:dyDescent="0.3">
      <c r="A11267" s="5" t="s">
        <v>350</v>
      </c>
      <c r="B11267" s="5" t="s">
        <v>351</v>
      </c>
      <c r="C11267" s="6">
        <v>1980</v>
      </c>
      <c r="D11267" s="7">
        <v>4979815</v>
      </c>
    </row>
    <row r="11268" spans="1:4" x14ac:dyDescent="0.3">
      <c r="A11268" s="2" t="s">
        <v>350</v>
      </c>
      <c r="B11268" s="2" t="s">
        <v>351</v>
      </c>
      <c r="C11268" s="3">
        <v>1981</v>
      </c>
      <c r="D11268" s="4">
        <v>5016105</v>
      </c>
    </row>
    <row r="11269" spans="1:4" x14ac:dyDescent="0.3">
      <c r="A11269" s="5" t="s">
        <v>350</v>
      </c>
      <c r="B11269" s="5" t="s">
        <v>351</v>
      </c>
      <c r="C11269" s="6">
        <v>1982</v>
      </c>
      <c r="D11269" s="7">
        <v>5055099</v>
      </c>
    </row>
    <row r="11270" spans="1:4" x14ac:dyDescent="0.3">
      <c r="A11270" s="2" t="s">
        <v>350</v>
      </c>
      <c r="B11270" s="2" t="s">
        <v>351</v>
      </c>
      <c r="C11270" s="3">
        <v>1983</v>
      </c>
      <c r="D11270" s="4">
        <v>5091971</v>
      </c>
    </row>
    <row r="11271" spans="1:4" x14ac:dyDescent="0.3">
      <c r="A11271" s="5" t="s">
        <v>350</v>
      </c>
      <c r="B11271" s="5" t="s">
        <v>351</v>
      </c>
      <c r="C11271" s="6">
        <v>1984</v>
      </c>
      <c r="D11271" s="7">
        <v>5127097</v>
      </c>
    </row>
    <row r="11272" spans="1:4" x14ac:dyDescent="0.3">
      <c r="A11272" s="2" t="s">
        <v>350</v>
      </c>
      <c r="B11272" s="2" t="s">
        <v>351</v>
      </c>
      <c r="C11272" s="3">
        <v>1985</v>
      </c>
      <c r="D11272" s="4">
        <v>5161768</v>
      </c>
    </row>
    <row r="11273" spans="1:4" x14ac:dyDescent="0.3">
      <c r="A11273" s="5" t="s">
        <v>350</v>
      </c>
      <c r="B11273" s="5" t="s">
        <v>351</v>
      </c>
      <c r="C11273" s="6">
        <v>1986</v>
      </c>
      <c r="D11273" s="7">
        <v>5193838</v>
      </c>
    </row>
    <row r="11274" spans="1:4" x14ac:dyDescent="0.3">
      <c r="A11274" s="2" t="s">
        <v>350</v>
      </c>
      <c r="B11274" s="2" t="s">
        <v>351</v>
      </c>
      <c r="C11274" s="3">
        <v>1987</v>
      </c>
      <c r="D11274" s="4">
        <v>5222840</v>
      </c>
    </row>
    <row r="11275" spans="1:4" x14ac:dyDescent="0.3">
      <c r="A11275" s="5" t="s">
        <v>350</v>
      </c>
      <c r="B11275" s="5" t="s">
        <v>351</v>
      </c>
      <c r="C11275" s="6">
        <v>1988</v>
      </c>
      <c r="D11275" s="7">
        <v>5250596</v>
      </c>
    </row>
    <row r="11276" spans="1:4" x14ac:dyDescent="0.3">
      <c r="A11276" s="2" t="s">
        <v>350</v>
      </c>
      <c r="B11276" s="2" t="s">
        <v>351</v>
      </c>
      <c r="C11276" s="3">
        <v>1989</v>
      </c>
      <c r="D11276" s="4">
        <v>5275942</v>
      </c>
    </row>
    <row r="11277" spans="1:4" x14ac:dyDescent="0.3">
      <c r="A11277" s="5" t="s">
        <v>350</v>
      </c>
      <c r="B11277" s="5" t="s">
        <v>351</v>
      </c>
      <c r="C11277" s="6">
        <v>1990</v>
      </c>
      <c r="D11277" s="7">
        <v>5299187</v>
      </c>
    </row>
    <row r="11278" spans="1:4" x14ac:dyDescent="0.3">
      <c r="A11278" s="2" t="s">
        <v>350</v>
      </c>
      <c r="B11278" s="2" t="s">
        <v>351</v>
      </c>
      <c r="C11278" s="3">
        <v>1991</v>
      </c>
      <c r="D11278" s="4">
        <v>5303294</v>
      </c>
    </row>
    <row r="11279" spans="1:4" x14ac:dyDescent="0.3">
      <c r="A11279" s="5" t="s">
        <v>350</v>
      </c>
      <c r="B11279" s="5" t="s">
        <v>351</v>
      </c>
      <c r="C11279" s="6">
        <v>1992</v>
      </c>
      <c r="D11279" s="7">
        <v>5305016</v>
      </c>
    </row>
    <row r="11280" spans="1:4" x14ac:dyDescent="0.3">
      <c r="A11280" s="2" t="s">
        <v>350</v>
      </c>
      <c r="B11280" s="2" t="s">
        <v>351</v>
      </c>
      <c r="C11280" s="3">
        <v>1993</v>
      </c>
      <c r="D11280" s="4">
        <v>5325305</v>
      </c>
    </row>
    <row r="11281" spans="1:4" x14ac:dyDescent="0.3">
      <c r="A11281" s="5" t="s">
        <v>350</v>
      </c>
      <c r="B11281" s="5" t="s">
        <v>351</v>
      </c>
      <c r="C11281" s="6">
        <v>1994</v>
      </c>
      <c r="D11281" s="7">
        <v>5346331</v>
      </c>
    </row>
    <row r="11282" spans="1:4" x14ac:dyDescent="0.3">
      <c r="A11282" s="2" t="s">
        <v>350</v>
      </c>
      <c r="B11282" s="2" t="s">
        <v>351</v>
      </c>
      <c r="C11282" s="3">
        <v>1995</v>
      </c>
      <c r="D11282" s="4">
        <v>5361999</v>
      </c>
    </row>
    <row r="11283" spans="1:4" x14ac:dyDescent="0.3">
      <c r="A11283" s="5" t="s">
        <v>350</v>
      </c>
      <c r="B11283" s="5" t="s">
        <v>351</v>
      </c>
      <c r="C11283" s="6">
        <v>1996</v>
      </c>
      <c r="D11283" s="7">
        <v>5373361</v>
      </c>
    </row>
    <row r="11284" spans="1:4" x14ac:dyDescent="0.3">
      <c r="A11284" s="2" t="s">
        <v>350</v>
      </c>
      <c r="B11284" s="2" t="s">
        <v>351</v>
      </c>
      <c r="C11284" s="3">
        <v>1997</v>
      </c>
      <c r="D11284" s="4">
        <v>5383291</v>
      </c>
    </row>
    <row r="11285" spans="1:4" x14ac:dyDescent="0.3">
      <c r="A11285" s="5" t="s">
        <v>350</v>
      </c>
      <c r="B11285" s="5" t="s">
        <v>351</v>
      </c>
      <c r="C11285" s="6">
        <v>1998</v>
      </c>
      <c r="D11285" s="7">
        <v>5390516</v>
      </c>
    </row>
    <row r="11286" spans="1:4" x14ac:dyDescent="0.3">
      <c r="A11286" s="2" t="s">
        <v>350</v>
      </c>
      <c r="B11286" s="2" t="s">
        <v>351</v>
      </c>
      <c r="C11286" s="3">
        <v>1999</v>
      </c>
      <c r="D11286" s="4">
        <v>5396020</v>
      </c>
    </row>
    <row r="11287" spans="1:4" x14ac:dyDescent="0.3">
      <c r="A11287" s="5" t="s">
        <v>350</v>
      </c>
      <c r="B11287" s="5" t="s">
        <v>351</v>
      </c>
      <c r="C11287" s="6">
        <v>2000</v>
      </c>
      <c r="D11287" s="7">
        <v>5388720</v>
      </c>
    </row>
    <row r="11288" spans="1:4" x14ac:dyDescent="0.3">
      <c r="A11288" s="2" t="s">
        <v>350</v>
      </c>
      <c r="B11288" s="2" t="s">
        <v>351</v>
      </c>
      <c r="C11288" s="3">
        <v>2001</v>
      </c>
      <c r="D11288" s="4">
        <v>5378867</v>
      </c>
    </row>
    <row r="11289" spans="1:4" x14ac:dyDescent="0.3">
      <c r="A11289" s="5" t="s">
        <v>350</v>
      </c>
      <c r="B11289" s="5" t="s">
        <v>351</v>
      </c>
      <c r="C11289" s="6">
        <v>2002</v>
      </c>
      <c r="D11289" s="7">
        <v>5376912</v>
      </c>
    </row>
    <row r="11290" spans="1:4" x14ac:dyDescent="0.3">
      <c r="A11290" s="2" t="s">
        <v>350</v>
      </c>
      <c r="B11290" s="2" t="s">
        <v>351</v>
      </c>
      <c r="C11290" s="3">
        <v>2003</v>
      </c>
      <c r="D11290" s="4">
        <v>5373374</v>
      </c>
    </row>
    <row r="11291" spans="1:4" x14ac:dyDescent="0.3">
      <c r="A11291" s="5" t="s">
        <v>350</v>
      </c>
      <c r="B11291" s="5" t="s">
        <v>351</v>
      </c>
      <c r="C11291" s="6">
        <v>2004</v>
      </c>
      <c r="D11291" s="7">
        <v>5372280</v>
      </c>
    </row>
    <row r="11292" spans="1:4" x14ac:dyDescent="0.3">
      <c r="A11292" s="2" t="s">
        <v>350</v>
      </c>
      <c r="B11292" s="2" t="s">
        <v>351</v>
      </c>
      <c r="C11292" s="3">
        <v>2005</v>
      </c>
      <c r="D11292" s="4">
        <v>5372807</v>
      </c>
    </row>
    <row r="11293" spans="1:4" x14ac:dyDescent="0.3">
      <c r="A11293" s="5" t="s">
        <v>350</v>
      </c>
      <c r="B11293" s="5" t="s">
        <v>351</v>
      </c>
      <c r="C11293" s="6">
        <v>2006</v>
      </c>
      <c r="D11293" s="7">
        <v>5373054</v>
      </c>
    </row>
    <row r="11294" spans="1:4" x14ac:dyDescent="0.3">
      <c r="A11294" s="2" t="s">
        <v>350</v>
      </c>
      <c r="B11294" s="2" t="s">
        <v>351</v>
      </c>
      <c r="C11294" s="3">
        <v>2007</v>
      </c>
      <c r="D11294" s="4">
        <v>5374622</v>
      </c>
    </row>
    <row r="11295" spans="1:4" x14ac:dyDescent="0.3">
      <c r="A11295" s="5" t="s">
        <v>350</v>
      </c>
      <c r="B11295" s="5" t="s">
        <v>351</v>
      </c>
      <c r="C11295" s="6">
        <v>2008</v>
      </c>
      <c r="D11295" s="7">
        <v>5379233</v>
      </c>
    </row>
    <row r="11296" spans="1:4" x14ac:dyDescent="0.3">
      <c r="A11296" s="2" t="s">
        <v>350</v>
      </c>
      <c r="B11296" s="2" t="s">
        <v>351</v>
      </c>
      <c r="C11296" s="3">
        <v>2009</v>
      </c>
      <c r="D11296" s="4">
        <v>5386406</v>
      </c>
    </row>
    <row r="11297" spans="1:4" x14ac:dyDescent="0.3">
      <c r="A11297" s="5" t="s">
        <v>350</v>
      </c>
      <c r="B11297" s="5" t="s">
        <v>351</v>
      </c>
      <c r="C11297" s="6">
        <v>2010</v>
      </c>
      <c r="D11297" s="7">
        <v>5391428</v>
      </c>
    </row>
    <row r="11298" spans="1:4" x14ac:dyDescent="0.3">
      <c r="A11298" s="2" t="s">
        <v>350</v>
      </c>
      <c r="B11298" s="2" t="s">
        <v>351</v>
      </c>
      <c r="C11298" s="3">
        <v>2011</v>
      </c>
      <c r="D11298" s="4">
        <v>5398384</v>
      </c>
    </row>
    <row r="11299" spans="1:4" x14ac:dyDescent="0.3">
      <c r="A11299" s="5" t="s">
        <v>350</v>
      </c>
      <c r="B11299" s="5" t="s">
        <v>351</v>
      </c>
      <c r="C11299" s="6">
        <v>2012</v>
      </c>
      <c r="D11299" s="7">
        <v>5407579</v>
      </c>
    </row>
    <row r="11300" spans="1:4" x14ac:dyDescent="0.3">
      <c r="A11300" s="2" t="s">
        <v>350</v>
      </c>
      <c r="B11300" s="2" t="s">
        <v>351</v>
      </c>
      <c r="C11300" s="3">
        <v>2013</v>
      </c>
      <c r="D11300" s="4">
        <v>5413393</v>
      </c>
    </row>
    <row r="11301" spans="1:4" x14ac:dyDescent="0.3">
      <c r="A11301" s="5" t="s">
        <v>350</v>
      </c>
      <c r="B11301" s="5" t="s">
        <v>351</v>
      </c>
      <c r="C11301" s="6">
        <v>2014</v>
      </c>
      <c r="D11301" s="7">
        <v>5418649</v>
      </c>
    </row>
    <row r="11302" spans="1:4" x14ac:dyDescent="0.3">
      <c r="A11302" s="2" t="s">
        <v>350</v>
      </c>
      <c r="B11302" s="2" t="s">
        <v>351</v>
      </c>
      <c r="C11302" s="3">
        <v>2015</v>
      </c>
      <c r="D11302" s="4">
        <v>5423801</v>
      </c>
    </row>
    <row r="11303" spans="1:4" x14ac:dyDescent="0.3">
      <c r="A11303" s="5" t="s">
        <v>350</v>
      </c>
      <c r="B11303" s="5" t="s">
        <v>351</v>
      </c>
      <c r="C11303" s="6">
        <v>2016</v>
      </c>
      <c r="D11303" s="7">
        <v>5430798</v>
      </c>
    </row>
    <row r="11304" spans="1:4" x14ac:dyDescent="0.3">
      <c r="A11304" s="2" t="s">
        <v>350</v>
      </c>
      <c r="B11304" s="2" t="s">
        <v>351</v>
      </c>
      <c r="C11304" s="3">
        <v>2017</v>
      </c>
      <c r="D11304" s="4">
        <v>5439232</v>
      </c>
    </row>
    <row r="11305" spans="1:4" x14ac:dyDescent="0.3">
      <c r="A11305" s="5" t="s">
        <v>350</v>
      </c>
      <c r="B11305" s="5" t="s">
        <v>351</v>
      </c>
      <c r="C11305" s="6">
        <v>2018</v>
      </c>
      <c r="D11305" s="7">
        <v>5446771</v>
      </c>
    </row>
    <row r="11306" spans="1:4" x14ac:dyDescent="0.3">
      <c r="A11306" s="2" t="s">
        <v>350</v>
      </c>
      <c r="B11306" s="2" t="s">
        <v>351</v>
      </c>
      <c r="C11306" s="3">
        <v>2019</v>
      </c>
      <c r="D11306" s="4">
        <v>5454147</v>
      </c>
    </row>
    <row r="11307" spans="1:4" x14ac:dyDescent="0.3">
      <c r="A11307" s="5" t="s">
        <v>350</v>
      </c>
      <c r="B11307" s="5" t="s">
        <v>351</v>
      </c>
      <c r="C11307" s="6">
        <v>2020</v>
      </c>
      <c r="D11307" s="7">
        <v>5458827</v>
      </c>
    </row>
    <row r="11308" spans="1:4" x14ac:dyDescent="0.3">
      <c r="A11308" s="2" t="s">
        <v>350</v>
      </c>
      <c r="B11308" s="2" t="s">
        <v>351</v>
      </c>
      <c r="C11308" s="3">
        <v>2021</v>
      </c>
      <c r="D11308" s="4">
        <v>5447247</v>
      </c>
    </row>
    <row r="11309" spans="1:4" x14ac:dyDescent="0.3">
      <c r="A11309" s="5" t="s">
        <v>350</v>
      </c>
      <c r="B11309" s="5" t="s">
        <v>351</v>
      </c>
      <c r="C11309" s="6">
        <v>2022</v>
      </c>
      <c r="D11309" s="7">
        <v>5431752</v>
      </c>
    </row>
    <row r="11310" spans="1:4" x14ac:dyDescent="0.3">
      <c r="A11310" s="2" t="s">
        <v>350</v>
      </c>
      <c r="B11310" s="2" t="s">
        <v>351</v>
      </c>
      <c r="C11310" s="3">
        <v>2023</v>
      </c>
      <c r="D11310" s="4">
        <v>5426740</v>
      </c>
    </row>
    <row r="11311" spans="1:4" x14ac:dyDescent="0.3">
      <c r="A11311" s="5" t="s">
        <v>350</v>
      </c>
      <c r="B11311" s="5" t="s">
        <v>351</v>
      </c>
      <c r="C11311" s="6">
        <v>2024</v>
      </c>
      <c r="D11311" s="7">
        <v>5422069</v>
      </c>
    </row>
    <row r="11312" spans="1:4" x14ac:dyDescent="0.3">
      <c r="A11312" s="2" t="s">
        <v>352</v>
      </c>
      <c r="B11312" s="2" t="s">
        <v>353</v>
      </c>
      <c r="C11312" s="3">
        <v>1960</v>
      </c>
      <c r="D11312" s="4">
        <v>1584720</v>
      </c>
    </row>
    <row r="11313" spans="1:4" x14ac:dyDescent="0.3">
      <c r="A11313" s="5" t="s">
        <v>352</v>
      </c>
      <c r="B11313" s="5" t="s">
        <v>353</v>
      </c>
      <c r="C11313" s="6">
        <v>1961</v>
      </c>
      <c r="D11313" s="7">
        <v>1594131</v>
      </c>
    </row>
    <row r="11314" spans="1:4" x14ac:dyDescent="0.3">
      <c r="A11314" s="2" t="s">
        <v>352</v>
      </c>
      <c r="B11314" s="2" t="s">
        <v>353</v>
      </c>
      <c r="C11314" s="3">
        <v>1962</v>
      </c>
      <c r="D11314" s="4">
        <v>1603649</v>
      </c>
    </row>
    <row r="11315" spans="1:4" x14ac:dyDescent="0.3">
      <c r="A11315" s="5" t="s">
        <v>352</v>
      </c>
      <c r="B11315" s="5" t="s">
        <v>353</v>
      </c>
      <c r="C11315" s="6">
        <v>1963</v>
      </c>
      <c r="D11315" s="7">
        <v>1616971</v>
      </c>
    </row>
    <row r="11316" spans="1:4" x14ac:dyDescent="0.3">
      <c r="A11316" s="2" t="s">
        <v>352</v>
      </c>
      <c r="B11316" s="2" t="s">
        <v>353</v>
      </c>
      <c r="C11316" s="3">
        <v>1964</v>
      </c>
      <c r="D11316" s="4">
        <v>1632114</v>
      </c>
    </row>
    <row r="11317" spans="1:4" x14ac:dyDescent="0.3">
      <c r="A11317" s="5" t="s">
        <v>352</v>
      </c>
      <c r="B11317" s="5" t="s">
        <v>353</v>
      </c>
      <c r="C11317" s="6">
        <v>1965</v>
      </c>
      <c r="D11317" s="7">
        <v>1649160</v>
      </c>
    </row>
    <row r="11318" spans="1:4" x14ac:dyDescent="0.3">
      <c r="A11318" s="2" t="s">
        <v>352</v>
      </c>
      <c r="B11318" s="2" t="s">
        <v>353</v>
      </c>
      <c r="C11318" s="3">
        <v>1966</v>
      </c>
      <c r="D11318" s="4">
        <v>1669905</v>
      </c>
    </row>
    <row r="11319" spans="1:4" x14ac:dyDescent="0.3">
      <c r="A11319" s="5" t="s">
        <v>352</v>
      </c>
      <c r="B11319" s="5" t="s">
        <v>353</v>
      </c>
      <c r="C11319" s="6">
        <v>1967</v>
      </c>
      <c r="D11319" s="7">
        <v>1689528</v>
      </c>
    </row>
    <row r="11320" spans="1:4" x14ac:dyDescent="0.3">
      <c r="A11320" s="2" t="s">
        <v>352</v>
      </c>
      <c r="B11320" s="2" t="s">
        <v>353</v>
      </c>
      <c r="C11320" s="3">
        <v>1968</v>
      </c>
      <c r="D11320" s="4">
        <v>1704546</v>
      </c>
    </row>
    <row r="11321" spans="1:4" x14ac:dyDescent="0.3">
      <c r="A11321" s="5" t="s">
        <v>352</v>
      </c>
      <c r="B11321" s="5" t="s">
        <v>353</v>
      </c>
      <c r="C11321" s="6">
        <v>1969</v>
      </c>
      <c r="D11321" s="7">
        <v>1713874</v>
      </c>
    </row>
    <row r="11322" spans="1:4" x14ac:dyDescent="0.3">
      <c r="A11322" s="2" t="s">
        <v>352</v>
      </c>
      <c r="B11322" s="2" t="s">
        <v>353</v>
      </c>
      <c r="C11322" s="3">
        <v>1970</v>
      </c>
      <c r="D11322" s="4">
        <v>1724891</v>
      </c>
    </row>
    <row r="11323" spans="1:4" x14ac:dyDescent="0.3">
      <c r="A11323" s="5" t="s">
        <v>352</v>
      </c>
      <c r="B11323" s="5" t="s">
        <v>353</v>
      </c>
      <c r="C11323" s="6">
        <v>1971</v>
      </c>
      <c r="D11323" s="7">
        <v>1738335</v>
      </c>
    </row>
    <row r="11324" spans="1:4" x14ac:dyDescent="0.3">
      <c r="A11324" s="2" t="s">
        <v>352</v>
      </c>
      <c r="B11324" s="2" t="s">
        <v>353</v>
      </c>
      <c r="C11324" s="3">
        <v>1972</v>
      </c>
      <c r="D11324" s="4">
        <v>1752233</v>
      </c>
    </row>
    <row r="11325" spans="1:4" x14ac:dyDescent="0.3">
      <c r="A11325" s="5" t="s">
        <v>352</v>
      </c>
      <c r="B11325" s="5" t="s">
        <v>353</v>
      </c>
      <c r="C11325" s="6">
        <v>1973</v>
      </c>
      <c r="D11325" s="7">
        <v>1766697</v>
      </c>
    </row>
    <row r="11326" spans="1:4" x14ac:dyDescent="0.3">
      <c r="A11326" s="2" t="s">
        <v>352</v>
      </c>
      <c r="B11326" s="2" t="s">
        <v>353</v>
      </c>
      <c r="C11326" s="3">
        <v>1974</v>
      </c>
      <c r="D11326" s="4">
        <v>1776132</v>
      </c>
    </row>
    <row r="11327" spans="1:4" x14ac:dyDescent="0.3">
      <c r="A11327" s="5" t="s">
        <v>352</v>
      </c>
      <c r="B11327" s="5" t="s">
        <v>353</v>
      </c>
      <c r="C11327" s="6">
        <v>1975</v>
      </c>
      <c r="D11327" s="7">
        <v>1793581</v>
      </c>
    </row>
    <row r="11328" spans="1:4" x14ac:dyDescent="0.3">
      <c r="A11328" s="2" t="s">
        <v>352</v>
      </c>
      <c r="B11328" s="2" t="s">
        <v>353</v>
      </c>
      <c r="C11328" s="3">
        <v>1976</v>
      </c>
      <c r="D11328" s="4">
        <v>1820249</v>
      </c>
    </row>
    <row r="11329" spans="1:4" x14ac:dyDescent="0.3">
      <c r="A11329" s="5" t="s">
        <v>352</v>
      </c>
      <c r="B11329" s="5" t="s">
        <v>353</v>
      </c>
      <c r="C11329" s="6">
        <v>1977</v>
      </c>
      <c r="D11329" s="7">
        <v>1842377</v>
      </c>
    </row>
    <row r="11330" spans="1:4" x14ac:dyDescent="0.3">
      <c r="A11330" s="2" t="s">
        <v>352</v>
      </c>
      <c r="B11330" s="2" t="s">
        <v>353</v>
      </c>
      <c r="C11330" s="3">
        <v>1978</v>
      </c>
      <c r="D11330" s="4">
        <v>1862548</v>
      </c>
    </row>
    <row r="11331" spans="1:4" x14ac:dyDescent="0.3">
      <c r="A11331" s="5" t="s">
        <v>352</v>
      </c>
      <c r="B11331" s="5" t="s">
        <v>353</v>
      </c>
      <c r="C11331" s="6">
        <v>1979</v>
      </c>
      <c r="D11331" s="7">
        <v>1882599</v>
      </c>
    </row>
    <row r="11332" spans="1:4" x14ac:dyDescent="0.3">
      <c r="A11332" s="2" t="s">
        <v>352</v>
      </c>
      <c r="B11332" s="2" t="s">
        <v>353</v>
      </c>
      <c r="C11332" s="3">
        <v>1980</v>
      </c>
      <c r="D11332" s="4">
        <v>1901315</v>
      </c>
    </row>
    <row r="11333" spans="1:4" x14ac:dyDescent="0.3">
      <c r="A11333" s="5" t="s">
        <v>352</v>
      </c>
      <c r="B11333" s="5" t="s">
        <v>353</v>
      </c>
      <c r="C11333" s="6">
        <v>1981</v>
      </c>
      <c r="D11333" s="7">
        <v>1906531</v>
      </c>
    </row>
    <row r="11334" spans="1:4" x14ac:dyDescent="0.3">
      <c r="A11334" s="2" t="s">
        <v>352</v>
      </c>
      <c r="B11334" s="2" t="s">
        <v>353</v>
      </c>
      <c r="C11334" s="3">
        <v>1982</v>
      </c>
      <c r="D11334" s="4">
        <v>1910334</v>
      </c>
    </row>
    <row r="11335" spans="1:4" x14ac:dyDescent="0.3">
      <c r="A11335" s="5" t="s">
        <v>352</v>
      </c>
      <c r="B11335" s="5" t="s">
        <v>353</v>
      </c>
      <c r="C11335" s="6">
        <v>1983</v>
      </c>
      <c r="D11335" s="7">
        <v>1922321</v>
      </c>
    </row>
    <row r="11336" spans="1:4" x14ac:dyDescent="0.3">
      <c r="A11336" s="2" t="s">
        <v>352</v>
      </c>
      <c r="B11336" s="2" t="s">
        <v>353</v>
      </c>
      <c r="C11336" s="3">
        <v>1984</v>
      </c>
      <c r="D11336" s="4">
        <v>1932154</v>
      </c>
    </row>
    <row r="11337" spans="1:4" x14ac:dyDescent="0.3">
      <c r="A11337" s="5" t="s">
        <v>352</v>
      </c>
      <c r="B11337" s="5" t="s">
        <v>353</v>
      </c>
      <c r="C11337" s="6">
        <v>1985</v>
      </c>
      <c r="D11337" s="7">
        <v>1941641</v>
      </c>
    </row>
    <row r="11338" spans="1:4" x14ac:dyDescent="0.3">
      <c r="A11338" s="2" t="s">
        <v>352</v>
      </c>
      <c r="B11338" s="2" t="s">
        <v>353</v>
      </c>
      <c r="C11338" s="3">
        <v>1986</v>
      </c>
      <c r="D11338" s="4">
        <v>1965964</v>
      </c>
    </row>
    <row r="11339" spans="1:4" x14ac:dyDescent="0.3">
      <c r="A11339" s="5" t="s">
        <v>352</v>
      </c>
      <c r="B11339" s="5" t="s">
        <v>353</v>
      </c>
      <c r="C11339" s="6">
        <v>1987</v>
      </c>
      <c r="D11339" s="7">
        <v>1989776</v>
      </c>
    </row>
    <row r="11340" spans="1:4" x14ac:dyDescent="0.3">
      <c r="A11340" s="2" t="s">
        <v>352</v>
      </c>
      <c r="B11340" s="2" t="s">
        <v>353</v>
      </c>
      <c r="C11340" s="3">
        <v>1988</v>
      </c>
      <c r="D11340" s="4">
        <v>1995196</v>
      </c>
    </row>
    <row r="11341" spans="1:4" x14ac:dyDescent="0.3">
      <c r="A11341" s="5" t="s">
        <v>352</v>
      </c>
      <c r="B11341" s="5" t="s">
        <v>353</v>
      </c>
      <c r="C11341" s="6">
        <v>1989</v>
      </c>
      <c r="D11341" s="7">
        <v>1996351</v>
      </c>
    </row>
    <row r="11342" spans="1:4" x14ac:dyDescent="0.3">
      <c r="A11342" s="2" t="s">
        <v>352</v>
      </c>
      <c r="B11342" s="2" t="s">
        <v>353</v>
      </c>
      <c r="C11342" s="3">
        <v>1990</v>
      </c>
      <c r="D11342" s="4">
        <v>1998161</v>
      </c>
    </row>
    <row r="11343" spans="1:4" x14ac:dyDescent="0.3">
      <c r="A11343" s="5" t="s">
        <v>352</v>
      </c>
      <c r="B11343" s="5" t="s">
        <v>353</v>
      </c>
      <c r="C11343" s="6">
        <v>1991</v>
      </c>
      <c r="D11343" s="7">
        <v>1999429</v>
      </c>
    </row>
    <row r="11344" spans="1:4" x14ac:dyDescent="0.3">
      <c r="A11344" s="2" t="s">
        <v>352</v>
      </c>
      <c r="B11344" s="2" t="s">
        <v>353</v>
      </c>
      <c r="C11344" s="3">
        <v>1992</v>
      </c>
      <c r="D11344" s="4">
        <v>1996498</v>
      </c>
    </row>
    <row r="11345" spans="1:4" x14ac:dyDescent="0.3">
      <c r="A11345" s="5" t="s">
        <v>352</v>
      </c>
      <c r="B11345" s="5" t="s">
        <v>353</v>
      </c>
      <c r="C11345" s="6">
        <v>1993</v>
      </c>
      <c r="D11345" s="7">
        <v>1991746</v>
      </c>
    </row>
    <row r="11346" spans="1:4" x14ac:dyDescent="0.3">
      <c r="A11346" s="2" t="s">
        <v>352</v>
      </c>
      <c r="B11346" s="2" t="s">
        <v>353</v>
      </c>
      <c r="C11346" s="3">
        <v>1994</v>
      </c>
      <c r="D11346" s="4">
        <v>1989443</v>
      </c>
    </row>
    <row r="11347" spans="1:4" x14ac:dyDescent="0.3">
      <c r="A11347" s="5" t="s">
        <v>352</v>
      </c>
      <c r="B11347" s="5" t="s">
        <v>353</v>
      </c>
      <c r="C11347" s="6">
        <v>1995</v>
      </c>
      <c r="D11347" s="7">
        <v>1989872</v>
      </c>
    </row>
    <row r="11348" spans="1:4" x14ac:dyDescent="0.3">
      <c r="A11348" s="2" t="s">
        <v>352</v>
      </c>
      <c r="B11348" s="2" t="s">
        <v>353</v>
      </c>
      <c r="C11348" s="3">
        <v>1996</v>
      </c>
      <c r="D11348" s="4">
        <v>1988628</v>
      </c>
    </row>
    <row r="11349" spans="1:4" x14ac:dyDescent="0.3">
      <c r="A11349" s="5" t="s">
        <v>352</v>
      </c>
      <c r="B11349" s="5" t="s">
        <v>353</v>
      </c>
      <c r="C11349" s="6">
        <v>1997</v>
      </c>
      <c r="D11349" s="7">
        <v>1985956</v>
      </c>
    </row>
    <row r="11350" spans="1:4" x14ac:dyDescent="0.3">
      <c r="A11350" s="2" t="s">
        <v>352</v>
      </c>
      <c r="B11350" s="2" t="s">
        <v>353</v>
      </c>
      <c r="C11350" s="3">
        <v>1998</v>
      </c>
      <c r="D11350" s="4">
        <v>1981629</v>
      </c>
    </row>
    <row r="11351" spans="1:4" x14ac:dyDescent="0.3">
      <c r="A11351" s="5" t="s">
        <v>352</v>
      </c>
      <c r="B11351" s="5" t="s">
        <v>353</v>
      </c>
      <c r="C11351" s="6">
        <v>1999</v>
      </c>
      <c r="D11351" s="7">
        <v>1983045</v>
      </c>
    </row>
    <row r="11352" spans="1:4" x14ac:dyDescent="0.3">
      <c r="A11352" s="2" t="s">
        <v>352</v>
      </c>
      <c r="B11352" s="2" t="s">
        <v>353</v>
      </c>
      <c r="C11352" s="3">
        <v>2000</v>
      </c>
      <c r="D11352" s="4">
        <v>1988925</v>
      </c>
    </row>
    <row r="11353" spans="1:4" x14ac:dyDescent="0.3">
      <c r="A11353" s="5" t="s">
        <v>352</v>
      </c>
      <c r="B11353" s="5" t="s">
        <v>353</v>
      </c>
      <c r="C11353" s="6">
        <v>2001</v>
      </c>
      <c r="D11353" s="7">
        <v>1992060</v>
      </c>
    </row>
    <row r="11354" spans="1:4" x14ac:dyDescent="0.3">
      <c r="A11354" s="2" t="s">
        <v>352</v>
      </c>
      <c r="B11354" s="2" t="s">
        <v>353</v>
      </c>
      <c r="C11354" s="3">
        <v>2002</v>
      </c>
      <c r="D11354" s="4">
        <v>1994530</v>
      </c>
    </row>
    <row r="11355" spans="1:4" x14ac:dyDescent="0.3">
      <c r="A11355" s="5" t="s">
        <v>352</v>
      </c>
      <c r="B11355" s="5" t="s">
        <v>353</v>
      </c>
      <c r="C11355" s="6">
        <v>2003</v>
      </c>
      <c r="D11355" s="7">
        <v>1995733</v>
      </c>
    </row>
    <row r="11356" spans="1:4" x14ac:dyDescent="0.3">
      <c r="A11356" s="2" t="s">
        <v>352</v>
      </c>
      <c r="B11356" s="2" t="s">
        <v>353</v>
      </c>
      <c r="C11356" s="3">
        <v>2004</v>
      </c>
      <c r="D11356" s="4">
        <v>1997012</v>
      </c>
    </row>
    <row r="11357" spans="1:4" x14ac:dyDescent="0.3">
      <c r="A11357" s="5" t="s">
        <v>352</v>
      </c>
      <c r="B11357" s="5" t="s">
        <v>353</v>
      </c>
      <c r="C11357" s="6">
        <v>2005</v>
      </c>
      <c r="D11357" s="7">
        <v>2000474</v>
      </c>
    </row>
    <row r="11358" spans="1:4" x14ac:dyDescent="0.3">
      <c r="A11358" s="2" t="s">
        <v>352</v>
      </c>
      <c r="B11358" s="2" t="s">
        <v>353</v>
      </c>
      <c r="C11358" s="3">
        <v>2006</v>
      </c>
      <c r="D11358" s="4">
        <v>2006868</v>
      </c>
    </row>
    <row r="11359" spans="1:4" x14ac:dyDescent="0.3">
      <c r="A11359" s="5" t="s">
        <v>352</v>
      </c>
      <c r="B11359" s="5" t="s">
        <v>353</v>
      </c>
      <c r="C11359" s="6">
        <v>2007</v>
      </c>
      <c r="D11359" s="7">
        <v>2018122</v>
      </c>
    </row>
    <row r="11360" spans="1:4" x14ac:dyDescent="0.3">
      <c r="A11360" s="2" t="s">
        <v>352</v>
      </c>
      <c r="B11360" s="2" t="s">
        <v>353</v>
      </c>
      <c r="C11360" s="3">
        <v>2008</v>
      </c>
      <c r="D11360" s="4">
        <v>2021316</v>
      </c>
    </row>
    <row r="11361" spans="1:4" x14ac:dyDescent="0.3">
      <c r="A11361" s="5" t="s">
        <v>352</v>
      </c>
      <c r="B11361" s="5" t="s">
        <v>353</v>
      </c>
      <c r="C11361" s="6">
        <v>2009</v>
      </c>
      <c r="D11361" s="7">
        <v>2039669</v>
      </c>
    </row>
    <row r="11362" spans="1:4" x14ac:dyDescent="0.3">
      <c r="A11362" s="2" t="s">
        <v>352</v>
      </c>
      <c r="B11362" s="2" t="s">
        <v>353</v>
      </c>
      <c r="C11362" s="3">
        <v>2010</v>
      </c>
      <c r="D11362" s="4">
        <v>2048583</v>
      </c>
    </row>
    <row r="11363" spans="1:4" x14ac:dyDescent="0.3">
      <c r="A11363" s="5" t="s">
        <v>352</v>
      </c>
      <c r="B11363" s="5" t="s">
        <v>353</v>
      </c>
      <c r="C11363" s="6">
        <v>2011</v>
      </c>
      <c r="D11363" s="7">
        <v>2052843</v>
      </c>
    </row>
    <row r="11364" spans="1:4" x14ac:dyDescent="0.3">
      <c r="A11364" s="2" t="s">
        <v>352</v>
      </c>
      <c r="B11364" s="2" t="s">
        <v>353</v>
      </c>
      <c r="C11364" s="3">
        <v>2012</v>
      </c>
      <c r="D11364" s="4">
        <v>2057159</v>
      </c>
    </row>
    <row r="11365" spans="1:4" x14ac:dyDescent="0.3">
      <c r="A11365" s="5" t="s">
        <v>352</v>
      </c>
      <c r="B11365" s="5" t="s">
        <v>353</v>
      </c>
      <c r="C11365" s="6">
        <v>2013</v>
      </c>
      <c r="D11365" s="7">
        <v>2059953</v>
      </c>
    </row>
    <row r="11366" spans="1:4" x14ac:dyDescent="0.3">
      <c r="A11366" s="2" t="s">
        <v>352</v>
      </c>
      <c r="B11366" s="2" t="s">
        <v>353</v>
      </c>
      <c r="C11366" s="3">
        <v>2014</v>
      </c>
      <c r="D11366" s="4">
        <v>2061980</v>
      </c>
    </row>
    <row r="11367" spans="1:4" x14ac:dyDescent="0.3">
      <c r="A11367" s="5" t="s">
        <v>352</v>
      </c>
      <c r="B11367" s="5" t="s">
        <v>353</v>
      </c>
      <c r="C11367" s="6">
        <v>2015</v>
      </c>
      <c r="D11367" s="7">
        <v>2063531</v>
      </c>
    </row>
    <row r="11368" spans="1:4" x14ac:dyDescent="0.3">
      <c r="A11368" s="2" t="s">
        <v>352</v>
      </c>
      <c r="B11368" s="2" t="s">
        <v>353</v>
      </c>
      <c r="C11368" s="3">
        <v>2016</v>
      </c>
      <c r="D11368" s="4">
        <v>2065042</v>
      </c>
    </row>
    <row r="11369" spans="1:4" x14ac:dyDescent="0.3">
      <c r="A11369" s="5" t="s">
        <v>352</v>
      </c>
      <c r="B11369" s="5" t="s">
        <v>353</v>
      </c>
      <c r="C11369" s="6">
        <v>2017</v>
      </c>
      <c r="D11369" s="7">
        <v>2066388</v>
      </c>
    </row>
    <row r="11370" spans="1:4" x14ac:dyDescent="0.3">
      <c r="A11370" s="2" t="s">
        <v>352</v>
      </c>
      <c r="B11370" s="2" t="s">
        <v>353</v>
      </c>
      <c r="C11370" s="3">
        <v>2018</v>
      </c>
      <c r="D11370" s="4">
        <v>2073894</v>
      </c>
    </row>
    <row r="11371" spans="1:4" x14ac:dyDescent="0.3">
      <c r="A11371" s="5" t="s">
        <v>352</v>
      </c>
      <c r="B11371" s="5" t="s">
        <v>353</v>
      </c>
      <c r="C11371" s="6">
        <v>2019</v>
      </c>
      <c r="D11371" s="7">
        <v>2088385</v>
      </c>
    </row>
    <row r="11372" spans="1:4" x14ac:dyDescent="0.3">
      <c r="A11372" s="2" t="s">
        <v>352</v>
      </c>
      <c r="B11372" s="2" t="s">
        <v>353</v>
      </c>
      <c r="C11372" s="3">
        <v>2020</v>
      </c>
      <c r="D11372" s="4">
        <v>2102419</v>
      </c>
    </row>
    <row r="11373" spans="1:4" x14ac:dyDescent="0.3">
      <c r="A11373" s="5" t="s">
        <v>352</v>
      </c>
      <c r="B11373" s="5" t="s">
        <v>353</v>
      </c>
      <c r="C11373" s="6">
        <v>2021</v>
      </c>
      <c r="D11373" s="7">
        <v>2108079</v>
      </c>
    </row>
    <row r="11374" spans="1:4" x14ac:dyDescent="0.3">
      <c r="A11374" s="2" t="s">
        <v>352</v>
      </c>
      <c r="B11374" s="2" t="s">
        <v>353</v>
      </c>
      <c r="C11374" s="3">
        <v>2022</v>
      </c>
      <c r="D11374" s="4">
        <v>2112076</v>
      </c>
    </row>
    <row r="11375" spans="1:4" x14ac:dyDescent="0.3">
      <c r="A11375" s="5" t="s">
        <v>352</v>
      </c>
      <c r="B11375" s="5" t="s">
        <v>353</v>
      </c>
      <c r="C11375" s="6">
        <v>2023</v>
      </c>
      <c r="D11375" s="7">
        <v>2120461</v>
      </c>
    </row>
    <row r="11376" spans="1:4" x14ac:dyDescent="0.3">
      <c r="A11376" s="2" t="s">
        <v>352</v>
      </c>
      <c r="B11376" s="2" t="s">
        <v>353</v>
      </c>
      <c r="C11376" s="3">
        <v>2024</v>
      </c>
      <c r="D11376" s="4">
        <v>2126324</v>
      </c>
    </row>
    <row r="11377" spans="1:4" x14ac:dyDescent="0.3">
      <c r="A11377" s="5" t="s">
        <v>354</v>
      </c>
      <c r="B11377" s="5" t="s">
        <v>355</v>
      </c>
      <c r="C11377" s="6">
        <v>1960</v>
      </c>
      <c r="D11377" s="7">
        <v>139688</v>
      </c>
    </row>
    <row r="11378" spans="1:4" x14ac:dyDescent="0.3">
      <c r="A11378" s="2" t="s">
        <v>354</v>
      </c>
      <c r="B11378" s="2" t="s">
        <v>355</v>
      </c>
      <c r="C11378" s="3">
        <v>1961</v>
      </c>
      <c r="D11378" s="4">
        <v>142912</v>
      </c>
    </row>
    <row r="11379" spans="1:4" x14ac:dyDescent="0.3">
      <c r="A11379" s="5" t="s">
        <v>354</v>
      </c>
      <c r="B11379" s="5" t="s">
        <v>355</v>
      </c>
      <c r="C11379" s="6">
        <v>1962</v>
      </c>
      <c r="D11379" s="7">
        <v>146201</v>
      </c>
    </row>
    <row r="11380" spans="1:4" x14ac:dyDescent="0.3">
      <c r="A11380" s="2" t="s">
        <v>354</v>
      </c>
      <c r="B11380" s="2" t="s">
        <v>355</v>
      </c>
      <c r="C11380" s="3">
        <v>1963</v>
      </c>
      <c r="D11380" s="4">
        <v>149589</v>
      </c>
    </row>
    <row r="11381" spans="1:4" x14ac:dyDescent="0.3">
      <c r="A11381" s="5" t="s">
        <v>354</v>
      </c>
      <c r="B11381" s="5" t="s">
        <v>355</v>
      </c>
      <c r="C11381" s="6">
        <v>1964</v>
      </c>
      <c r="D11381" s="7">
        <v>153085</v>
      </c>
    </row>
    <row r="11382" spans="1:4" x14ac:dyDescent="0.3">
      <c r="A11382" s="2" t="s">
        <v>354</v>
      </c>
      <c r="B11382" s="2" t="s">
        <v>355</v>
      </c>
      <c r="C11382" s="3">
        <v>1965</v>
      </c>
      <c r="D11382" s="4">
        <v>156686</v>
      </c>
    </row>
    <row r="11383" spans="1:4" x14ac:dyDescent="0.3">
      <c r="A11383" s="5" t="s">
        <v>354</v>
      </c>
      <c r="B11383" s="5" t="s">
        <v>355</v>
      </c>
      <c r="C11383" s="6">
        <v>1966</v>
      </c>
      <c r="D11383" s="7">
        <v>160393</v>
      </c>
    </row>
    <row r="11384" spans="1:4" x14ac:dyDescent="0.3">
      <c r="A11384" s="2" t="s">
        <v>354</v>
      </c>
      <c r="B11384" s="2" t="s">
        <v>355</v>
      </c>
      <c r="C11384" s="3">
        <v>1967</v>
      </c>
      <c r="D11384" s="4">
        <v>164245</v>
      </c>
    </row>
    <row r="11385" spans="1:4" x14ac:dyDescent="0.3">
      <c r="A11385" s="5" t="s">
        <v>354</v>
      </c>
      <c r="B11385" s="5" t="s">
        <v>355</v>
      </c>
      <c r="C11385" s="6">
        <v>1968</v>
      </c>
      <c r="D11385" s="7">
        <v>168282</v>
      </c>
    </row>
    <row r="11386" spans="1:4" x14ac:dyDescent="0.3">
      <c r="A11386" s="2" t="s">
        <v>354</v>
      </c>
      <c r="B11386" s="2" t="s">
        <v>355</v>
      </c>
      <c r="C11386" s="3">
        <v>1969</v>
      </c>
      <c r="D11386" s="4">
        <v>172476</v>
      </c>
    </row>
    <row r="11387" spans="1:4" x14ac:dyDescent="0.3">
      <c r="A11387" s="5" t="s">
        <v>354</v>
      </c>
      <c r="B11387" s="5" t="s">
        <v>355</v>
      </c>
      <c r="C11387" s="6">
        <v>1970</v>
      </c>
      <c r="D11387" s="7">
        <v>176579</v>
      </c>
    </row>
    <row r="11388" spans="1:4" x14ac:dyDescent="0.3">
      <c r="A11388" s="2" t="s">
        <v>354</v>
      </c>
      <c r="B11388" s="2" t="s">
        <v>355</v>
      </c>
      <c r="C11388" s="3">
        <v>1971</v>
      </c>
      <c r="D11388" s="4">
        <v>180637</v>
      </c>
    </row>
    <row r="11389" spans="1:4" x14ac:dyDescent="0.3">
      <c r="A11389" s="5" t="s">
        <v>354</v>
      </c>
      <c r="B11389" s="5" t="s">
        <v>355</v>
      </c>
      <c r="C11389" s="6">
        <v>1972</v>
      </c>
      <c r="D11389" s="7">
        <v>184994</v>
      </c>
    </row>
    <row r="11390" spans="1:4" x14ac:dyDescent="0.3">
      <c r="A11390" s="2" t="s">
        <v>354</v>
      </c>
      <c r="B11390" s="2" t="s">
        <v>355</v>
      </c>
      <c r="C11390" s="3">
        <v>1973</v>
      </c>
      <c r="D11390" s="4">
        <v>189774</v>
      </c>
    </row>
    <row r="11391" spans="1:4" x14ac:dyDescent="0.3">
      <c r="A11391" s="5" t="s">
        <v>354</v>
      </c>
      <c r="B11391" s="5" t="s">
        <v>355</v>
      </c>
      <c r="C11391" s="6">
        <v>1974</v>
      </c>
      <c r="D11391" s="7">
        <v>195041</v>
      </c>
    </row>
    <row r="11392" spans="1:4" x14ac:dyDescent="0.3">
      <c r="A11392" s="2" t="s">
        <v>354</v>
      </c>
      <c r="B11392" s="2" t="s">
        <v>355</v>
      </c>
      <c r="C11392" s="3">
        <v>1975</v>
      </c>
      <c r="D11392" s="4">
        <v>200744</v>
      </c>
    </row>
    <row r="11393" spans="1:4" x14ac:dyDescent="0.3">
      <c r="A11393" s="5" t="s">
        <v>354</v>
      </c>
      <c r="B11393" s="5" t="s">
        <v>355</v>
      </c>
      <c r="C11393" s="6">
        <v>1976</v>
      </c>
      <c r="D11393" s="7">
        <v>207194</v>
      </c>
    </row>
    <row r="11394" spans="1:4" x14ac:dyDescent="0.3">
      <c r="A11394" s="2" t="s">
        <v>354</v>
      </c>
      <c r="B11394" s="2" t="s">
        <v>355</v>
      </c>
      <c r="C11394" s="3">
        <v>1977</v>
      </c>
      <c r="D11394" s="4">
        <v>214418</v>
      </c>
    </row>
    <row r="11395" spans="1:4" x14ac:dyDescent="0.3">
      <c r="A11395" s="5" t="s">
        <v>354</v>
      </c>
      <c r="B11395" s="5" t="s">
        <v>355</v>
      </c>
      <c r="C11395" s="6">
        <v>1978</v>
      </c>
      <c r="D11395" s="7">
        <v>222029</v>
      </c>
    </row>
    <row r="11396" spans="1:4" x14ac:dyDescent="0.3">
      <c r="A11396" s="2" t="s">
        <v>354</v>
      </c>
      <c r="B11396" s="2" t="s">
        <v>355</v>
      </c>
      <c r="C11396" s="3">
        <v>1979</v>
      </c>
      <c r="D11396" s="4">
        <v>229953</v>
      </c>
    </row>
    <row r="11397" spans="1:4" x14ac:dyDescent="0.3">
      <c r="A11397" s="5" t="s">
        <v>354</v>
      </c>
      <c r="B11397" s="5" t="s">
        <v>355</v>
      </c>
      <c r="C11397" s="6">
        <v>1980</v>
      </c>
      <c r="D11397" s="7">
        <v>238135</v>
      </c>
    </row>
    <row r="11398" spans="1:4" x14ac:dyDescent="0.3">
      <c r="A11398" s="2" t="s">
        <v>354</v>
      </c>
      <c r="B11398" s="2" t="s">
        <v>355</v>
      </c>
      <c r="C11398" s="3">
        <v>1981</v>
      </c>
      <c r="D11398" s="4">
        <v>246555</v>
      </c>
    </row>
    <row r="11399" spans="1:4" x14ac:dyDescent="0.3">
      <c r="A11399" s="5" t="s">
        <v>354</v>
      </c>
      <c r="B11399" s="5" t="s">
        <v>355</v>
      </c>
      <c r="C11399" s="6">
        <v>1982</v>
      </c>
      <c r="D11399" s="7">
        <v>255200</v>
      </c>
    </row>
    <row r="11400" spans="1:4" x14ac:dyDescent="0.3">
      <c r="A11400" s="2" t="s">
        <v>354</v>
      </c>
      <c r="B11400" s="2" t="s">
        <v>355</v>
      </c>
      <c r="C11400" s="3">
        <v>1983</v>
      </c>
      <c r="D11400" s="4">
        <v>264068</v>
      </c>
    </row>
    <row r="11401" spans="1:4" x14ac:dyDescent="0.3">
      <c r="A11401" s="5" t="s">
        <v>354</v>
      </c>
      <c r="B11401" s="5" t="s">
        <v>355</v>
      </c>
      <c r="C11401" s="6">
        <v>1984</v>
      </c>
      <c r="D11401" s="7">
        <v>273163</v>
      </c>
    </row>
    <row r="11402" spans="1:4" x14ac:dyDescent="0.3">
      <c r="A11402" s="2" t="s">
        <v>354</v>
      </c>
      <c r="B11402" s="2" t="s">
        <v>355</v>
      </c>
      <c r="C11402" s="3">
        <v>1985</v>
      </c>
      <c r="D11402" s="4">
        <v>282455</v>
      </c>
    </row>
    <row r="11403" spans="1:4" x14ac:dyDescent="0.3">
      <c r="A11403" s="5" t="s">
        <v>354</v>
      </c>
      <c r="B11403" s="5" t="s">
        <v>355</v>
      </c>
      <c r="C11403" s="6">
        <v>1986</v>
      </c>
      <c r="D11403" s="7">
        <v>291842</v>
      </c>
    </row>
    <row r="11404" spans="1:4" x14ac:dyDescent="0.3">
      <c r="A11404" s="2" t="s">
        <v>354</v>
      </c>
      <c r="B11404" s="2" t="s">
        <v>355</v>
      </c>
      <c r="C11404" s="3">
        <v>1987</v>
      </c>
      <c r="D11404" s="4">
        <v>301414</v>
      </c>
    </row>
    <row r="11405" spans="1:4" x14ac:dyDescent="0.3">
      <c r="A11405" s="5" t="s">
        <v>354</v>
      </c>
      <c r="B11405" s="5" t="s">
        <v>355</v>
      </c>
      <c r="C11405" s="6">
        <v>1988</v>
      </c>
      <c r="D11405" s="7">
        <v>311265</v>
      </c>
    </row>
    <row r="11406" spans="1:4" x14ac:dyDescent="0.3">
      <c r="A11406" s="2" t="s">
        <v>354</v>
      </c>
      <c r="B11406" s="2" t="s">
        <v>355</v>
      </c>
      <c r="C11406" s="3">
        <v>1989</v>
      </c>
      <c r="D11406" s="4">
        <v>321282</v>
      </c>
    </row>
    <row r="11407" spans="1:4" x14ac:dyDescent="0.3">
      <c r="A11407" s="5" t="s">
        <v>354</v>
      </c>
      <c r="B11407" s="5" t="s">
        <v>355</v>
      </c>
      <c r="C11407" s="6">
        <v>1990</v>
      </c>
      <c r="D11407" s="7">
        <v>331435</v>
      </c>
    </row>
    <row r="11408" spans="1:4" x14ac:dyDescent="0.3">
      <c r="A11408" s="2" t="s">
        <v>354</v>
      </c>
      <c r="B11408" s="2" t="s">
        <v>355</v>
      </c>
      <c r="C11408" s="3">
        <v>1991</v>
      </c>
      <c r="D11408" s="4">
        <v>341738</v>
      </c>
    </row>
    <row r="11409" spans="1:4" x14ac:dyDescent="0.3">
      <c r="A11409" s="5" t="s">
        <v>354</v>
      </c>
      <c r="B11409" s="5" t="s">
        <v>355</v>
      </c>
      <c r="C11409" s="6">
        <v>1992</v>
      </c>
      <c r="D11409" s="7">
        <v>352205</v>
      </c>
    </row>
    <row r="11410" spans="1:4" x14ac:dyDescent="0.3">
      <c r="A11410" s="2" t="s">
        <v>354</v>
      </c>
      <c r="B11410" s="2" t="s">
        <v>355</v>
      </c>
      <c r="C11410" s="3">
        <v>1993</v>
      </c>
      <c r="D11410" s="4">
        <v>362839</v>
      </c>
    </row>
    <row r="11411" spans="1:4" x14ac:dyDescent="0.3">
      <c r="A11411" s="5" t="s">
        <v>354</v>
      </c>
      <c r="B11411" s="5" t="s">
        <v>355</v>
      </c>
      <c r="C11411" s="6">
        <v>1994</v>
      </c>
      <c r="D11411" s="7">
        <v>373675</v>
      </c>
    </row>
    <row r="11412" spans="1:4" x14ac:dyDescent="0.3">
      <c r="A11412" s="2" t="s">
        <v>354</v>
      </c>
      <c r="B11412" s="2" t="s">
        <v>355</v>
      </c>
      <c r="C11412" s="3">
        <v>1995</v>
      </c>
      <c r="D11412" s="4">
        <v>384733</v>
      </c>
    </row>
    <row r="11413" spans="1:4" x14ac:dyDescent="0.3">
      <c r="A11413" s="5" t="s">
        <v>354</v>
      </c>
      <c r="B11413" s="5" t="s">
        <v>355</v>
      </c>
      <c r="C11413" s="6">
        <v>1996</v>
      </c>
      <c r="D11413" s="7">
        <v>396009</v>
      </c>
    </row>
    <row r="11414" spans="1:4" x14ac:dyDescent="0.3">
      <c r="A11414" s="2" t="s">
        <v>354</v>
      </c>
      <c r="B11414" s="2" t="s">
        <v>355</v>
      </c>
      <c r="C11414" s="3">
        <v>1997</v>
      </c>
      <c r="D11414" s="4">
        <v>407474</v>
      </c>
    </row>
    <row r="11415" spans="1:4" x14ac:dyDescent="0.3">
      <c r="A11415" s="5" t="s">
        <v>354</v>
      </c>
      <c r="B11415" s="5" t="s">
        <v>355</v>
      </c>
      <c r="C11415" s="6">
        <v>1998</v>
      </c>
      <c r="D11415" s="7">
        <v>419071</v>
      </c>
    </row>
    <row r="11416" spans="1:4" x14ac:dyDescent="0.3">
      <c r="A11416" s="2" t="s">
        <v>354</v>
      </c>
      <c r="B11416" s="2" t="s">
        <v>355</v>
      </c>
      <c r="C11416" s="3">
        <v>1999</v>
      </c>
      <c r="D11416" s="4">
        <v>430500</v>
      </c>
    </row>
    <row r="11417" spans="1:4" x14ac:dyDescent="0.3">
      <c r="A11417" s="5" t="s">
        <v>354</v>
      </c>
      <c r="B11417" s="5" t="s">
        <v>355</v>
      </c>
      <c r="C11417" s="6">
        <v>2000</v>
      </c>
      <c r="D11417" s="7">
        <v>440469</v>
      </c>
    </row>
    <row r="11418" spans="1:4" x14ac:dyDescent="0.3">
      <c r="A11418" s="2" t="s">
        <v>354</v>
      </c>
      <c r="B11418" s="2" t="s">
        <v>355</v>
      </c>
      <c r="C11418" s="3">
        <v>2001</v>
      </c>
      <c r="D11418" s="4">
        <v>449125</v>
      </c>
    </row>
    <row r="11419" spans="1:4" x14ac:dyDescent="0.3">
      <c r="A11419" s="5" t="s">
        <v>354</v>
      </c>
      <c r="B11419" s="5" t="s">
        <v>355</v>
      </c>
      <c r="C11419" s="6">
        <v>2002</v>
      </c>
      <c r="D11419" s="7">
        <v>457671</v>
      </c>
    </row>
    <row r="11420" spans="1:4" x14ac:dyDescent="0.3">
      <c r="A11420" s="2" t="s">
        <v>354</v>
      </c>
      <c r="B11420" s="2" t="s">
        <v>355</v>
      </c>
      <c r="C11420" s="3">
        <v>2003</v>
      </c>
      <c r="D11420" s="4">
        <v>466154</v>
      </c>
    </row>
    <row r="11421" spans="1:4" x14ac:dyDescent="0.3">
      <c r="A11421" s="5" t="s">
        <v>354</v>
      </c>
      <c r="B11421" s="5" t="s">
        <v>355</v>
      </c>
      <c r="C11421" s="6">
        <v>2004</v>
      </c>
      <c r="D11421" s="7">
        <v>474611</v>
      </c>
    </row>
    <row r="11422" spans="1:4" x14ac:dyDescent="0.3">
      <c r="A11422" s="2" t="s">
        <v>354</v>
      </c>
      <c r="B11422" s="2" t="s">
        <v>355</v>
      </c>
      <c r="C11422" s="3">
        <v>2005</v>
      </c>
      <c r="D11422" s="4">
        <v>483080</v>
      </c>
    </row>
    <row r="11423" spans="1:4" x14ac:dyDescent="0.3">
      <c r="A11423" s="5" t="s">
        <v>354</v>
      </c>
      <c r="B11423" s="5" t="s">
        <v>355</v>
      </c>
      <c r="C11423" s="6">
        <v>2006</v>
      </c>
      <c r="D11423" s="7">
        <v>491594</v>
      </c>
    </row>
    <row r="11424" spans="1:4" x14ac:dyDescent="0.3">
      <c r="A11424" s="2" t="s">
        <v>354</v>
      </c>
      <c r="B11424" s="2" t="s">
        <v>355</v>
      </c>
      <c r="C11424" s="3">
        <v>2007</v>
      </c>
      <c r="D11424" s="4">
        <v>500156</v>
      </c>
    </row>
    <row r="11425" spans="1:4" x14ac:dyDescent="0.3">
      <c r="A11425" s="5" t="s">
        <v>354</v>
      </c>
      <c r="B11425" s="5" t="s">
        <v>355</v>
      </c>
      <c r="C11425" s="6">
        <v>2008</v>
      </c>
      <c r="D11425" s="7">
        <v>508790</v>
      </c>
    </row>
    <row r="11426" spans="1:4" x14ac:dyDescent="0.3">
      <c r="A11426" s="2" t="s">
        <v>354</v>
      </c>
      <c r="B11426" s="2" t="s">
        <v>355</v>
      </c>
      <c r="C11426" s="3">
        <v>2009</v>
      </c>
      <c r="D11426" s="4">
        <v>518141</v>
      </c>
    </row>
    <row r="11427" spans="1:4" x14ac:dyDescent="0.3">
      <c r="A11427" s="5" t="s">
        <v>354</v>
      </c>
      <c r="B11427" s="5" t="s">
        <v>355</v>
      </c>
      <c r="C11427" s="6">
        <v>2010</v>
      </c>
      <c r="D11427" s="7">
        <v>532968</v>
      </c>
    </row>
    <row r="11428" spans="1:4" x14ac:dyDescent="0.3">
      <c r="A11428" s="2" t="s">
        <v>354</v>
      </c>
      <c r="B11428" s="2" t="s">
        <v>355</v>
      </c>
      <c r="C11428" s="3">
        <v>2011</v>
      </c>
      <c r="D11428" s="4">
        <v>552945</v>
      </c>
    </row>
    <row r="11429" spans="1:4" x14ac:dyDescent="0.3">
      <c r="A11429" s="5" t="s">
        <v>354</v>
      </c>
      <c r="B11429" s="5" t="s">
        <v>355</v>
      </c>
      <c r="C11429" s="6">
        <v>2012</v>
      </c>
      <c r="D11429" s="7">
        <v>573606</v>
      </c>
    </row>
    <row r="11430" spans="1:4" x14ac:dyDescent="0.3">
      <c r="A11430" s="2" t="s">
        <v>354</v>
      </c>
      <c r="B11430" s="2" t="s">
        <v>355</v>
      </c>
      <c r="C11430" s="3">
        <v>2013</v>
      </c>
      <c r="D11430" s="4">
        <v>594945</v>
      </c>
    </row>
    <row r="11431" spans="1:4" x14ac:dyDescent="0.3">
      <c r="A11431" s="5" t="s">
        <v>354</v>
      </c>
      <c r="B11431" s="5" t="s">
        <v>355</v>
      </c>
      <c r="C11431" s="6">
        <v>2014</v>
      </c>
      <c r="D11431" s="7">
        <v>616908</v>
      </c>
    </row>
    <row r="11432" spans="1:4" x14ac:dyDescent="0.3">
      <c r="A11432" s="2" t="s">
        <v>354</v>
      </c>
      <c r="B11432" s="2" t="s">
        <v>355</v>
      </c>
      <c r="C11432" s="3">
        <v>2015</v>
      </c>
      <c r="D11432" s="4">
        <v>639415</v>
      </c>
    </row>
    <row r="11433" spans="1:4" x14ac:dyDescent="0.3">
      <c r="A11433" s="5" t="s">
        <v>354</v>
      </c>
      <c r="B11433" s="5" t="s">
        <v>355</v>
      </c>
      <c r="C11433" s="6">
        <v>2016</v>
      </c>
      <c r="D11433" s="7">
        <v>662379</v>
      </c>
    </row>
    <row r="11434" spans="1:4" x14ac:dyDescent="0.3">
      <c r="A11434" s="2" t="s">
        <v>354</v>
      </c>
      <c r="B11434" s="2" t="s">
        <v>355</v>
      </c>
      <c r="C11434" s="3">
        <v>2017</v>
      </c>
      <c r="D11434" s="4">
        <v>685672</v>
      </c>
    </row>
    <row r="11435" spans="1:4" x14ac:dyDescent="0.3">
      <c r="A11435" s="5" t="s">
        <v>354</v>
      </c>
      <c r="B11435" s="5" t="s">
        <v>355</v>
      </c>
      <c r="C11435" s="6">
        <v>2018</v>
      </c>
      <c r="D11435" s="7">
        <v>709101</v>
      </c>
    </row>
    <row r="11436" spans="1:4" x14ac:dyDescent="0.3">
      <c r="A11436" s="2" t="s">
        <v>354</v>
      </c>
      <c r="B11436" s="2" t="s">
        <v>355</v>
      </c>
      <c r="C11436" s="3">
        <v>2019</v>
      </c>
      <c r="D11436" s="4">
        <v>728147</v>
      </c>
    </row>
    <row r="11437" spans="1:4" x14ac:dyDescent="0.3">
      <c r="A11437" s="5" t="s">
        <v>354</v>
      </c>
      <c r="B11437" s="5" t="s">
        <v>355</v>
      </c>
      <c r="C11437" s="6">
        <v>2020</v>
      </c>
      <c r="D11437" s="7">
        <v>744498</v>
      </c>
    </row>
    <row r="11438" spans="1:4" x14ac:dyDescent="0.3">
      <c r="A11438" s="2" t="s">
        <v>354</v>
      </c>
      <c r="B11438" s="2" t="s">
        <v>355</v>
      </c>
      <c r="C11438" s="3">
        <v>2021</v>
      </c>
      <c r="D11438" s="4">
        <v>762591</v>
      </c>
    </row>
    <row r="11439" spans="1:4" x14ac:dyDescent="0.3">
      <c r="A11439" s="5" t="s">
        <v>354</v>
      </c>
      <c r="B11439" s="5" t="s">
        <v>355</v>
      </c>
      <c r="C11439" s="6">
        <v>2022</v>
      </c>
      <c r="D11439" s="7">
        <v>781066</v>
      </c>
    </row>
    <row r="11440" spans="1:4" x14ac:dyDescent="0.3">
      <c r="A11440" s="2" t="s">
        <v>354</v>
      </c>
      <c r="B11440" s="2" t="s">
        <v>355</v>
      </c>
      <c r="C11440" s="3">
        <v>2023</v>
      </c>
      <c r="D11440" s="4">
        <v>800005</v>
      </c>
    </row>
    <row r="11441" spans="1:4" x14ac:dyDescent="0.3">
      <c r="A11441" s="5" t="s">
        <v>354</v>
      </c>
      <c r="B11441" s="5" t="s">
        <v>355</v>
      </c>
      <c r="C11441" s="6">
        <v>2024</v>
      </c>
      <c r="D11441" s="7">
        <v>819198</v>
      </c>
    </row>
    <row r="11442" spans="1:4" x14ac:dyDescent="0.3">
      <c r="A11442" s="2" t="s">
        <v>356</v>
      </c>
      <c r="B11442" s="2" t="s">
        <v>357</v>
      </c>
      <c r="C11442" s="3">
        <v>1960</v>
      </c>
      <c r="D11442" s="4">
        <v>2876331</v>
      </c>
    </row>
    <row r="11443" spans="1:4" x14ac:dyDescent="0.3">
      <c r="A11443" s="5" t="s">
        <v>356</v>
      </c>
      <c r="B11443" s="5" t="s">
        <v>357</v>
      </c>
      <c r="C11443" s="6">
        <v>1961</v>
      </c>
      <c r="D11443" s="7">
        <v>2952054</v>
      </c>
    </row>
    <row r="11444" spans="1:4" x14ac:dyDescent="0.3">
      <c r="A11444" s="2" t="s">
        <v>356</v>
      </c>
      <c r="B11444" s="2" t="s">
        <v>357</v>
      </c>
      <c r="C11444" s="3">
        <v>1962</v>
      </c>
      <c r="D11444" s="4">
        <v>3030091</v>
      </c>
    </row>
    <row r="11445" spans="1:4" x14ac:dyDescent="0.3">
      <c r="A11445" s="5" t="s">
        <v>356</v>
      </c>
      <c r="B11445" s="5" t="s">
        <v>357</v>
      </c>
      <c r="C11445" s="6">
        <v>1963</v>
      </c>
      <c r="D11445" s="7">
        <v>3110361</v>
      </c>
    </row>
    <row r="11446" spans="1:4" x14ac:dyDescent="0.3">
      <c r="A11446" s="2" t="s">
        <v>356</v>
      </c>
      <c r="B11446" s="2" t="s">
        <v>357</v>
      </c>
      <c r="C11446" s="3">
        <v>1964</v>
      </c>
      <c r="D11446" s="4">
        <v>3192796</v>
      </c>
    </row>
    <row r="11447" spans="1:4" x14ac:dyDescent="0.3">
      <c r="A11447" s="5" t="s">
        <v>356</v>
      </c>
      <c r="B11447" s="5" t="s">
        <v>357</v>
      </c>
      <c r="C11447" s="6">
        <v>1965</v>
      </c>
      <c r="D11447" s="7">
        <v>3277874</v>
      </c>
    </row>
    <row r="11448" spans="1:4" x14ac:dyDescent="0.3">
      <c r="A11448" s="2" t="s">
        <v>356</v>
      </c>
      <c r="B11448" s="2" t="s">
        <v>357</v>
      </c>
      <c r="C11448" s="3">
        <v>1966</v>
      </c>
      <c r="D11448" s="4">
        <v>3365106</v>
      </c>
    </row>
    <row r="11449" spans="1:4" x14ac:dyDescent="0.3">
      <c r="A11449" s="5" t="s">
        <v>356</v>
      </c>
      <c r="B11449" s="5" t="s">
        <v>357</v>
      </c>
      <c r="C11449" s="6">
        <v>1967</v>
      </c>
      <c r="D11449" s="7">
        <v>3454537</v>
      </c>
    </row>
    <row r="11450" spans="1:4" x14ac:dyDescent="0.3">
      <c r="A11450" s="2" t="s">
        <v>356</v>
      </c>
      <c r="B11450" s="2" t="s">
        <v>357</v>
      </c>
      <c r="C11450" s="3">
        <v>1968</v>
      </c>
      <c r="D11450" s="4">
        <v>3546590</v>
      </c>
    </row>
    <row r="11451" spans="1:4" x14ac:dyDescent="0.3">
      <c r="A11451" s="5" t="s">
        <v>356</v>
      </c>
      <c r="B11451" s="5" t="s">
        <v>357</v>
      </c>
      <c r="C11451" s="6">
        <v>1969</v>
      </c>
      <c r="D11451" s="7">
        <v>3641015</v>
      </c>
    </row>
    <row r="11452" spans="1:4" x14ac:dyDescent="0.3">
      <c r="A11452" s="2" t="s">
        <v>356</v>
      </c>
      <c r="B11452" s="2" t="s">
        <v>357</v>
      </c>
      <c r="C11452" s="3">
        <v>1970</v>
      </c>
      <c r="D11452" s="4">
        <v>3738448</v>
      </c>
    </row>
    <row r="11453" spans="1:4" x14ac:dyDescent="0.3">
      <c r="A11453" s="5" t="s">
        <v>356</v>
      </c>
      <c r="B11453" s="5" t="s">
        <v>357</v>
      </c>
      <c r="C11453" s="6">
        <v>1971</v>
      </c>
      <c r="D11453" s="7">
        <v>3837691</v>
      </c>
    </row>
    <row r="11454" spans="1:4" x14ac:dyDescent="0.3">
      <c r="A11454" s="2" t="s">
        <v>356</v>
      </c>
      <c r="B11454" s="2" t="s">
        <v>357</v>
      </c>
      <c r="C11454" s="3">
        <v>1972</v>
      </c>
      <c r="D11454" s="4">
        <v>3939436</v>
      </c>
    </row>
    <row r="11455" spans="1:4" x14ac:dyDescent="0.3">
      <c r="A11455" s="5" t="s">
        <v>356</v>
      </c>
      <c r="B11455" s="5" t="s">
        <v>357</v>
      </c>
      <c r="C11455" s="6">
        <v>1973</v>
      </c>
      <c r="D11455" s="7">
        <v>4045592</v>
      </c>
    </row>
    <row r="11456" spans="1:4" x14ac:dyDescent="0.3">
      <c r="A11456" s="2" t="s">
        <v>356</v>
      </c>
      <c r="B11456" s="2" t="s">
        <v>357</v>
      </c>
      <c r="C11456" s="3">
        <v>1974</v>
      </c>
      <c r="D11456" s="4">
        <v>4151842</v>
      </c>
    </row>
    <row r="11457" spans="1:4" x14ac:dyDescent="0.3">
      <c r="A11457" s="5" t="s">
        <v>356</v>
      </c>
      <c r="B11457" s="5" t="s">
        <v>357</v>
      </c>
      <c r="C11457" s="6">
        <v>1975</v>
      </c>
      <c r="D11457" s="7">
        <v>4257535</v>
      </c>
    </row>
    <row r="11458" spans="1:4" x14ac:dyDescent="0.3">
      <c r="A11458" s="2" t="s">
        <v>356</v>
      </c>
      <c r="B11458" s="2" t="s">
        <v>357</v>
      </c>
      <c r="C11458" s="3">
        <v>1976</v>
      </c>
      <c r="D11458" s="4">
        <v>4365812</v>
      </c>
    </row>
    <row r="11459" spans="1:4" x14ac:dyDescent="0.3">
      <c r="A11459" s="5" t="s">
        <v>356</v>
      </c>
      <c r="B11459" s="5" t="s">
        <v>357</v>
      </c>
      <c r="C11459" s="6">
        <v>1977</v>
      </c>
      <c r="D11459" s="7">
        <v>4484050</v>
      </c>
    </row>
    <row r="11460" spans="1:4" x14ac:dyDescent="0.3">
      <c r="A11460" s="2" t="s">
        <v>356</v>
      </c>
      <c r="B11460" s="2" t="s">
        <v>357</v>
      </c>
      <c r="C11460" s="3">
        <v>1978</v>
      </c>
      <c r="D11460" s="4">
        <v>4814892</v>
      </c>
    </row>
    <row r="11461" spans="1:4" x14ac:dyDescent="0.3">
      <c r="A11461" s="5" t="s">
        <v>356</v>
      </c>
      <c r="B11461" s="5" t="s">
        <v>357</v>
      </c>
      <c r="C11461" s="6">
        <v>1979</v>
      </c>
      <c r="D11461" s="7">
        <v>5449117</v>
      </c>
    </row>
    <row r="11462" spans="1:4" x14ac:dyDescent="0.3">
      <c r="A11462" s="2" t="s">
        <v>356</v>
      </c>
      <c r="B11462" s="2" t="s">
        <v>357</v>
      </c>
      <c r="C11462" s="3">
        <v>1980</v>
      </c>
      <c r="D11462" s="4">
        <v>5936154</v>
      </c>
    </row>
    <row r="11463" spans="1:4" x14ac:dyDescent="0.3">
      <c r="A11463" s="5" t="s">
        <v>356</v>
      </c>
      <c r="B11463" s="5" t="s">
        <v>357</v>
      </c>
      <c r="C11463" s="6">
        <v>1981</v>
      </c>
      <c r="D11463" s="7">
        <v>5982849</v>
      </c>
    </row>
    <row r="11464" spans="1:4" x14ac:dyDescent="0.3">
      <c r="A11464" s="2" t="s">
        <v>356</v>
      </c>
      <c r="B11464" s="2" t="s">
        <v>357</v>
      </c>
      <c r="C11464" s="3">
        <v>1982</v>
      </c>
      <c r="D11464" s="4">
        <v>6003840</v>
      </c>
    </row>
    <row r="11465" spans="1:4" x14ac:dyDescent="0.3">
      <c r="A11465" s="5" t="s">
        <v>356</v>
      </c>
      <c r="B11465" s="5" t="s">
        <v>357</v>
      </c>
      <c r="C11465" s="6">
        <v>1983</v>
      </c>
      <c r="D11465" s="7">
        <v>6198430</v>
      </c>
    </row>
    <row r="11466" spans="1:4" x14ac:dyDescent="0.3">
      <c r="A11466" s="2" t="s">
        <v>356</v>
      </c>
      <c r="B11466" s="2" t="s">
        <v>357</v>
      </c>
      <c r="C11466" s="3">
        <v>1984</v>
      </c>
      <c r="D11466" s="4">
        <v>6428389</v>
      </c>
    </row>
    <row r="11467" spans="1:4" x14ac:dyDescent="0.3">
      <c r="A11467" s="5" t="s">
        <v>356</v>
      </c>
      <c r="B11467" s="5" t="s">
        <v>357</v>
      </c>
      <c r="C11467" s="6">
        <v>1985</v>
      </c>
      <c r="D11467" s="7">
        <v>6693289</v>
      </c>
    </row>
    <row r="11468" spans="1:4" x14ac:dyDescent="0.3">
      <c r="A11468" s="2" t="s">
        <v>356</v>
      </c>
      <c r="B11468" s="2" t="s">
        <v>357</v>
      </c>
      <c r="C11468" s="3">
        <v>1986</v>
      </c>
      <c r="D11468" s="4">
        <v>6974788</v>
      </c>
    </row>
    <row r="11469" spans="1:4" x14ac:dyDescent="0.3">
      <c r="A11469" s="5" t="s">
        <v>356</v>
      </c>
      <c r="B11469" s="5" t="s">
        <v>357</v>
      </c>
      <c r="C11469" s="6">
        <v>1987</v>
      </c>
      <c r="D11469" s="7">
        <v>7228302</v>
      </c>
    </row>
    <row r="11470" spans="1:4" x14ac:dyDescent="0.3">
      <c r="A11470" s="2" t="s">
        <v>356</v>
      </c>
      <c r="B11470" s="2" t="s">
        <v>357</v>
      </c>
      <c r="C11470" s="3">
        <v>1988</v>
      </c>
      <c r="D11470" s="4">
        <v>7235360</v>
      </c>
    </row>
    <row r="11471" spans="1:4" x14ac:dyDescent="0.3">
      <c r="A11471" s="5" t="s">
        <v>356</v>
      </c>
      <c r="B11471" s="5" t="s">
        <v>357</v>
      </c>
      <c r="C11471" s="6">
        <v>1989</v>
      </c>
      <c r="D11471" s="7">
        <v>7114817</v>
      </c>
    </row>
    <row r="11472" spans="1:4" x14ac:dyDescent="0.3">
      <c r="A11472" s="2" t="s">
        <v>356</v>
      </c>
      <c r="B11472" s="2" t="s">
        <v>357</v>
      </c>
      <c r="C11472" s="3">
        <v>1990</v>
      </c>
      <c r="D11472" s="4">
        <v>7082811</v>
      </c>
    </row>
    <row r="11473" spans="1:4" x14ac:dyDescent="0.3">
      <c r="A11473" s="5" t="s">
        <v>356</v>
      </c>
      <c r="B11473" s="5" t="s">
        <v>357</v>
      </c>
      <c r="C11473" s="6">
        <v>1991</v>
      </c>
      <c r="D11473" s="7">
        <v>6813760</v>
      </c>
    </row>
    <row r="11474" spans="1:4" x14ac:dyDescent="0.3">
      <c r="A11474" s="2" t="s">
        <v>356</v>
      </c>
      <c r="B11474" s="2" t="s">
        <v>357</v>
      </c>
      <c r="C11474" s="3">
        <v>1992</v>
      </c>
      <c r="D11474" s="4">
        <v>6495107</v>
      </c>
    </row>
    <row r="11475" spans="1:4" x14ac:dyDescent="0.3">
      <c r="A11475" s="5" t="s">
        <v>356</v>
      </c>
      <c r="B11475" s="5" t="s">
        <v>357</v>
      </c>
      <c r="C11475" s="6">
        <v>1993</v>
      </c>
      <c r="D11475" s="7">
        <v>6681399</v>
      </c>
    </row>
    <row r="11476" spans="1:4" x14ac:dyDescent="0.3">
      <c r="A11476" s="2" t="s">
        <v>356</v>
      </c>
      <c r="B11476" s="2" t="s">
        <v>357</v>
      </c>
      <c r="C11476" s="3">
        <v>1994</v>
      </c>
      <c r="D11476" s="4">
        <v>7026797</v>
      </c>
    </row>
    <row r="11477" spans="1:4" x14ac:dyDescent="0.3">
      <c r="A11477" s="5" t="s">
        <v>356</v>
      </c>
      <c r="B11477" s="5" t="s">
        <v>357</v>
      </c>
      <c r="C11477" s="6">
        <v>1995</v>
      </c>
      <c r="D11477" s="7">
        <v>7285007</v>
      </c>
    </row>
    <row r="11478" spans="1:4" x14ac:dyDescent="0.3">
      <c r="A11478" s="2" t="s">
        <v>356</v>
      </c>
      <c r="B11478" s="2" t="s">
        <v>357</v>
      </c>
      <c r="C11478" s="3">
        <v>1996</v>
      </c>
      <c r="D11478" s="4">
        <v>7554474</v>
      </c>
    </row>
    <row r="11479" spans="1:4" x14ac:dyDescent="0.3">
      <c r="A11479" s="5" t="s">
        <v>356</v>
      </c>
      <c r="B11479" s="5" t="s">
        <v>357</v>
      </c>
      <c r="C11479" s="6">
        <v>1997</v>
      </c>
      <c r="D11479" s="7">
        <v>7824525</v>
      </c>
    </row>
    <row r="11480" spans="1:4" x14ac:dyDescent="0.3">
      <c r="A11480" s="2" t="s">
        <v>356</v>
      </c>
      <c r="B11480" s="2" t="s">
        <v>357</v>
      </c>
      <c r="C11480" s="3">
        <v>1998</v>
      </c>
      <c r="D11480" s="4">
        <v>8155417</v>
      </c>
    </row>
    <row r="11481" spans="1:4" x14ac:dyDescent="0.3">
      <c r="A11481" s="5" t="s">
        <v>356</v>
      </c>
      <c r="B11481" s="5" t="s">
        <v>357</v>
      </c>
      <c r="C11481" s="6">
        <v>1999</v>
      </c>
      <c r="D11481" s="7">
        <v>8492059</v>
      </c>
    </row>
    <row r="11482" spans="1:4" x14ac:dyDescent="0.3">
      <c r="A11482" s="2" t="s">
        <v>356</v>
      </c>
      <c r="B11482" s="2" t="s">
        <v>357</v>
      </c>
      <c r="C11482" s="3">
        <v>2000</v>
      </c>
      <c r="D11482" s="4">
        <v>8838713</v>
      </c>
    </row>
    <row r="11483" spans="1:4" x14ac:dyDescent="0.3">
      <c r="A11483" s="5" t="s">
        <v>356</v>
      </c>
      <c r="B11483" s="5" t="s">
        <v>357</v>
      </c>
      <c r="C11483" s="6">
        <v>2001</v>
      </c>
      <c r="D11483" s="7">
        <v>9198493</v>
      </c>
    </row>
    <row r="11484" spans="1:4" x14ac:dyDescent="0.3">
      <c r="A11484" s="2" t="s">
        <v>356</v>
      </c>
      <c r="B11484" s="2" t="s">
        <v>357</v>
      </c>
      <c r="C11484" s="3">
        <v>2002</v>
      </c>
      <c r="D11484" s="4">
        <v>9550063</v>
      </c>
    </row>
    <row r="11485" spans="1:4" x14ac:dyDescent="0.3">
      <c r="A11485" s="5" t="s">
        <v>356</v>
      </c>
      <c r="B11485" s="5" t="s">
        <v>357</v>
      </c>
      <c r="C11485" s="6">
        <v>2003</v>
      </c>
      <c r="D11485" s="7">
        <v>9909157</v>
      </c>
    </row>
    <row r="11486" spans="1:4" x14ac:dyDescent="0.3">
      <c r="A11486" s="2" t="s">
        <v>356</v>
      </c>
      <c r="B11486" s="2" t="s">
        <v>357</v>
      </c>
      <c r="C11486" s="3">
        <v>2004</v>
      </c>
      <c r="D11486" s="4">
        <v>10280998</v>
      </c>
    </row>
    <row r="11487" spans="1:4" x14ac:dyDescent="0.3">
      <c r="A11487" s="5" t="s">
        <v>356</v>
      </c>
      <c r="B11487" s="5" t="s">
        <v>357</v>
      </c>
      <c r="C11487" s="6">
        <v>2005</v>
      </c>
      <c r="D11487" s="7">
        <v>10644228</v>
      </c>
    </row>
    <row r="11488" spans="1:4" x14ac:dyDescent="0.3">
      <c r="A11488" s="2" t="s">
        <v>356</v>
      </c>
      <c r="B11488" s="2" t="s">
        <v>357</v>
      </c>
      <c r="C11488" s="3">
        <v>2006</v>
      </c>
      <c r="D11488" s="4">
        <v>10975502</v>
      </c>
    </row>
    <row r="11489" spans="1:4" x14ac:dyDescent="0.3">
      <c r="A11489" s="5" t="s">
        <v>356</v>
      </c>
      <c r="B11489" s="5" t="s">
        <v>357</v>
      </c>
      <c r="C11489" s="6">
        <v>2007</v>
      </c>
      <c r="D11489" s="7">
        <v>11322582</v>
      </c>
    </row>
    <row r="11490" spans="1:4" x14ac:dyDescent="0.3">
      <c r="A11490" s="2" t="s">
        <v>356</v>
      </c>
      <c r="B11490" s="2" t="s">
        <v>357</v>
      </c>
      <c r="C11490" s="3">
        <v>2008</v>
      </c>
      <c r="D11490" s="4">
        <v>11663084</v>
      </c>
    </row>
    <row r="11491" spans="1:4" x14ac:dyDescent="0.3">
      <c r="A11491" s="5" t="s">
        <v>356</v>
      </c>
      <c r="B11491" s="5" t="s">
        <v>357</v>
      </c>
      <c r="C11491" s="6">
        <v>2009</v>
      </c>
      <c r="D11491" s="7">
        <v>11961201</v>
      </c>
    </row>
    <row r="11492" spans="1:4" x14ac:dyDescent="0.3">
      <c r="A11492" s="2" t="s">
        <v>356</v>
      </c>
      <c r="B11492" s="2" t="s">
        <v>357</v>
      </c>
      <c r="C11492" s="3">
        <v>2010</v>
      </c>
      <c r="D11492" s="4">
        <v>12261756</v>
      </c>
    </row>
    <row r="11493" spans="1:4" x14ac:dyDescent="0.3">
      <c r="A11493" s="5" t="s">
        <v>356</v>
      </c>
      <c r="B11493" s="5" t="s">
        <v>357</v>
      </c>
      <c r="C11493" s="6">
        <v>2011</v>
      </c>
      <c r="D11493" s="7">
        <v>12348830</v>
      </c>
    </row>
    <row r="11494" spans="1:4" x14ac:dyDescent="0.3">
      <c r="A11494" s="2" t="s">
        <v>356</v>
      </c>
      <c r="B11494" s="2" t="s">
        <v>357</v>
      </c>
      <c r="C11494" s="3">
        <v>2012</v>
      </c>
      <c r="D11494" s="4">
        <v>12461160</v>
      </c>
    </row>
    <row r="11495" spans="1:4" x14ac:dyDescent="0.3">
      <c r="A11495" s="5" t="s">
        <v>356</v>
      </c>
      <c r="B11495" s="5" t="s">
        <v>357</v>
      </c>
      <c r="C11495" s="6">
        <v>2013</v>
      </c>
      <c r="D11495" s="7">
        <v>12869594</v>
      </c>
    </row>
    <row r="11496" spans="1:4" x14ac:dyDescent="0.3">
      <c r="A11496" s="2" t="s">
        <v>356</v>
      </c>
      <c r="B11496" s="2" t="s">
        <v>357</v>
      </c>
      <c r="C11496" s="3">
        <v>2014</v>
      </c>
      <c r="D11496" s="4">
        <v>13339491</v>
      </c>
    </row>
    <row r="11497" spans="1:4" x14ac:dyDescent="0.3">
      <c r="A11497" s="5" t="s">
        <v>356</v>
      </c>
      <c r="B11497" s="5" t="s">
        <v>357</v>
      </c>
      <c r="C11497" s="6">
        <v>2015</v>
      </c>
      <c r="D11497" s="7">
        <v>13806963</v>
      </c>
    </row>
    <row r="11498" spans="1:4" x14ac:dyDescent="0.3">
      <c r="A11498" s="2" t="s">
        <v>356</v>
      </c>
      <c r="B11498" s="2" t="s">
        <v>357</v>
      </c>
      <c r="C11498" s="3">
        <v>2016</v>
      </c>
      <c r="D11498" s="4">
        <v>14348740</v>
      </c>
    </row>
    <row r="11499" spans="1:4" x14ac:dyDescent="0.3">
      <c r="A11499" s="5" t="s">
        <v>356</v>
      </c>
      <c r="B11499" s="5" t="s">
        <v>357</v>
      </c>
      <c r="C11499" s="6">
        <v>2017</v>
      </c>
      <c r="D11499" s="7">
        <v>14916629</v>
      </c>
    </row>
    <row r="11500" spans="1:4" x14ac:dyDescent="0.3">
      <c r="A11500" s="2" t="s">
        <v>356</v>
      </c>
      <c r="B11500" s="2" t="s">
        <v>357</v>
      </c>
      <c r="C11500" s="3">
        <v>2018</v>
      </c>
      <c r="D11500" s="4">
        <v>15452487</v>
      </c>
    </row>
    <row r="11501" spans="1:4" x14ac:dyDescent="0.3">
      <c r="A11501" s="5" t="s">
        <v>356</v>
      </c>
      <c r="B11501" s="5" t="s">
        <v>357</v>
      </c>
      <c r="C11501" s="6">
        <v>2019</v>
      </c>
      <c r="D11501" s="7">
        <v>16030971</v>
      </c>
    </row>
    <row r="11502" spans="1:4" x14ac:dyDescent="0.3">
      <c r="A11502" s="2" t="s">
        <v>356</v>
      </c>
      <c r="B11502" s="2" t="s">
        <v>357</v>
      </c>
      <c r="C11502" s="3">
        <v>2020</v>
      </c>
      <c r="D11502" s="4">
        <v>16651191</v>
      </c>
    </row>
    <row r="11503" spans="1:4" x14ac:dyDescent="0.3">
      <c r="A11503" s="5" t="s">
        <v>356</v>
      </c>
      <c r="B11503" s="5" t="s">
        <v>357</v>
      </c>
      <c r="C11503" s="6">
        <v>2021</v>
      </c>
      <c r="D11503" s="7">
        <v>17271431</v>
      </c>
    </row>
    <row r="11504" spans="1:4" x14ac:dyDescent="0.3">
      <c r="A11504" s="2" t="s">
        <v>356</v>
      </c>
      <c r="B11504" s="2" t="s">
        <v>357</v>
      </c>
      <c r="C11504" s="3">
        <v>2022</v>
      </c>
      <c r="D11504" s="4">
        <v>17801897</v>
      </c>
    </row>
    <row r="11505" spans="1:4" x14ac:dyDescent="0.3">
      <c r="A11505" s="5" t="s">
        <v>356</v>
      </c>
      <c r="B11505" s="5" t="s">
        <v>357</v>
      </c>
      <c r="C11505" s="6">
        <v>2023</v>
      </c>
      <c r="D11505" s="7">
        <v>18358615</v>
      </c>
    </row>
    <row r="11506" spans="1:4" x14ac:dyDescent="0.3">
      <c r="A11506" s="2" t="s">
        <v>356</v>
      </c>
      <c r="B11506" s="2" t="s">
        <v>357</v>
      </c>
      <c r="C11506" s="3">
        <v>2024</v>
      </c>
      <c r="D11506" s="4">
        <v>19009151</v>
      </c>
    </row>
    <row r="11507" spans="1:4" x14ac:dyDescent="0.3">
      <c r="A11507" s="5" t="s">
        <v>358</v>
      </c>
      <c r="B11507" s="5" t="s">
        <v>359</v>
      </c>
      <c r="C11507" s="6">
        <v>1960</v>
      </c>
      <c r="D11507" s="7">
        <v>16440172</v>
      </c>
    </row>
    <row r="11508" spans="1:4" x14ac:dyDescent="0.3">
      <c r="A11508" s="2" t="s">
        <v>358</v>
      </c>
      <c r="B11508" s="2" t="s">
        <v>359</v>
      </c>
      <c r="C11508" s="3">
        <v>1961</v>
      </c>
      <c r="D11508" s="4">
        <v>16908035</v>
      </c>
    </row>
    <row r="11509" spans="1:4" x14ac:dyDescent="0.3">
      <c r="A11509" s="5" t="s">
        <v>358</v>
      </c>
      <c r="B11509" s="5" t="s">
        <v>359</v>
      </c>
      <c r="C11509" s="6">
        <v>1962</v>
      </c>
      <c r="D11509" s="7">
        <v>17418522</v>
      </c>
    </row>
    <row r="11510" spans="1:4" x14ac:dyDescent="0.3">
      <c r="A11510" s="2" t="s">
        <v>358</v>
      </c>
      <c r="B11510" s="2" t="s">
        <v>359</v>
      </c>
      <c r="C11510" s="3">
        <v>1963</v>
      </c>
      <c r="D11510" s="4">
        <v>17954564</v>
      </c>
    </row>
    <row r="11511" spans="1:4" x14ac:dyDescent="0.3">
      <c r="A11511" s="5" t="s">
        <v>358</v>
      </c>
      <c r="B11511" s="5" t="s">
        <v>359</v>
      </c>
      <c r="C11511" s="6">
        <v>1964</v>
      </c>
      <c r="D11511" s="7">
        <v>18511361</v>
      </c>
    </row>
    <row r="11512" spans="1:4" x14ac:dyDescent="0.3">
      <c r="A11512" s="2" t="s">
        <v>358</v>
      </c>
      <c r="B11512" s="2" t="s">
        <v>359</v>
      </c>
      <c r="C11512" s="3">
        <v>1965</v>
      </c>
      <c r="D11512" s="4">
        <v>19089380</v>
      </c>
    </row>
    <row r="11513" spans="1:4" x14ac:dyDescent="0.3">
      <c r="A11513" s="5" t="s">
        <v>358</v>
      </c>
      <c r="B11513" s="5" t="s">
        <v>359</v>
      </c>
      <c r="C11513" s="6">
        <v>1966</v>
      </c>
      <c r="D11513" s="7">
        <v>19690087</v>
      </c>
    </row>
    <row r="11514" spans="1:4" x14ac:dyDescent="0.3">
      <c r="A11514" s="2" t="s">
        <v>358</v>
      </c>
      <c r="B11514" s="2" t="s">
        <v>359</v>
      </c>
      <c r="C11514" s="3">
        <v>1967</v>
      </c>
      <c r="D11514" s="4">
        <v>20314066</v>
      </c>
    </row>
    <row r="11515" spans="1:4" x14ac:dyDescent="0.3">
      <c r="A11515" s="5" t="s">
        <v>358</v>
      </c>
      <c r="B11515" s="5" t="s">
        <v>359</v>
      </c>
      <c r="C11515" s="6">
        <v>1968</v>
      </c>
      <c r="D11515" s="7">
        <v>20957287</v>
      </c>
    </row>
    <row r="11516" spans="1:4" x14ac:dyDescent="0.3">
      <c r="A11516" s="2" t="s">
        <v>358</v>
      </c>
      <c r="B11516" s="2" t="s">
        <v>359</v>
      </c>
      <c r="C11516" s="3">
        <v>1969</v>
      </c>
      <c r="D11516" s="4">
        <v>21614676</v>
      </c>
    </row>
    <row r="11517" spans="1:4" x14ac:dyDescent="0.3">
      <c r="A11517" s="5" t="s">
        <v>358</v>
      </c>
      <c r="B11517" s="5" t="s">
        <v>359</v>
      </c>
      <c r="C11517" s="6">
        <v>1970</v>
      </c>
      <c r="D11517" s="7">
        <v>22279984</v>
      </c>
    </row>
    <row r="11518" spans="1:4" x14ac:dyDescent="0.3">
      <c r="A11518" s="2" t="s">
        <v>358</v>
      </c>
      <c r="B11518" s="2" t="s">
        <v>359</v>
      </c>
      <c r="C11518" s="3">
        <v>1971</v>
      </c>
      <c r="D11518" s="4">
        <v>22942143</v>
      </c>
    </row>
    <row r="11519" spans="1:4" x14ac:dyDescent="0.3">
      <c r="A11519" s="5" t="s">
        <v>358</v>
      </c>
      <c r="B11519" s="5" t="s">
        <v>359</v>
      </c>
      <c r="C11519" s="6">
        <v>1972</v>
      </c>
      <c r="D11519" s="7">
        <v>23609456</v>
      </c>
    </row>
    <row r="11520" spans="1:4" x14ac:dyDescent="0.3">
      <c r="A11520" s="2" t="s">
        <v>358</v>
      </c>
      <c r="B11520" s="2" t="s">
        <v>359</v>
      </c>
      <c r="C11520" s="3">
        <v>1973</v>
      </c>
      <c r="D11520" s="4">
        <v>24294263</v>
      </c>
    </row>
    <row r="11521" spans="1:4" x14ac:dyDescent="0.3">
      <c r="A11521" s="5" t="s">
        <v>358</v>
      </c>
      <c r="B11521" s="5" t="s">
        <v>359</v>
      </c>
      <c r="C11521" s="6">
        <v>1974</v>
      </c>
      <c r="D11521" s="7">
        <v>24989108</v>
      </c>
    </row>
    <row r="11522" spans="1:4" x14ac:dyDescent="0.3">
      <c r="A11522" s="2" t="s">
        <v>358</v>
      </c>
      <c r="B11522" s="2" t="s">
        <v>359</v>
      </c>
      <c r="C11522" s="3">
        <v>1975</v>
      </c>
      <c r="D11522" s="4">
        <v>25690940</v>
      </c>
    </row>
    <row r="11523" spans="1:4" x14ac:dyDescent="0.3">
      <c r="A11523" s="5" t="s">
        <v>358</v>
      </c>
      <c r="B11523" s="5" t="s">
        <v>359</v>
      </c>
      <c r="C11523" s="6">
        <v>1976</v>
      </c>
      <c r="D11523" s="7">
        <v>26395450</v>
      </c>
    </row>
    <row r="11524" spans="1:4" x14ac:dyDescent="0.3">
      <c r="A11524" s="2" t="s">
        <v>358</v>
      </c>
      <c r="B11524" s="2" t="s">
        <v>359</v>
      </c>
      <c r="C11524" s="3">
        <v>1977</v>
      </c>
      <c r="D11524" s="4">
        <v>27118952</v>
      </c>
    </row>
    <row r="11525" spans="1:4" x14ac:dyDescent="0.3">
      <c r="A11525" s="5" t="s">
        <v>358</v>
      </c>
      <c r="B11525" s="5" t="s">
        <v>359</v>
      </c>
      <c r="C11525" s="6">
        <v>1978</v>
      </c>
      <c r="D11525" s="7">
        <v>27869507</v>
      </c>
    </row>
    <row r="11526" spans="1:4" x14ac:dyDescent="0.3">
      <c r="A11526" s="2" t="s">
        <v>358</v>
      </c>
      <c r="B11526" s="2" t="s">
        <v>359</v>
      </c>
      <c r="C11526" s="3">
        <v>1979</v>
      </c>
      <c r="D11526" s="4">
        <v>28634162</v>
      </c>
    </row>
    <row r="11527" spans="1:4" x14ac:dyDescent="0.3">
      <c r="A11527" s="5" t="s">
        <v>358</v>
      </c>
      <c r="B11527" s="5" t="s">
        <v>359</v>
      </c>
      <c r="C11527" s="6">
        <v>1980</v>
      </c>
      <c r="D11527" s="7">
        <v>29518857</v>
      </c>
    </row>
    <row r="11528" spans="1:4" x14ac:dyDescent="0.3">
      <c r="A11528" s="2" t="s">
        <v>358</v>
      </c>
      <c r="B11528" s="2" t="s">
        <v>359</v>
      </c>
      <c r="C11528" s="3">
        <v>1981</v>
      </c>
      <c r="D11528" s="4">
        <v>30541044</v>
      </c>
    </row>
    <row r="11529" spans="1:4" x14ac:dyDescent="0.3">
      <c r="A11529" s="5" t="s">
        <v>358</v>
      </c>
      <c r="B11529" s="5" t="s">
        <v>359</v>
      </c>
      <c r="C11529" s="6">
        <v>1982</v>
      </c>
      <c r="D11529" s="7">
        <v>31615339</v>
      </c>
    </row>
    <row r="11530" spans="1:4" x14ac:dyDescent="0.3">
      <c r="A11530" s="2" t="s">
        <v>358</v>
      </c>
      <c r="B11530" s="2" t="s">
        <v>359</v>
      </c>
      <c r="C11530" s="3">
        <v>1983</v>
      </c>
      <c r="D11530" s="4">
        <v>32739304</v>
      </c>
    </row>
    <row r="11531" spans="1:4" x14ac:dyDescent="0.3">
      <c r="A11531" s="5" t="s">
        <v>358</v>
      </c>
      <c r="B11531" s="5" t="s">
        <v>359</v>
      </c>
      <c r="C11531" s="6">
        <v>1984</v>
      </c>
      <c r="D11531" s="7">
        <v>33892788</v>
      </c>
    </row>
    <row r="11532" spans="1:4" x14ac:dyDescent="0.3">
      <c r="A11532" s="2" t="s">
        <v>358</v>
      </c>
      <c r="B11532" s="2" t="s">
        <v>359</v>
      </c>
      <c r="C11532" s="3">
        <v>1985</v>
      </c>
      <c r="D11532" s="4">
        <v>35042093</v>
      </c>
    </row>
    <row r="11533" spans="1:4" x14ac:dyDescent="0.3">
      <c r="A11533" s="5" t="s">
        <v>358</v>
      </c>
      <c r="B11533" s="5" t="s">
        <v>359</v>
      </c>
      <c r="C11533" s="6">
        <v>1986</v>
      </c>
      <c r="D11533" s="7">
        <v>36180515</v>
      </c>
    </row>
    <row r="11534" spans="1:4" x14ac:dyDescent="0.3">
      <c r="A11534" s="2" t="s">
        <v>358</v>
      </c>
      <c r="B11534" s="2" t="s">
        <v>359</v>
      </c>
      <c r="C11534" s="3">
        <v>1987</v>
      </c>
      <c r="D11534" s="4">
        <v>37326190</v>
      </c>
    </row>
    <row r="11535" spans="1:4" x14ac:dyDescent="0.3">
      <c r="A11535" s="5" t="s">
        <v>358</v>
      </c>
      <c r="B11535" s="5" t="s">
        <v>359</v>
      </c>
      <c r="C11535" s="6">
        <v>1988</v>
      </c>
      <c r="D11535" s="7">
        <v>38480649</v>
      </c>
    </row>
    <row r="11536" spans="1:4" x14ac:dyDescent="0.3">
      <c r="A11536" s="2" t="s">
        <v>358</v>
      </c>
      <c r="B11536" s="2" t="s">
        <v>359</v>
      </c>
      <c r="C11536" s="3">
        <v>1989</v>
      </c>
      <c r="D11536" s="4">
        <v>39628575</v>
      </c>
    </row>
    <row r="11537" spans="1:4" x14ac:dyDescent="0.3">
      <c r="A11537" s="5" t="s">
        <v>358</v>
      </c>
      <c r="B11537" s="5" t="s">
        <v>359</v>
      </c>
      <c r="C11537" s="6">
        <v>1990</v>
      </c>
      <c r="D11537" s="7">
        <v>40746268</v>
      </c>
    </row>
    <row r="11538" spans="1:4" x14ac:dyDescent="0.3">
      <c r="A11538" s="2" t="s">
        <v>358</v>
      </c>
      <c r="B11538" s="2" t="s">
        <v>359</v>
      </c>
      <c r="C11538" s="3">
        <v>1991</v>
      </c>
      <c r="D11538" s="4">
        <v>41687898</v>
      </c>
    </row>
    <row r="11539" spans="1:4" x14ac:dyDescent="0.3">
      <c r="A11539" s="5" t="s">
        <v>358</v>
      </c>
      <c r="B11539" s="5" t="s">
        <v>359</v>
      </c>
      <c r="C11539" s="6">
        <v>1992</v>
      </c>
      <c r="D11539" s="7">
        <v>42443509</v>
      </c>
    </row>
    <row r="11540" spans="1:4" x14ac:dyDescent="0.3">
      <c r="A11540" s="2" t="s">
        <v>358</v>
      </c>
      <c r="B11540" s="2" t="s">
        <v>359</v>
      </c>
      <c r="C11540" s="3">
        <v>1993</v>
      </c>
      <c r="D11540" s="4">
        <v>43297156</v>
      </c>
    </row>
    <row r="11541" spans="1:4" x14ac:dyDescent="0.3">
      <c r="A11541" s="5" t="s">
        <v>358</v>
      </c>
      <c r="B11541" s="5" t="s">
        <v>359</v>
      </c>
      <c r="C11541" s="6">
        <v>1994</v>
      </c>
      <c r="D11541" s="7">
        <v>44004139</v>
      </c>
    </row>
    <row r="11542" spans="1:4" x14ac:dyDescent="0.3">
      <c r="A11542" s="2" t="s">
        <v>358</v>
      </c>
      <c r="B11542" s="2" t="s">
        <v>359</v>
      </c>
      <c r="C11542" s="3">
        <v>1995</v>
      </c>
      <c r="D11542" s="4">
        <v>44541554</v>
      </c>
    </row>
    <row r="11543" spans="1:4" x14ac:dyDescent="0.3">
      <c r="A11543" s="5" t="s">
        <v>358</v>
      </c>
      <c r="B11543" s="5" t="s">
        <v>359</v>
      </c>
      <c r="C11543" s="6">
        <v>1996</v>
      </c>
      <c r="D11543" s="7">
        <v>45123018</v>
      </c>
    </row>
    <row r="11544" spans="1:4" x14ac:dyDescent="0.3">
      <c r="A11544" s="2" t="s">
        <v>358</v>
      </c>
      <c r="B11544" s="2" t="s">
        <v>359</v>
      </c>
      <c r="C11544" s="3">
        <v>1997</v>
      </c>
      <c r="D11544" s="4">
        <v>45666838</v>
      </c>
    </row>
    <row r="11545" spans="1:4" x14ac:dyDescent="0.3">
      <c r="A11545" s="5" t="s">
        <v>358</v>
      </c>
      <c r="B11545" s="5" t="s">
        <v>359</v>
      </c>
      <c r="C11545" s="6">
        <v>1998</v>
      </c>
      <c r="D11545" s="7">
        <v>46223880</v>
      </c>
    </row>
    <row r="11546" spans="1:4" x14ac:dyDescent="0.3">
      <c r="A11546" s="2" t="s">
        <v>358</v>
      </c>
      <c r="B11546" s="2" t="s">
        <v>359</v>
      </c>
      <c r="C11546" s="3">
        <v>1999</v>
      </c>
      <c r="D11546" s="4">
        <v>46730335</v>
      </c>
    </row>
    <row r="11547" spans="1:4" x14ac:dyDescent="0.3">
      <c r="A11547" s="5" t="s">
        <v>358</v>
      </c>
      <c r="B11547" s="5" t="s">
        <v>359</v>
      </c>
      <c r="C11547" s="6">
        <v>2000</v>
      </c>
      <c r="D11547" s="7">
        <v>47159719</v>
      </c>
    </row>
    <row r="11548" spans="1:4" x14ac:dyDescent="0.3">
      <c r="A11548" s="2" t="s">
        <v>358</v>
      </c>
      <c r="B11548" s="2" t="s">
        <v>359</v>
      </c>
      <c r="C11548" s="3">
        <v>2001</v>
      </c>
      <c r="D11548" s="4">
        <v>47566800</v>
      </c>
    </row>
    <row r="11549" spans="1:4" x14ac:dyDescent="0.3">
      <c r="A11549" s="5" t="s">
        <v>358</v>
      </c>
      <c r="B11549" s="5" t="s">
        <v>359</v>
      </c>
      <c r="C11549" s="6">
        <v>2002</v>
      </c>
      <c r="D11549" s="7">
        <v>48019415</v>
      </c>
    </row>
    <row r="11550" spans="1:4" x14ac:dyDescent="0.3">
      <c r="A11550" s="2" t="s">
        <v>358</v>
      </c>
      <c r="B11550" s="2" t="s">
        <v>359</v>
      </c>
      <c r="C11550" s="3">
        <v>2003</v>
      </c>
      <c r="D11550" s="4">
        <v>48500348</v>
      </c>
    </row>
    <row r="11551" spans="1:4" x14ac:dyDescent="0.3">
      <c r="A11551" s="5" t="s">
        <v>358</v>
      </c>
      <c r="B11551" s="5" t="s">
        <v>359</v>
      </c>
      <c r="C11551" s="6">
        <v>2004</v>
      </c>
      <c r="D11551" s="7">
        <v>48991421</v>
      </c>
    </row>
    <row r="11552" spans="1:4" x14ac:dyDescent="0.3">
      <c r="A11552" s="2" t="s">
        <v>358</v>
      </c>
      <c r="B11552" s="2" t="s">
        <v>359</v>
      </c>
      <c r="C11552" s="3">
        <v>2005</v>
      </c>
      <c r="D11552" s="4">
        <v>49490033</v>
      </c>
    </row>
    <row r="11553" spans="1:4" x14ac:dyDescent="0.3">
      <c r="A11553" s="5" t="s">
        <v>358</v>
      </c>
      <c r="B11553" s="5" t="s">
        <v>359</v>
      </c>
      <c r="C11553" s="6">
        <v>2006</v>
      </c>
      <c r="D11553" s="7">
        <v>49998277</v>
      </c>
    </row>
    <row r="11554" spans="1:4" x14ac:dyDescent="0.3">
      <c r="A11554" s="2" t="s">
        <v>358</v>
      </c>
      <c r="B11554" s="2" t="s">
        <v>359</v>
      </c>
      <c r="C11554" s="3">
        <v>2007</v>
      </c>
      <c r="D11554" s="4">
        <v>50528584</v>
      </c>
    </row>
    <row r="11555" spans="1:4" x14ac:dyDescent="0.3">
      <c r="A11555" s="5" t="s">
        <v>358</v>
      </c>
      <c r="B11555" s="5" t="s">
        <v>359</v>
      </c>
      <c r="C11555" s="6">
        <v>2008</v>
      </c>
      <c r="D11555" s="7">
        <v>51114599</v>
      </c>
    </row>
    <row r="11556" spans="1:4" x14ac:dyDescent="0.3">
      <c r="A11556" s="2" t="s">
        <v>358</v>
      </c>
      <c r="B11556" s="2" t="s">
        <v>359</v>
      </c>
      <c r="C11556" s="3">
        <v>2009</v>
      </c>
      <c r="D11556" s="4">
        <v>51728516</v>
      </c>
    </row>
    <row r="11557" spans="1:4" x14ac:dyDescent="0.3">
      <c r="A11557" s="5" t="s">
        <v>358</v>
      </c>
      <c r="B11557" s="5" t="s">
        <v>359</v>
      </c>
      <c r="C11557" s="6">
        <v>2010</v>
      </c>
      <c r="D11557" s="7">
        <v>52344051</v>
      </c>
    </row>
    <row r="11558" spans="1:4" x14ac:dyDescent="0.3">
      <c r="A11558" s="2" t="s">
        <v>358</v>
      </c>
      <c r="B11558" s="2" t="s">
        <v>359</v>
      </c>
      <c r="C11558" s="3">
        <v>2011</v>
      </c>
      <c r="D11558" s="4">
        <v>52995205</v>
      </c>
    </row>
    <row r="11559" spans="1:4" x14ac:dyDescent="0.3">
      <c r="A11559" s="5" t="s">
        <v>358</v>
      </c>
      <c r="B11559" s="5" t="s">
        <v>359</v>
      </c>
      <c r="C11559" s="6">
        <v>2012</v>
      </c>
      <c r="D11559" s="7">
        <v>53782567</v>
      </c>
    </row>
    <row r="11560" spans="1:4" x14ac:dyDescent="0.3">
      <c r="A11560" s="2" t="s">
        <v>358</v>
      </c>
      <c r="B11560" s="2" t="s">
        <v>359</v>
      </c>
      <c r="C11560" s="3">
        <v>2013</v>
      </c>
      <c r="D11560" s="4">
        <v>54678791</v>
      </c>
    </row>
    <row r="11561" spans="1:4" x14ac:dyDescent="0.3">
      <c r="A11561" s="5" t="s">
        <v>358</v>
      </c>
      <c r="B11561" s="5" t="s">
        <v>359</v>
      </c>
      <c r="C11561" s="6">
        <v>2014</v>
      </c>
      <c r="D11561" s="7">
        <v>55594838</v>
      </c>
    </row>
    <row r="11562" spans="1:4" x14ac:dyDescent="0.3">
      <c r="A11562" s="2" t="s">
        <v>358</v>
      </c>
      <c r="B11562" s="2" t="s">
        <v>359</v>
      </c>
      <c r="C11562" s="3">
        <v>2015</v>
      </c>
      <c r="D11562" s="4">
        <v>56723537</v>
      </c>
    </row>
    <row r="11563" spans="1:4" x14ac:dyDescent="0.3">
      <c r="A11563" s="5" t="s">
        <v>358</v>
      </c>
      <c r="B11563" s="5" t="s">
        <v>359</v>
      </c>
      <c r="C11563" s="6">
        <v>2016</v>
      </c>
      <c r="D11563" s="7">
        <v>57259551</v>
      </c>
    </row>
    <row r="11564" spans="1:4" x14ac:dyDescent="0.3">
      <c r="A11564" s="2" t="s">
        <v>358</v>
      </c>
      <c r="B11564" s="2" t="s">
        <v>359</v>
      </c>
      <c r="C11564" s="3">
        <v>2017</v>
      </c>
      <c r="D11564" s="4">
        <v>57635162</v>
      </c>
    </row>
    <row r="11565" spans="1:4" x14ac:dyDescent="0.3">
      <c r="A11565" s="5" t="s">
        <v>358</v>
      </c>
      <c r="B11565" s="5" t="s">
        <v>359</v>
      </c>
      <c r="C11565" s="6">
        <v>2018</v>
      </c>
      <c r="D11565" s="7">
        <v>58613001</v>
      </c>
    </row>
    <row r="11566" spans="1:4" x14ac:dyDescent="0.3">
      <c r="A11566" s="2" t="s">
        <v>358</v>
      </c>
      <c r="B11566" s="2" t="s">
        <v>359</v>
      </c>
      <c r="C11566" s="3">
        <v>2019</v>
      </c>
      <c r="D11566" s="4">
        <v>59587885</v>
      </c>
    </row>
    <row r="11567" spans="1:4" x14ac:dyDescent="0.3">
      <c r="A11567" s="5" t="s">
        <v>358</v>
      </c>
      <c r="B11567" s="5" t="s">
        <v>359</v>
      </c>
      <c r="C11567" s="6">
        <v>2020</v>
      </c>
      <c r="D11567" s="7">
        <v>60562381</v>
      </c>
    </row>
    <row r="11568" spans="1:4" x14ac:dyDescent="0.3">
      <c r="A11568" s="2" t="s">
        <v>358</v>
      </c>
      <c r="B11568" s="2" t="s">
        <v>359</v>
      </c>
      <c r="C11568" s="3">
        <v>2021</v>
      </c>
      <c r="D11568" s="4">
        <v>61502603</v>
      </c>
    </row>
    <row r="11569" spans="1:4" x14ac:dyDescent="0.3">
      <c r="A11569" s="5" t="s">
        <v>358</v>
      </c>
      <c r="B11569" s="5" t="s">
        <v>359</v>
      </c>
      <c r="C11569" s="6">
        <v>2022</v>
      </c>
      <c r="D11569" s="7">
        <v>62378410</v>
      </c>
    </row>
    <row r="11570" spans="1:4" x14ac:dyDescent="0.3">
      <c r="A11570" s="2" t="s">
        <v>358</v>
      </c>
      <c r="B11570" s="2" t="s">
        <v>359</v>
      </c>
      <c r="C11570" s="3">
        <v>2023</v>
      </c>
      <c r="D11570" s="4">
        <v>63212384</v>
      </c>
    </row>
    <row r="11571" spans="1:4" x14ac:dyDescent="0.3">
      <c r="A11571" s="5" t="s">
        <v>358</v>
      </c>
      <c r="B11571" s="5" t="s">
        <v>359</v>
      </c>
      <c r="C11571" s="6">
        <v>2024</v>
      </c>
      <c r="D11571" s="7">
        <v>64007187</v>
      </c>
    </row>
    <row r="11572" spans="1:4" x14ac:dyDescent="0.3">
      <c r="A11572" s="2" t="s">
        <v>360</v>
      </c>
      <c r="B11572" s="2" t="s">
        <v>361</v>
      </c>
      <c r="C11572" s="3">
        <v>1960</v>
      </c>
      <c r="D11572" s="4">
        <v>2931559</v>
      </c>
    </row>
    <row r="11573" spans="1:4" x14ac:dyDescent="0.3">
      <c r="A11573" s="5" t="s">
        <v>360</v>
      </c>
      <c r="B11573" s="5" t="s">
        <v>361</v>
      </c>
      <c r="C11573" s="6">
        <v>1961</v>
      </c>
      <c r="D11573" s="7">
        <v>2976724</v>
      </c>
    </row>
    <row r="11574" spans="1:4" x14ac:dyDescent="0.3">
      <c r="A11574" s="2" t="s">
        <v>360</v>
      </c>
      <c r="B11574" s="2" t="s">
        <v>361</v>
      </c>
      <c r="C11574" s="3">
        <v>1962</v>
      </c>
      <c r="D11574" s="4">
        <v>3024308</v>
      </c>
    </row>
    <row r="11575" spans="1:4" x14ac:dyDescent="0.3">
      <c r="A11575" s="5" t="s">
        <v>360</v>
      </c>
      <c r="B11575" s="5" t="s">
        <v>361</v>
      </c>
      <c r="C11575" s="6">
        <v>1963</v>
      </c>
      <c r="D11575" s="7">
        <v>3072669</v>
      </c>
    </row>
    <row r="11576" spans="1:4" x14ac:dyDescent="0.3">
      <c r="A11576" s="2" t="s">
        <v>360</v>
      </c>
      <c r="B11576" s="2" t="s">
        <v>361</v>
      </c>
      <c r="C11576" s="3">
        <v>1964</v>
      </c>
      <c r="D11576" s="4">
        <v>3129918</v>
      </c>
    </row>
    <row r="11577" spans="1:4" x14ac:dyDescent="0.3">
      <c r="A11577" s="5" t="s">
        <v>360</v>
      </c>
      <c r="B11577" s="5" t="s">
        <v>361</v>
      </c>
      <c r="C11577" s="6">
        <v>1965</v>
      </c>
      <c r="D11577" s="7">
        <v>3189835</v>
      </c>
    </row>
    <row r="11578" spans="1:4" x14ac:dyDescent="0.3">
      <c r="A11578" s="2" t="s">
        <v>360</v>
      </c>
      <c r="B11578" s="2" t="s">
        <v>361</v>
      </c>
      <c r="C11578" s="3">
        <v>1966</v>
      </c>
      <c r="D11578" s="4">
        <v>3236423</v>
      </c>
    </row>
    <row r="11579" spans="1:4" x14ac:dyDescent="0.3">
      <c r="A11579" s="5" t="s">
        <v>360</v>
      </c>
      <c r="B11579" s="5" t="s">
        <v>361</v>
      </c>
      <c r="C11579" s="6">
        <v>1967</v>
      </c>
      <c r="D11579" s="7">
        <v>3277648</v>
      </c>
    </row>
    <row r="11580" spans="1:4" x14ac:dyDescent="0.3">
      <c r="A11580" s="2" t="s">
        <v>360</v>
      </c>
      <c r="B11580" s="2" t="s">
        <v>361</v>
      </c>
      <c r="C11580" s="3">
        <v>1968</v>
      </c>
      <c r="D11580" s="4">
        <v>3321528</v>
      </c>
    </row>
    <row r="11581" spans="1:4" x14ac:dyDescent="0.3">
      <c r="A11581" s="5" t="s">
        <v>360</v>
      </c>
      <c r="B11581" s="5" t="s">
        <v>361</v>
      </c>
      <c r="C11581" s="6">
        <v>1969</v>
      </c>
      <c r="D11581" s="7">
        <v>3365533</v>
      </c>
    </row>
    <row r="11582" spans="1:4" x14ac:dyDescent="0.3">
      <c r="A11582" s="2" t="s">
        <v>360</v>
      </c>
      <c r="B11582" s="2" t="s">
        <v>361</v>
      </c>
      <c r="C11582" s="3">
        <v>1970</v>
      </c>
      <c r="D11582" s="4">
        <v>3409614</v>
      </c>
    </row>
    <row r="11583" spans="1:4" x14ac:dyDescent="0.3">
      <c r="A11583" s="5" t="s">
        <v>360</v>
      </c>
      <c r="B11583" s="5" t="s">
        <v>361</v>
      </c>
      <c r="C11583" s="6">
        <v>1971</v>
      </c>
      <c r="D11583" s="7">
        <v>3468646</v>
      </c>
    </row>
    <row r="11584" spans="1:4" x14ac:dyDescent="0.3">
      <c r="A11584" s="2" t="s">
        <v>360</v>
      </c>
      <c r="B11584" s="2" t="s">
        <v>361</v>
      </c>
      <c r="C11584" s="3">
        <v>1972</v>
      </c>
      <c r="D11584" s="4">
        <v>3542497</v>
      </c>
    </row>
    <row r="11585" spans="1:4" x14ac:dyDescent="0.3">
      <c r="A11585" s="5" t="s">
        <v>360</v>
      </c>
      <c r="B11585" s="5" t="s">
        <v>361</v>
      </c>
      <c r="C11585" s="6">
        <v>1973</v>
      </c>
      <c r="D11585" s="7">
        <v>3627383</v>
      </c>
    </row>
    <row r="11586" spans="1:4" x14ac:dyDescent="0.3">
      <c r="A11586" s="2" t="s">
        <v>360</v>
      </c>
      <c r="B11586" s="2" t="s">
        <v>361</v>
      </c>
      <c r="C11586" s="3">
        <v>1974</v>
      </c>
      <c r="D11586" s="4">
        <v>3723259</v>
      </c>
    </row>
    <row r="11587" spans="1:4" x14ac:dyDescent="0.3">
      <c r="A11587" s="5" t="s">
        <v>360</v>
      </c>
      <c r="B11587" s="5" t="s">
        <v>361</v>
      </c>
      <c r="C11587" s="6">
        <v>1975</v>
      </c>
      <c r="D11587" s="7">
        <v>3821494</v>
      </c>
    </row>
    <row r="11588" spans="1:4" x14ac:dyDescent="0.3">
      <c r="A11588" s="2" t="s">
        <v>360</v>
      </c>
      <c r="B11588" s="2" t="s">
        <v>361</v>
      </c>
      <c r="C11588" s="3">
        <v>1976</v>
      </c>
      <c r="D11588" s="4">
        <v>3921910</v>
      </c>
    </row>
    <row r="11589" spans="1:4" x14ac:dyDescent="0.3">
      <c r="A11589" s="5" t="s">
        <v>360</v>
      </c>
      <c r="B11589" s="5" t="s">
        <v>361</v>
      </c>
      <c r="C11589" s="6">
        <v>1977</v>
      </c>
      <c r="D11589" s="7">
        <v>4024032</v>
      </c>
    </row>
    <row r="11590" spans="1:4" x14ac:dyDescent="0.3">
      <c r="A11590" s="2" t="s">
        <v>360</v>
      </c>
      <c r="B11590" s="2" t="s">
        <v>361</v>
      </c>
      <c r="C11590" s="3">
        <v>1978</v>
      </c>
      <c r="D11590" s="4">
        <v>4127657</v>
      </c>
    </row>
    <row r="11591" spans="1:4" x14ac:dyDescent="0.3">
      <c r="A11591" s="5" t="s">
        <v>360</v>
      </c>
      <c r="B11591" s="5" t="s">
        <v>361</v>
      </c>
      <c r="C11591" s="6">
        <v>1979</v>
      </c>
      <c r="D11591" s="7">
        <v>4232605</v>
      </c>
    </row>
    <row r="11592" spans="1:4" x14ac:dyDescent="0.3">
      <c r="A11592" s="2" t="s">
        <v>360</v>
      </c>
      <c r="B11592" s="2" t="s">
        <v>361</v>
      </c>
      <c r="C11592" s="3">
        <v>1980</v>
      </c>
      <c r="D11592" s="4">
        <v>4339030</v>
      </c>
    </row>
    <row r="11593" spans="1:4" x14ac:dyDescent="0.3">
      <c r="A11593" s="5" t="s">
        <v>360</v>
      </c>
      <c r="B11593" s="5" t="s">
        <v>361</v>
      </c>
      <c r="C11593" s="6">
        <v>1981</v>
      </c>
      <c r="D11593" s="7">
        <v>4447272</v>
      </c>
    </row>
    <row r="11594" spans="1:4" x14ac:dyDescent="0.3">
      <c r="A11594" s="2" t="s">
        <v>360</v>
      </c>
      <c r="B11594" s="2" t="s">
        <v>361</v>
      </c>
      <c r="C11594" s="3">
        <v>1982</v>
      </c>
      <c r="D11594" s="4">
        <v>4557686</v>
      </c>
    </row>
    <row r="11595" spans="1:4" x14ac:dyDescent="0.3">
      <c r="A11595" s="5" t="s">
        <v>360</v>
      </c>
      <c r="B11595" s="5" t="s">
        <v>361</v>
      </c>
      <c r="C11595" s="6">
        <v>1983</v>
      </c>
      <c r="D11595" s="7">
        <v>4661574</v>
      </c>
    </row>
    <row r="11596" spans="1:4" x14ac:dyDescent="0.3">
      <c r="A11596" s="2" t="s">
        <v>360</v>
      </c>
      <c r="B11596" s="2" t="s">
        <v>361</v>
      </c>
      <c r="C11596" s="3">
        <v>1984</v>
      </c>
      <c r="D11596" s="4">
        <v>4750627</v>
      </c>
    </row>
    <row r="11597" spans="1:4" x14ac:dyDescent="0.3">
      <c r="A11597" s="5" t="s">
        <v>360</v>
      </c>
      <c r="B11597" s="5" t="s">
        <v>361</v>
      </c>
      <c r="C11597" s="6">
        <v>1985</v>
      </c>
      <c r="D11597" s="7">
        <v>4834296</v>
      </c>
    </row>
    <row r="11598" spans="1:4" x14ac:dyDescent="0.3">
      <c r="A11598" s="2" t="s">
        <v>360</v>
      </c>
      <c r="B11598" s="2" t="s">
        <v>361</v>
      </c>
      <c r="C11598" s="3">
        <v>1986</v>
      </c>
      <c r="D11598" s="4">
        <v>4921240</v>
      </c>
    </row>
    <row r="11599" spans="1:4" x14ac:dyDescent="0.3">
      <c r="A11599" s="5" t="s">
        <v>360</v>
      </c>
      <c r="B11599" s="5" t="s">
        <v>361</v>
      </c>
      <c r="C11599" s="6">
        <v>1987</v>
      </c>
      <c r="D11599" s="7">
        <v>4962395</v>
      </c>
    </row>
    <row r="11600" spans="1:4" x14ac:dyDescent="0.3">
      <c r="A11600" s="2" t="s">
        <v>360</v>
      </c>
      <c r="B11600" s="2" t="s">
        <v>361</v>
      </c>
      <c r="C11600" s="3">
        <v>1988</v>
      </c>
      <c r="D11600" s="4">
        <v>4848029</v>
      </c>
    </row>
    <row r="11601" spans="1:4" x14ac:dyDescent="0.3">
      <c r="A11601" s="5" t="s">
        <v>360</v>
      </c>
      <c r="B11601" s="5" t="s">
        <v>361</v>
      </c>
      <c r="C11601" s="6">
        <v>1989</v>
      </c>
      <c r="D11601" s="7">
        <v>4713229</v>
      </c>
    </row>
    <row r="11602" spans="1:4" x14ac:dyDescent="0.3">
      <c r="A11602" s="2" t="s">
        <v>360</v>
      </c>
      <c r="B11602" s="2" t="s">
        <v>361</v>
      </c>
      <c r="C11602" s="3">
        <v>1990</v>
      </c>
      <c r="D11602" s="4">
        <v>4737633</v>
      </c>
    </row>
    <row r="11603" spans="1:4" x14ac:dyDescent="0.3">
      <c r="A11603" s="5" t="s">
        <v>360</v>
      </c>
      <c r="B11603" s="5" t="s">
        <v>361</v>
      </c>
      <c r="C11603" s="6">
        <v>1991</v>
      </c>
      <c r="D11603" s="7">
        <v>4836677</v>
      </c>
    </row>
    <row r="11604" spans="1:4" x14ac:dyDescent="0.3">
      <c r="A11604" s="2" t="s">
        <v>360</v>
      </c>
      <c r="B11604" s="2" t="s">
        <v>361</v>
      </c>
      <c r="C11604" s="3">
        <v>1992</v>
      </c>
      <c r="D11604" s="4">
        <v>4909749</v>
      </c>
    </row>
    <row r="11605" spans="1:4" x14ac:dyDescent="0.3">
      <c r="A11605" s="5" t="s">
        <v>360</v>
      </c>
      <c r="B11605" s="5" t="s">
        <v>361</v>
      </c>
      <c r="C11605" s="6">
        <v>1993</v>
      </c>
      <c r="D11605" s="7">
        <v>4956002</v>
      </c>
    </row>
    <row r="11606" spans="1:4" x14ac:dyDescent="0.3">
      <c r="A11606" s="2" t="s">
        <v>360</v>
      </c>
      <c r="B11606" s="2" t="s">
        <v>361</v>
      </c>
      <c r="C11606" s="3">
        <v>1994</v>
      </c>
      <c r="D11606" s="4">
        <v>5071184</v>
      </c>
    </row>
    <row r="11607" spans="1:4" x14ac:dyDescent="0.3">
      <c r="A11607" s="5" t="s">
        <v>360</v>
      </c>
      <c r="B11607" s="5" t="s">
        <v>361</v>
      </c>
      <c r="C11607" s="6">
        <v>1995</v>
      </c>
      <c r="D11607" s="7">
        <v>5225836</v>
      </c>
    </row>
    <row r="11608" spans="1:4" x14ac:dyDescent="0.3">
      <c r="A11608" s="2" t="s">
        <v>360</v>
      </c>
      <c r="B11608" s="2" t="s">
        <v>361</v>
      </c>
      <c r="C11608" s="3">
        <v>1996</v>
      </c>
      <c r="D11608" s="4">
        <v>5356925</v>
      </c>
    </row>
    <row r="11609" spans="1:4" x14ac:dyDescent="0.3">
      <c r="A11609" s="5" t="s">
        <v>360</v>
      </c>
      <c r="B11609" s="5" t="s">
        <v>361</v>
      </c>
      <c r="C11609" s="6">
        <v>1997</v>
      </c>
      <c r="D11609" s="7">
        <v>5509136</v>
      </c>
    </row>
    <row r="11610" spans="1:4" x14ac:dyDescent="0.3">
      <c r="A11610" s="2" t="s">
        <v>360</v>
      </c>
      <c r="B11610" s="2" t="s">
        <v>361</v>
      </c>
      <c r="C11610" s="3">
        <v>1998</v>
      </c>
      <c r="D11610" s="4">
        <v>5620068</v>
      </c>
    </row>
    <row r="11611" spans="1:4" x14ac:dyDescent="0.3">
      <c r="A11611" s="5" t="s">
        <v>360</v>
      </c>
      <c r="B11611" s="5" t="s">
        <v>361</v>
      </c>
      <c r="C11611" s="6">
        <v>1999</v>
      </c>
      <c r="D11611" s="7">
        <v>5771628</v>
      </c>
    </row>
    <row r="11612" spans="1:4" x14ac:dyDescent="0.3">
      <c r="A11612" s="2" t="s">
        <v>360</v>
      </c>
      <c r="B11612" s="2" t="s">
        <v>361</v>
      </c>
      <c r="C11612" s="3">
        <v>2000</v>
      </c>
      <c r="D11612" s="4">
        <v>6032267</v>
      </c>
    </row>
    <row r="11613" spans="1:4" x14ac:dyDescent="0.3">
      <c r="A11613" s="5" t="s">
        <v>360</v>
      </c>
      <c r="B11613" s="5" t="s">
        <v>361</v>
      </c>
      <c r="C11613" s="6">
        <v>2001</v>
      </c>
      <c r="D11613" s="7">
        <v>6308391</v>
      </c>
    </row>
    <row r="11614" spans="1:4" x14ac:dyDescent="0.3">
      <c r="A11614" s="2" t="s">
        <v>360</v>
      </c>
      <c r="B11614" s="2" t="s">
        <v>361</v>
      </c>
      <c r="C11614" s="3">
        <v>2002</v>
      </c>
      <c r="D11614" s="4">
        <v>6596806</v>
      </c>
    </row>
    <row r="11615" spans="1:4" x14ac:dyDescent="0.3">
      <c r="A11615" s="5" t="s">
        <v>360</v>
      </c>
      <c r="B11615" s="5" t="s">
        <v>361</v>
      </c>
      <c r="C11615" s="6">
        <v>2003</v>
      </c>
      <c r="D11615" s="7">
        <v>6903127</v>
      </c>
    </row>
    <row r="11616" spans="1:4" x14ac:dyDescent="0.3">
      <c r="A11616" s="2" t="s">
        <v>360</v>
      </c>
      <c r="B11616" s="2" t="s">
        <v>361</v>
      </c>
      <c r="C11616" s="3">
        <v>2004</v>
      </c>
      <c r="D11616" s="4">
        <v>7233041</v>
      </c>
    </row>
    <row r="11617" spans="1:4" x14ac:dyDescent="0.3">
      <c r="A11617" s="5" t="s">
        <v>360</v>
      </c>
      <c r="B11617" s="5" t="s">
        <v>361</v>
      </c>
      <c r="C11617" s="6">
        <v>2005</v>
      </c>
      <c r="D11617" s="7">
        <v>7590143</v>
      </c>
    </row>
    <row r="11618" spans="1:4" x14ac:dyDescent="0.3">
      <c r="A11618" s="2" t="s">
        <v>360</v>
      </c>
      <c r="B11618" s="2" t="s">
        <v>361</v>
      </c>
      <c r="C11618" s="3">
        <v>2006</v>
      </c>
      <c r="D11618" s="4">
        <v>7976526</v>
      </c>
    </row>
    <row r="11619" spans="1:4" x14ac:dyDescent="0.3">
      <c r="A11619" s="5" t="s">
        <v>360</v>
      </c>
      <c r="B11619" s="5" t="s">
        <v>361</v>
      </c>
      <c r="C11619" s="6">
        <v>2007</v>
      </c>
      <c r="D11619" s="7">
        <v>8388788</v>
      </c>
    </row>
    <row r="11620" spans="1:4" x14ac:dyDescent="0.3">
      <c r="A11620" s="2" t="s">
        <v>360</v>
      </c>
      <c r="B11620" s="2" t="s">
        <v>361</v>
      </c>
      <c r="C11620" s="3">
        <v>2008</v>
      </c>
      <c r="D11620" s="4">
        <v>8817647</v>
      </c>
    </row>
    <row r="11621" spans="1:4" x14ac:dyDescent="0.3">
      <c r="A11621" s="5" t="s">
        <v>360</v>
      </c>
      <c r="B11621" s="5" t="s">
        <v>361</v>
      </c>
      <c r="C11621" s="6">
        <v>2009</v>
      </c>
      <c r="D11621" s="7">
        <v>9243556</v>
      </c>
    </row>
    <row r="11622" spans="1:4" x14ac:dyDescent="0.3">
      <c r="A11622" s="2" t="s">
        <v>360</v>
      </c>
      <c r="B11622" s="2" t="s">
        <v>361</v>
      </c>
      <c r="C11622" s="3">
        <v>2010</v>
      </c>
      <c r="D11622" s="4">
        <v>9745953</v>
      </c>
    </row>
    <row r="11623" spans="1:4" x14ac:dyDescent="0.3">
      <c r="A11623" s="5" t="s">
        <v>360</v>
      </c>
      <c r="B11623" s="5" t="s">
        <v>361</v>
      </c>
      <c r="C11623" s="6">
        <v>2011</v>
      </c>
      <c r="D11623" s="7">
        <v>10288109</v>
      </c>
    </row>
    <row r="11624" spans="1:4" x14ac:dyDescent="0.3">
      <c r="A11624" s="2" t="s">
        <v>360</v>
      </c>
      <c r="B11624" s="2" t="s">
        <v>361</v>
      </c>
      <c r="C11624" s="3">
        <v>2012</v>
      </c>
      <c r="D11624" s="4">
        <v>10756240</v>
      </c>
    </row>
    <row r="11625" spans="1:4" x14ac:dyDescent="0.3">
      <c r="A11625" s="5" t="s">
        <v>360</v>
      </c>
      <c r="B11625" s="5" t="s">
        <v>361</v>
      </c>
      <c r="C11625" s="6">
        <v>2013</v>
      </c>
      <c r="D11625" s="7">
        <v>11166275</v>
      </c>
    </row>
    <row r="11626" spans="1:4" x14ac:dyDescent="0.3">
      <c r="A11626" s="2" t="s">
        <v>360</v>
      </c>
      <c r="B11626" s="2" t="s">
        <v>361</v>
      </c>
      <c r="C11626" s="3">
        <v>2014</v>
      </c>
      <c r="D11626" s="4">
        <v>11235073</v>
      </c>
    </row>
    <row r="11627" spans="1:4" x14ac:dyDescent="0.3">
      <c r="A11627" s="5" t="s">
        <v>360</v>
      </c>
      <c r="B11627" s="5" t="s">
        <v>361</v>
      </c>
      <c r="C11627" s="6">
        <v>2015</v>
      </c>
      <c r="D11627" s="7">
        <v>11107561</v>
      </c>
    </row>
    <row r="11628" spans="1:4" x14ac:dyDescent="0.3">
      <c r="A11628" s="2" t="s">
        <v>360</v>
      </c>
      <c r="B11628" s="2" t="s">
        <v>361</v>
      </c>
      <c r="C11628" s="3">
        <v>2016</v>
      </c>
      <c r="D11628" s="4">
        <v>10830102</v>
      </c>
    </row>
    <row r="11629" spans="1:4" x14ac:dyDescent="0.3">
      <c r="A11629" s="5" t="s">
        <v>360</v>
      </c>
      <c r="B11629" s="5" t="s">
        <v>361</v>
      </c>
      <c r="C11629" s="6">
        <v>2017</v>
      </c>
      <c r="D11629" s="7">
        <v>10259154</v>
      </c>
    </row>
    <row r="11630" spans="1:4" x14ac:dyDescent="0.3">
      <c r="A11630" s="2" t="s">
        <v>360</v>
      </c>
      <c r="B11630" s="2" t="s">
        <v>361</v>
      </c>
      <c r="C11630" s="3">
        <v>2018</v>
      </c>
      <c r="D11630" s="4">
        <v>10122977</v>
      </c>
    </row>
    <row r="11631" spans="1:4" x14ac:dyDescent="0.3">
      <c r="A11631" s="5" t="s">
        <v>360</v>
      </c>
      <c r="B11631" s="5" t="s">
        <v>361</v>
      </c>
      <c r="C11631" s="6">
        <v>2019</v>
      </c>
      <c r="D11631" s="7">
        <v>10423384</v>
      </c>
    </row>
    <row r="11632" spans="1:4" x14ac:dyDescent="0.3">
      <c r="A11632" s="2" t="s">
        <v>360</v>
      </c>
      <c r="B11632" s="2" t="s">
        <v>361</v>
      </c>
      <c r="C11632" s="3">
        <v>2020</v>
      </c>
      <c r="D11632" s="4">
        <v>10698467</v>
      </c>
    </row>
    <row r="11633" spans="1:4" x14ac:dyDescent="0.3">
      <c r="A11633" s="5" t="s">
        <v>360</v>
      </c>
      <c r="B11633" s="5" t="s">
        <v>361</v>
      </c>
      <c r="C11633" s="6">
        <v>2021</v>
      </c>
      <c r="D11633" s="7">
        <v>10865780</v>
      </c>
    </row>
    <row r="11634" spans="1:4" x14ac:dyDescent="0.3">
      <c r="A11634" s="2" t="s">
        <v>360</v>
      </c>
      <c r="B11634" s="2" t="s">
        <v>361</v>
      </c>
      <c r="C11634" s="3">
        <v>2022</v>
      </c>
      <c r="D11634" s="4">
        <v>11021177</v>
      </c>
    </row>
    <row r="11635" spans="1:4" x14ac:dyDescent="0.3">
      <c r="A11635" s="5" t="s">
        <v>360</v>
      </c>
      <c r="B11635" s="5" t="s">
        <v>361</v>
      </c>
      <c r="C11635" s="6">
        <v>2023</v>
      </c>
      <c r="D11635" s="7">
        <v>11483374</v>
      </c>
    </row>
    <row r="11636" spans="1:4" x14ac:dyDescent="0.3">
      <c r="A11636" s="2" t="s">
        <v>360</v>
      </c>
      <c r="B11636" s="2" t="s">
        <v>361</v>
      </c>
      <c r="C11636" s="3">
        <v>2024</v>
      </c>
      <c r="D11636" s="4">
        <v>11943408</v>
      </c>
    </row>
    <row r="11637" spans="1:4" x14ac:dyDescent="0.3">
      <c r="A11637" s="5" t="s">
        <v>362</v>
      </c>
      <c r="B11637" s="5" t="s">
        <v>363</v>
      </c>
      <c r="C11637" s="6">
        <v>1960</v>
      </c>
      <c r="D11637" s="7">
        <v>30455000</v>
      </c>
    </row>
    <row r="11638" spans="1:4" x14ac:dyDescent="0.3">
      <c r="A11638" s="2" t="s">
        <v>362</v>
      </c>
      <c r="B11638" s="2" t="s">
        <v>363</v>
      </c>
      <c r="C11638" s="3">
        <v>1961</v>
      </c>
      <c r="D11638" s="4">
        <v>30739250</v>
      </c>
    </row>
    <row r="11639" spans="1:4" x14ac:dyDescent="0.3">
      <c r="A11639" s="5" t="s">
        <v>362</v>
      </c>
      <c r="B11639" s="5" t="s">
        <v>363</v>
      </c>
      <c r="C11639" s="6">
        <v>1962</v>
      </c>
      <c r="D11639" s="7">
        <v>31023366</v>
      </c>
    </row>
    <row r="11640" spans="1:4" x14ac:dyDescent="0.3">
      <c r="A11640" s="2" t="s">
        <v>362</v>
      </c>
      <c r="B11640" s="2" t="s">
        <v>363</v>
      </c>
      <c r="C11640" s="3">
        <v>1963</v>
      </c>
      <c r="D11640" s="4">
        <v>31296651</v>
      </c>
    </row>
    <row r="11641" spans="1:4" x14ac:dyDescent="0.3">
      <c r="A11641" s="5" t="s">
        <v>362</v>
      </c>
      <c r="B11641" s="5" t="s">
        <v>363</v>
      </c>
      <c r="C11641" s="6">
        <v>1964</v>
      </c>
      <c r="D11641" s="7">
        <v>31609195</v>
      </c>
    </row>
    <row r="11642" spans="1:4" x14ac:dyDescent="0.3">
      <c r="A11642" s="2" t="s">
        <v>362</v>
      </c>
      <c r="B11642" s="2" t="s">
        <v>363</v>
      </c>
      <c r="C11642" s="3">
        <v>1965</v>
      </c>
      <c r="D11642" s="4">
        <v>31954292</v>
      </c>
    </row>
    <row r="11643" spans="1:4" x14ac:dyDescent="0.3">
      <c r="A11643" s="5" t="s">
        <v>362</v>
      </c>
      <c r="B11643" s="5" t="s">
        <v>363</v>
      </c>
      <c r="C11643" s="6">
        <v>1966</v>
      </c>
      <c r="D11643" s="7">
        <v>32283194</v>
      </c>
    </row>
    <row r="11644" spans="1:4" x14ac:dyDescent="0.3">
      <c r="A11644" s="2" t="s">
        <v>362</v>
      </c>
      <c r="B11644" s="2" t="s">
        <v>363</v>
      </c>
      <c r="C11644" s="3">
        <v>1967</v>
      </c>
      <c r="D11644" s="4">
        <v>32682947</v>
      </c>
    </row>
    <row r="11645" spans="1:4" x14ac:dyDescent="0.3">
      <c r="A11645" s="5" t="s">
        <v>362</v>
      </c>
      <c r="B11645" s="5" t="s">
        <v>363</v>
      </c>
      <c r="C11645" s="6">
        <v>1968</v>
      </c>
      <c r="D11645" s="7">
        <v>33113134</v>
      </c>
    </row>
    <row r="11646" spans="1:4" x14ac:dyDescent="0.3">
      <c r="A11646" s="2" t="s">
        <v>362</v>
      </c>
      <c r="B11646" s="2" t="s">
        <v>363</v>
      </c>
      <c r="C11646" s="3">
        <v>1969</v>
      </c>
      <c r="D11646" s="4">
        <v>33441054</v>
      </c>
    </row>
    <row r="11647" spans="1:4" x14ac:dyDescent="0.3">
      <c r="A11647" s="5" t="s">
        <v>362</v>
      </c>
      <c r="B11647" s="5" t="s">
        <v>363</v>
      </c>
      <c r="C11647" s="6">
        <v>1970</v>
      </c>
      <c r="D11647" s="7">
        <v>33814531</v>
      </c>
    </row>
    <row r="11648" spans="1:4" x14ac:dyDescent="0.3">
      <c r="A11648" s="2" t="s">
        <v>362</v>
      </c>
      <c r="B11648" s="2" t="s">
        <v>363</v>
      </c>
      <c r="C11648" s="3">
        <v>1971</v>
      </c>
      <c r="D11648" s="4">
        <v>34224490</v>
      </c>
    </row>
    <row r="11649" spans="1:4" x14ac:dyDescent="0.3">
      <c r="A11649" s="5" t="s">
        <v>362</v>
      </c>
      <c r="B11649" s="5" t="s">
        <v>363</v>
      </c>
      <c r="C11649" s="6">
        <v>1972</v>
      </c>
      <c r="D11649" s="7">
        <v>34604469</v>
      </c>
    </row>
    <row r="11650" spans="1:4" x14ac:dyDescent="0.3">
      <c r="A11650" s="2" t="s">
        <v>362</v>
      </c>
      <c r="B11650" s="2" t="s">
        <v>363</v>
      </c>
      <c r="C11650" s="3">
        <v>1973</v>
      </c>
      <c r="D11650" s="4">
        <v>34988947</v>
      </c>
    </row>
    <row r="11651" spans="1:4" x14ac:dyDescent="0.3">
      <c r="A11651" s="5" t="s">
        <v>362</v>
      </c>
      <c r="B11651" s="5" t="s">
        <v>363</v>
      </c>
      <c r="C11651" s="6">
        <v>1974</v>
      </c>
      <c r="D11651" s="7">
        <v>35373335</v>
      </c>
    </row>
    <row r="11652" spans="1:4" x14ac:dyDescent="0.3">
      <c r="A11652" s="2" t="s">
        <v>362</v>
      </c>
      <c r="B11652" s="2" t="s">
        <v>363</v>
      </c>
      <c r="C11652" s="3">
        <v>1975</v>
      </c>
      <c r="D11652" s="4">
        <v>35757900</v>
      </c>
    </row>
    <row r="11653" spans="1:4" x14ac:dyDescent="0.3">
      <c r="A11653" s="5" t="s">
        <v>362</v>
      </c>
      <c r="B11653" s="5" t="s">
        <v>363</v>
      </c>
      <c r="C11653" s="6">
        <v>1976</v>
      </c>
      <c r="D11653" s="7">
        <v>36137812</v>
      </c>
    </row>
    <row r="11654" spans="1:4" x14ac:dyDescent="0.3">
      <c r="A11654" s="2" t="s">
        <v>362</v>
      </c>
      <c r="B11654" s="2" t="s">
        <v>363</v>
      </c>
      <c r="C11654" s="3">
        <v>1977</v>
      </c>
      <c r="D11654" s="4">
        <v>36511638</v>
      </c>
    </row>
    <row r="11655" spans="1:4" x14ac:dyDescent="0.3">
      <c r="A11655" s="5" t="s">
        <v>362</v>
      </c>
      <c r="B11655" s="5" t="s">
        <v>363</v>
      </c>
      <c r="C11655" s="6">
        <v>1978</v>
      </c>
      <c r="D11655" s="7">
        <v>36864898</v>
      </c>
    </row>
    <row r="11656" spans="1:4" x14ac:dyDescent="0.3">
      <c r="A11656" s="2" t="s">
        <v>362</v>
      </c>
      <c r="B11656" s="2" t="s">
        <v>363</v>
      </c>
      <c r="C11656" s="3">
        <v>1979</v>
      </c>
      <c r="D11656" s="4">
        <v>37191330</v>
      </c>
    </row>
    <row r="11657" spans="1:4" x14ac:dyDescent="0.3">
      <c r="A11657" s="5" t="s">
        <v>362</v>
      </c>
      <c r="B11657" s="5" t="s">
        <v>363</v>
      </c>
      <c r="C11657" s="6">
        <v>1980</v>
      </c>
      <c r="D11657" s="7">
        <v>37491165</v>
      </c>
    </row>
    <row r="11658" spans="1:4" x14ac:dyDescent="0.3">
      <c r="A11658" s="2" t="s">
        <v>362</v>
      </c>
      <c r="B11658" s="2" t="s">
        <v>363</v>
      </c>
      <c r="C11658" s="3">
        <v>1981</v>
      </c>
      <c r="D11658" s="4">
        <v>37758631</v>
      </c>
    </row>
    <row r="11659" spans="1:4" x14ac:dyDescent="0.3">
      <c r="A11659" s="5" t="s">
        <v>362</v>
      </c>
      <c r="B11659" s="5" t="s">
        <v>363</v>
      </c>
      <c r="C11659" s="6">
        <v>1982</v>
      </c>
      <c r="D11659" s="7">
        <v>37986012</v>
      </c>
    </row>
    <row r="11660" spans="1:4" x14ac:dyDescent="0.3">
      <c r="A11660" s="2" t="s">
        <v>362</v>
      </c>
      <c r="B11660" s="2" t="s">
        <v>363</v>
      </c>
      <c r="C11660" s="3">
        <v>1983</v>
      </c>
      <c r="D11660" s="4">
        <v>38171525</v>
      </c>
    </row>
    <row r="11661" spans="1:4" x14ac:dyDescent="0.3">
      <c r="A11661" s="5" t="s">
        <v>362</v>
      </c>
      <c r="B11661" s="5" t="s">
        <v>363</v>
      </c>
      <c r="C11661" s="6">
        <v>1984</v>
      </c>
      <c r="D11661" s="7">
        <v>38330364</v>
      </c>
    </row>
    <row r="11662" spans="1:4" x14ac:dyDescent="0.3">
      <c r="A11662" s="2" t="s">
        <v>362</v>
      </c>
      <c r="B11662" s="2" t="s">
        <v>363</v>
      </c>
      <c r="C11662" s="3">
        <v>1985</v>
      </c>
      <c r="D11662" s="4">
        <v>38469512</v>
      </c>
    </row>
    <row r="11663" spans="1:4" x14ac:dyDescent="0.3">
      <c r="A11663" s="5" t="s">
        <v>362</v>
      </c>
      <c r="B11663" s="5" t="s">
        <v>363</v>
      </c>
      <c r="C11663" s="6">
        <v>1986</v>
      </c>
      <c r="D11663" s="7">
        <v>38584624</v>
      </c>
    </row>
    <row r="11664" spans="1:4" x14ac:dyDescent="0.3">
      <c r="A11664" s="2" t="s">
        <v>362</v>
      </c>
      <c r="B11664" s="2" t="s">
        <v>363</v>
      </c>
      <c r="C11664" s="3">
        <v>1987</v>
      </c>
      <c r="D11664" s="4">
        <v>38684815</v>
      </c>
    </row>
    <row r="11665" spans="1:4" x14ac:dyDescent="0.3">
      <c r="A11665" s="5" t="s">
        <v>362</v>
      </c>
      <c r="B11665" s="5" t="s">
        <v>363</v>
      </c>
      <c r="C11665" s="6">
        <v>1988</v>
      </c>
      <c r="D11665" s="7">
        <v>38766939</v>
      </c>
    </row>
    <row r="11666" spans="1:4" x14ac:dyDescent="0.3">
      <c r="A11666" s="2" t="s">
        <v>362</v>
      </c>
      <c r="B11666" s="2" t="s">
        <v>363</v>
      </c>
      <c r="C11666" s="3">
        <v>1989</v>
      </c>
      <c r="D11666" s="4">
        <v>38827764</v>
      </c>
    </row>
    <row r="11667" spans="1:4" x14ac:dyDescent="0.3">
      <c r="A11667" s="5" t="s">
        <v>362</v>
      </c>
      <c r="B11667" s="5" t="s">
        <v>363</v>
      </c>
      <c r="C11667" s="6">
        <v>1990</v>
      </c>
      <c r="D11667" s="7">
        <v>38867322</v>
      </c>
    </row>
    <row r="11668" spans="1:4" x14ac:dyDescent="0.3">
      <c r="A11668" s="2" t="s">
        <v>362</v>
      </c>
      <c r="B11668" s="2" t="s">
        <v>363</v>
      </c>
      <c r="C11668" s="3">
        <v>1991</v>
      </c>
      <c r="D11668" s="4">
        <v>38966376</v>
      </c>
    </row>
    <row r="11669" spans="1:4" x14ac:dyDescent="0.3">
      <c r="A11669" s="5" t="s">
        <v>362</v>
      </c>
      <c r="B11669" s="5" t="s">
        <v>363</v>
      </c>
      <c r="C11669" s="6">
        <v>1992</v>
      </c>
      <c r="D11669" s="7">
        <v>39157685</v>
      </c>
    </row>
    <row r="11670" spans="1:4" x14ac:dyDescent="0.3">
      <c r="A11670" s="2" t="s">
        <v>362</v>
      </c>
      <c r="B11670" s="2" t="s">
        <v>363</v>
      </c>
      <c r="C11670" s="3">
        <v>1993</v>
      </c>
      <c r="D11670" s="4">
        <v>39361262</v>
      </c>
    </row>
    <row r="11671" spans="1:4" x14ac:dyDescent="0.3">
      <c r="A11671" s="5" t="s">
        <v>362</v>
      </c>
      <c r="B11671" s="5" t="s">
        <v>363</v>
      </c>
      <c r="C11671" s="6">
        <v>1994</v>
      </c>
      <c r="D11671" s="7">
        <v>39549108</v>
      </c>
    </row>
    <row r="11672" spans="1:4" x14ac:dyDescent="0.3">
      <c r="A11672" s="2" t="s">
        <v>362</v>
      </c>
      <c r="B11672" s="2" t="s">
        <v>363</v>
      </c>
      <c r="C11672" s="3">
        <v>1995</v>
      </c>
      <c r="D11672" s="4">
        <v>39724050</v>
      </c>
    </row>
    <row r="11673" spans="1:4" x14ac:dyDescent="0.3">
      <c r="A11673" s="5" t="s">
        <v>362</v>
      </c>
      <c r="B11673" s="5" t="s">
        <v>363</v>
      </c>
      <c r="C11673" s="6">
        <v>1996</v>
      </c>
      <c r="D11673" s="7">
        <v>39889852</v>
      </c>
    </row>
    <row r="11674" spans="1:4" x14ac:dyDescent="0.3">
      <c r="A11674" s="2" t="s">
        <v>362</v>
      </c>
      <c r="B11674" s="2" t="s">
        <v>363</v>
      </c>
      <c r="C11674" s="3">
        <v>1997</v>
      </c>
      <c r="D11674" s="4">
        <v>40057389</v>
      </c>
    </row>
    <row r="11675" spans="1:4" x14ac:dyDescent="0.3">
      <c r="A11675" s="5" t="s">
        <v>362</v>
      </c>
      <c r="B11675" s="5" t="s">
        <v>363</v>
      </c>
      <c r="C11675" s="6">
        <v>1998</v>
      </c>
      <c r="D11675" s="7">
        <v>40223509</v>
      </c>
    </row>
    <row r="11676" spans="1:4" x14ac:dyDescent="0.3">
      <c r="A11676" s="2" t="s">
        <v>362</v>
      </c>
      <c r="B11676" s="2" t="s">
        <v>363</v>
      </c>
      <c r="C11676" s="3">
        <v>1999</v>
      </c>
      <c r="D11676" s="4">
        <v>40386875</v>
      </c>
    </row>
    <row r="11677" spans="1:4" x14ac:dyDescent="0.3">
      <c r="A11677" s="5" t="s">
        <v>362</v>
      </c>
      <c r="B11677" s="5" t="s">
        <v>363</v>
      </c>
      <c r="C11677" s="6">
        <v>2000</v>
      </c>
      <c r="D11677" s="7">
        <v>40567864</v>
      </c>
    </row>
    <row r="11678" spans="1:4" x14ac:dyDescent="0.3">
      <c r="A11678" s="2" t="s">
        <v>362</v>
      </c>
      <c r="B11678" s="2" t="s">
        <v>363</v>
      </c>
      <c r="C11678" s="3">
        <v>2001</v>
      </c>
      <c r="D11678" s="4">
        <v>40850412</v>
      </c>
    </row>
    <row r="11679" spans="1:4" x14ac:dyDescent="0.3">
      <c r="A11679" s="5" t="s">
        <v>362</v>
      </c>
      <c r="B11679" s="5" t="s">
        <v>363</v>
      </c>
      <c r="C11679" s="6">
        <v>2002</v>
      </c>
      <c r="D11679" s="7">
        <v>41431558</v>
      </c>
    </row>
    <row r="11680" spans="1:4" x14ac:dyDescent="0.3">
      <c r="A11680" s="2" t="s">
        <v>362</v>
      </c>
      <c r="B11680" s="2" t="s">
        <v>363</v>
      </c>
      <c r="C11680" s="3">
        <v>2003</v>
      </c>
      <c r="D11680" s="4">
        <v>42187645</v>
      </c>
    </row>
    <row r="11681" spans="1:4" x14ac:dyDescent="0.3">
      <c r="A11681" s="5" t="s">
        <v>362</v>
      </c>
      <c r="B11681" s="5" t="s">
        <v>363</v>
      </c>
      <c r="C11681" s="6">
        <v>2004</v>
      </c>
      <c r="D11681" s="7">
        <v>42921895</v>
      </c>
    </row>
    <row r="11682" spans="1:4" x14ac:dyDescent="0.3">
      <c r="A11682" s="2" t="s">
        <v>362</v>
      </c>
      <c r="B11682" s="2" t="s">
        <v>363</v>
      </c>
      <c r="C11682" s="3">
        <v>2005</v>
      </c>
      <c r="D11682" s="4">
        <v>43653155</v>
      </c>
    </row>
    <row r="11683" spans="1:4" x14ac:dyDescent="0.3">
      <c r="A11683" s="5" t="s">
        <v>362</v>
      </c>
      <c r="B11683" s="5" t="s">
        <v>363</v>
      </c>
      <c r="C11683" s="6">
        <v>2006</v>
      </c>
      <c r="D11683" s="7">
        <v>44397319</v>
      </c>
    </row>
    <row r="11684" spans="1:4" x14ac:dyDescent="0.3">
      <c r="A11684" s="2" t="s">
        <v>362</v>
      </c>
      <c r="B11684" s="2" t="s">
        <v>363</v>
      </c>
      <c r="C11684" s="3">
        <v>2007</v>
      </c>
      <c r="D11684" s="4">
        <v>45226803</v>
      </c>
    </row>
    <row r="11685" spans="1:4" x14ac:dyDescent="0.3">
      <c r="A11685" s="5" t="s">
        <v>362</v>
      </c>
      <c r="B11685" s="5" t="s">
        <v>363</v>
      </c>
      <c r="C11685" s="6">
        <v>2008</v>
      </c>
      <c r="D11685" s="7">
        <v>45954106</v>
      </c>
    </row>
    <row r="11686" spans="1:4" x14ac:dyDescent="0.3">
      <c r="A11686" s="2" t="s">
        <v>362</v>
      </c>
      <c r="B11686" s="2" t="s">
        <v>363</v>
      </c>
      <c r="C11686" s="3">
        <v>2009</v>
      </c>
      <c r="D11686" s="4">
        <v>46362946</v>
      </c>
    </row>
    <row r="11687" spans="1:4" x14ac:dyDescent="0.3">
      <c r="A11687" s="5" t="s">
        <v>362</v>
      </c>
      <c r="B11687" s="5" t="s">
        <v>363</v>
      </c>
      <c r="C11687" s="6">
        <v>2010</v>
      </c>
      <c r="D11687" s="7">
        <v>46576897</v>
      </c>
    </row>
    <row r="11688" spans="1:4" x14ac:dyDescent="0.3">
      <c r="A11688" s="2" t="s">
        <v>362</v>
      </c>
      <c r="B11688" s="2" t="s">
        <v>363</v>
      </c>
      <c r="C11688" s="3">
        <v>2011</v>
      </c>
      <c r="D11688" s="4">
        <v>46742697</v>
      </c>
    </row>
    <row r="11689" spans="1:4" x14ac:dyDescent="0.3">
      <c r="A11689" s="5" t="s">
        <v>362</v>
      </c>
      <c r="B11689" s="5" t="s">
        <v>363</v>
      </c>
      <c r="C11689" s="6">
        <v>2012</v>
      </c>
      <c r="D11689" s="7">
        <v>46773055</v>
      </c>
    </row>
    <row r="11690" spans="1:4" x14ac:dyDescent="0.3">
      <c r="A11690" s="2" t="s">
        <v>362</v>
      </c>
      <c r="B11690" s="2" t="s">
        <v>363</v>
      </c>
      <c r="C11690" s="3">
        <v>2013</v>
      </c>
      <c r="D11690" s="4">
        <v>46604197</v>
      </c>
    </row>
    <row r="11691" spans="1:4" x14ac:dyDescent="0.3">
      <c r="A11691" s="5" t="s">
        <v>362</v>
      </c>
      <c r="B11691" s="5" t="s">
        <v>363</v>
      </c>
      <c r="C11691" s="6">
        <v>2014</v>
      </c>
      <c r="D11691" s="7">
        <v>46460733</v>
      </c>
    </row>
    <row r="11692" spans="1:4" x14ac:dyDescent="0.3">
      <c r="A11692" s="2" t="s">
        <v>362</v>
      </c>
      <c r="B11692" s="2" t="s">
        <v>363</v>
      </c>
      <c r="C11692" s="3">
        <v>2015</v>
      </c>
      <c r="D11692" s="4">
        <v>46422303</v>
      </c>
    </row>
    <row r="11693" spans="1:4" x14ac:dyDescent="0.3">
      <c r="A11693" s="5" t="s">
        <v>362</v>
      </c>
      <c r="B11693" s="5" t="s">
        <v>363</v>
      </c>
      <c r="C11693" s="6">
        <v>2016</v>
      </c>
      <c r="D11693" s="7">
        <v>46458139</v>
      </c>
    </row>
    <row r="11694" spans="1:4" x14ac:dyDescent="0.3">
      <c r="A11694" s="2" t="s">
        <v>362</v>
      </c>
      <c r="B11694" s="2" t="s">
        <v>363</v>
      </c>
      <c r="C11694" s="3">
        <v>2017</v>
      </c>
      <c r="D11694" s="4">
        <v>46571232</v>
      </c>
    </row>
    <row r="11695" spans="1:4" x14ac:dyDescent="0.3">
      <c r="A11695" s="5" t="s">
        <v>362</v>
      </c>
      <c r="B11695" s="5" t="s">
        <v>363</v>
      </c>
      <c r="C11695" s="6">
        <v>2018</v>
      </c>
      <c r="D11695" s="7">
        <v>46782011</v>
      </c>
    </row>
    <row r="11696" spans="1:4" x14ac:dyDescent="0.3">
      <c r="A11696" s="2" t="s">
        <v>362</v>
      </c>
      <c r="B11696" s="2" t="s">
        <v>363</v>
      </c>
      <c r="C11696" s="3">
        <v>2019</v>
      </c>
      <c r="D11696" s="4">
        <v>47118501</v>
      </c>
    </row>
    <row r="11697" spans="1:4" x14ac:dyDescent="0.3">
      <c r="A11697" s="5" t="s">
        <v>362</v>
      </c>
      <c r="B11697" s="5" t="s">
        <v>363</v>
      </c>
      <c r="C11697" s="6">
        <v>2020</v>
      </c>
      <c r="D11697" s="7">
        <v>47359424</v>
      </c>
    </row>
    <row r="11698" spans="1:4" x14ac:dyDescent="0.3">
      <c r="A11698" s="2" t="s">
        <v>362</v>
      </c>
      <c r="B11698" s="2" t="s">
        <v>363</v>
      </c>
      <c r="C11698" s="3">
        <v>2021</v>
      </c>
      <c r="D11698" s="4">
        <v>47443821</v>
      </c>
    </row>
    <row r="11699" spans="1:4" x14ac:dyDescent="0.3">
      <c r="A11699" s="5" t="s">
        <v>362</v>
      </c>
      <c r="B11699" s="5" t="s">
        <v>363</v>
      </c>
      <c r="C11699" s="6">
        <v>2022</v>
      </c>
      <c r="D11699" s="7">
        <v>47786102</v>
      </c>
    </row>
    <row r="11700" spans="1:4" x14ac:dyDescent="0.3">
      <c r="A11700" s="2" t="s">
        <v>362</v>
      </c>
      <c r="B11700" s="2" t="s">
        <v>363</v>
      </c>
      <c r="C11700" s="3">
        <v>2023</v>
      </c>
      <c r="D11700" s="4">
        <v>48347910</v>
      </c>
    </row>
    <row r="11701" spans="1:4" x14ac:dyDescent="0.3">
      <c r="A11701" s="5" t="s">
        <v>362</v>
      </c>
      <c r="B11701" s="5" t="s">
        <v>363</v>
      </c>
      <c r="C11701" s="6">
        <v>2024</v>
      </c>
      <c r="D11701" s="7">
        <v>48807137</v>
      </c>
    </row>
    <row r="11702" spans="1:4" x14ac:dyDescent="0.3">
      <c r="A11702" s="2" t="s">
        <v>364</v>
      </c>
      <c r="B11702" s="2" t="s">
        <v>365</v>
      </c>
      <c r="C11702" s="3">
        <v>1960</v>
      </c>
      <c r="D11702" s="4">
        <v>9661389</v>
      </c>
    </row>
    <row r="11703" spans="1:4" x14ac:dyDescent="0.3">
      <c r="A11703" s="5" t="s">
        <v>364</v>
      </c>
      <c r="B11703" s="5" t="s">
        <v>365</v>
      </c>
      <c r="C11703" s="6">
        <v>1961</v>
      </c>
      <c r="D11703" s="7">
        <v>9899372</v>
      </c>
    </row>
    <row r="11704" spans="1:4" x14ac:dyDescent="0.3">
      <c r="A11704" s="2" t="s">
        <v>364</v>
      </c>
      <c r="B11704" s="2" t="s">
        <v>365</v>
      </c>
      <c r="C11704" s="3">
        <v>1962</v>
      </c>
      <c r="D11704" s="4">
        <v>10143754</v>
      </c>
    </row>
    <row r="11705" spans="1:4" x14ac:dyDescent="0.3">
      <c r="A11705" s="5" t="s">
        <v>364</v>
      </c>
      <c r="B11705" s="5" t="s">
        <v>365</v>
      </c>
      <c r="C11705" s="6">
        <v>1963</v>
      </c>
      <c r="D11705" s="7">
        <v>10395040</v>
      </c>
    </row>
    <row r="11706" spans="1:4" x14ac:dyDescent="0.3">
      <c r="A11706" s="2" t="s">
        <v>364</v>
      </c>
      <c r="B11706" s="2" t="s">
        <v>365</v>
      </c>
      <c r="C11706" s="3">
        <v>1964</v>
      </c>
      <c r="D11706" s="4">
        <v>10653397</v>
      </c>
    </row>
    <row r="11707" spans="1:4" x14ac:dyDescent="0.3">
      <c r="A11707" s="5" t="s">
        <v>364</v>
      </c>
      <c r="B11707" s="5" t="s">
        <v>365</v>
      </c>
      <c r="C11707" s="6">
        <v>1965</v>
      </c>
      <c r="D11707" s="7">
        <v>10916965</v>
      </c>
    </row>
    <row r="11708" spans="1:4" x14ac:dyDescent="0.3">
      <c r="A11708" s="2" t="s">
        <v>364</v>
      </c>
      <c r="B11708" s="2" t="s">
        <v>365</v>
      </c>
      <c r="C11708" s="3">
        <v>1966</v>
      </c>
      <c r="D11708" s="4">
        <v>11183928</v>
      </c>
    </row>
    <row r="11709" spans="1:4" x14ac:dyDescent="0.3">
      <c r="A11709" s="5" t="s">
        <v>364</v>
      </c>
      <c r="B11709" s="5" t="s">
        <v>365</v>
      </c>
      <c r="C11709" s="6">
        <v>1967</v>
      </c>
      <c r="D11709" s="7">
        <v>11457328</v>
      </c>
    </row>
    <row r="11710" spans="1:4" x14ac:dyDescent="0.3">
      <c r="A11710" s="2" t="s">
        <v>364</v>
      </c>
      <c r="B11710" s="2" t="s">
        <v>365</v>
      </c>
      <c r="C11710" s="3">
        <v>1968</v>
      </c>
      <c r="D11710" s="4">
        <v>11736088</v>
      </c>
    </row>
    <row r="11711" spans="1:4" x14ac:dyDescent="0.3">
      <c r="A11711" s="5" t="s">
        <v>364</v>
      </c>
      <c r="B11711" s="5" t="s">
        <v>365</v>
      </c>
      <c r="C11711" s="6">
        <v>1969</v>
      </c>
      <c r="D11711" s="7">
        <v>12013858</v>
      </c>
    </row>
    <row r="11712" spans="1:4" x14ac:dyDescent="0.3">
      <c r="A11712" s="2" t="s">
        <v>364</v>
      </c>
      <c r="B11712" s="2" t="s">
        <v>365</v>
      </c>
      <c r="C11712" s="3">
        <v>1970</v>
      </c>
      <c r="D11712" s="4">
        <v>12287110</v>
      </c>
    </row>
    <row r="11713" spans="1:4" x14ac:dyDescent="0.3">
      <c r="A11713" s="5" t="s">
        <v>364</v>
      </c>
      <c r="B11713" s="5" t="s">
        <v>365</v>
      </c>
      <c r="C11713" s="6">
        <v>1971</v>
      </c>
      <c r="D11713" s="7">
        <v>12551910</v>
      </c>
    </row>
    <row r="11714" spans="1:4" x14ac:dyDescent="0.3">
      <c r="A11714" s="2" t="s">
        <v>364</v>
      </c>
      <c r="B11714" s="2" t="s">
        <v>365</v>
      </c>
      <c r="C11714" s="3">
        <v>1972</v>
      </c>
      <c r="D11714" s="4">
        <v>12809205</v>
      </c>
    </row>
    <row r="11715" spans="1:4" x14ac:dyDescent="0.3">
      <c r="A11715" s="5" t="s">
        <v>364</v>
      </c>
      <c r="B11715" s="5" t="s">
        <v>365</v>
      </c>
      <c r="C11715" s="6">
        <v>1973</v>
      </c>
      <c r="D11715" s="7">
        <v>13060916</v>
      </c>
    </row>
    <row r="11716" spans="1:4" x14ac:dyDescent="0.3">
      <c r="A11716" s="2" t="s">
        <v>364</v>
      </c>
      <c r="B11716" s="2" t="s">
        <v>365</v>
      </c>
      <c r="C11716" s="3">
        <v>1974</v>
      </c>
      <c r="D11716" s="4">
        <v>13305693</v>
      </c>
    </row>
    <row r="11717" spans="1:4" x14ac:dyDescent="0.3">
      <c r="A11717" s="5" t="s">
        <v>364</v>
      </c>
      <c r="B11717" s="5" t="s">
        <v>365</v>
      </c>
      <c r="C11717" s="6">
        <v>1975</v>
      </c>
      <c r="D11717" s="7">
        <v>13548984</v>
      </c>
    </row>
    <row r="11718" spans="1:4" x14ac:dyDescent="0.3">
      <c r="A11718" s="2" t="s">
        <v>364</v>
      </c>
      <c r="B11718" s="2" t="s">
        <v>365</v>
      </c>
      <c r="C11718" s="3">
        <v>1976</v>
      </c>
      <c r="D11718" s="4">
        <v>13796770</v>
      </c>
    </row>
    <row r="11719" spans="1:4" x14ac:dyDescent="0.3">
      <c r="A11719" s="5" t="s">
        <v>364</v>
      </c>
      <c r="B11719" s="5" t="s">
        <v>365</v>
      </c>
      <c r="C11719" s="6">
        <v>1977</v>
      </c>
      <c r="D11719" s="7">
        <v>14049371</v>
      </c>
    </row>
    <row r="11720" spans="1:4" x14ac:dyDescent="0.3">
      <c r="A11720" s="2" t="s">
        <v>364</v>
      </c>
      <c r="B11720" s="2" t="s">
        <v>365</v>
      </c>
      <c r="C11720" s="3">
        <v>1978</v>
      </c>
      <c r="D11720" s="4">
        <v>14310128</v>
      </c>
    </row>
    <row r="11721" spans="1:4" x14ac:dyDescent="0.3">
      <c r="A11721" s="5" t="s">
        <v>364</v>
      </c>
      <c r="B11721" s="5" t="s">
        <v>365</v>
      </c>
      <c r="C11721" s="6">
        <v>1979</v>
      </c>
      <c r="D11721" s="7">
        <v>14579614</v>
      </c>
    </row>
    <row r="11722" spans="1:4" x14ac:dyDescent="0.3">
      <c r="A11722" s="2" t="s">
        <v>364</v>
      </c>
      <c r="B11722" s="2" t="s">
        <v>365</v>
      </c>
      <c r="C11722" s="3">
        <v>1980</v>
      </c>
      <c r="D11722" s="4">
        <v>14847974</v>
      </c>
    </row>
    <row r="11723" spans="1:4" x14ac:dyDescent="0.3">
      <c r="A11723" s="5" t="s">
        <v>364</v>
      </c>
      <c r="B11723" s="5" t="s">
        <v>365</v>
      </c>
      <c r="C11723" s="6">
        <v>1981</v>
      </c>
      <c r="D11723" s="7">
        <v>15099414</v>
      </c>
    </row>
    <row r="11724" spans="1:4" x14ac:dyDescent="0.3">
      <c r="A11724" s="2" t="s">
        <v>364</v>
      </c>
      <c r="B11724" s="2" t="s">
        <v>365</v>
      </c>
      <c r="C11724" s="3">
        <v>1982</v>
      </c>
      <c r="D11724" s="4">
        <v>15286567</v>
      </c>
    </row>
    <row r="11725" spans="1:4" x14ac:dyDescent="0.3">
      <c r="A11725" s="5" t="s">
        <v>364</v>
      </c>
      <c r="B11725" s="5" t="s">
        <v>365</v>
      </c>
      <c r="C11725" s="6">
        <v>1983</v>
      </c>
      <c r="D11725" s="7">
        <v>15388794</v>
      </c>
    </row>
    <row r="11726" spans="1:4" x14ac:dyDescent="0.3">
      <c r="A11726" s="2" t="s">
        <v>364</v>
      </c>
      <c r="B11726" s="2" t="s">
        <v>365</v>
      </c>
      <c r="C11726" s="3">
        <v>1984</v>
      </c>
      <c r="D11726" s="4">
        <v>15441860</v>
      </c>
    </row>
    <row r="11727" spans="1:4" x14ac:dyDescent="0.3">
      <c r="A11727" s="5" t="s">
        <v>364</v>
      </c>
      <c r="B11727" s="5" t="s">
        <v>365</v>
      </c>
      <c r="C11727" s="6">
        <v>1985</v>
      </c>
      <c r="D11727" s="7">
        <v>15544154</v>
      </c>
    </row>
    <row r="11728" spans="1:4" x14ac:dyDescent="0.3">
      <c r="A11728" s="2" t="s">
        <v>364</v>
      </c>
      <c r="B11728" s="2" t="s">
        <v>365</v>
      </c>
      <c r="C11728" s="3">
        <v>1986</v>
      </c>
      <c r="D11728" s="4">
        <v>15731256</v>
      </c>
    </row>
    <row r="11729" spans="1:4" x14ac:dyDescent="0.3">
      <c r="A11729" s="5" t="s">
        <v>364</v>
      </c>
      <c r="B11729" s="5" t="s">
        <v>365</v>
      </c>
      <c r="C11729" s="6">
        <v>1987</v>
      </c>
      <c r="D11729" s="7">
        <v>15916576</v>
      </c>
    </row>
    <row r="11730" spans="1:4" x14ac:dyDescent="0.3">
      <c r="A11730" s="2" t="s">
        <v>364</v>
      </c>
      <c r="B11730" s="2" t="s">
        <v>365</v>
      </c>
      <c r="C11730" s="3">
        <v>1988</v>
      </c>
      <c r="D11730" s="4">
        <v>16078621</v>
      </c>
    </row>
    <row r="11731" spans="1:4" x14ac:dyDescent="0.3">
      <c r="A11731" s="5" t="s">
        <v>364</v>
      </c>
      <c r="B11731" s="5" t="s">
        <v>365</v>
      </c>
      <c r="C11731" s="6">
        <v>1989</v>
      </c>
      <c r="D11731" s="7">
        <v>16248557</v>
      </c>
    </row>
    <row r="11732" spans="1:4" x14ac:dyDescent="0.3">
      <c r="A11732" s="2" t="s">
        <v>364</v>
      </c>
      <c r="B11732" s="2" t="s">
        <v>365</v>
      </c>
      <c r="C11732" s="3">
        <v>1990</v>
      </c>
      <c r="D11732" s="4">
        <v>16352458</v>
      </c>
    </row>
    <row r="11733" spans="1:4" x14ac:dyDescent="0.3">
      <c r="A11733" s="5" t="s">
        <v>364</v>
      </c>
      <c r="B11733" s="5" t="s">
        <v>365</v>
      </c>
      <c r="C11733" s="6">
        <v>1991</v>
      </c>
      <c r="D11733" s="7">
        <v>16475354</v>
      </c>
    </row>
    <row r="11734" spans="1:4" x14ac:dyDescent="0.3">
      <c r="A11734" s="2" t="s">
        <v>364</v>
      </c>
      <c r="B11734" s="2" t="s">
        <v>365</v>
      </c>
      <c r="C11734" s="3">
        <v>1992</v>
      </c>
      <c r="D11734" s="4">
        <v>16739284</v>
      </c>
    </row>
    <row r="11735" spans="1:4" x14ac:dyDescent="0.3">
      <c r="A11735" s="5" t="s">
        <v>364</v>
      </c>
      <c r="B11735" s="5" t="s">
        <v>365</v>
      </c>
      <c r="C11735" s="6">
        <v>1993</v>
      </c>
      <c r="D11735" s="7">
        <v>17025918</v>
      </c>
    </row>
    <row r="11736" spans="1:4" x14ac:dyDescent="0.3">
      <c r="A11736" s="2" t="s">
        <v>364</v>
      </c>
      <c r="B11736" s="2" t="s">
        <v>365</v>
      </c>
      <c r="C11736" s="3">
        <v>1994</v>
      </c>
      <c r="D11736" s="4">
        <v>17275773</v>
      </c>
    </row>
    <row r="11737" spans="1:4" x14ac:dyDescent="0.3">
      <c r="A11737" s="5" t="s">
        <v>364</v>
      </c>
      <c r="B11737" s="5" t="s">
        <v>365</v>
      </c>
      <c r="C11737" s="6">
        <v>1995</v>
      </c>
      <c r="D11737" s="7">
        <v>17564068</v>
      </c>
    </row>
    <row r="11738" spans="1:4" x14ac:dyDescent="0.3">
      <c r="A11738" s="2" t="s">
        <v>364</v>
      </c>
      <c r="B11738" s="2" t="s">
        <v>365</v>
      </c>
      <c r="C11738" s="3">
        <v>1996</v>
      </c>
      <c r="D11738" s="4">
        <v>17905018</v>
      </c>
    </row>
    <row r="11739" spans="1:4" x14ac:dyDescent="0.3">
      <c r="A11739" s="5" t="s">
        <v>364</v>
      </c>
      <c r="B11739" s="5" t="s">
        <v>365</v>
      </c>
      <c r="C11739" s="6">
        <v>1997</v>
      </c>
      <c r="D11739" s="7">
        <v>18248200</v>
      </c>
    </row>
    <row r="11740" spans="1:4" x14ac:dyDescent="0.3">
      <c r="A11740" s="2" t="s">
        <v>364</v>
      </c>
      <c r="B11740" s="2" t="s">
        <v>365</v>
      </c>
      <c r="C11740" s="3">
        <v>1998</v>
      </c>
      <c r="D11740" s="4">
        <v>18596003</v>
      </c>
    </row>
    <row r="11741" spans="1:4" x14ac:dyDescent="0.3">
      <c r="A11741" s="5" t="s">
        <v>364</v>
      </c>
      <c r="B11741" s="5" t="s">
        <v>365</v>
      </c>
      <c r="C11741" s="6">
        <v>1999</v>
      </c>
      <c r="D11741" s="7">
        <v>18944731</v>
      </c>
    </row>
    <row r="11742" spans="1:4" x14ac:dyDescent="0.3">
      <c r="A11742" s="2" t="s">
        <v>364</v>
      </c>
      <c r="B11742" s="2" t="s">
        <v>365</v>
      </c>
      <c r="C11742" s="3">
        <v>2000</v>
      </c>
      <c r="D11742" s="4">
        <v>19293054</v>
      </c>
    </row>
    <row r="11743" spans="1:4" x14ac:dyDescent="0.3">
      <c r="A11743" s="5" t="s">
        <v>364</v>
      </c>
      <c r="B11743" s="5" t="s">
        <v>365</v>
      </c>
      <c r="C11743" s="6">
        <v>2001</v>
      </c>
      <c r="D11743" s="7">
        <v>19600362</v>
      </c>
    </row>
    <row r="11744" spans="1:4" x14ac:dyDescent="0.3">
      <c r="A11744" s="2" t="s">
        <v>364</v>
      </c>
      <c r="B11744" s="2" t="s">
        <v>365</v>
      </c>
      <c r="C11744" s="3">
        <v>2002</v>
      </c>
      <c r="D11744" s="4">
        <v>19805752</v>
      </c>
    </row>
    <row r="11745" spans="1:4" x14ac:dyDescent="0.3">
      <c r="A11745" s="5" t="s">
        <v>364</v>
      </c>
      <c r="B11745" s="5" t="s">
        <v>365</v>
      </c>
      <c r="C11745" s="6">
        <v>2003</v>
      </c>
      <c r="D11745" s="7">
        <v>19951521</v>
      </c>
    </row>
    <row r="11746" spans="1:4" x14ac:dyDescent="0.3">
      <c r="A11746" s="2" t="s">
        <v>364</v>
      </c>
      <c r="B11746" s="2" t="s">
        <v>365</v>
      </c>
      <c r="C11746" s="3">
        <v>2004</v>
      </c>
      <c r="D11746" s="4">
        <v>20087605</v>
      </c>
    </row>
    <row r="11747" spans="1:4" x14ac:dyDescent="0.3">
      <c r="A11747" s="5" t="s">
        <v>364</v>
      </c>
      <c r="B11747" s="5" t="s">
        <v>365</v>
      </c>
      <c r="C11747" s="6">
        <v>2005</v>
      </c>
      <c r="D11747" s="7">
        <v>20216524</v>
      </c>
    </row>
    <row r="11748" spans="1:4" x14ac:dyDescent="0.3">
      <c r="A11748" s="2" t="s">
        <v>364</v>
      </c>
      <c r="B11748" s="2" t="s">
        <v>365</v>
      </c>
      <c r="C11748" s="3">
        <v>2006</v>
      </c>
      <c r="D11748" s="4">
        <v>20352411</v>
      </c>
    </row>
    <row r="11749" spans="1:4" x14ac:dyDescent="0.3">
      <c r="A11749" s="5" t="s">
        <v>364</v>
      </c>
      <c r="B11749" s="5" t="s">
        <v>365</v>
      </c>
      <c r="C11749" s="6">
        <v>2007</v>
      </c>
      <c r="D11749" s="7">
        <v>20492545</v>
      </c>
    </row>
    <row r="11750" spans="1:4" x14ac:dyDescent="0.3">
      <c r="A11750" s="2" t="s">
        <v>364</v>
      </c>
      <c r="B11750" s="2" t="s">
        <v>365</v>
      </c>
      <c r="C11750" s="3">
        <v>2008</v>
      </c>
      <c r="D11750" s="4">
        <v>20629378</v>
      </c>
    </row>
    <row r="11751" spans="1:4" x14ac:dyDescent="0.3">
      <c r="A11751" s="5" t="s">
        <v>364</v>
      </c>
      <c r="B11751" s="5" t="s">
        <v>365</v>
      </c>
      <c r="C11751" s="6">
        <v>2009</v>
      </c>
      <c r="D11751" s="7">
        <v>20756435</v>
      </c>
    </row>
    <row r="11752" spans="1:4" x14ac:dyDescent="0.3">
      <c r="A11752" s="2" t="s">
        <v>364</v>
      </c>
      <c r="B11752" s="2" t="s">
        <v>365</v>
      </c>
      <c r="C11752" s="3">
        <v>2010</v>
      </c>
      <c r="D11752" s="4">
        <v>20879089</v>
      </c>
    </row>
    <row r="11753" spans="1:4" x14ac:dyDescent="0.3">
      <c r="A11753" s="5" t="s">
        <v>364</v>
      </c>
      <c r="B11753" s="5" t="s">
        <v>365</v>
      </c>
      <c r="C11753" s="6">
        <v>2011</v>
      </c>
      <c r="D11753" s="7">
        <v>21009048</v>
      </c>
    </row>
    <row r="11754" spans="1:4" x14ac:dyDescent="0.3">
      <c r="A11754" s="2" t="s">
        <v>364</v>
      </c>
      <c r="B11754" s="2" t="s">
        <v>365</v>
      </c>
      <c r="C11754" s="3">
        <v>2012</v>
      </c>
      <c r="D11754" s="4">
        <v>21169458</v>
      </c>
    </row>
    <row r="11755" spans="1:4" x14ac:dyDescent="0.3">
      <c r="A11755" s="5" t="s">
        <v>364</v>
      </c>
      <c r="B11755" s="5" t="s">
        <v>365</v>
      </c>
      <c r="C11755" s="6">
        <v>2013</v>
      </c>
      <c r="D11755" s="7">
        <v>20585000</v>
      </c>
    </row>
    <row r="11756" spans="1:4" x14ac:dyDescent="0.3">
      <c r="A11756" s="2" t="s">
        <v>364</v>
      </c>
      <c r="B11756" s="2" t="s">
        <v>365</v>
      </c>
      <c r="C11756" s="3">
        <v>2014</v>
      </c>
      <c r="D11756" s="4">
        <v>20778000</v>
      </c>
    </row>
    <row r="11757" spans="1:4" x14ac:dyDescent="0.3">
      <c r="A11757" s="5" t="s">
        <v>364</v>
      </c>
      <c r="B11757" s="5" t="s">
        <v>365</v>
      </c>
      <c r="C11757" s="6">
        <v>2015</v>
      </c>
      <c r="D11757" s="7">
        <v>20970000</v>
      </c>
    </row>
    <row r="11758" spans="1:4" x14ac:dyDescent="0.3">
      <c r="A11758" s="2" t="s">
        <v>364</v>
      </c>
      <c r="B11758" s="2" t="s">
        <v>365</v>
      </c>
      <c r="C11758" s="3">
        <v>2016</v>
      </c>
      <c r="D11758" s="4">
        <v>21209000</v>
      </c>
    </row>
    <row r="11759" spans="1:4" x14ac:dyDescent="0.3">
      <c r="A11759" s="5" t="s">
        <v>364</v>
      </c>
      <c r="B11759" s="5" t="s">
        <v>365</v>
      </c>
      <c r="C11759" s="6">
        <v>2017</v>
      </c>
      <c r="D11759" s="7">
        <v>21453000</v>
      </c>
    </row>
    <row r="11760" spans="1:4" x14ac:dyDescent="0.3">
      <c r="A11760" s="2" t="s">
        <v>364</v>
      </c>
      <c r="B11760" s="2" t="s">
        <v>365</v>
      </c>
      <c r="C11760" s="3">
        <v>2018</v>
      </c>
      <c r="D11760" s="4">
        <v>21670000</v>
      </c>
    </row>
    <row r="11761" spans="1:4" x14ac:dyDescent="0.3">
      <c r="A11761" s="5" t="s">
        <v>364</v>
      </c>
      <c r="B11761" s="5" t="s">
        <v>365</v>
      </c>
      <c r="C11761" s="6">
        <v>2019</v>
      </c>
      <c r="D11761" s="7">
        <v>21803000</v>
      </c>
    </row>
    <row r="11762" spans="1:4" x14ac:dyDescent="0.3">
      <c r="A11762" s="2" t="s">
        <v>364</v>
      </c>
      <c r="B11762" s="2" t="s">
        <v>365</v>
      </c>
      <c r="C11762" s="3">
        <v>2020</v>
      </c>
      <c r="D11762" s="4">
        <v>21919000</v>
      </c>
    </row>
    <row r="11763" spans="1:4" x14ac:dyDescent="0.3">
      <c r="A11763" s="5" t="s">
        <v>364</v>
      </c>
      <c r="B11763" s="5" t="s">
        <v>365</v>
      </c>
      <c r="C11763" s="6">
        <v>2021</v>
      </c>
      <c r="D11763" s="7">
        <v>22156000</v>
      </c>
    </row>
    <row r="11764" spans="1:4" x14ac:dyDescent="0.3">
      <c r="A11764" s="2" t="s">
        <v>364</v>
      </c>
      <c r="B11764" s="2" t="s">
        <v>365</v>
      </c>
      <c r="C11764" s="3">
        <v>2022</v>
      </c>
      <c r="D11764" s="4">
        <v>22181000</v>
      </c>
    </row>
    <row r="11765" spans="1:4" x14ac:dyDescent="0.3">
      <c r="A11765" s="5" t="s">
        <v>364</v>
      </c>
      <c r="B11765" s="5" t="s">
        <v>365</v>
      </c>
      <c r="C11765" s="6">
        <v>2023</v>
      </c>
      <c r="D11765" s="7">
        <v>22037000</v>
      </c>
    </row>
    <row r="11766" spans="1:4" x14ac:dyDescent="0.3">
      <c r="A11766" s="2" t="s">
        <v>364</v>
      </c>
      <c r="B11766" s="2" t="s">
        <v>365</v>
      </c>
      <c r="C11766" s="3">
        <v>2024</v>
      </c>
      <c r="D11766" s="4">
        <v>21916000</v>
      </c>
    </row>
    <row r="11767" spans="1:4" x14ac:dyDescent="0.3">
      <c r="A11767" s="5" t="s">
        <v>366</v>
      </c>
      <c r="B11767" s="5" t="s">
        <v>367</v>
      </c>
      <c r="C11767" s="6">
        <v>1960</v>
      </c>
      <c r="D11767" s="7">
        <v>55810</v>
      </c>
    </row>
    <row r="11768" spans="1:4" x14ac:dyDescent="0.3">
      <c r="A11768" s="2" t="s">
        <v>366</v>
      </c>
      <c r="B11768" s="2" t="s">
        <v>367</v>
      </c>
      <c r="C11768" s="3">
        <v>1961</v>
      </c>
      <c r="D11768" s="4">
        <v>55334</v>
      </c>
    </row>
    <row r="11769" spans="1:4" x14ac:dyDescent="0.3">
      <c r="A11769" s="5" t="s">
        <v>366</v>
      </c>
      <c r="B11769" s="5" t="s">
        <v>367</v>
      </c>
      <c r="C11769" s="6">
        <v>1962</v>
      </c>
      <c r="D11769" s="7">
        <v>54461</v>
      </c>
    </row>
    <row r="11770" spans="1:4" x14ac:dyDescent="0.3">
      <c r="A11770" s="2" t="s">
        <v>366</v>
      </c>
      <c r="B11770" s="2" t="s">
        <v>367</v>
      </c>
      <c r="C11770" s="3">
        <v>1963</v>
      </c>
      <c r="D11770" s="4">
        <v>53441</v>
      </c>
    </row>
    <row r="11771" spans="1:4" x14ac:dyDescent="0.3">
      <c r="A11771" s="5" t="s">
        <v>366</v>
      </c>
      <c r="B11771" s="5" t="s">
        <v>367</v>
      </c>
      <c r="C11771" s="6">
        <v>1964</v>
      </c>
      <c r="D11771" s="7">
        <v>52326</v>
      </c>
    </row>
    <row r="11772" spans="1:4" x14ac:dyDescent="0.3">
      <c r="A11772" s="2" t="s">
        <v>366</v>
      </c>
      <c r="B11772" s="2" t="s">
        <v>367</v>
      </c>
      <c r="C11772" s="3">
        <v>1965</v>
      </c>
      <c r="D11772" s="4">
        <v>51139</v>
      </c>
    </row>
    <row r="11773" spans="1:4" x14ac:dyDescent="0.3">
      <c r="A11773" s="5" t="s">
        <v>366</v>
      </c>
      <c r="B11773" s="5" t="s">
        <v>367</v>
      </c>
      <c r="C11773" s="6">
        <v>1966</v>
      </c>
      <c r="D11773" s="7">
        <v>49898</v>
      </c>
    </row>
    <row r="11774" spans="1:4" x14ac:dyDescent="0.3">
      <c r="A11774" s="2" t="s">
        <v>366</v>
      </c>
      <c r="B11774" s="2" t="s">
        <v>367</v>
      </c>
      <c r="C11774" s="3">
        <v>1967</v>
      </c>
      <c r="D11774" s="4">
        <v>48605</v>
      </c>
    </row>
    <row r="11775" spans="1:4" x14ac:dyDescent="0.3">
      <c r="A11775" s="5" t="s">
        <v>366</v>
      </c>
      <c r="B11775" s="5" t="s">
        <v>367</v>
      </c>
      <c r="C11775" s="6">
        <v>1968</v>
      </c>
      <c r="D11775" s="7">
        <v>47245</v>
      </c>
    </row>
    <row r="11776" spans="1:4" x14ac:dyDescent="0.3">
      <c r="A11776" s="2" t="s">
        <v>366</v>
      </c>
      <c r="B11776" s="2" t="s">
        <v>367</v>
      </c>
      <c r="C11776" s="3">
        <v>1969</v>
      </c>
      <c r="D11776" s="4">
        <v>45731</v>
      </c>
    </row>
    <row r="11777" spans="1:4" x14ac:dyDescent="0.3">
      <c r="A11777" s="5" t="s">
        <v>366</v>
      </c>
      <c r="B11777" s="5" t="s">
        <v>367</v>
      </c>
      <c r="C11777" s="6">
        <v>1970</v>
      </c>
      <c r="D11777" s="7">
        <v>44606</v>
      </c>
    </row>
    <row r="11778" spans="1:4" x14ac:dyDescent="0.3">
      <c r="A11778" s="2" t="s">
        <v>366</v>
      </c>
      <c r="B11778" s="2" t="s">
        <v>367</v>
      </c>
      <c r="C11778" s="3">
        <v>1971</v>
      </c>
      <c r="D11778" s="4">
        <v>44206</v>
      </c>
    </row>
    <row r="11779" spans="1:4" x14ac:dyDescent="0.3">
      <c r="A11779" s="5" t="s">
        <v>366</v>
      </c>
      <c r="B11779" s="5" t="s">
        <v>367</v>
      </c>
      <c r="C11779" s="6">
        <v>1972</v>
      </c>
      <c r="D11779" s="7">
        <v>44033</v>
      </c>
    </row>
    <row r="11780" spans="1:4" x14ac:dyDescent="0.3">
      <c r="A11780" s="2" t="s">
        <v>366</v>
      </c>
      <c r="B11780" s="2" t="s">
        <v>367</v>
      </c>
      <c r="C11780" s="3">
        <v>1973</v>
      </c>
      <c r="D11780" s="4">
        <v>43880</v>
      </c>
    </row>
    <row r="11781" spans="1:4" x14ac:dyDescent="0.3">
      <c r="A11781" s="5" t="s">
        <v>366</v>
      </c>
      <c r="B11781" s="5" t="s">
        <v>367</v>
      </c>
      <c r="C11781" s="6">
        <v>1974</v>
      </c>
      <c r="D11781" s="7">
        <v>43738</v>
      </c>
    </row>
    <row r="11782" spans="1:4" x14ac:dyDescent="0.3">
      <c r="A11782" s="2" t="s">
        <v>366</v>
      </c>
      <c r="B11782" s="2" t="s">
        <v>367</v>
      </c>
      <c r="C11782" s="3">
        <v>1975</v>
      </c>
      <c r="D11782" s="4">
        <v>43606</v>
      </c>
    </row>
    <row r="11783" spans="1:4" x14ac:dyDescent="0.3">
      <c r="A11783" s="5" t="s">
        <v>366</v>
      </c>
      <c r="B11783" s="5" t="s">
        <v>367</v>
      </c>
      <c r="C11783" s="6">
        <v>1976</v>
      </c>
      <c r="D11783" s="7">
        <v>43482</v>
      </c>
    </row>
    <row r="11784" spans="1:4" x14ac:dyDescent="0.3">
      <c r="A11784" s="2" t="s">
        <v>366</v>
      </c>
      <c r="B11784" s="2" t="s">
        <v>367</v>
      </c>
      <c r="C11784" s="3">
        <v>1977</v>
      </c>
      <c r="D11784" s="4">
        <v>43358</v>
      </c>
    </row>
    <row r="11785" spans="1:4" x14ac:dyDescent="0.3">
      <c r="A11785" s="5" t="s">
        <v>366</v>
      </c>
      <c r="B11785" s="5" t="s">
        <v>367</v>
      </c>
      <c r="C11785" s="6">
        <v>1978</v>
      </c>
      <c r="D11785" s="7">
        <v>43217</v>
      </c>
    </row>
    <row r="11786" spans="1:4" x14ac:dyDescent="0.3">
      <c r="A11786" s="2" t="s">
        <v>366</v>
      </c>
      <c r="B11786" s="2" t="s">
        <v>367</v>
      </c>
      <c r="C11786" s="3">
        <v>1979</v>
      </c>
      <c r="D11786" s="4">
        <v>43033</v>
      </c>
    </row>
    <row r="11787" spans="1:4" x14ac:dyDescent="0.3">
      <c r="A11787" s="5" t="s">
        <v>366</v>
      </c>
      <c r="B11787" s="5" t="s">
        <v>367</v>
      </c>
      <c r="C11787" s="6">
        <v>1980</v>
      </c>
      <c r="D11787" s="7">
        <v>42850</v>
      </c>
    </row>
    <row r="11788" spans="1:4" x14ac:dyDescent="0.3">
      <c r="A11788" s="2" t="s">
        <v>366</v>
      </c>
      <c r="B11788" s="2" t="s">
        <v>367</v>
      </c>
      <c r="C11788" s="3">
        <v>1981</v>
      </c>
      <c r="D11788" s="4">
        <v>42698</v>
      </c>
    </row>
    <row r="11789" spans="1:4" x14ac:dyDescent="0.3">
      <c r="A11789" s="5" t="s">
        <v>366</v>
      </c>
      <c r="B11789" s="5" t="s">
        <v>367</v>
      </c>
      <c r="C11789" s="6">
        <v>1982</v>
      </c>
      <c r="D11789" s="7">
        <v>42532</v>
      </c>
    </row>
    <row r="11790" spans="1:4" x14ac:dyDescent="0.3">
      <c r="A11790" s="2" t="s">
        <v>366</v>
      </c>
      <c r="B11790" s="2" t="s">
        <v>367</v>
      </c>
      <c r="C11790" s="3">
        <v>1983</v>
      </c>
      <c r="D11790" s="4">
        <v>42334</v>
      </c>
    </row>
    <row r="11791" spans="1:4" x14ac:dyDescent="0.3">
      <c r="A11791" s="5" t="s">
        <v>366</v>
      </c>
      <c r="B11791" s="5" t="s">
        <v>367</v>
      </c>
      <c r="C11791" s="6">
        <v>1984</v>
      </c>
      <c r="D11791" s="7">
        <v>42113</v>
      </c>
    </row>
    <row r="11792" spans="1:4" x14ac:dyDescent="0.3">
      <c r="A11792" s="2" t="s">
        <v>366</v>
      </c>
      <c r="B11792" s="2" t="s">
        <v>367</v>
      </c>
      <c r="C11792" s="3">
        <v>1985</v>
      </c>
      <c r="D11792" s="4">
        <v>41874</v>
      </c>
    </row>
    <row r="11793" spans="1:4" x14ac:dyDescent="0.3">
      <c r="A11793" s="5" t="s">
        <v>366</v>
      </c>
      <c r="B11793" s="5" t="s">
        <v>367</v>
      </c>
      <c r="C11793" s="6">
        <v>1986</v>
      </c>
      <c r="D11793" s="7">
        <v>41618</v>
      </c>
    </row>
    <row r="11794" spans="1:4" x14ac:dyDescent="0.3">
      <c r="A11794" s="2" t="s">
        <v>366</v>
      </c>
      <c r="B11794" s="2" t="s">
        <v>367</v>
      </c>
      <c r="C11794" s="3">
        <v>1987</v>
      </c>
      <c r="D11794" s="4">
        <v>41348</v>
      </c>
    </row>
    <row r="11795" spans="1:4" x14ac:dyDescent="0.3">
      <c r="A11795" s="5" t="s">
        <v>366</v>
      </c>
      <c r="B11795" s="5" t="s">
        <v>367</v>
      </c>
      <c r="C11795" s="6">
        <v>1988</v>
      </c>
      <c r="D11795" s="7">
        <v>41062</v>
      </c>
    </row>
    <row r="11796" spans="1:4" x14ac:dyDescent="0.3">
      <c r="A11796" s="2" t="s">
        <v>366</v>
      </c>
      <c r="B11796" s="2" t="s">
        <v>367</v>
      </c>
      <c r="C11796" s="3">
        <v>1989</v>
      </c>
      <c r="D11796" s="4">
        <v>40758</v>
      </c>
    </row>
    <row r="11797" spans="1:4" x14ac:dyDescent="0.3">
      <c r="A11797" s="5" t="s">
        <v>366</v>
      </c>
      <c r="B11797" s="5" t="s">
        <v>367</v>
      </c>
      <c r="C11797" s="6">
        <v>1990</v>
      </c>
      <c r="D11797" s="7">
        <v>40432</v>
      </c>
    </row>
    <row r="11798" spans="1:4" x14ac:dyDescent="0.3">
      <c r="A11798" s="2" t="s">
        <v>366</v>
      </c>
      <c r="B11798" s="2" t="s">
        <v>367</v>
      </c>
      <c r="C11798" s="3">
        <v>1991</v>
      </c>
      <c r="D11798" s="4">
        <v>40358</v>
      </c>
    </row>
    <row r="11799" spans="1:4" x14ac:dyDescent="0.3">
      <c r="A11799" s="5" t="s">
        <v>366</v>
      </c>
      <c r="B11799" s="5" t="s">
        <v>367</v>
      </c>
      <c r="C11799" s="6">
        <v>1992</v>
      </c>
      <c r="D11799" s="7">
        <v>40715</v>
      </c>
    </row>
    <row r="11800" spans="1:4" x14ac:dyDescent="0.3">
      <c r="A11800" s="2" t="s">
        <v>366</v>
      </c>
      <c r="B11800" s="2" t="s">
        <v>367</v>
      </c>
      <c r="C11800" s="3">
        <v>1993</v>
      </c>
      <c r="D11800" s="4">
        <v>41242</v>
      </c>
    </row>
    <row r="11801" spans="1:4" x14ac:dyDescent="0.3">
      <c r="A11801" s="5" t="s">
        <v>366</v>
      </c>
      <c r="B11801" s="5" t="s">
        <v>367</v>
      </c>
      <c r="C11801" s="6">
        <v>1994</v>
      </c>
      <c r="D11801" s="7">
        <v>41776</v>
      </c>
    </row>
    <row r="11802" spans="1:4" x14ac:dyDescent="0.3">
      <c r="A11802" s="2" t="s">
        <v>366</v>
      </c>
      <c r="B11802" s="2" t="s">
        <v>367</v>
      </c>
      <c r="C11802" s="3">
        <v>1995</v>
      </c>
      <c r="D11802" s="4">
        <v>42326</v>
      </c>
    </row>
    <row r="11803" spans="1:4" x14ac:dyDescent="0.3">
      <c r="A11803" s="5" t="s">
        <v>366</v>
      </c>
      <c r="B11803" s="5" t="s">
        <v>367</v>
      </c>
      <c r="C11803" s="6">
        <v>1996</v>
      </c>
      <c r="D11803" s="7">
        <v>42877</v>
      </c>
    </row>
    <row r="11804" spans="1:4" x14ac:dyDescent="0.3">
      <c r="A11804" s="2" t="s">
        <v>366</v>
      </c>
      <c r="B11804" s="2" t="s">
        <v>367</v>
      </c>
      <c r="C11804" s="3">
        <v>1997</v>
      </c>
      <c r="D11804" s="4">
        <v>43428</v>
      </c>
    </row>
    <row r="11805" spans="1:4" x14ac:dyDescent="0.3">
      <c r="A11805" s="5" t="s">
        <v>366</v>
      </c>
      <c r="B11805" s="5" t="s">
        <v>367</v>
      </c>
      <c r="C11805" s="6">
        <v>1998</v>
      </c>
      <c r="D11805" s="7">
        <v>43998</v>
      </c>
    </row>
    <row r="11806" spans="1:4" x14ac:dyDescent="0.3">
      <c r="A11806" s="2" t="s">
        <v>366</v>
      </c>
      <c r="B11806" s="2" t="s">
        <v>367</v>
      </c>
      <c r="C11806" s="3">
        <v>1999</v>
      </c>
      <c r="D11806" s="4">
        <v>44601</v>
      </c>
    </row>
    <row r="11807" spans="1:4" x14ac:dyDescent="0.3">
      <c r="A11807" s="5" t="s">
        <v>366</v>
      </c>
      <c r="B11807" s="5" t="s">
        <v>367</v>
      </c>
      <c r="C11807" s="6">
        <v>2000</v>
      </c>
      <c r="D11807" s="7">
        <v>45248</v>
      </c>
    </row>
    <row r="11808" spans="1:4" x14ac:dyDescent="0.3">
      <c r="A11808" s="2" t="s">
        <v>366</v>
      </c>
      <c r="B11808" s="2" t="s">
        <v>367</v>
      </c>
      <c r="C11808" s="3">
        <v>2001</v>
      </c>
      <c r="D11808" s="4">
        <v>45761</v>
      </c>
    </row>
    <row r="11809" spans="1:4" x14ac:dyDescent="0.3">
      <c r="A11809" s="5" t="s">
        <v>366</v>
      </c>
      <c r="B11809" s="5" t="s">
        <v>367</v>
      </c>
      <c r="C11809" s="6">
        <v>2002</v>
      </c>
      <c r="D11809" s="7">
        <v>46020</v>
      </c>
    </row>
    <row r="11810" spans="1:4" x14ac:dyDescent="0.3">
      <c r="A11810" s="2" t="s">
        <v>366</v>
      </c>
      <c r="B11810" s="2" t="s">
        <v>367</v>
      </c>
      <c r="C11810" s="3">
        <v>2003</v>
      </c>
      <c r="D11810" s="4">
        <v>46176</v>
      </c>
    </row>
    <row r="11811" spans="1:4" x14ac:dyDescent="0.3">
      <c r="A11811" s="5" t="s">
        <v>366</v>
      </c>
      <c r="B11811" s="5" t="s">
        <v>367</v>
      </c>
      <c r="C11811" s="6">
        <v>2004</v>
      </c>
      <c r="D11811" s="7">
        <v>46315</v>
      </c>
    </row>
    <row r="11812" spans="1:4" x14ac:dyDescent="0.3">
      <c r="A11812" s="2" t="s">
        <v>366</v>
      </c>
      <c r="B11812" s="2" t="s">
        <v>367</v>
      </c>
      <c r="C11812" s="3">
        <v>2005</v>
      </c>
      <c r="D11812" s="4">
        <v>46437</v>
      </c>
    </row>
    <row r="11813" spans="1:4" x14ac:dyDescent="0.3">
      <c r="A11813" s="5" t="s">
        <v>366</v>
      </c>
      <c r="B11813" s="5" t="s">
        <v>367</v>
      </c>
      <c r="C11813" s="6">
        <v>2006</v>
      </c>
      <c r="D11813" s="7">
        <v>46569</v>
      </c>
    </row>
    <row r="11814" spans="1:4" x14ac:dyDescent="0.3">
      <c r="A11814" s="2" t="s">
        <v>366</v>
      </c>
      <c r="B11814" s="2" t="s">
        <v>367</v>
      </c>
      <c r="C11814" s="3">
        <v>2007</v>
      </c>
      <c r="D11814" s="4">
        <v>46706</v>
      </c>
    </row>
    <row r="11815" spans="1:4" x14ac:dyDescent="0.3">
      <c r="A11815" s="5" t="s">
        <v>366</v>
      </c>
      <c r="B11815" s="5" t="s">
        <v>367</v>
      </c>
      <c r="C11815" s="6">
        <v>2008</v>
      </c>
      <c r="D11815" s="7">
        <v>46835</v>
      </c>
    </row>
    <row r="11816" spans="1:4" x14ac:dyDescent="0.3">
      <c r="A11816" s="2" t="s">
        <v>366</v>
      </c>
      <c r="B11816" s="2" t="s">
        <v>367</v>
      </c>
      <c r="C11816" s="3">
        <v>2009</v>
      </c>
      <c r="D11816" s="4">
        <v>46916</v>
      </c>
    </row>
    <row r="11817" spans="1:4" x14ac:dyDescent="0.3">
      <c r="A11817" s="5" t="s">
        <v>366</v>
      </c>
      <c r="B11817" s="5" t="s">
        <v>367</v>
      </c>
      <c r="C11817" s="6">
        <v>2010</v>
      </c>
      <c r="D11817" s="7">
        <v>46846</v>
      </c>
    </row>
    <row r="11818" spans="1:4" x14ac:dyDescent="0.3">
      <c r="A11818" s="2" t="s">
        <v>366</v>
      </c>
      <c r="B11818" s="2" t="s">
        <v>367</v>
      </c>
      <c r="C11818" s="3">
        <v>2011</v>
      </c>
      <c r="D11818" s="4">
        <v>46886</v>
      </c>
    </row>
    <row r="11819" spans="1:4" x14ac:dyDescent="0.3">
      <c r="A11819" s="5" t="s">
        <v>366</v>
      </c>
      <c r="B11819" s="5" t="s">
        <v>367</v>
      </c>
      <c r="C11819" s="6">
        <v>2012</v>
      </c>
      <c r="D11819" s="7">
        <v>47033</v>
      </c>
    </row>
    <row r="11820" spans="1:4" x14ac:dyDescent="0.3">
      <c r="A11820" s="2" t="s">
        <v>366</v>
      </c>
      <c r="B11820" s="2" t="s">
        <v>367</v>
      </c>
      <c r="C11820" s="3">
        <v>2013</v>
      </c>
      <c r="D11820" s="4">
        <v>47069</v>
      </c>
    </row>
    <row r="11821" spans="1:4" x14ac:dyDescent="0.3">
      <c r="A11821" s="5" t="s">
        <v>366</v>
      </c>
      <c r="B11821" s="5" t="s">
        <v>367</v>
      </c>
      <c r="C11821" s="6">
        <v>2014</v>
      </c>
      <c r="D11821" s="7">
        <v>47089</v>
      </c>
    </row>
    <row r="11822" spans="1:4" x14ac:dyDescent="0.3">
      <c r="A11822" s="2" t="s">
        <v>366</v>
      </c>
      <c r="B11822" s="2" t="s">
        <v>367</v>
      </c>
      <c r="C11822" s="3">
        <v>2015</v>
      </c>
      <c r="D11822" s="4">
        <v>47087</v>
      </c>
    </row>
    <row r="11823" spans="1:4" x14ac:dyDescent="0.3">
      <c r="A11823" s="5" t="s">
        <v>366</v>
      </c>
      <c r="B11823" s="5" t="s">
        <v>367</v>
      </c>
      <c r="C11823" s="6">
        <v>2016</v>
      </c>
      <c r="D11823" s="7">
        <v>47075</v>
      </c>
    </row>
    <row r="11824" spans="1:4" x14ac:dyDescent="0.3">
      <c r="A11824" s="2" t="s">
        <v>366</v>
      </c>
      <c r="B11824" s="2" t="s">
        <v>367</v>
      </c>
      <c r="C11824" s="3">
        <v>2017</v>
      </c>
      <c r="D11824" s="4">
        <v>47050</v>
      </c>
    </row>
    <row r="11825" spans="1:4" x14ac:dyDescent="0.3">
      <c r="A11825" s="5" t="s">
        <v>366</v>
      </c>
      <c r="B11825" s="5" t="s">
        <v>367</v>
      </c>
      <c r="C11825" s="6">
        <v>2018</v>
      </c>
      <c r="D11825" s="7">
        <v>47008</v>
      </c>
    </row>
    <row r="11826" spans="1:4" x14ac:dyDescent="0.3">
      <c r="A11826" s="2" t="s">
        <v>366</v>
      </c>
      <c r="B11826" s="2" t="s">
        <v>367</v>
      </c>
      <c r="C11826" s="3">
        <v>2019</v>
      </c>
      <c r="D11826" s="4">
        <v>46952</v>
      </c>
    </row>
    <row r="11827" spans="1:4" x14ac:dyDescent="0.3">
      <c r="A11827" s="5" t="s">
        <v>366</v>
      </c>
      <c r="B11827" s="5" t="s">
        <v>367</v>
      </c>
      <c r="C11827" s="6">
        <v>2020</v>
      </c>
      <c r="D11827" s="7">
        <v>46870</v>
      </c>
    </row>
    <row r="11828" spans="1:4" x14ac:dyDescent="0.3">
      <c r="A11828" s="2" t="s">
        <v>366</v>
      </c>
      <c r="B11828" s="2" t="s">
        <v>367</v>
      </c>
      <c r="C11828" s="3">
        <v>2021</v>
      </c>
      <c r="D11828" s="4">
        <v>46763</v>
      </c>
    </row>
    <row r="11829" spans="1:4" x14ac:dyDescent="0.3">
      <c r="A11829" s="5" t="s">
        <v>366</v>
      </c>
      <c r="B11829" s="5" t="s">
        <v>367</v>
      </c>
      <c r="C11829" s="6">
        <v>2022</v>
      </c>
      <c r="D11829" s="7">
        <v>46709</v>
      </c>
    </row>
    <row r="11830" spans="1:4" x14ac:dyDescent="0.3">
      <c r="A11830" s="2" t="s">
        <v>366</v>
      </c>
      <c r="B11830" s="2" t="s">
        <v>367</v>
      </c>
      <c r="C11830" s="3">
        <v>2023</v>
      </c>
      <c r="D11830" s="4">
        <v>46758</v>
      </c>
    </row>
    <row r="11831" spans="1:4" x14ac:dyDescent="0.3">
      <c r="A11831" s="5" t="s">
        <v>366</v>
      </c>
      <c r="B11831" s="5" t="s">
        <v>367</v>
      </c>
      <c r="C11831" s="6">
        <v>2024</v>
      </c>
      <c r="D11831" s="7">
        <v>46843</v>
      </c>
    </row>
    <row r="11832" spans="1:4" x14ac:dyDescent="0.3">
      <c r="A11832" s="2" t="s">
        <v>368</v>
      </c>
      <c r="B11832" s="2" t="s">
        <v>369</v>
      </c>
      <c r="C11832" s="3">
        <v>1960</v>
      </c>
      <c r="D11832" s="4">
        <v>92585</v>
      </c>
    </row>
    <row r="11833" spans="1:4" x14ac:dyDescent="0.3">
      <c r="A11833" s="5" t="s">
        <v>368</v>
      </c>
      <c r="B11833" s="5" t="s">
        <v>369</v>
      </c>
      <c r="C11833" s="6">
        <v>1961</v>
      </c>
      <c r="D11833" s="7">
        <v>93490</v>
      </c>
    </row>
    <row r="11834" spans="1:4" x14ac:dyDescent="0.3">
      <c r="A11834" s="2" t="s">
        <v>368</v>
      </c>
      <c r="B11834" s="2" t="s">
        <v>369</v>
      </c>
      <c r="C11834" s="3">
        <v>1962</v>
      </c>
      <c r="D11834" s="4">
        <v>94505</v>
      </c>
    </row>
    <row r="11835" spans="1:4" x14ac:dyDescent="0.3">
      <c r="A11835" s="5" t="s">
        <v>368</v>
      </c>
      <c r="B11835" s="5" t="s">
        <v>369</v>
      </c>
      <c r="C11835" s="6">
        <v>1963</v>
      </c>
      <c r="D11835" s="7">
        <v>95519</v>
      </c>
    </row>
    <row r="11836" spans="1:4" x14ac:dyDescent="0.3">
      <c r="A11836" s="2" t="s">
        <v>368</v>
      </c>
      <c r="B11836" s="2" t="s">
        <v>369</v>
      </c>
      <c r="C11836" s="3">
        <v>1964</v>
      </c>
      <c r="D11836" s="4">
        <v>96505</v>
      </c>
    </row>
    <row r="11837" spans="1:4" x14ac:dyDescent="0.3">
      <c r="A11837" s="5" t="s">
        <v>368</v>
      </c>
      <c r="B11837" s="5" t="s">
        <v>369</v>
      </c>
      <c r="C11837" s="6">
        <v>1965</v>
      </c>
      <c r="D11837" s="7">
        <v>97493</v>
      </c>
    </row>
    <row r="11838" spans="1:4" x14ac:dyDescent="0.3">
      <c r="A11838" s="2" t="s">
        <v>368</v>
      </c>
      <c r="B11838" s="2" t="s">
        <v>369</v>
      </c>
      <c r="C11838" s="3">
        <v>1966</v>
      </c>
      <c r="D11838" s="4">
        <v>98463</v>
      </c>
    </row>
    <row r="11839" spans="1:4" x14ac:dyDescent="0.3">
      <c r="A11839" s="5" t="s">
        <v>368</v>
      </c>
      <c r="B11839" s="5" t="s">
        <v>369</v>
      </c>
      <c r="C11839" s="6">
        <v>1967</v>
      </c>
      <c r="D11839" s="7">
        <v>99504</v>
      </c>
    </row>
    <row r="11840" spans="1:4" x14ac:dyDescent="0.3">
      <c r="A11840" s="2" t="s">
        <v>368</v>
      </c>
      <c r="B11840" s="2" t="s">
        <v>369</v>
      </c>
      <c r="C11840" s="3">
        <v>1968</v>
      </c>
      <c r="D11840" s="4">
        <v>100675</v>
      </c>
    </row>
    <row r="11841" spans="1:4" x14ac:dyDescent="0.3">
      <c r="A11841" s="5" t="s">
        <v>368</v>
      </c>
      <c r="B11841" s="5" t="s">
        <v>369</v>
      </c>
      <c r="C11841" s="6">
        <v>1969</v>
      </c>
      <c r="D11841" s="7">
        <v>101879</v>
      </c>
    </row>
    <row r="11842" spans="1:4" x14ac:dyDescent="0.3">
      <c r="A11842" s="2" t="s">
        <v>368</v>
      </c>
      <c r="B11842" s="2" t="s">
        <v>369</v>
      </c>
      <c r="C11842" s="3">
        <v>1970</v>
      </c>
      <c r="D11842" s="4">
        <v>103165</v>
      </c>
    </row>
    <row r="11843" spans="1:4" x14ac:dyDescent="0.3">
      <c r="A11843" s="5" t="s">
        <v>368</v>
      </c>
      <c r="B11843" s="5" t="s">
        <v>369</v>
      </c>
      <c r="C11843" s="6">
        <v>1971</v>
      </c>
      <c r="D11843" s="7">
        <v>104564</v>
      </c>
    </row>
    <row r="11844" spans="1:4" x14ac:dyDescent="0.3">
      <c r="A11844" s="2" t="s">
        <v>368</v>
      </c>
      <c r="B11844" s="2" t="s">
        <v>369</v>
      </c>
      <c r="C11844" s="3">
        <v>1972</v>
      </c>
      <c r="D11844" s="4">
        <v>106002</v>
      </c>
    </row>
    <row r="11845" spans="1:4" x14ac:dyDescent="0.3">
      <c r="A11845" s="5" t="s">
        <v>368</v>
      </c>
      <c r="B11845" s="5" t="s">
        <v>369</v>
      </c>
      <c r="C11845" s="6">
        <v>1973</v>
      </c>
      <c r="D11845" s="7">
        <v>107498</v>
      </c>
    </row>
    <row r="11846" spans="1:4" x14ac:dyDescent="0.3">
      <c r="A11846" s="2" t="s">
        <v>368</v>
      </c>
      <c r="B11846" s="2" t="s">
        <v>369</v>
      </c>
      <c r="C11846" s="3">
        <v>1974</v>
      </c>
      <c r="D11846" s="4">
        <v>109076</v>
      </c>
    </row>
    <row r="11847" spans="1:4" x14ac:dyDescent="0.3">
      <c r="A11847" s="5" t="s">
        <v>368</v>
      </c>
      <c r="B11847" s="5" t="s">
        <v>369</v>
      </c>
      <c r="C11847" s="6">
        <v>1975</v>
      </c>
      <c r="D11847" s="7">
        <v>110725</v>
      </c>
    </row>
    <row r="11848" spans="1:4" x14ac:dyDescent="0.3">
      <c r="A11848" s="2" t="s">
        <v>368</v>
      </c>
      <c r="B11848" s="2" t="s">
        <v>369</v>
      </c>
      <c r="C11848" s="3">
        <v>1976</v>
      </c>
      <c r="D11848" s="4">
        <v>112425</v>
      </c>
    </row>
    <row r="11849" spans="1:4" x14ac:dyDescent="0.3">
      <c r="A11849" s="5" t="s">
        <v>368</v>
      </c>
      <c r="B11849" s="5" t="s">
        <v>369</v>
      </c>
      <c r="C11849" s="6">
        <v>1977</v>
      </c>
      <c r="D11849" s="7">
        <v>114135</v>
      </c>
    </row>
    <row r="11850" spans="1:4" x14ac:dyDescent="0.3">
      <c r="A11850" s="2" t="s">
        <v>368</v>
      </c>
      <c r="B11850" s="2" t="s">
        <v>369</v>
      </c>
      <c r="C11850" s="3">
        <v>1978</v>
      </c>
      <c r="D11850" s="4">
        <v>115834</v>
      </c>
    </row>
    <row r="11851" spans="1:4" x14ac:dyDescent="0.3">
      <c r="A11851" s="5" t="s">
        <v>368</v>
      </c>
      <c r="B11851" s="5" t="s">
        <v>369</v>
      </c>
      <c r="C11851" s="6">
        <v>1979</v>
      </c>
      <c r="D11851" s="7">
        <v>117528</v>
      </c>
    </row>
    <row r="11852" spans="1:4" x14ac:dyDescent="0.3">
      <c r="A11852" s="2" t="s">
        <v>368</v>
      </c>
      <c r="B11852" s="2" t="s">
        <v>369</v>
      </c>
      <c r="C11852" s="3">
        <v>1980</v>
      </c>
      <c r="D11852" s="4">
        <v>119290</v>
      </c>
    </row>
    <row r="11853" spans="1:4" x14ac:dyDescent="0.3">
      <c r="A11853" s="5" t="s">
        <v>368</v>
      </c>
      <c r="B11853" s="5" t="s">
        <v>369</v>
      </c>
      <c r="C11853" s="6">
        <v>1981</v>
      </c>
      <c r="D11853" s="7">
        <v>121166</v>
      </c>
    </row>
    <row r="11854" spans="1:4" x14ac:dyDescent="0.3">
      <c r="A11854" s="2" t="s">
        <v>368</v>
      </c>
      <c r="B11854" s="2" t="s">
        <v>369</v>
      </c>
      <c r="C11854" s="3">
        <v>1982</v>
      </c>
      <c r="D11854" s="4">
        <v>123087</v>
      </c>
    </row>
    <row r="11855" spans="1:4" x14ac:dyDescent="0.3">
      <c r="A11855" s="5" t="s">
        <v>368</v>
      </c>
      <c r="B11855" s="5" t="s">
        <v>369</v>
      </c>
      <c r="C11855" s="6">
        <v>1983</v>
      </c>
      <c r="D11855" s="7">
        <v>125044</v>
      </c>
    </row>
    <row r="11856" spans="1:4" x14ac:dyDescent="0.3">
      <c r="A11856" s="2" t="s">
        <v>368</v>
      </c>
      <c r="B11856" s="2" t="s">
        <v>369</v>
      </c>
      <c r="C11856" s="3">
        <v>1984</v>
      </c>
      <c r="D11856" s="4">
        <v>127067</v>
      </c>
    </row>
    <row r="11857" spans="1:4" x14ac:dyDescent="0.3">
      <c r="A11857" s="5" t="s">
        <v>368</v>
      </c>
      <c r="B11857" s="5" t="s">
        <v>369</v>
      </c>
      <c r="C11857" s="6">
        <v>1985</v>
      </c>
      <c r="D11857" s="7">
        <v>129159</v>
      </c>
    </row>
    <row r="11858" spans="1:4" x14ac:dyDescent="0.3">
      <c r="A11858" s="2" t="s">
        <v>368</v>
      </c>
      <c r="B11858" s="2" t="s">
        <v>369</v>
      </c>
      <c r="C11858" s="3">
        <v>1986</v>
      </c>
      <c r="D11858" s="4">
        <v>131239</v>
      </c>
    </row>
    <row r="11859" spans="1:4" x14ac:dyDescent="0.3">
      <c r="A11859" s="5" t="s">
        <v>368</v>
      </c>
      <c r="B11859" s="5" t="s">
        <v>369</v>
      </c>
      <c r="C11859" s="6">
        <v>1987</v>
      </c>
      <c r="D11859" s="7">
        <v>133227</v>
      </c>
    </row>
    <row r="11860" spans="1:4" x14ac:dyDescent="0.3">
      <c r="A11860" s="2" t="s">
        <v>368</v>
      </c>
      <c r="B11860" s="2" t="s">
        <v>369</v>
      </c>
      <c r="C11860" s="3">
        <v>1988</v>
      </c>
      <c r="D11860" s="4">
        <v>135000</v>
      </c>
    </row>
    <row r="11861" spans="1:4" x14ac:dyDescent="0.3">
      <c r="A11861" s="5" t="s">
        <v>368</v>
      </c>
      <c r="B11861" s="5" t="s">
        <v>369</v>
      </c>
      <c r="C11861" s="6">
        <v>1989</v>
      </c>
      <c r="D11861" s="7">
        <v>136512</v>
      </c>
    </row>
    <row r="11862" spans="1:4" x14ac:dyDescent="0.3">
      <c r="A11862" s="2" t="s">
        <v>368</v>
      </c>
      <c r="B11862" s="2" t="s">
        <v>369</v>
      </c>
      <c r="C11862" s="3">
        <v>1990</v>
      </c>
      <c r="D11862" s="4">
        <v>137857</v>
      </c>
    </row>
    <row r="11863" spans="1:4" x14ac:dyDescent="0.3">
      <c r="A11863" s="5" t="s">
        <v>368</v>
      </c>
      <c r="B11863" s="5" t="s">
        <v>369</v>
      </c>
      <c r="C11863" s="6">
        <v>1991</v>
      </c>
      <c r="D11863" s="7">
        <v>139520</v>
      </c>
    </row>
    <row r="11864" spans="1:4" x14ac:dyDescent="0.3">
      <c r="A11864" s="2" t="s">
        <v>368</v>
      </c>
      <c r="B11864" s="2" t="s">
        <v>369</v>
      </c>
      <c r="C11864" s="3">
        <v>1992</v>
      </c>
      <c r="D11864" s="4">
        <v>141617</v>
      </c>
    </row>
    <row r="11865" spans="1:4" x14ac:dyDescent="0.3">
      <c r="A11865" s="5" t="s">
        <v>368</v>
      </c>
      <c r="B11865" s="5" t="s">
        <v>369</v>
      </c>
      <c r="C11865" s="6">
        <v>1993</v>
      </c>
      <c r="D11865" s="7">
        <v>143726</v>
      </c>
    </row>
    <row r="11866" spans="1:4" x14ac:dyDescent="0.3">
      <c r="A11866" s="2" t="s">
        <v>368</v>
      </c>
      <c r="B11866" s="2" t="s">
        <v>369</v>
      </c>
      <c r="C11866" s="3">
        <v>1994</v>
      </c>
      <c r="D11866" s="4">
        <v>145890</v>
      </c>
    </row>
    <row r="11867" spans="1:4" x14ac:dyDescent="0.3">
      <c r="A11867" s="5" t="s">
        <v>368</v>
      </c>
      <c r="B11867" s="5" t="s">
        <v>369</v>
      </c>
      <c r="C11867" s="6">
        <v>1995</v>
      </c>
      <c r="D11867" s="7">
        <v>148208</v>
      </c>
    </row>
    <row r="11868" spans="1:4" x14ac:dyDescent="0.3">
      <c r="A11868" s="2" t="s">
        <v>368</v>
      </c>
      <c r="B11868" s="2" t="s">
        <v>369</v>
      </c>
      <c r="C11868" s="3">
        <v>1996</v>
      </c>
      <c r="D11868" s="4">
        <v>150436</v>
      </c>
    </row>
    <row r="11869" spans="1:4" x14ac:dyDescent="0.3">
      <c r="A11869" s="5" t="s">
        <v>368</v>
      </c>
      <c r="B11869" s="5" t="s">
        <v>369</v>
      </c>
      <c r="C11869" s="6">
        <v>1997</v>
      </c>
      <c r="D11869" s="7">
        <v>152569</v>
      </c>
    </row>
    <row r="11870" spans="1:4" x14ac:dyDescent="0.3">
      <c r="A11870" s="2" t="s">
        <v>368</v>
      </c>
      <c r="B11870" s="2" t="s">
        <v>369</v>
      </c>
      <c r="C11870" s="3">
        <v>1998</v>
      </c>
      <c r="D11870" s="4">
        <v>154677</v>
      </c>
    </row>
    <row r="11871" spans="1:4" x14ac:dyDescent="0.3">
      <c r="A11871" s="5" t="s">
        <v>368</v>
      </c>
      <c r="B11871" s="5" t="s">
        <v>369</v>
      </c>
      <c r="C11871" s="6">
        <v>1999</v>
      </c>
      <c r="D11871" s="7">
        <v>156702</v>
      </c>
    </row>
    <row r="11872" spans="1:4" x14ac:dyDescent="0.3">
      <c r="A11872" s="2" t="s">
        <v>368</v>
      </c>
      <c r="B11872" s="2" t="s">
        <v>369</v>
      </c>
      <c r="C11872" s="3">
        <v>2000</v>
      </c>
      <c r="D11872" s="4">
        <v>158616</v>
      </c>
    </row>
    <row r="11873" spans="1:4" x14ac:dyDescent="0.3">
      <c r="A11873" s="5" t="s">
        <v>368</v>
      </c>
      <c r="B11873" s="5" t="s">
        <v>369</v>
      </c>
      <c r="C11873" s="6">
        <v>2001</v>
      </c>
      <c r="D11873" s="7">
        <v>160237</v>
      </c>
    </row>
    <row r="11874" spans="1:4" x14ac:dyDescent="0.3">
      <c r="A11874" s="2" t="s">
        <v>368</v>
      </c>
      <c r="B11874" s="2" t="s">
        <v>369</v>
      </c>
      <c r="C11874" s="3">
        <v>2002</v>
      </c>
      <c r="D11874" s="4">
        <v>161641</v>
      </c>
    </row>
    <row r="11875" spans="1:4" x14ac:dyDescent="0.3">
      <c r="A11875" s="5" t="s">
        <v>368</v>
      </c>
      <c r="B11875" s="5" t="s">
        <v>369</v>
      </c>
      <c r="C11875" s="6">
        <v>2003</v>
      </c>
      <c r="D11875" s="7">
        <v>162976</v>
      </c>
    </row>
    <row r="11876" spans="1:4" x14ac:dyDescent="0.3">
      <c r="A11876" s="2" t="s">
        <v>368</v>
      </c>
      <c r="B11876" s="2" t="s">
        <v>369</v>
      </c>
      <c r="C11876" s="3">
        <v>2004</v>
      </c>
      <c r="D11876" s="4">
        <v>164239</v>
      </c>
    </row>
    <row r="11877" spans="1:4" x14ac:dyDescent="0.3">
      <c r="A11877" s="5" t="s">
        <v>368</v>
      </c>
      <c r="B11877" s="5" t="s">
        <v>369</v>
      </c>
      <c r="C11877" s="6">
        <v>2005</v>
      </c>
      <c r="D11877" s="7">
        <v>165450</v>
      </c>
    </row>
    <row r="11878" spans="1:4" x14ac:dyDescent="0.3">
      <c r="A11878" s="2" t="s">
        <v>368</v>
      </c>
      <c r="B11878" s="2" t="s">
        <v>369</v>
      </c>
      <c r="C11878" s="3">
        <v>2006</v>
      </c>
      <c r="D11878" s="4">
        <v>166639</v>
      </c>
    </row>
    <row r="11879" spans="1:4" x14ac:dyDescent="0.3">
      <c r="A11879" s="5" t="s">
        <v>368</v>
      </c>
      <c r="B11879" s="5" t="s">
        <v>369</v>
      </c>
      <c r="C11879" s="6">
        <v>2007</v>
      </c>
      <c r="D11879" s="7">
        <v>167758</v>
      </c>
    </row>
    <row r="11880" spans="1:4" x14ac:dyDescent="0.3">
      <c r="A11880" s="2" t="s">
        <v>368</v>
      </c>
      <c r="B11880" s="2" t="s">
        <v>369</v>
      </c>
      <c r="C11880" s="3">
        <v>2008</v>
      </c>
      <c r="D11880" s="4">
        <v>168808</v>
      </c>
    </row>
    <row r="11881" spans="1:4" x14ac:dyDescent="0.3">
      <c r="A11881" s="5" t="s">
        <v>368</v>
      </c>
      <c r="B11881" s="5" t="s">
        <v>369</v>
      </c>
      <c r="C11881" s="6">
        <v>2009</v>
      </c>
      <c r="D11881" s="7">
        <v>169869</v>
      </c>
    </row>
    <row r="11882" spans="1:4" x14ac:dyDescent="0.3">
      <c r="A11882" s="2" t="s">
        <v>368</v>
      </c>
      <c r="B11882" s="2" t="s">
        <v>369</v>
      </c>
      <c r="C11882" s="3">
        <v>2010</v>
      </c>
      <c r="D11882" s="4">
        <v>170906</v>
      </c>
    </row>
    <row r="11883" spans="1:4" x14ac:dyDescent="0.3">
      <c r="A11883" s="5" t="s">
        <v>368</v>
      </c>
      <c r="B11883" s="5" t="s">
        <v>369</v>
      </c>
      <c r="C11883" s="6">
        <v>2011</v>
      </c>
      <c r="D11883" s="7">
        <v>171801</v>
      </c>
    </row>
    <row r="11884" spans="1:4" x14ac:dyDescent="0.3">
      <c r="A11884" s="2" t="s">
        <v>368</v>
      </c>
      <c r="B11884" s="2" t="s">
        <v>369</v>
      </c>
      <c r="C11884" s="3">
        <v>2012</v>
      </c>
      <c r="D11884" s="4">
        <v>172587</v>
      </c>
    </row>
    <row r="11885" spans="1:4" x14ac:dyDescent="0.3">
      <c r="A11885" s="5" t="s">
        <v>368</v>
      </c>
      <c r="B11885" s="5" t="s">
        <v>369</v>
      </c>
      <c r="C11885" s="6">
        <v>2013</v>
      </c>
      <c r="D11885" s="7">
        <v>173369</v>
      </c>
    </row>
    <row r="11886" spans="1:4" x14ac:dyDescent="0.3">
      <c r="A11886" s="2" t="s">
        <v>368</v>
      </c>
      <c r="B11886" s="2" t="s">
        <v>369</v>
      </c>
      <c r="C11886" s="3">
        <v>2014</v>
      </c>
      <c r="D11886" s="4">
        <v>174138</v>
      </c>
    </row>
    <row r="11887" spans="1:4" x14ac:dyDescent="0.3">
      <c r="A11887" s="5" t="s">
        <v>368</v>
      </c>
      <c r="B11887" s="5" t="s">
        <v>369</v>
      </c>
      <c r="C11887" s="6">
        <v>2015</v>
      </c>
      <c r="D11887" s="7">
        <v>174905</v>
      </c>
    </row>
    <row r="11888" spans="1:4" x14ac:dyDescent="0.3">
      <c r="A11888" s="2" t="s">
        <v>368</v>
      </c>
      <c r="B11888" s="2" t="s">
        <v>369</v>
      </c>
      <c r="C11888" s="3">
        <v>2016</v>
      </c>
      <c r="D11888" s="4">
        <v>175646</v>
      </c>
    </row>
    <row r="11889" spans="1:4" x14ac:dyDescent="0.3">
      <c r="A11889" s="5" t="s">
        <v>368</v>
      </c>
      <c r="B11889" s="5" t="s">
        <v>369</v>
      </c>
      <c r="C11889" s="6">
        <v>2017</v>
      </c>
      <c r="D11889" s="7">
        <v>176342</v>
      </c>
    </row>
    <row r="11890" spans="1:4" x14ac:dyDescent="0.3">
      <c r="A11890" s="2" t="s">
        <v>368</v>
      </c>
      <c r="B11890" s="2" t="s">
        <v>369</v>
      </c>
      <c r="C11890" s="3">
        <v>2018</v>
      </c>
      <c r="D11890" s="4">
        <v>177017</v>
      </c>
    </row>
    <row r="11891" spans="1:4" x14ac:dyDescent="0.3">
      <c r="A11891" s="5" t="s">
        <v>368</v>
      </c>
      <c r="B11891" s="5" t="s">
        <v>369</v>
      </c>
      <c r="C11891" s="6">
        <v>2019</v>
      </c>
      <c r="D11891" s="7">
        <v>177661</v>
      </c>
    </row>
    <row r="11892" spans="1:4" x14ac:dyDescent="0.3">
      <c r="A11892" s="2" t="s">
        <v>368</v>
      </c>
      <c r="B11892" s="2" t="s">
        <v>369</v>
      </c>
      <c r="C11892" s="3">
        <v>2020</v>
      </c>
      <c r="D11892" s="4">
        <v>178250</v>
      </c>
    </row>
    <row r="11893" spans="1:4" x14ac:dyDescent="0.3">
      <c r="A11893" s="5" t="s">
        <v>368</v>
      </c>
      <c r="B11893" s="5" t="s">
        <v>369</v>
      </c>
      <c r="C11893" s="6">
        <v>2021</v>
      </c>
      <c r="D11893" s="7">
        <v>178522</v>
      </c>
    </row>
    <row r="11894" spans="1:4" x14ac:dyDescent="0.3">
      <c r="A11894" s="2" t="s">
        <v>368</v>
      </c>
      <c r="B11894" s="2" t="s">
        <v>369</v>
      </c>
      <c r="C11894" s="3">
        <v>2022</v>
      </c>
      <c r="D11894" s="4">
        <v>178781</v>
      </c>
    </row>
    <row r="11895" spans="1:4" x14ac:dyDescent="0.3">
      <c r="A11895" s="5" t="s">
        <v>368</v>
      </c>
      <c r="B11895" s="5" t="s">
        <v>369</v>
      </c>
      <c r="C11895" s="6">
        <v>2023</v>
      </c>
      <c r="D11895" s="7">
        <v>179285</v>
      </c>
    </row>
    <row r="11896" spans="1:4" x14ac:dyDescent="0.3">
      <c r="A11896" s="2" t="s">
        <v>368</v>
      </c>
      <c r="B11896" s="2" t="s">
        <v>369</v>
      </c>
      <c r="C11896" s="3">
        <v>2024</v>
      </c>
      <c r="D11896" s="4">
        <v>179744</v>
      </c>
    </row>
    <row r="11897" spans="1:4" x14ac:dyDescent="0.3">
      <c r="A11897" s="5" t="s">
        <v>370</v>
      </c>
      <c r="B11897" s="5" t="s">
        <v>371</v>
      </c>
      <c r="C11897" s="6">
        <v>1960</v>
      </c>
      <c r="D11897" s="7">
        <v>4250</v>
      </c>
    </row>
    <row r="11898" spans="1:4" x14ac:dyDescent="0.3">
      <c r="A11898" s="2" t="s">
        <v>370</v>
      </c>
      <c r="B11898" s="2" t="s">
        <v>371</v>
      </c>
      <c r="C11898" s="3">
        <v>1961</v>
      </c>
      <c r="D11898" s="4">
        <v>4386</v>
      </c>
    </row>
    <row r="11899" spans="1:4" x14ac:dyDescent="0.3">
      <c r="A11899" s="5" t="s">
        <v>370</v>
      </c>
      <c r="B11899" s="5" t="s">
        <v>371</v>
      </c>
      <c r="C11899" s="6">
        <v>1962</v>
      </c>
      <c r="D11899" s="7">
        <v>4527</v>
      </c>
    </row>
    <row r="11900" spans="1:4" x14ac:dyDescent="0.3">
      <c r="A11900" s="2" t="s">
        <v>370</v>
      </c>
      <c r="B11900" s="2" t="s">
        <v>371</v>
      </c>
      <c r="C11900" s="3">
        <v>1963</v>
      </c>
      <c r="D11900" s="4">
        <v>4673</v>
      </c>
    </row>
    <row r="11901" spans="1:4" x14ac:dyDescent="0.3">
      <c r="A11901" s="5" t="s">
        <v>370</v>
      </c>
      <c r="B11901" s="5" t="s">
        <v>371</v>
      </c>
      <c r="C11901" s="6">
        <v>1964</v>
      </c>
      <c r="D11901" s="7">
        <v>4827</v>
      </c>
    </row>
    <row r="11902" spans="1:4" x14ac:dyDescent="0.3">
      <c r="A11902" s="2" t="s">
        <v>370</v>
      </c>
      <c r="B11902" s="2" t="s">
        <v>371</v>
      </c>
      <c r="C11902" s="3">
        <v>1965</v>
      </c>
      <c r="D11902" s="4">
        <v>4996</v>
      </c>
    </row>
    <row r="11903" spans="1:4" x14ac:dyDescent="0.3">
      <c r="A11903" s="5" t="s">
        <v>370</v>
      </c>
      <c r="B11903" s="5" t="s">
        <v>371</v>
      </c>
      <c r="C11903" s="6">
        <v>1966</v>
      </c>
      <c r="D11903" s="7">
        <v>5213</v>
      </c>
    </row>
    <row r="11904" spans="1:4" x14ac:dyDescent="0.3">
      <c r="A11904" s="2" t="s">
        <v>370</v>
      </c>
      <c r="B11904" s="2" t="s">
        <v>371</v>
      </c>
      <c r="C11904" s="3">
        <v>1967</v>
      </c>
      <c r="D11904" s="4">
        <v>5472</v>
      </c>
    </row>
    <row r="11905" spans="1:4" x14ac:dyDescent="0.3">
      <c r="A11905" s="5" t="s">
        <v>370</v>
      </c>
      <c r="B11905" s="5" t="s">
        <v>371</v>
      </c>
      <c r="C11905" s="6">
        <v>1968</v>
      </c>
      <c r="D11905" s="7">
        <v>5693</v>
      </c>
    </row>
    <row r="11906" spans="1:4" x14ac:dyDescent="0.3">
      <c r="A11906" s="2" t="s">
        <v>370</v>
      </c>
      <c r="B11906" s="2" t="s">
        <v>371</v>
      </c>
      <c r="C11906" s="3">
        <v>1969</v>
      </c>
      <c r="D11906" s="4">
        <v>5868</v>
      </c>
    </row>
    <row r="11907" spans="1:4" x14ac:dyDescent="0.3">
      <c r="A11907" s="5" t="s">
        <v>370</v>
      </c>
      <c r="B11907" s="5" t="s">
        <v>371</v>
      </c>
      <c r="C11907" s="6">
        <v>1970</v>
      </c>
      <c r="D11907" s="7">
        <v>6047</v>
      </c>
    </row>
    <row r="11908" spans="1:4" x14ac:dyDescent="0.3">
      <c r="A11908" s="2" t="s">
        <v>370</v>
      </c>
      <c r="B11908" s="2" t="s">
        <v>371</v>
      </c>
      <c r="C11908" s="3">
        <v>1971</v>
      </c>
      <c r="D11908" s="4">
        <v>6228</v>
      </c>
    </row>
    <row r="11909" spans="1:4" x14ac:dyDescent="0.3">
      <c r="A11909" s="5" t="s">
        <v>370</v>
      </c>
      <c r="B11909" s="5" t="s">
        <v>371</v>
      </c>
      <c r="C11909" s="6">
        <v>1972</v>
      </c>
      <c r="D11909" s="7">
        <v>6409</v>
      </c>
    </row>
    <row r="11910" spans="1:4" x14ac:dyDescent="0.3">
      <c r="A11910" s="2" t="s">
        <v>370</v>
      </c>
      <c r="B11910" s="2" t="s">
        <v>371</v>
      </c>
      <c r="C11910" s="3">
        <v>1973</v>
      </c>
      <c r="D11910" s="4">
        <v>6596</v>
      </c>
    </row>
    <row r="11911" spans="1:4" x14ac:dyDescent="0.3">
      <c r="A11911" s="5" t="s">
        <v>370</v>
      </c>
      <c r="B11911" s="5" t="s">
        <v>371</v>
      </c>
      <c r="C11911" s="6">
        <v>1974</v>
      </c>
      <c r="D11911" s="7">
        <v>6801</v>
      </c>
    </row>
    <row r="11912" spans="1:4" x14ac:dyDescent="0.3">
      <c r="A11912" s="2" t="s">
        <v>370</v>
      </c>
      <c r="B11912" s="2" t="s">
        <v>371</v>
      </c>
      <c r="C11912" s="3">
        <v>1975</v>
      </c>
      <c r="D11912" s="4">
        <v>7038</v>
      </c>
    </row>
    <row r="11913" spans="1:4" x14ac:dyDescent="0.3">
      <c r="A11913" s="5" t="s">
        <v>370</v>
      </c>
      <c r="B11913" s="5" t="s">
        <v>371</v>
      </c>
      <c r="C11913" s="6">
        <v>1976</v>
      </c>
      <c r="D11913" s="7">
        <v>7303</v>
      </c>
    </row>
    <row r="11914" spans="1:4" x14ac:dyDescent="0.3">
      <c r="A11914" s="2" t="s">
        <v>370</v>
      </c>
      <c r="B11914" s="2" t="s">
        <v>371</v>
      </c>
      <c r="C11914" s="3">
        <v>1977</v>
      </c>
      <c r="D11914" s="4">
        <v>7569</v>
      </c>
    </row>
    <row r="11915" spans="1:4" x14ac:dyDescent="0.3">
      <c r="A11915" s="5" t="s">
        <v>370</v>
      </c>
      <c r="B11915" s="5" t="s">
        <v>371</v>
      </c>
      <c r="C11915" s="6">
        <v>1978</v>
      </c>
      <c r="D11915" s="7">
        <v>7822</v>
      </c>
    </row>
    <row r="11916" spans="1:4" x14ac:dyDescent="0.3">
      <c r="A11916" s="2" t="s">
        <v>370</v>
      </c>
      <c r="B11916" s="2" t="s">
        <v>371</v>
      </c>
      <c r="C11916" s="3">
        <v>1979</v>
      </c>
      <c r="D11916" s="4">
        <v>8063</v>
      </c>
    </row>
    <row r="11917" spans="1:4" x14ac:dyDescent="0.3">
      <c r="A11917" s="5" t="s">
        <v>370</v>
      </c>
      <c r="B11917" s="5" t="s">
        <v>371</v>
      </c>
      <c r="C11917" s="6">
        <v>1980</v>
      </c>
      <c r="D11917" s="7">
        <v>8288</v>
      </c>
    </row>
    <row r="11918" spans="1:4" x14ac:dyDescent="0.3">
      <c r="A11918" s="2" t="s">
        <v>370</v>
      </c>
      <c r="B11918" s="2" t="s">
        <v>371</v>
      </c>
      <c r="C11918" s="3">
        <v>1981</v>
      </c>
      <c r="D11918" s="4">
        <v>8498</v>
      </c>
    </row>
    <row r="11919" spans="1:4" x14ac:dyDescent="0.3">
      <c r="A11919" s="5" t="s">
        <v>370</v>
      </c>
      <c r="B11919" s="5" t="s">
        <v>371</v>
      </c>
      <c r="C11919" s="6">
        <v>1982</v>
      </c>
      <c r="D11919" s="7">
        <v>9494</v>
      </c>
    </row>
    <row r="11920" spans="1:4" x14ac:dyDescent="0.3">
      <c r="A11920" s="2" t="s">
        <v>370</v>
      </c>
      <c r="B11920" s="2" t="s">
        <v>371</v>
      </c>
      <c r="C11920" s="3">
        <v>1983</v>
      </c>
      <c r="D11920" s="4">
        <v>11485</v>
      </c>
    </row>
    <row r="11921" spans="1:4" x14ac:dyDescent="0.3">
      <c r="A11921" s="5" t="s">
        <v>370</v>
      </c>
      <c r="B11921" s="5" t="s">
        <v>371</v>
      </c>
      <c r="C11921" s="6">
        <v>1984</v>
      </c>
      <c r="D11921" s="7">
        <v>13733</v>
      </c>
    </row>
    <row r="11922" spans="1:4" x14ac:dyDescent="0.3">
      <c r="A11922" s="2" t="s">
        <v>370</v>
      </c>
      <c r="B11922" s="2" t="s">
        <v>371</v>
      </c>
      <c r="C11922" s="3">
        <v>1985</v>
      </c>
      <c r="D11922" s="4">
        <v>16095</v>
      </c>
    </row>
    <row r="11923" spans="1:4" x14ac:dyDescent="0.3">
      <c r="A11923" s="5" t="s">
        <v>370</v>
      </c>
      <c r="B11923" s="5" t="s">
        <v>371</v>
      </c>
      <c r="C11923" s="6">
        <v>1986</v>
      </c>
      <c r="D11923" s="7">
        <v>18558</v>
      </c>
    </row>
    <row r="11924" spans="1:4" x14ac:dyDescent="0.3">
      <c r="A11924" s="2" t="s">
        <v>370</v>
      </c>
      <c r="B11924" s="2" t="s">
        <v>371</v>
      </c>
      <c r="C11924" s="3">
        <v>1987</v>
      </c>
      <c r="D11924" s="4">
        <v>21108</v>
      </c>
    </row>
    <row r="11925" spans="1:4" x14ac:dyDescent="0.3">
      <c r="A11925" s="5" t="s">
        <v>370</v>
      </c>
      <c r="B11925" s="5" t="s">
        <v>371</v>
      </c>
      <c r="C11925" s="6">
        <v>1988</v>
      </c>
      <c r="D11925" s="7">
        <v>23749</v>
      </c>
    </row>
    <row r="11926" spans="1:4" x14ac:dyDescent="0.3">
      <c r="A11926" s="2" t="s">
        <v>370</v>
      </c>
      <c r="B11926" s="2" t="s">
        <v>371</v>
      </c>
      <c r="C11926" s="3">
        <v>1989</v>
      </c>
      <c r="D11926" s="4">
        <v>26453</v>
      </c>
    </row>
    <row r="11927" spans="1:4" x14ac:dyDescent="0.3">
      <c r="A11927" s="5" t="s">
        <v>370</v>
      </c>
      <c r="B11927" s="5" t="s">
        <v>371</v>
      </c>
      <c r="C11927" s="6">
        <v>1990</v>
      </c>
      <c r="D11927" s="7">
        <v>28224</v>
      </c>
    </row>
    <row r="11928" spans="1:4" x14ac:dyDescent="0.3">
      <c r="A11928" s="2" t="s">
        <v>370</v>
      </c>
      <c r="B11928" s="2" t="s">
        <v>371</v>
      </c>
      <c r="C11928" s="3">
        <v>1991</v>
      </c>
      <c r="D11928" s="4">
        <v>28800</v>
      </c>
    </row>
    <row r="11929" spans="1:4" x14ac:dyDescent="0.3">
      <c r="A11929" s="5" t="s">
        <v>370</v>
      </c>
      <c r="B11929" s="5" t="s">
        <v>371</v>
      </c>
      <c r="C11929" s="6">
        <v>1992</v>
      </c>
      <c r="D11929" s="7">
        <v>29081</v>
      </c>
    </row>
    <row r="11930" spans="1:4" x14ac:dyDescent="0.3">
      <c r="A11930" s="2" t="s">
        <v>370</v>
      </c>
      <c r="B11930" s="2" t="s">
        <v>371</v>
      </c>
      <c r="C11930" s="3">
        <v>1993</v>
      </c>
      <c r="D11930" s="4">
        <v>29282</v>
      </c>
    </row>
    <row r="11931" spans="1:4" x14ac:dyDescent="0.3">
      <c r="A11931" s="5" t="s">
        <v>370</v>
      </c>
      <c r="B11931" s="5" t="s">
        <v>371</v>
      </c>
      <c r="C11931" s="6">
        <v>1994</v>
      </c>
      <c r="D11931" s="7">
        <v>29413</v>
      </c>
    </row>
    <row r="11932" spans="1:4" x14ac:dyDescent="0.3">
      <c r="A11932" s="2" t="s">
        <v>370</v>
      </c>
      <c r="B11932" s="2" t="s">
        <v>371</v>
      </c>
      <c r="C11932" s="3">
        <v>1995</v>
      </c>
      <c r="D11932" s="4">
        <v>29470</v>
      </c>
    </row>
    <row r="11933" spans="1:4" x14ac:dyDescent="0.3">
      <c r="A11933" s="5" t="s">
        <v>370</v>
      </c>
      <c r="B11933" s="5" t="s">
        <v>371</v>
      </c>
      <c r="C11933" s="6">
        <v>1996</v>
      </c>
      <c r="D11933" s="7">
        <v>29443</v>
      </c>
    </row>
    <row r="11934" spans="1:4" x14ac:dyDescent="0.3">
      <c r="A11934" s="2" t="s">
        <v>370</v>
      </c>
      <c r="B11934" s="2" t="s">
        <v>371</v>
      </c>
      <c r="C11934" s="3">
        <v>1997</v>
      </c>
      <c r="D11934" s="4">
        <v>29323</v>
      </c>
    </row>
    <row r="11935" spans="1:4" x14ac:dyDescent="0.3">
      <c r="A11935" s="5" t="s">
        <v>370</v>
      </c>
      <c r="B11935" s="5" t="s">
        <v>371</v>
      </c>
      <c r="C11935" s="6">
        <v>1998</v>
      </c>
      <c r="D11935" s="7">
        <v>29107</v>
      </c>
    </row>
    <row r="11936" spans="1:4" x14ac:dyDescent="0.3">
      <c r="A11936" s="2" t="s">
        <v>370</v>
      </c>
      <c r="B11936" s="2" t="s">
        <v>371</v>
      </c>
      <c r="C11936" s="3">
        <v>1999</v>
      </c>
      <c r="D11936" s="4">
        <v>29284</v>
      </c>
    </row>
    <row r="11937" spans="1:4" x14ac:dyDescent="0.3">
      <c r="A11937" s="5" t="s">
        <v>370</v>
      </c>
      <c r="B11937" s="5" t="s">
        <v>371</v>
      </c>
      <c r="C11937" s="6">
        <v>2000</v>
      </c>
      <c r="D11937" s="7">
        <v>29996</v>
      </c>
    </row>
    <row r="11938" spans="1:4" x14ac:dyDescent="0.3">
      <c r="A11938" s="2" t="s">
        <v>370</v>
      </c>
      <c r="B11938" s="2" t="s">
        <v>371</v>
      </c>
      <c r="C11938" s="3">
        <v>2001</v>
      </c>
      <c r="D11938" s="4">
        <v>30803</v>
      </c>
    </row>
    <row r="11939" spans="1:4" x14ac:dyDescent="0.3">
      <c r="A11939" s="5" t="s">
        <v>370</v>
      </c>
      <c r="B11939" s="5" t="s">
        <v>371</v>
      </c>
      <c r="C11939" s="6">
        <v>2002</v>
      </c>
      <c r="D11939" s="7">
        <v>31604</v>
      </c>
    </row>
    <row r="11940" spans="1:4" x14ac:dyDescent="0.3">
      <c r="A11940" s="2" t="s">
        <v>370</v>
      </c>
      <c r="B11940" s="2" t="s">
        <v>371</v>
      </c>
      <c r="C11940" s="3">
        <v>2003</v>
      </c>
      <c r="D11940" s="4">
        <v>32395</v>
      </c>
    </row>
    <row r="11941" spans="1:4" x14ac:dyDescent="0.3">
      <c r="A11941" s="5" t="s">
        <v>370</v>
      </c>
      <c r="B11941" s="5" t="s">
        <v>371</v>
      </c>
      <c r="C11941" s="6">
        <v>2004</v>
      </c>
      <c r="D11941" s="7">
        <v>33171</v>
      </c>
    </row>
    <row r="11942" spans="1:4" x14ac:dyDescent="0.3">
      <c r="A11942" s="2" t="s">
        <v>370</v>
      </c>
      <c r="B11942" s="2" t="s">
        <v>371</v>
      </c>
      <c r="C11942" s="3">
        <v>2005</v>
      </c>
      <c r="D11942" s="4">
        <v>33928</v>
      </c>
    </row>
    <row r="11943" spans="1:4" x14ac:dyDescent="0.3">
      <c r="A11943" s="5" t="s">
        <v>370</v>
      </c>
      <c r="B11943" s="5" t="s">
        <v>371</v>
      </c>
      <c r="C11943" s="6">
        <v>2006</v>
      </c>
      <c r="D11943" s="7">
        <v>34658</v>
      </c>
    </row>
    <row r="11944" spans="1:4" x14ac:dyDescent="0.3">
      <c r="A11944" s="2" t="s">
        <v>370</v>
      </c>
      <c r="B11944" s="2" t="s">
        <v>371</v>
      </c>
      <c r="C11944" s="3">
        <v>2007</v>
      </c>
      <c r="D11944" s="4">
        <v>35337</v>
      </c>
    </row>
    <row r="11945" spans="1:4" x14ac:dyDescent="0.3">
      <c r="A11945" s="5" t="s">
        <v>370</v>
      </c>
      <c r="B11945" s="5" t="s">
        <v>371</v>
      </c>
      <c r="C11945" s="6">
        <v>2008</v>
      </c>
      <c r="D11945" s="7">
        <v>35958</v>
      </c>
    </row>
    <row r="11946" spans="1:4" x14ac:dyDescent="0.3">
      <c r="A11946" s="2" t="s">
        <v>370</v>
      </c>
      <c r="B11946" s="2" t="s">
        <v>371</v>
      </c>
      <c r="C11946" s="3">
        <v>2009</v>
      </c>
      <c r="D11946" s="4">
        <v>36502</v>
      </c>
    </row>
    <row r="11947" spans="1:4" x14ac:dyDescent="0.3">
      <c r="A11947" s="5" t="s">
        <v>370</v>
      </c>
      <c r="B11947" s="5" t="s">
        <v>371</v>
      </c>
      <c r="C11947" s="6">
        <v>2010</v>
      </c>
      <c r="D11947" s="7">
        <v>36856</v>
      </c>
    </row>
    <row r="11948" spans="1:4" x14ac:dyDescent="0.3">
      <c r="A11948" s="2" t="s">
        <v>370</v>
      </c>
      <c r="B11948" s="2" t="s">
        <v>371</v>
      </c>
      <c r="C11948" s="3">
        <v>2011</v>
      </c>
      <c r="D11948" s="4">
        <v>37069</v>
      </c>
    </row>
    <row r="11949" spans="1:4" x14ac:dyDescent="0.3">
      <c r="A11949" s="5" t="s">
        <v>370</v>
      </c>
      <c r="B11949" s="5" t="s">
        <v>371</v>
      </c>
      <c r="C11949" s="6">
        <v>2012</v>
      </c>
      <c r="D11949" s="7">
        <v>37276</v>
      </c>
    </row>
    <row r="11950" spans="1:4" x14ac:dyDescent="0.3">
      <c r="A11950" s="2" t="s">
        <v>370</v>
      </c>
      <c r="B11950" s="2" t="s">
        <v>371</v>
      </c>
      <c r="C11950" s="3">
        <v>2013</v>
      </c>
      <c r="D11950" s="4">
        <v>37419</v>
      </c>
    </row>
    <row r="11951" spans="1:4" x14ac:dyDescent="0.3">
      <c r="A11951" s="5" t="s">
        <v>370</v>
      </c>
      <c r="B11951" s="5" t="s">
        <v>371</v>
      </c>
      <c r="C11951" s="6">
        <v>2014</v>
      </c>
      <c r="D11951" s="7">
        <v>37450</v>
      </c>
    </row>
    <row r="11952" spans="1:4" x14ac:dyDescent="0.3">
      <c r="A11952" s="2" t="s">
        <v>370</v>
      </c>
      <c r="B11952" s="2" t="s">
        <v>371</v>
      </c>
      <c r="C11952" s="3">
        <v>2015</v>
      </c>
      <c r="D11952" s="4">
        <v>37369</v>
      </c>
    </row>
    <row r="11953" spans="1:4" x14ac:dyDescent="0.3">
      <c r="A11953" s="5" t="s">
        <v>370</v>
      </c>
      <c r="B11953" s="5" t="s">
        <v>371</v>
      </c>
      <c r="C11953" s="6">
        <v>2016</v>
      </c>
      <c r="D11953" s="7">
        <v>37175</v>
      </c>
    </row>
    <row r="11954" spans="1:4" x14ac:dyDescent="0.3">
      <c r="A11954" s="2" t="s">
        <v>370</v>
      </c>
      <c r="B11954" s="2" t="s">
        <v>371</v>
      </c>
      <c r="C11954" s="3">
        <v>2017</v>
      </c>
      <c r="D11954" s="4">
        <v>36837</v>
      </c>
    </row>
    <row r="11955" spans="1:4" x14ac:dyDescent="0.3">
      <c r="A11955" s="5" t="s">
        <v>370</v>
      </c>
      <c r="B11955" s="5" t="s">
        <v>371</v>
      </c>
      <c r="C11955" s="6">
        <v>2018</v>
      </c>
      <c r="D11955" s="7">
        <v>36012</v>
      </c>
    </row>
    <row r="11956" spans="1:4" x14ac:dyDescent="0.3">
      <c r="A11956" s="2" t="s">
        <v>370</v>
      </c>
      <c r="B11956" s="2" t="s">
        <v>371</v>
      </c>
      <c r="C11956" s="3">
        <v>2019</v>
      </c>
      <c r="D11956" s="4">
        <v>34267</v>
      </c>
    </row>
    <row r="11957" spans="1:4" x14ac:dyDescent="0.3">
      <c r="A11957" s="5" t="s">
        <v>370</v>
      </c>
      <c r="B11957" s="5" t="s">
        <v>371</v>
      </c>
      <c r="C11957" s="6">
        <v>2020</v>
      </c>
      <c r="D11957" s="7">
        <v>31786</v>
      </c>
    </row>
    <row r="11958" spans="1:4" x14ac:dyDescent="0.3">
      <c r="A11958" s="2" t="s">
        <v>370</v>
      </c>
      <c r="B11958" s="2" t="s">
        <v>371</v>
      </c>
      <c r="C11958" s="3">
        <v>2021</v>
      </c>
      <c r="D11958" s="4">
        <v>29961</v>
      </c>
    </row>
    <row r="11959" spans="1:4" x14ac:dyDescent="0.3">
      <c r="A11959" s="5" t="s">
        <v>370</v>
      </c>
      <c r="B11959" s="5" t="s">
        <v>371</v>
      </c>
      <c r="C11959" s="6">
        <v>2022</v>
      </c>
      <c r="D11959" s="7">
        <v>28870</v>
      </c>
    </row>
    <row r="11960" spans="1:4" x14ac:dyDescent="0.3">
      <c r="A11960" s="2" t="s">
        <v>370</v>
      </c>
      <c r="B11960" s="2" t="s">
        <v>371</v>
      </c>
      <c r="C11960" s="3">
        <v>2023</v>
      </c>
      <c r="D11960" s="4">
        <v>27515</v>
      </c>
    </row>
    <row r="11961" spans="1:4" x14ac:dyDescent="0.3">
      <c r="A11961" s="5" t="s">
        <v>370</v>
      </c>
      <c r="B11961" s="5" t="s">
        <v>371</v>
      </c>
      <c r="C11961" s="6">
        <v>2024</v>
      </c>
      <c r="D11961" s="7">
        <v>26129</v>
      </c>
    </row>
    <row r="11962" spans="1:4" x14ac:dyDescent="0.3">
      <c r="A11962" s="2" t="s">
        <v>372</v>
      </c>
      <c r="B11962" s="2" t="s">
        <v>373</v>
      </c>
      <c r="C11962" s="3">
        <v>1960</v>
      </c>
      <c r="D11962" s="4">
        <v>84388</v>
      </c>
    </row>
    <row r="11963" spans="1:4" x14ac:dyDescent="0.3">
      <c r="A11963" s="5" t="s">
        <v>372</v>
      </c>
      <c r="B11963" s="5" t="s">
        <v>373</v>
      </c>
      <c r="C11963" s="6">
        <v>1961</v>
      </c>
      <c r="D11963" s="7">
        <v>85870</v>
      </c>
    </row>
    <row r="11964" spans="1:4" x14ac:dyDescent="0.3">
      <c r="A11964" s="2" t="s">
        <v>372</v>
      </c>
      <c r="B11964" s="2" t="s">
        <v>373</v>
      </c>
      <c r="C11964" s="3">
        <v>1962</v>
      </c>
      <c r="D11964" s="4">
        <v>87236</v>
      </c>
    </row>
    <row r="11965" spans="1:4" x14ac:dyDescent="0.3">
      <c r="A11965" s="5" t="s">
        <v>372</v>
      </c>
      <c r="B11965" s="5" t="s">
        <v>373</v>
      </c>
      <c r="C11965" s="6">
        <v>1963</v>
      </c>
      <c r="D11965" s="7">
        <v>88523</v>
      </c>
    </row>
    <row r="11966" spans="1:4" x14ac:dyDescent="0.3">
      <c r="A11966" s="2" t="s">
        <v>372</v>
      </c>
      <c r="B11966" s="2" t="s">
        <v>373</v>
      </c>
      <c r="C11966" s="3">
        <v>1964</v>
      </c>
      <c r="D11966" s="4">
        <v>89749</v>
      </c>
    </row>
    <row r="11967" spans="1:4" x14ac:dyDescent="0.3">
      <c r="A11967" s="5" t="s">
        <v>372</v>
      </c>
      <c r="B11967" s="5" t="s">
        <v>373</v>
      </c>
      <c r="C11967" s="6">
        <v>1965</v>
      </c>
      <c r="D11967" s="7">
        <v>90927</v>
      </c>
    </row>
    <row r="11968" spans="1:4" x14ac:dyDescent="0.3">
      <c r="A11968" s="2" t="s">
        <v>372</v>
      </c>
      <c r="B11968" s="2" t="s">
        <v>373</v>
      </c>
      <c r="C11968" s="3">
        <v>1966</v>
      </c>
      <c r="D11968" s="4">
        <v>92052</v>
      </c>
    </row>
    <row r="11969" spans="1:4" x14ac:dyDescent="0.3">
      <c r="A11969" s="5" t="s">
        <v>372</v>
      </c>
      <c r="B11969" s="5" t="s">
        <v>373</v>
      </c>
      <c r="C11969" s="6">
        <v>1967</v>
      </c>
      <c r="D11969" s="7">
        <v>93124</v>
      </c>
    </row>
    <row r="11970" spans="1:4" x14ac:dyDescent="0.3">
      <c r="A11970" s="2" t="s">
        <v>372</v>
      </c>
      <c r="B11970" s="2" t="s">
        <v>373</v>
      </c>
      <c r="C11970" s="3">
        <v>1968</v>
      </c>
      <c r="D11970" s="4">
        <v>94123</v>
      </c>
    </row>
    <row r="11971" spans="1:4" x14ac:dyDescent="0.3">
      <c r="A11971" s="5" t="s">
        <v>372</v>
      </c>
      <c r="B11971" s="5" t="s">
        <v>373</v>
      </c>
      <c r="C11971" s="6">
        <v>1969</v>
      </c>
      <c r="D11971" s="7">
        <v>95058</v>
      </c>
    </row>
    <row r="11972" spans="1:4" x14ac:dyDescent="0.3">
      <c r="A11972" s="2" t="s">
        <v>372</v>
      </c>
      <c r="B11972" s="2" t="s">
        <v>373</v>
      </c>
      <c r="C11972" s="3">
        <v>1970</v>
      </c>
      <c r="D11972" s="4">
        <v>95964</v>
      </c>
    </row>
    <row r="11973" spans="1:4" x14ac:dyDescent="0.3">
      <c r="A11973" s="5" t="s">
        <v>372</v>
      </c>
      <c r="B11973" s="5" t="s">
        <v>373</v>
      </c>
      <c r="C11973" s="6">
        <v>1971</v>
      </c>
      <c r="D11973" s="7">
        <v>96872</v>
      </c>
    </row>
    <row r="11974" spans="1:4" x14ac:dyDescent="0.3">
      <c r="A11974" s="2" t="s">
        <v>372</v>
      </c>
      <c r="B11974" s="2" t="s">
        <v>373</v>
      </c>
      <c r="C11974" s="3">
        <v>1972</v>
      </c>
      <c r="D11974" s="4">
        <v>97790</v>
      </c>
    </row>
    <row r="11975" spans="1:4" x14ac:dyDescent="0.3">
      <c r="A11975" s="5" t="s">
        <v>372</v>
      </c>
      <c r="B11975" s="5" t="s">
        <v>373</v>
      </c>
      <c r="C11975" s="6">
        <v>1973</v>
      </c>
      <c r="D11975" s="7">
        <v>98691</v>
      </c>
    </row>
    <row r="11976" spans="1:4" x14ac:dyDescent="0.3">
      <c r="A11976" s="2" t="s">
        <v>372</v>
      </c>
      <c r="B11976" s="2" t="s">
        <v>373</v>
      </c>
      <c r="C11976" s="3">
        <v>1974</v>
      </c>
      <c r="D11976" s="4">
        <v>99556</v>
      </c>
    </row>
    <row r="11977" spans="1:4" x14ac:dyDescent="0.3">
      <c r="A11977" s="5" t="s">
        <v>372</v>
      </c>
      <c r="B11977" s="5" t="s">
        <v>373</v>
      </c>
      <c r="C11977" s="6">
        <v>1975</v>
      </c>
      <c r="D11977" s="7">
        <v>100387</v>
      </c>
    </row>
    <row r="11978" spans="1:4" x14ac:dyDescent="0.3">
      <c r="A11978" s="2" t="s">
        <v>372</v>
      </c>
      <c r="B11978" s="2" t="s">
        <v>373</v>
      </c>
      <c r="C11978" s="3">
        <v>1976</v>
      </c>
      <c r="D11978" s="4">
        <v>101197</v>
      </c>
    </row>
    <row r="11979" spans="1:4" x14ac:dyDescent="0.3">
      <c r="A11979" s="5" t="s">
        <v>372</v>
      </c>
      <c r="B11979" s="5" t="s">
        <v>373</v>
      </c>
      <c r="C11979" s="6">
        <v>1977</v>
      </c>
      <c r="D11979" s="7">
        <v>101999</v>
      </c>
    </row>
    <row r="11980" spans="1:4" x14ac:dyDescent="0.3">
      <c r="A11980" s="2" t="s">
        <v>372</v>
      </c>
      <c r="B11980" s="2" t="s">
        <v>373</v>
      </c>
      <c r="C11980" s="3">
        <v>1978</v>
      </c>
      <c r="D11980" s="4">
        <v>102775</v>
      </c>
    </row>
    <row r="11981" spans="1:4" x14ac:dyDescent="0.3">
      <c r="A11981" s="5" t="s">
        <v>372</v>
      </c>
      <c r="B11981" s="5" t="s">
        <v>373</v>
      </c>
      <c r="C11981" s="6">
        <v>1979</v>
      </c>
      <c r="D11981" s="7">
        <v>103478</v>
      </c>
    </row>
    <row r="11982" spans="1:4" x14ac:dyDescent="0.3">
      <c r="A11982" s="2" t="s">
        <v>372</v>
      </c>
      <c r="B11982" s="2" t="s">
        <v>373</v>
      </c>
      <c r="C11982" s="3">
        <v>1980</v>
      </c>
      <c r="D11982" s="4">
        <v>104213</v>
      </c>
    </row>
    <row r="11983" spans="1:4" x14ac:dyDescent="0.3">
      <c r="A11983" s="5" t="s">
        <v>372</v>
      </c>
      <c r="B11983" s="5" t="s">
        <v>373</v>
      </c>
      <c r="C11983" s="6">
        <v>1981</v>
      </c>
      <c r="D11983" s="7">
        <v>105073</v>
      </c>
    </row>
    <row r="11984" spans="1:4" x14ac:dyDescent="0.3">
      <c r="A11984" s="2" t="s">
        <v>372</v>
      </c>
      <c r="B11984" s="2" t="s">
        <v>373</v>
      </c>
      <c r="C11984" s="3">
        <v>1982</v>
      </c>
      <c r="D11984" s="4">
        <v>105969</v>
      </c>
    </row>
    <row r="11985" spans="1:4" x14ac:dyDescent="0.3">
      <c r="A11985" s="5" t="s">
        <v>372</v>
      </c>
      <c r="B11985" s="5" t="s">
        <v>373</v>
      </c>
      <c r="C11985" s="6">
        <v>1983</v>
      </c>
      <c r="D11985" s="7">
        <v>106838</v>
      </c>
    </row>
    <row r="11986" spans="1:4" x14ac:dyDescent="0.3">
      <c r="A11986" s="2" t="s">
        <v>372</v>
      </c>
      <c r="B11986" s="2" t="s">
        <v>373</v>
      </c>
      <c r="C11986" s="3">
        <v>1984</v>
      </c>
      <c r="D11986" s="4">
        <v>107687</v>
      </c>
    </row>
    <row r="11987" spans="1:4" x14ac:dyDescent="0.3">
      <c r="A11987" s="5" t="s">
        <v>372</v>
      </c>
      <c r="B11987" s="5" t="s">
        <v>373</v>
      </c>
      <c r="C11987" s="6">
        <v>1985</v>
      </c>
      <c r="D11987" s="7">
        <v>108506</v>
      </c>
    </row>
    <row r="11988" spans="1:4" x14ac:dyDescent="0.3">
      <c r="A11988" s="2" t="s">
        <v>372</v>
      </c>
      <c r="B11988" s="2" t="s">
        <v>373</v>
      </c>
      <c r="C11988" s="3">
        <v>1986</v>
      </c>
      <c r="D11988" s="4">
        <v>109281</v>
      </c>
    </row>
    <row r="11989" spans="1:4" x14ac:dyDescent="0.3">
      <c r="A11989" s="5" t="s">
        <v>372</v>
      </c>
      <c r="B11989" s="5" t="s">
        <v>373</v>
      </c>
      <c r="C11989" s="6">
        <v>1987</v>
      </c>
      <c r="D11989" s="7">
        <v>110001</v>
      </c>
    </row>
    <row r="11990" spans="1:4" x14ac:dyDescent="0.3">
      <c r="A11990" s="2" t="s">
        <v>372</v>
      </c>
      <c r="B11990" s="2" t="s">
        <v>373</v>
      </c>
      <c r="C11990" s="3">
        <v>1988</v>
      </c>
      <c r="D11990" s="4">
        <v>110658</v>
      </c>
    </row>
    <row r="11991" spans="1:4" x14ac:dyDescent="0.3">
      <c r="A11991" s="5" t="s">
        <v>372</v>
      </c>
      <c r="B11991" s="5" t="s">
        <v>373</v>
      </c>
      <c r="C11991" s="6">
        <v>1989</v>
      </c>
      <c r="D11991" s="7">
        <v>111272</v>
      </c>
    </row>
    <row r="11992" spans="1:4" x14ac:dyDescent="0.3">
      <c r="A11992" s="2" t="s">
        <v>372</v>
      </c>
      <c r="B11992" s="2" t="s">
        <v>373</v>
      </c>
      <c r="C11992" s="3">
        <v>1990</v>
      </c>
      <c r="D11992" s="4">
        <v>111812</v>
      </c>
    </row>
    <row r="11993" spans="1:4" x14ac:dyDescent="0.3">
      <c r="A11993" s="5" t="s">
        <v>372</v>
      </c>
      <c r="B11993" s="5" t="s">
        <v>373</v>
      </c>
      <c r="C11993" s="6">
        <v>1991</v>
      </c>
      <c r="D11993" s="7">
        <v>112222</v>
      </c>
    </row>
    <row r="11994" spans="1:4" x14ac:dyDescent="0.3">
      <c r="A11994" s="2" t="s">
        <v>372</v>
      </c>
      <c r="B11994" s="2" t="s">
        <v>373</v>
      </c>
      <c r="C11994" s="3">
        <v>1992</v>
      </c>
      <c r="D11994" s="4">
        <v>112509</v>
      </c>
    </row>
    <row r="11995" spans="1:4" x14ac:dyDescent="0.3">
      <c r="A11995" s="5" t="s">
        <v>372</v>
      </c>
      <c r="B11995" s="5" t="s">
        <v>373</v>
      </c>
      <c r="C11995" s="6">
        <v>1993</v>
      </c>
      <c r="D11995" s="7">
        <v>112735</v>
      </c>
    </row>
    <row r="11996" spans="1:4" x14ac:dyDescent="0.3">
      <c r="A11996" s="2" t="s">
        <v>372</v>
      </c>
      <c r="B11996" s="2" t="s">
        <v>373</v>
      </c>
      <c r="C11996" s="3">
        <v>1994</v>
      </c>
      <c r="D11996" s="4">
        <v>112918</v>
      </c>
    </row>
    <row r="11997" spans="1:4" x14ac:dyDescent="0.3">
      <c r="A11997" s="5" t="s">
        <v>372</v>
      </c>
      <c r="B11997" s="5" t="s">
        <v>373</v>
      </c>
      <c r="C11997" s="6">
        <v>1995</v>
      </c>
      <c r="D11997" s="7">
        <v>113047</v>
      </c>
    </row>
    <row r="11998" spans="1:4" x14ac:dyDescent="0.3">
      <c r="A11998" s="2" t="s">
        <v>372</v>
      </c>
      <c r="B11998" s="2" t="s">
        <v>373</v>
      </c>
      <c r="C11998" s="3">
        <v>1996</v>
      </c>
      <c r="D11998" s="4">
        <v>113119</v>
      </c>
    </row>
    <row r="11999" spans="1:4" x14ac:dyDescent="0.3">
      <c r="A11999" s="5" t="s">
        <v>372</v>
      </c>
      <c r="B11999" s="5" t="s">
        <v>373</v>
      </c>
      <c r="C11999" s="6">
        <v>1997</v>
      </c>
      <c r="D11999" s="7">
        <v>113141</v>
      </c>
    </row>
    <row r="12000" spans="1:4" x14ac:dyDescent="0.3">
      <c r="A12000" s="2" t="s">
        <v>372</v>
      </c>
      <c r="B12000" s="2" t="s">
        <v>373</v>
      </c>
      <c r="C12000" s="3">
        <v>1998</v>
      </c>
      <c r="D12000" s="4">
        <v>113180</v>
      </c>
    </row>
    <row r="12001" spans="1:4" x14ac:dyDescent="0.3">
      <c r="A12001" s="5" t="s">
        <v>372</v>
      </c>
      <c r="B12001" s="5" t="s">
        <v>373</v>
      </c>
      <c r="C12001" s="6">
        <v>1999</v>
      </c>
      <c r="D12001" s="7">
        <v>113366</v>
      </c>
    </row>
    <row r="12002" spans="1:4" x14ac:dyDescent="0.3">
      <c r="A12002" s="2" t="s">
        <v>372</v>
      </c>
      <c r="B12002" s="2" t="s">
        <v>373</v>
      </c>
      <c r="C12002" s="3">
        <v>2000</v>
      </c>
      <c r="D12002" s="4">
        <v>113545</v>
      </c>
    </row>
    <row r="12003" spans="1:4" x14ac:dyDescent="0.3">
      <c r="A12003" s="5" t="s">
        <v>372</v>
      </c>
      <c r="B12003" s="5" t="s">
        <v>373</v>
      </c>
      <c r="C12003" s="6">
        <v>2001</v>
      </c>
      <c r="D12003" s="7">
        <v>113501</v>
      </c>
    </row>
    <row r="12004" spans="1:4" x14ac:dyDescent="0.3">
      <c r="A12004" s="2" t="s">
        <v>372</v>
      </c>
      <c r="B12004" s="2" t="s">
        <v>373</v>
      </c>
      <c r="C12004" s="3">
        <v>2002</v>
      </c>
      <c r="D12004" s="4">
        <v>113347</v>
      </c>
    </row>
    <row r="12005" spans="1:4" x14ac:dyDescent="0.3">
      <c r="A12005" s="5" t="s">
        <v>372</v>
      </c>
      <c r="B12005" s="5" t="s">
        <v>373</v>
      </c>
      <c r="C12005" s="6">
        <v>2003</v>
      </c>
      <c r="D12005" s="7">
        <v>113141</v>
      </c>
    </row>
    <row r="12006" spans="1:4" x14ac:dyDescent="0.3">
      <c r="A12006" s="2" t="s">
        <v>372</v>
      </c>
      <c r="B12006" s="2" t="s">
        <v>373</v>
      </c>
      <c r="C12006" s="3">
        <v>2004</v>
      </c>
      <c r="D12006" s="4">
        <v>112835</v>
      </c>
    </row>
    <row r="12007" spans="1:4" x14ac:dyDescent="0.3">
      <c r="A12007" s="5" t="s">
        <v>372</v>
      </c>
      <c r="B12007" s="5" t="s">
        <v>373</v>
      </c>
      <c r="C12007" s="6">
        <v>2005</v>
      </c>
      <c r="D12007" s="7">
        <v>112450</v>
      </c>
    </row>
    <row r="12008" spans="1:4" x14ac:dyDescent="0.3">
      <c r="A12008" s="2" t="s">
        <v>372</v>
      </c>
      <c r="B12008" s="2" t="s">
        <v>373</v>
      </c>
      <c r="C12008" s="3">
        <v>2006</v>
      </c>
      <c r="D12008" s="4">
        <v>112014</v>
      </c>
    </row>
    <row r="12009" spans="1:4" x14ac:dyDescent="0.3">
      <c r="A12009" s="5" t="s">
        <v>372</v>
      </c>
      <c r="B12009" s="5" t="s">
        <v>373</v>
      </c>
      <c r="C12009" s="6">
        <v>2007</v>
      </c>
      <c r="D12009" s="7">
        <v>111531</v>
      </c>
    </row>
    <row r="12010" spans="1:4" x14ac:dyDescent="0.3">
      <c r="A12010" s="2" t="s">
        <v>372</v>
      </c>
      <c r="B12010" s="2" t="s">
        <v>373</v>
      </c>
      <c r="C12010" s="3">
        <v>2008</v>
      </c>
      <c r="D12010" s="4">
        <v>111028</v>
      </c>
    </row>
    <row r="12011" spans="1:4" x14ac:dyDescent="0.3">
      <c r="A12011" s="5" t="s">
        <v>372</v>
      </c>
      <c r="B12011" s="5" t="s">
        <v>373</v>
      </c>
      <c r="C12011" s="6">
        <v>2009</v>
      </c>
      <c r="D12011" s="7">
        <v>110508</v>
      </c>
    </row>
    <row r="12012" spans="1:4" x14ac:dyDescent="0.3">
      <c r="A12012" s="2" t="s">
        <v>372</v>
      </c>
      <c r="B12012" s="2" t="s">
        <v>373</v>
      </c>
      <c r="C12012" s="3">
        <v>2010</v>
      </c>
      <c r="D12012" s="4">
        <v>109959</v>
      </c>
    </row>
    <row r="12013" spans="1:4" x14ac:dyDescent="0.3">
      <c r="A12013" s="5" t="s">
        <v>372</v>
      </c>
      <c r="B12013" s="5" t="s">
        <v>373</v>
      </c>
      <c r="C12013" s="6">
        <v>2011</v>
      </c>
      <c r="D12013" s="7">
        <v>109349</v>
      </c>
    </row>
    <row r="12014" spans="1:4" x14ac:dyDescent="0.3">
      <c r="A12014" s="2" t="s">
        <v>372</v>
      </c>
      <c r="B12014" s="2" t="s">
        <v>373</v>
      </c>
      <c r="C12014" s="3">
        <v>2012</v>
      </c>
      <c r="D12014" s="4">
        <v>108736</v>
      </c>
    </row>
    <row r="12015" spans="1:4" x14ac:dyDescent="0.3">
      <c r="A12015" s="5" t="s">
        <v>372</v>
      </c>
      <c r="B12015" s="5" t="s">
        <v>373</v>
      </c>
      <c r="C12015" s="6">
        <v>2013</v>
      </c>
      <c r="D12015" s="7">
        <v>108135</v>
      </c>
    </row>
    <row r="12016" spans="1:4" x14ac:dyDescent="0.3">
      <c r="A12016" s="2" t="s">
        <v>372</v>
      </c>
      <c r="B12016" s="2" t="s">
        <v>373</v>
      </c>
      <c r="C12016" s="3">
        <v>2014</v>
      </c>
      <c r="D12016" s="4">
        <v>107535</v>
      </c>
    </row>
    <row r="12017" spans="1:4" x14ac:dyDescent="0.3">
      <c r="A12017" s="5" t="s">
        <v>372</v>
      </c>
      <c r="B12017" s="5" t="s">
        <v>373</v>
      </c>
      <c r="C12017" s="6">
        <v>2015</v>
      </c>
      <c r="D12017" s="7">
        <v>106960</v>
      </c>
    </row>
    <row r="12018" spans="1:4" x14ac:dyDescent="0.3">
      <c r="A12018" s="2" t="s">
        <v>372</v>
      </c>
      <c r="B12018" s="2" t="s">
        <v>373</v>
      </c>
      <c r="C12018" s="3">
        <v>2016</v>
      </c>
      <c r="D12018" s="4">
        <v>106349</v>
      </c>
    </row>
    <row r="12019" spans="1:4" x14ac:dyDescent="0.3">
      <c r="A12019" s="5" t="s">
        <v>372</v>
      </c>
      <c r="B12019" s="5" t="s">
        <v>373</v>
      </c>
      <c r="C12019" s="6">
        <v>2017</v>
      </c>
      <c r="D12019" s="7">
        <v>105663</v>
      </c>
    </row>
    <row r="12020" spans="1:4" x14ac:dyDescent="0.3">
      <c r="A12020" s="2" t="s">
        <v>372</v>
      </c>
      <c r="B12020" s="2" t="s">
        <v>373</v>
      </c>
      <c r="C12020" s="3">
        <v>2018</v>
      </c>
      <c r="D12020" s="4">
        <v>104926</v>
      </c>
    </row>
    <row r="12021" spans="1:4" x14ac:dyDescent="0.3">
      <c r="A12021" s="5" t="s">
        <v>372</v>
      </c>
      <c r="B12021" s="5" t="s">
        <v>373</v>
      </c>
      <c r="C12021" s="6">
        <v>2019</v>
      </c>
      <c r="D12021" s="7">
        <v>104167</v>
      </c>
    </row>
    <row r="12022" spans="1:4" x14ac:dyDescent="0.3">
      <c r="A12022" s="2" t="s">
        <v>372</v>
      </c>
      <c r="B12022" s="2" t="s">
        <v>373</v>
      </c>
      <c r="C12022" s="3">
        <v>2020</v>
      </c>
      <c r="D12022" s="4">
        <v>103526</v>
      </c>
    </row>
    <row r="12023" spans="1:4" x14ac:dyDescent="0.3">
      <c r="A12023" s="5" t="s">
        <v>372</v>
      </c>
      <c r="B12023" s="5" t="s">
        <v>373</v>
      </c>
      <c r="C12023" s="6">
        <v>2021</v>
      </c>
      <c r="D12023" s="7">
        <v>102841</v>
      </c>
    </row>
    <row r="12024" spans="1:4" x14ac:dyDescent="0.3">
      <c r="A12024" s="2" t="s">
        <v>372</v>
      </c>
      <c r="B12024" s="2" t="s">
        <v>373</v>
      </c>
      <c r="C12024" s="3">
        <v>2022</v>
      </c>
      <c r="D12024" s="4">
        <v>102046</v>
      </c>
    </row>
    <row r="12025" spans="1:4" x14ac:dyDescent="0.3">
      <c r="A12025" s="5" t="s">
        <v>372</v>
      </c>
      <c r="B12025" s="5" t="s">
        <v>373</v>
      </c>
      <c r="C12025" s="6">
        <v>2023</v>
      </c>
      <c r="D12025" s="7">
        <v>101323</v>
      </c>
    </row>
    <row r="12026" spans="1:4" x14ac:dyDescent="0.3">
      <c r="A12026" s="2" t="s">
        <v>372</v>
      </c>
      <c r="B12026" s="2" t="s">
        <v>373</v>
      </c>
      <c r="C12026" s="3">
        <v>2024</v>
      </c>
      <c r="D12026" s="4">
        <v>100616</v>
      </c>
    </row>
    <row r="12027" spans="1:4" x14ac:dyDescent="0.3">
      <c r="A12027" s="5" t="s">
        <v>374</v>
      </c>
      <c r="B12027" s="5" t="s">
        <v>375</v>
      </c>
      <c r="C12027" s="6">
        <v>1960</v>
      </c>
      <c r="D12027" s="7">
        <v>8364489</v>
      </c>
    </row>
    <row r="12028" spans="1:4" x14ac:dyDescent="0.3">
      <c r="A12028" s="2" t="s">
        <v>374</v>
      </c>
      <c r="B12028" s="2" t="s">
        <v>375</v>
      </c>
      <c r="C12028" s="3">
        <v>1961</v>
      </c>
      <c r="D12028" s="4">
        <v>8634941</v>
      </c>
    </row>
    <row r="12029" spans="1:4" x14ac:dyDescent="0.3">
      <c r="A12029" s="5" t="s">
        <v>374</v>
      </c>
      <c r="B12029" s="5" t="s">
        <v>375</v>
      </c>
      <c r="C12029" s="6">
        <v>1962</v>
      </c>
      <c r="D12029" s="7">
        <v>8919028</v>
      </c>
    </row>
    <row r="12030" spans="1:4" x14ac:dyDescent="0.3">
      <c r="A12030" s="2" t="s">
        <v>374</v>
      </c>
      <c r="B12030" s="2" t="s">
        <v>375</v>
      </c>
      <c r="C12030" s="3">
        <v>1963</v>
      </c>
      <c r="D12030" s="4">
        <v>9218077</v>
      </c>
    </row>
    <row r="12031" spans="1:4" x14ac:dyDescent="0.3">
      <c r="A12031" s="5" t="s">
        <v>374</v>
      </c>
      <c r="B12031" s="5" t="s">
        <v>375</v>
      </c>
      <c r="C12031" s="6">
        <v>1964</v>
      </c>
      <c r="D12031" s="7">
        <v>9531109</v>
      </c>
    </row>
    <row r="12032" spans="1:4" x14ac:dyDescent="0.3">
      <c r="A12032" s="2" t="s">
        <v>374</v>
      </c>
      <c r="B12032" s="2" t="s">
        <v>375</v>
      </c>
      <c r="C12032" s="3">
        <v>1965</v>
      </c>
      <c r="D12032" s="4">
        <v>9858030</v>
      </c>
    </row>
    <row r="12033" spans="1:4" x14ac:dyDescent="0.3">
      <c r="A12033" s="5" t="s">
        <v>374</v>
      </c>
      <c r="B12033" s="5" t="s">
        <v>375</v>
      </c>
      <c r="C12033" s="6">
        <v>1966</v>
      </c>
      <c r="D12033" s="7">
        <v>10197578</v>
      </c>
    </row>
    <row r="12034" spans="1:4" x14ac:dyDescent="0.3">
      <c r="A12034" s="2" t="s">
        <v>374</v>
      </c>
      <c r="B12034" s="2" t="s">
        <v>375</v>
      </c>
      <c r="C12034" s="3">
        <v>1967</v>
      </c>
      <c r="D12034" s="4">
        <v>10550597</v>
      </c>
    </row>
    <row r="12035" spans="1:4" x14ac:dyDescent="0.3">
      <c r="A12035" s="5" t="s">
        <v>374</v>
      </c>
      <c r="B12035" s="5" t="s">
        <v>375</v>
      </c>
      <c r="C12035" s="6">
        <v>1968</v>
      </c>
      <c r="D12035" s="7">
        <v>10917999</v>
      </c>
    </row>
    <row r="12036" spans="1:4" x14ac:dyDescent="0.3">
      <c r="A12036" s="2" t="s">
        <v>374</v>
      </c>
      <c r="B12036" s="2" t="s">
        <v>375</v>
      </c>
      <c r="C12036" s="3">
        <v>1969</v>
      </c>
      <c r="D12036" s="4">
        <v>11298936</v>
      </c>
    </row>
    <row r="12037" spans="1:4" x14ac:dyDescent="0.3">
      <c r="A12037" s="5" t="s">
        <v>374</v>
      </c>
      <c r="B12037" s="5" t="s">
        <v>375</v>
      </c>
      <c r="C12037" s="6">
        <v>1970</v>
      </c>
      <c r="D12037" s="7">
        <v>11695771</v>
      </c>
    </row>
    <row r="12038" spans="1:4" x14ac:dyDescent="0.3">
      <c r="A12038" s="2" t="s">
        <v>374</v>
      </c>
      <c r="B12038" s="2" t="s">
        <v>375</v>
      </c>
      <c r="C12038" s="3">
        <v>1971</v>
      </c>
      <c r="D12038" s="4">
        <v>12105539</v>
      </c>
    </row>
    <row r="12039" spans="1:4" x14ac:dyDescent="0.3">
      <c r="A12039" s="5" t="s">
        <v>374</v>
      </c>
      <c r="B12039" s="5" t="s">
        <v>375</v>
      </c>
      <c r="C12039" s="6">
        <v>1972</v>
      </c>
      <c r="D12039" s="7">
        <v>12527856</v>
      </c>
    </row>
    <row r="12040" spans="1:4" x14ac:dyDescent="0.3">
      <c r="A12040" s="2" t="s">
        <v>374</v>
      </c>
      <c r="B12040" s="2" t="s">
        <v>375</v>
      </c>
      <c r="C12040" s="3">
        <v>1973</v>
      </c>
      <c r="D12040" s="4">
        <v>13049315</v>
      </c>
    </row>
    <row r="12041" spans="1:4" x14ac:dyDescent="0.3">
      <c r="A12041" s="5" t="s">
        <v>374</v>
      </c>
      <c r="B12041" s="5" t="s">
        <v>375</v>
      </c>
      <c r="C12041" s="6">
        <v>1974</v>
      </c>
      <c r="D12041" s="7">
        <v>13580723</v>
      </c>
    </row>
    <row r="12042" spans="1:4" x14ac:dyDescent="0.3">
      <c r="A12042" s="2" t="s">
        <v>374</v>
      </c>
      <c r="B12042" s="2" t="s">
        <v>375</v>
      </c>
      <c r="C12042" s="3">
        <v>1975</v>
      </c>
      <c r="D12042" s="4">
        <v>14064798</v>
      </c>
    </row>
    <row r="12043" spans="1:4" x14ac:dyDescent="0.3">
      <c r="A12043" s="5" t="s">
        <v>374</v>
      </c>
      <c r="B12043" s="5" t="s">
        <v>375</v>
      </c>
      <c r="C12043" s="6">
        <v>1976</v>
      </c>
      <c r="D12043" s="7">
        <v>14569716</v>
      </c>
    </row>
    <row r="12044" spans="1:4" x14ac:dyDescent="0.3">
      <c r="A12044" s="2" t="s">
        <v>374</v>
      </c>
      <c r="B12044" s="2" t="s">
        <v>375</v>
      </c>
      <c r="C12044" s="3">
        <v>1977</v>
      </c>
      <c r="D12044" s="4">
        <v>15086614</v>
      </c>
    </row>
    <row r="12045" spans="1:4" x14ac:dyDescent="0.3">
      <c r="A12045" s="5" t="s">
        <v>374</v>
      </c>
      <c r="B12045" s="5" t="s">
        <v>375</v>
      </c>
      <c r="C12045" s="6">
        <v>1978</v>
      </c>
      <c r="D12045" s="7">
        <v>15695003</v>
      </c>
    </row>
    <row r="12046" spans="1:4" x14ac:dyDescent="0.3">
      <c r="A12046" s="2" t="s">
        <v>374</v>
      </c>
      <c r="B12046" s="2" t="s">
        <v>375</v>
      </c>
      <c r="C12046" s="3">
        <v>1979</v>
      </c>
      <c r="D12046" s="4">
        <v>16355352</v>
      </c>
    </row>
    <row r="12047" spans="1:4" x14ac:dyDescent="0.3">
      <c r="A12047" s="5" t="s">
        <v>374</v>
      </c>
      <c r="B12047" s="5" t="s">
        <v>375</v>
      </c>
      <c r="C12047" s="6">
        <v>1980</v>
      </c>
      <c r="D12047" s="7">
        <v>17058905</v>
      </c>
    </row>
    <row r="12048" spans="1:4" x14ac:dyDescent="0.3">
      <c r="A12048" s="2" t="s">
        <v>374</v>
      </c>
      <c r="B12048" s="2" t="s">
        <v>375</v>
      </c>
      <c r="C12048" s="3">
        <v>1981</v>
      </c>
      <c r="D12048" s="4">
        <v>17780572</v>
      </c>
    </row>
    <row r="12049" spans="1:4" x14ac:dyDescent="0.3">
      <c r="A12049" s="5" t="s">
        <v>374</v>
      </c>
      <c r="B12049" s="5" t="s">
        <v>375</v>
      </c>
      <c r="C12049" s="6">
        <v>1982</v>
      </c>
      <c r="D12049" s="7">
        <v>18486645</v>
      </c>
    </row>
    <row r="12050" spans="1:4" x14ac:dyDescent="0.3">
      <c r="A12050" s="2" t="s">
        <v>374</v>
      </c>
      <c r="B12050" s="2" t="s">
        <v>375</v>
      </c>
      <c r="C12050" s="3">
        <v>1983</v>
      </c>
      <c r="D12050" s="4">
        <v>19109770</v>
      </c>
    </row>
    <row r="12051" spans="1:4" x14ac:dyDescent="0.3">
      <c r="A12051" s="5" t="s">
        <v>374</v>
      </c>
      <c r="B12051" s="5" t="s">
        <v>375</v>
      </c>
      <c r="C12051" s="6">
        <v>1984</v>
      </c>
      <c r="D12051" s="7">
        <v>19546528</v>
      </c>
    </row>
    <row r="12052" spans="1:4" x14ac:dyDescent="0.3">
      <c r="A12052" s="2" t="s">
        <v>374</v>
      </c>
      <c r="B12052" s="2" t="s">
        <v>375</v>
      </c>
      <c r="C12052" s="3">
        <v>1985</v>
      </c>
      <c r="D12052" s="4">
        <v>19905872</v>
      </c>
    </row>
    <row r="12053" spans="1:4" x14ac:dyDescent="0.3">
      <c r="A12053" s="5" t="s">
        <v>374</v>
      </c>
      <c r="B12053" s="5" t="s">
        <v>375</v>
      </c>
      <c r="C12053" s="6">
        <v>1986</v>
      </c>
      <c r="D12053" s="7">
        <v>20288238</v>
      </c>
    </row>
    <row r="12054" spans="1:4" x14ac:dyDescent="0.3">
      <c r="A12054" s="2" t="s">
        <v>374</v>
      </c>
      <c r="B12054" s="2" t="s">
        <v>375</v>
      </c>
      <c r="C12054" s="3">
        <v>1987</v>
      </c>
      <c r="D12054" s="4">
        <v>20704904</v>
      </c>
    </row>
    <row r="12055" spans="1:4" x14ac:dyDescent="0.3">
      <c r="A12055" s="5" t="s">
        <v>374</v>
      </c>
      <c r="B12055" s="5" t="s">
        <v>375</v>
      </c>
      <c r="C12055" s="6">
        <v>1988</v>
      </c>
      <c r="D12055" s="7">
        <v>21138431</v>
      </c>
    </row>
    <row r="12056" spans="1:4" x14ac:dyDescent="0.3">
      <c r="A12056" s="2" t="s">
        <v>374</v>
      </c>
      <c r="B12056" s="2" t="s">
        <v>375</v>
      </c>
      <c r="C12056" s="3">
        <v>1989</v>
      </c>
      <c r="D12056" s="4">
        <v>21578022</v>
      </c>
    </row>
    <row r="12057" spans="1:4" x14ac:dyDescent="0.3">
      <c r="A12057" s="5" t="s">
        <v>374</v>
      </c>
      <c r="B12057" s="5" t="s">
        <v>375</v>
      </c>
      <c r="C12057" s="6">
        <v>1990</v>
      </c>
      <c r="D12057" s="7">
        <v>22021481</v>
      </c>
    </row>
    <row r="12058" spans="1:4" x14ac:dyDescent="0.3">
      <c r="A12058" s="2" t="s">
        <v>374</v>
      </c>
      <c r="B12058" s="2" t="s">
        <v>375</v>
      </c>
      <c r="C12058" s="3">
        <v>1991</v>
      </c>
      <c r="D12058" s="4">
        <v>22470676</v>
      </c>
    </row>
    <row r="12059" spans="1:4" x14ac:dyDescent="0.3">
      <c r="A12059" s="5" t="s">
        <v>374</v>
      </c>
      <c r="B12059" s="5" t="s">
        <v>375</v>
      </c>
      <c r="C12059" s="6">
        <v>1992</v>
      </c>
      <c r="D12059" s="7">
        <v>22927355</v>
      </c>
    </row>
    <row r="12060" spans="1:4" x14ac:dyDescent="0.3">
      <c r="A12060" s="2" t="s">
        <v>374</v>
      </c>
      <c r="B12060" s="2" t="s">
        <v>375</v>
      </c>
      <c r="C12060" s="3">
        <v>1993</v>
      </c>
      <c r="D12060" s="4">
        <v>23445592</v>
      </c>
    </row>
    <row r="12061" spans="1:4" x14ac:dyDescent="0.3">
      <c r="A12061" s="5" t="s">
        <v>374</v>
      </c>
      <c r="B12061" s="5" t="s">
        <v>375</v>
      </c>
      <c r="C12061" s="6">
        <v>1994</v>
      </c>
      <c r="D12061" s="7">
        <v>24043948</v>
      </c>
    </row>
    <row r="12062" spans="1:4" x14ac:dyDescent="0.3">
      <c r="A12062" s="2" t="s">
        <v>374</v>
      </c>
      <c r="B12062" s="2" t="s">
        <v>375</v>
      </c>
      <c r="C12062" s="3">
        <v>1995</v>
      </c>
      <c r="D12062" s="4">
        <v>24672143</v>
      </c>
    </row>
    <row r="12063" spans="1:4" x14ac:dyDescent="0.3">
      <c r="A12063" s="5" t="s">
        <v>374</v>
      </c>
      <c r="B12063" s="5" t="s">
        <v>375</v>
      </c>
      <c r="C12063" s="6">
        <v>1996</v>
      </c>
      <c r="D12063" s="7">
        <v>25231528</v>
      </c>
    </row>
    <row r="12064" spans="1:4" x14ac:dyDescent="0.3">
      <c r="A12064" s="2" t="s">
        <v>374</v>
      </c>
      <c r="B12064" s="2" t="s">
        <v>375</v>
      </c>
      <c r="C12064" s="3">
        <v>1997</v>
      </c>
      <c r="D12064" s="4">
        <v>25799821</v>
      </c>
    </row>
    <row r="12065" spans="1:4" x14ac:dyDescent="0.3">
      <c r="A12065" s="5" t="s">
        <v>374</v>
      </c>
      <c r="B12065" s="5" t="s">
        <v>375</v>
      </c>
      <c r="C12065" s="6">
        <v>1998</v>
      </c>
      <c r="D12065" s="7">
        <v>26458999</v>
      </c>
    </row>
    <row r="12066" spans="1:4" x14ac:dyDescent="0.3">
      <c r="A12066" s="2" t="s">
        <v>374</v>
      </c>
      <c r="B12066" s="2" t="s">
        <v>375</v>
      </c>
      <c r="C12066" s="3">
        <v>1999</v>
      </c>
      <c r="D12066" s="4">
        <v>27130613</v>
      </c>
    </row>
    <row r="12067" spans="1:4" x14ac:dyDescent="0.3">
      <c r="A12067" s="5" t="s">
        <v>374</v>
      </c>
      <c r="B12067" s="5" t="s">
        <v>375</v>
      </c>
      <c r="C12067" s="6">
        <v>2000</v>
      </c>
      <c r="D12067" s="7">
        <v>27816745</v>
      </c>
    </row>
    <row r="12068" spans="1:4" x14ac:dyDescent="0.3">
      <c r="A12068" s="2" t="s">
        <v>374</v>
      </c>
      <c r="B12068" s="2" t="s">
        <v>375</v>
      </c>
      <c r="C12068" s="3">
        <v>2001</v>
      </c>
      <c r="D12068" s="4">
        <v>28516770</v>
      </c>
    </row>
    <row r="12069" spans="1:4" x14ac:dyDescent="0.3">
      <c r="A12069" s="5" t="s">
        <v>374</v>
      </c>
      <c r="B12069" s="5" t="s">
        <v>375</v>
      </c>
      <c r="C12069" s="6">
        <v>2002</v>
      </c>
      <c r="D12069" s="7">
        <v>29228727</v>
      </c>
    </row>
    <row r="12070" spans="1:4" x14ac:dyDescent="0.3">
      <c r="A12070" s="2" t="s">
        <v>374</v>
      </c>
      <c r="B12070" s="2" t="s">
        <v>375</v>
      </c>
      <c r="C12070" s="3">
        <v>2003</v>
      </c>
      <c r="D12070" s="4">
        <v>29896035</v>
      </c>
    </row>
    <row r="12071" spans="1:4" x14ac:dyDescent="0.3">
      <c r="A12071" s="5" t="s">
        <v>374</v>
      </c>
      <c r="B12071" s="5" t="s">
        <v>375</v>
      </c>
      <c r="C12071" s="6">
        <v>2004</v>
      </c>
      <c r="D12071" s="7">
        <v>30556637</v>
      </c>
    </row>
    <row r="12072" spans="1:4" x14ac:dyDescent="0.3">
      <c r="A12072" s="2" t="s">
        <v>374</v>
      </c>
      <c r="B12072" s="2" t="s">
        <v>375</v>
      </c>
      <c r="C12072" s="3">
        <v>2005</v>
      </c>
      <c r="D12072" s="4">
        <v>31262444</v>
      </c>
    </row>
    <row r="12073" spans="1:4" x14ac:dyDescent="0.3">
      <c r="A12073" s="5" t="s">
        <v>374</v>
      </c>
      <c r="B12073" s="5" t="s">
        <v>375</v>
      </c>
      <c r="C12073" s="6">
        <v>2006</v>
      </c>
      <c r="D12073" s="7">
        <v>31992435</v>
      </c>
    </row>
    <row r="12074" spans="1:4" x14ac:dyDescent="0.3">
      <c r="A12074" s="2" t="s">
        <v>374</v>
      </c>
      <c r="B12074" s="2" t="s">
        <v>375</v>
      </c>
      <c r="C12074" s="3">
        <v>2007</v>
      </c>
      <c r="D12074" s="4">
        <v>32764135</v>
      </c>
    </row>
    <row r="12075" spans="1:4" x14ac:dyDescent="0.3">
      <c r="A12075" s="5" t="s">
        <v>374</v>
      </c>
      <c r="B12075" s="5" t="s">
        <v>375</v>
      </c>
      <c r="C12075" s="6">
        <v>2008</v>
      </c>
      <c r="D12075" s="7">
        <v>33623980</v>
      </c>
    </row>
    <row r="12076" spans="1:4" x14ac:dyDescent="0.3">
      <c r="A12076" s="2" t="s">
        <v>374</v>
      </c>
      <c r="B12076" s="2" t="s">
        <v>375</v>
      </c>
      <c r="C12076" s="3">
        <v>2009</v>
      </c>
      <c r="D12076" s="4">
        <v>34569113</v>
      </c>
    </row>
    <row r="12077" spans="1:4" x14ac:dyDescent="0.3">
      <c r="A12077" s="5" t="s">
        <v>374</v>
      </c>
      <c r="B12077" s="5" t="s">
        <v>375</v>
      </c>
      <c r="C12077" s="6">
        <v>2010</v>
      </c>
      <c r="D12077" s="7">
        <v>35414399</v>
      </c>
    </row>
    <row r="12078" spans="1:4" x14ac:dyDescent="0.3">
      <c r="A12078" s="2" t="s">
        <v>374</v>
      </c>
      <c r="B12078" s="2" t="s">
        <v>375</v>
      </c>
      <c r="C12078" s="3">
        <v>2011</v>
      </c>
      <c r="D12078" s="4">
        <v>36140806</v>
      </c>
    </row>
    <row r="12079" spans="1:4" x14ac:dyDescent="0.3">
      <c r="A12079" s="5" t="s">
        <v>374</v>
      </c>
      <c r="B12079" s="5" t="s">
        <v>375</v>
      </c>
      <c r="C12079" s="6">
        <v>2012</v>
      </c>
      <c r="D12079" s="7">
        <v>36923178</v>
      </c>
    </row>
    <row r="12080" spans="1:4" x14ac:dyDescent="0.3">
      <c r="A12080" s="2" t="s">
        <v>374</v>
      </c>
      <c r="B12080" s="2" t="s">
        <v>375</v>
      </c>
      <c r="C12080" s="3">
        <v>2013</v>
      </c>
      <c r="D12080" s="4">
        <v>37785849</v>
      </c>
    </row>
    <row r="12081" spans="1:4" x14ac:dyDescent="0.3">
      <c r="A12081" s="5" t="s">
        <v>374</v>
      </c>
      <c r="B12081" s="5" t="s">
        <v>375</v>
      </c>
      <c r="C12081" s="6">
        <v>2014</v>
      </c>
      <c r="D12081" s="7">
        <v>38823318</v>
      </c>
    </row>
    <row r="12082" spans="1:4" x14ac:dyDescent="0.3">
      <c r="A12082" s="2" t="s">
        <v>374</v>
      </c>
      <c r="B12082" s="2" t="s">
        <v>375</v>
      </c>
      <c r="C12082" s="3">
        <v>2015</v>
      </c>
      <c r="D12082" s="4">
        <v>40024431</v>
      </c>
    </row>
    <row r="12083" spans="1:4" x14ac:dyDescent="0.3">
      <c r="A12083" s="5" t="s">
        <v>374</v>
      </c>
      <c r="B12083" s="5" t="s">
        <v>375</v>
      </c>
      <c r="C12083" s="6">
        <v>2016</v>
      </c>
      <c r="D12083" s="7">
        <v>41259892</v>
      </c>
    </row>
    <row r="12084" spans="1:4" x14ac:dyDescent="0.3">
      <c r="A12084" s="2" t="s">
        <v>374</v>
      </c>
      <c r="B12084" s="2" t="s">
        <v>375</v>
      </c>
      <c r="C12084" s="3">
        <v>2017</v>
      </c>
      <c r="D12084" s="4">
        <v>42714306</v>
      </c>
    </row>
    <row r="12085" spans="1:4" x14ac:dyDescent="0.3">
      <c r="A12085" s="5" t="s">
        <v>374</v>
      </c>
      <c r="B12085" s="5" t="s">
        <v>375</v>
      </c>
      <c r="C12085" s="6">
        <v>2018</v>
      </c>
      <c r="D12085" s="7">
        <v>44230596</v>
      </c>
    </row>
    <row r="12086" spans="1:4" x14ac:dyDescent="0.3">
      <c r="A12086" s="2" t="s">
        <v>374</v>
      </c>
      <c r="B12086" s="2" t="s">
        <v>375</v>
      </c>
      <c r="C12086" s="3">
        <v>2019</v>
      </c>
      <c r="D12086" s="4">
        <v>45548175</v>
      </c>
    </row>
    <row r="12087" spans="1:4" x14ac:dyDescent="0.3">
      <c r="A12087" s="5" t="s">
        <v>374</v>
      </c>
      <c r="B12087" s="5" t="s">
        <v>375</v>
      </c>
      <c r="C12087" s="6">
        <v>2020</v>
      </c>
      <c r="D12087" s="7">
        <v>46789231</v>
      </c>
    </row>
    <row r="12088" spans="1:4" x14ac:dyDescent="0.3">
      <c r="A12088" s="2" t="s">
        <v>374</v>
      </c>
      <c r="B12088" s="2" t="s">
        <v>375</v>
      </c>
      <c r="C12088" s="3">
        <v>2021</v>
      </c>
      <c r="D12088" s="4">
        <v>48066924</v>
      </c>
    </row>
    <row r="12089" spans="1:4" x14ac:dyDescent="0.3">
      <c r="A12089" s="5" t="s">
        <v>374</v>
      </c>
      <c r="B12089" s="5" t="s">
        <v>375</v>
      </c>
      <c r="C12089" s="6">
        <v>2022</v>
      </c>
      <c r="D12089" s="7">
        <v>49383346</v>
      </c>
    </row>
    <row r="12090" spans="1:4" x14ac:dyDescent="0.3">
      <c r="A12090" s="2" t="s">
        <v>374</v>
      </c>
      <c r="B12090" s="2" t="s">
        <v>375</v>
      </c>
      <c r="C12090" s="3">
        <v>2023</v>
      </c>
      <c r="D12090" s="4">
        <v>50042791</v>
      </c>
    </row>
    <row r="12091" spans="1:4" x14ac:dyDescent="0.3">
      <c r="A12091" s="5" t="s">
        <v>374</v>
      </c>
      <c r="B12091" s="5" t="s">
        <v>375</v>
      </c>
      <c r="C12091" s="6">
        <v>2024</v>
      </c>
      <c r="D12091" s="7">
        <v>50448963</v>
      </c>
    </row>
    <row r="12092" spans="1:4" x14ac:dyDescent="0.3">
      <c r="A12092" s="2" t="s">
        <v>376</v>
      </c>
      <c r="B12092" s="2" t="s">
        <v>377</v>
      </c>
      <c r="C12092" s="3">
        <v>1960</v>
      </c>
      <c r="D12092" s="4">
        <v>263918</v>
      </c>
    </row>
    <row r="12093" spans="1:4" x14ac:dyDescent="0.3">
      <c r="A12093" s="5" t="s">
        <v>376</v>
      </c>
      <c r="B12093" s="5" t="s">
        <v>377</v>
      </c>
      <c r="C12093" s="6">
        <v>1961</v>
      </c>
      <c r="D12093" s="7">
        <v>272791</v>
      </c>
    </row>
    <row r="12094" spans="1:4" x14ac:dyDescent="0.3">
      <c r="A12094" s="2" t="s">
        <v>376</v>
      </c>
      <c r="B12094" s="2" t="s">
        <v>377</v>
      </c>
      <c r="C12094" s="3">
        <v>1962</v>
      </c>
      <c r="D12094" s="4">
        <v>283912</v>
      </c>
    </row>
    <row r="12095" spans="1:4" x14ac:dyDescent="0.3">
      <c r="A12095" s="5" t="s">
        <v>376</v>
      </c>
      <c r="B12095" s="5" t="s">
        <v>377</v>
      </c>
      <c r="C12095" s="6">
        <v>1963</v>
      </c>
      <c r="D12095" s="7">
        <v>297034</v>
      </c>
    </row>
    <row r="12096" spans="1:4" x14ac:dyDescent="0.3">
      <c r="A12096" s="2" t="s">
        <v>376</v>
      </c>
      <c r="B12096" s="2" t="s">
        <v>377</v>
      </c>
      <c r="C12096" s="3">
        <v>1964</v>
      </c>
      <c r="D12096" s="4">
        <v>309041</v>
      </c>
    </row>
    <row r="12097" spans="1:4" x14ac:dyDescent="0.3">
      <c r="A12097" s="5" t="s">
        <v>376</v>
      </c>
      <c r="B12097" s="5" t="s">
        <v>377</v>
      </c>
      <c r="C12097" s="6">
        <v>1965</v>
      </c>
      <c r="D12097" s="7">
        <v>320000</v>
      </c>
    </row>
    <row r="12098" spans="1:4" x14ac:dyDescent="0.3">
      <c r="A12098" s="2" t="s">
        <v>376</v>
      </c>
      <c r="B12098" s="2" t="s">
        <v>377</v>
      </c>
      <c r="C12098" s="3">
        <v>1966</v>
      </c>
      <c r="D12098" s="4">
        <v>331135</v>
      </c>
    </row>
    <row r="12099" spans="1:4" x14ac:dyDescent="0.3">
      <c r="A12099" s="5" t="s">
        <v>376</v>
      </c>
      <c r="B12099" s="5" t="s">
        <v>377</v>
      </c>
      <c r="C12099" s="6">
        <v>1967</v>
      </c>
      <c r="D12099" s="7">
        <v>342679</v>
      </c>
    </row>
    <row r="12100" spans="1:4" x14ac:dyDescent="0.3">
      <c r="A12100" s="2" t="s">
        <v>376</v>
      </c>
      <c r="B12100" s="2" t="s">
        <v>377</v>
      </c>
      <c r="C12100" s="3">
        <v>1968</v>
      </c>
      <c r="D12100" s="4">
        <v>354616</v>
      </c>
    </row>
    <row r="12101" spans="1:4" x14ac:dyDescent="0.3">
      <c r="A12101" s="5" t="s">
        <v>376</v>
      </c>
      <c r="B12101" s="5" t="s">
        <v>377</v>
      </c>
      <c r="C12101" s="6">
        <v>1969</v>
      </c>
      <c r="D12101" s="7">
        <v>366906</v>
      </c>
    </row>
    <row r="12102" spans="1:4" x14ac:dyDescent="0.3">
      <c r="A12102" s="2" t="s">
        <v>376</v>
      </c>
      <c r="B12102" s="2" t="s">
        <v>377</v>
      </c>
      <c r="C12102" s="3">
        <v>1970</v>
      </c>
      <c r="D12102" s="4">
        <v>379442</v>
      </c>
    </row>
    <row r="12103" spans="1:4" x14ac:dyDescent="0.3">
      <c r="A12103" s="5" t="s">
        <v>376</v>
      </c>
      <c r="B12103" s="5" t="s">
        <v>377</v>
      </c>
      <c r="C12103" s="6">
        <v>1971</v>
      </c>
      <c r="D12103" s="7">
        <v>391932</v>
      </c>
    </row>
    <row r="12104" spans="1:4" x14ac:dyDescent="0.3">
      <c r="A12104" s="2" t="s">
        <v>376</v>
      </c>
      <c r="B12104" s="2" t="s">
        <v>377</v>
      </c>
      <c r="C12104" s="3">
        <v>1972</v>
      </c>
      <c r="D12104" s="4">
        <v>397413</v>
      </c>
    </row>
    <row r="12105" spans="1:4" x14ac:dyDescent="0.3">
      <c r="A12105" s="5" t="s">
        <v>376</v>
      </c>
      <c r="B12105" s="5" t="s">
        <v>377</v>
      </c>
      <c r="C12105" s="6">
        <v>1973</v>
      </c>
      <c r="D12105" s="7">
        <v>395772</v>
      </c>
    </row>
    <row r="12106" spans="1:4" x14ac:dyDescent="0.3">
      <c r="A12106" s="2" t="s">
        <v>376</v>
      </c>
      <c r="B12106" s="2" t="s">
        <v>377</v>
      </c>
      <c r="C12106" s="3">
        <v>1974</v>
      </c>
      <c r="D12106" s="4">
        <v>393676</v>
      </c>
    </row>
    <row r="12107" spans="1:4" x14ac:dyDescent="0.3">
      <c r="A12107" s="5" t="s">
        <v>376</v>
      </c>
      <c r="B12107" s="5" t="s">
        <v>377</v>
      </c>
      <c r="C12107" s="6">
        <v>1975</v>
      </c>
      <c r="D12107" s="7">
        <v>391170</v>
      </c>
    </row>
    <row r="12108" spans="1:4" x14ac:dyDescent="0.3">
      <c r="A12108" s="2" t="s">
        <v>376</v>
      </c>
      <c r="B12108" s="2" t="s">
        <v>377</v>
      </c>
      <c r="C12108" s="3">
        <v>1976</v>
      </c>
      <c r="D12108" s="4">
        <v>388289</v>
      </c>
    </row>
    <row r="12109" spans="1:4" x14ac:dyDescent="0.3">
      <c r="A12109" s="5" t="s">
        <v>376</v>
      </c>
      <c r="B12109" s="5" t="s">
        <v>377</v>
      </c>
      <c r="C12109" s="6">
        <v>1977</v>
      </c>
      <c r="D12109" s="7">
        <v>385067</v>
      </c>
    </row>
    <row r="12110" spans="1:4" x14ac:dyDescent="0.3">
      <c r="A12110" s="2" t="s">
        <v>376</v>
      </c>
      <c r="B12110" s="2" t="s">
        <v>377</v>
      </c>
      <c r="C12110" s="3">
        <v>1978</v>
      </c>
      <c r="D12110" s="4">
        <v>381502</v>
      </c>
    </row>
    <row r="12111" spans="1:4" x14ac:dyDescent="0.3">
      <c r="A12111" s="5" t="s">
        <v>376</v>
      </c>
      <c r="B12111" s="5" t="s">
        <v>377</v>
      </c>
      <c r="C12111" s="6">
        <v>1979</v>
      </c>
      <c r="D12111" s="7">
        <v>377602</v>
      </c>
    </row>
    <row r="12112" spans="1:4" x14ac:dyDescent="0.3">
      <c r="A12112" s="2" t="s">
        <v>376</v>
      </c>
      <c r="B12112" s="2" t="s">
        <v>377</v>
      </c>
      <c r="C12112" s="3">
        <v>1980</v>
      </c>
      <c r="D12112" s="4">
        <v>375377</v>
      </c>
    </row>
    <row r="12113" spans="1:4" x14ac:dyDescent="0.3">
      <c r="A12113" s="5" t="s">
        <v>376</v>
      </c>
      <c r="B12113" s="5" t="s">
        <v>377</v>
      </c>
      <c r="C12113" s="6">
        <v>1981</v>
      </c>
      <c r="D12113" s="7">
        <v>375459</v>
      </c>
    </row>
    <row r="12114" spans="1:4" x14ac:dyDescent="0.3">
      <c r="A12114" s="2" t="s">
        <v>376</v>
      </c>
      <c r="B12114" s="2" t="s">
        <v>377</v>
      </c>
      <c r="C12114" s="3">
        <v>1982</v>
      </c>
      <c r="D12114" s="4">
        <v>376555</v>
      </c>
    </row>
    <row r="12115" spans="1:4" x14ac:dyDescent="0.3">
      <c r="A12115" s="5" t="s">
        <v>376</v>
      </c>
      <c r="B12115" s="5" t="s">
        <v>377</v>
      </c>
      <c r="C12115" s="6">
        <v>1983</v>
      </c>
      <c r="D12115" s="7">
        <v>378746</v>
      </c>
    </row>
    <row r="12116" spans="1:4" x14ac:dyDescent="0.3">
      <c r="A12116" s="2" t="s">
        <v>376</v>
      </c>
      <c r="B12116" s="2" t="s">
        <v>377</v>
      </c>
      <c r="C12116" s="3">
        <v>1984</v>
      </c>
      <c r="D12116" s="4">
        <v>382193</v>
      </c>
    </row>
    <row r="12117" spans="1:4" x14ac:dyDescent="0.3">
      <c r="A12117" s="5" t="s">
        <v>376</v>
      </c>
      <c r="B12117" s="5" t="s">
        <v>377</v>
      </c>
      <c r="C12117" s="6">
        <v>1985</v>
      </c>
      <c r="D12117" s="7">
        <v>386972</v>
      </c>
    </row>
    <row r="12118" spans="1:4" x14ac:dyDescent="0.3">
      <c r="A12118" s="2" t="s">
        <v>376</v>
      </c>
      <c r="B12118" s="2" t="s">
        <v>377</v>
      </c>
      <c r="C12118" s="3">
        <v>1986</v>
      </c>
      <c r="D12118" s="4">
        <v>392330</v>
      </c>
    </row>
    <row r="12119" spans="1:4" x14ac:dyDescent="0.3">
      <c r="A12119" s="5" t="s">
        <v>376</v>
      </c>
      <c r="B12119" s="5" t="s">
        <v>377</v>
      </c>
      <c r="C12119" s="6">
        <v>1987</v>
      </c>
      <c r="D12119" s="7">
        <v>396911</v>
      </c>
    </row>
    <row r="12120" spans="1:4" x14ac:dyDescent="0.3">
      <c r="A12120" s="2" t="s">
        <v>376</v>
      </c>
      <c r="B12120" s="2" t="s">
        <v>377</v>
      </c>
      <c r="C12120" s="3">
        <v>1988</v>
      </c>
      <c r="D12120" s="4">
        <v>402227</v>
      </c>
    </row>
    <row r="12121" spans="1:4" x14ac:dyDescent="0.3">
      <c r="A12121" s="5" t="s">
        <v>376</v>
      </c>
      <c r="B12121" s="5" t="s">
        <v>377</v>
      </c>
      <c r="C12121" s="6">
        <v>1989</v>
      </c>
      <c r="D12121" s="7">
        <v>408409</v>
      </c>
    </row>
    <row r="12122" spans="1:4" x14ac:dyDescent="0.3">
      <c r="A12122" s="2" t="s">
        <v>376</v>
      </c>
      <c r="B12122" s="2" t="s">
        <v>377</v>
      </c>
      <c r="C12122" s="3">
        <v>1990</v>
      </c>
      <c r="D12122" s="4">
        <v>412493</v>
      </c>
    </row>
    <row r="12123" spans="1:4" x14ac:dyDescent="0.3">
      <c r="A12123" s="5" t="s">
        <v>376</v>
      </c>
      <c r="B12123" s="5" t="s">
        <v>377</v>
      </c>
      <c r="C12123" s="6">
        <v>1991</v>
      </c>
      <c r="D12123" s="7">
        <v>415013</v>
      </c>
    </row>
    <row r="12124" spans="1:4" x14ac:dyDescent="0.3">
      <c r="A12124" s="2" t="s">
        <v>376</v>
      </c>
      <c r="B12124" s="2" t="s">
        <v>377</v>
      </c>
      <c r="C12124" s="3">
        <v>1992</v>
      </c>
      <c r="D12124" s="4">
        <v>417589</v>
      </c>
    </row>
    <row r="12125" spans="1:4" x14ac:dyDescent="0.3">
      <c r="A12125" s="5" t="s">
        <v>376</v>
      </c>
      <c r="B12125" s="5" t="s">
        <v>377</v>
      </c>
      <c r="C12125" s="6">
        <v>1993</v>
      </c>
      <c r="D12125" s="7">
        <v>419352</v>
      </c>
    </row>
    <row r="12126" spans="1:4" x14ac:dyDescent="0.3">
      <c r="A12126" s="2" t="s">
        <v>376</v>
      </c>
      <c r="B12126" s="2" t="s">
        <v>377</v>
      </c>
      <c r="C12126" s="3">
        <v>1994</v>
      </c>
      <c r="D12126" s="4">
        <v>422375</v>
      </c>
    </row>
    <row r="12127" spans="1:4" x14ac:dyDescent="0.3">
      <c r="A12127" s="5" t="s">
        <v>376</v>
      </c>
      <c r="B12127" s="5" t="s">
        <v>377</v>
      </c>
      <c r="C12127" s="6">
        <v>1995</v>
      </c>
      <c r="D12127" s="7">
        <v>429606</v>
      </c>
    </row>
    <row r="12128" spans="1:4" x14ac:dyDescent="0.3">
      <c r="A12128" s="2" t="s">
        <v>376</v>
      </c>
      <c r="B12128" s="2" t="s">
        <v>377</v>
      </c>
      <c r="C12128" s="3">
        <v>1996</v>
      </c>
      <c r="D12128" s="4">
        <v>438830</v>
      </c>
    </row>
    <row r="12129" spans="1:4" x14ac:dyDescent="0.3">
      <c r="A12129" s="5" t="s">
        <v>376</v>
      </c>
      <c r="B12129" s="5" t="s">
        <v>377</v>
      </c>
      <c r="C12129" s="6">
        <v>1997</v>
      </c>
      <c r="D12129" s="7">
        <v>448067</v>
      </c>
    </row>
    <row r="12130" spans="1:4" x14ac:dyDescent="0.3">
      <c r="A12130" s="2" t="s">
        <v>376</v>
      </c>
      <c r="B12130" s="2" t="s">
        <v>377</v>
      </c>
      <c r="C12130" s="3">
        <v>1998</v>
      </c>
      <c r="D12130" s="4">
        <v>457406</v>
      </c>
    </row>
    <row r="12131" spans="1:4" x14ac:dyDescent="0.3">
      <c r="A12131" s="5" t="s">
        <v>376</v>
      </c>
      <c r="B12131" s="5" t="s">
        <v>377</v>
      </c>
      <c r="C12131" s="6">
        <v>1999</v>
      </c>
      <c r="D12131" s="7">
        <v>466916</v>
      </c>
    </row>
    <row r="12132" spans="1:4" x14ac:dyDescent="0.3">
      <c r="A12132" s="2" t="s">
        <v>376</v>
      </c>
      <c r="B12132" s="2" t="s">
        <v>377</v>
      </c>
      <c r="C12132" s="3">
        <v>2000</v>
      </c>
      <c r="D12132" s="4">
        <v>476643</v>
      </c>
    </row>
    <row r="12133" spans="1:4" x14ac:dyDescent="0.3">
      <c r="A12133" s="5" t="s">
        <v>376</v>
      </c>
      <c r="B12133" s="5" t="s">
        <v>377</v>
      </c>
      <c r="C12133" s="6">
        <v>2001</v>
      </c>
      <c r="D12133" s="7">
        <v>486560</v>
      </c>
    </row>
    <row r="12134" spans="1:4" x14ac:dyDescent="0.3">
      <c r="A12134" s="2" t="s">
        <v>376</v>
      </c>
      <c r="B12134" s="2" t="s">
        <v>377</v>
      </c>
      <c r="C12134" s="3">
        <v>2002</v>
      </c>
      <c r="D12134" s="4">
        <v>496551</v>
      </c>
    </row>
    <row r="12135" spans="1:4" x14ac:dyDescent="0.3">
      <c r="A12135" s="5" t="s">
        <v>376</v>
      </c>
      <c r="B12135" s="5" t="s">
        <v>377</v>
      </c>
      <c r="C12135" s="6">
        <v>2003</v>
      </c>
      <c r="D12135" s="7">
        <v>506414</v>
      </c>
    </row>
    <row r="12136" spans="1:4" x14ac:dyDescent="0.3">
      <c r="A12136" s="2" t="s">
        <v>376</v>
      </c>
      <c r="B12136" s="2" t="s">
        <v>377</v>
      </c>
      <c r="C12136" s="3">
        <v>2004</v>
      </c>
      <c r="D12136" s="4">
        <v>513923</v>
      </c>
    </row>
    <row r="12137" spans="1:4" x14ac:dyDescent="0.3">
      <c r="A12137" s="5" t="s">
        <v>376</v>
      </c>
      <c r="B12137" s="5" t="s">
        <v>377</v>
      </c>
      <c r="C12137" s="6">
        <v>2005</v>
      </c>
      <c r="D12137" s="7">
        <v>519313</v>
      </c>
    </row>
    <row r="12138" spans="1:4" x14ac:dyDescent="0.3">
      <c r="A12138" s="2" t="s">
        <v>376</v>
      </c>
      <c r="B12138" s="2" t="s">
        <v>377</v>
      </c>
      <c r="C12138" s="3">
        <v>2006</v>
      </c>
      <c r="D12138" s="4">
        <v>524997</v>
      </c>
    </row>
    <row r="12139" spans="1:4" x14ac:dyDescent="0.3">
      <c r="A12139" s="5" t="s">
        <v>376</v>
      </c>
      <c r="B12139" s="5" t="s">
        <v>377</v>
      </c>
      <c r="C12139" s="6">
        <v>2007</v>
      </c>
      <c r="D12139" s="7">
        <v>531016</v>
      </c>
    </row>
    <row r="12140" spans="1:4" x14ac:dyDescent="0.3">
      <c r="A12140" s="2" t="s">
        <v>376</v>
      </c>
      <c r="B12140" s="2" t="s">
        <v>377</v>
      </c>
      <c r="C12140" s="3">
        <v>2008</v>
      </c>
      <c r="D12140" s="4">
        <v>537245</v>
      </c>
    </row>
    <row r="12141" spans="1:4" x14ac:dyDescent="0.3">
      <c r="A12141" s="5" t="s">
        <v>376</v>
      </c>
      <c r="B12141" s="5" t="s">
        <v>377</v>
      </c>
      <c r="C12141" s="6">
        <v>2009</v>
      </c>
      <c r="D12141" s="7">
        <v>543568</v>
      </c>
    </row>
    <row r="12142" spans="1:4" x14ac:dyDescent="0.3">
      <c r="A12142" s="2" t="s">
        <v>376</v>
      </c>
      <c r="B12142" s="2" t="s">
        <v>377</v>
      </c>
      <c r="C12142" s="3">
        <v>2010</v>
      </c>
      <c r="D12142" s="4">
        <v>549923</v>
      </c>
    </row>
    <row r="12143" spans="1:4" x14ac:dyDescent="0.3">
      <c r="A12143" s="5" t="s">
        <v>376</v>
      </c>
      <c r="B12143" s="5" t="s">
        <v>377</v>
      </c>
      <c r="C12143" s="6">
        <v>2011</v>
      </c>
      <c r="D12143" s="7">
        <v>556269</v>
      </c>
    </row>
    <row r="12144" spans="1:4" x14ac:dyDescent="0.3">
      <c r="A12144" s="2" t="s">
        <v>376</v>
      </c>
      <c r="B12144" s="2" t="s">
        <v>377</v>
      </c>
      <c r="C12144" s="3">
        <v>2012</v>
      </c>
      <c r="D12144" s="4">
        <v>562633</v>
      </c>
    </row>
    <row r="12145" spans="1:4" x14ac:dyDescent="0.3">
      <c r="A12145" s="5" t="s">
        <v>376</v>
      </c>
      <c r="B12145" s="5" t="s">
        <v>377</v>
      </c>
      <c r="C12145" s="6">
        <v>2013</v>
      </c>
      <c r="D12145" s="7">
        <v>569020</v>
      </c>
    </row>
    <row r="12146" spans="1:4" x14ac:dyDescent="0.3">
      <c r="A12146" s="2" t="s">
        <v>376</v>
      </c>
      <c r="B12146" s="2" t="s">
        <v>377</v>
      </c>
      <c r="C12146" s="3">
        <v>2014</v>
      </c>
      <c r="D12146" s="4">
        <v>575373</v>
      </c>
    </row>
    <row r="12147" spans="1:4" x14ac:dyDescent="0.3">
      <c r="A12147" s="5" t="s">
        <v>376</v>
      </c>
      <c r="B12147" s="5" t="s">
        <v>377</v>
      </c>
      <c r="C12147" s="6">
        <v>2015</v>
      </c>
      <c r="D12147" s="7">
        <v>581627</v>
      </c>
    </row>
    <row r="12148" spans="1:4" x14ac:dyDescent="0.3">
      <c r="A12148" s="2" t="s">
        <v>376</v>
      </c>
      <c r="B12148" s="2" t="s">
        <v>377</v>
      </c>
      <c r="C12148" s="3">
        <v>2016</v>
      </c>
      <c r="D12148" s="4">
        <v>587757</v>
      </c>
    </row>
    <row r="12149" spans="1:4" x14ac:dyDescent="0.3">
      <c r="A12149" s="5" t="s">
        <v>376</v>
      </c>
      <c r="B12149" s="5" t="s">
        <v>377</v>
      </c>
      <c r="C12149" s="6">
        <v>2017</v>
      </c>
      <c r="D12149" s="7">
        <v>593713</v>
      </c>
    </row>
    <row r="12150" spans="1:4" x14ac:dyDescent="0.3">
      <c r="A12150" s="2" t="s">
        <v>376</v>
      </c>
      <c r="B12150" s="2" t="s">
        <v>377</v>
      </c>
      <c r="C12150" s="3">
        <v>2018</v>
      </c>
      <c r="D12150" s="4">
        <v>599513</v>
      </c>
    </row>
    <row r="12151" spans="1:4" x14ac:dyDescent="0.3">
      <c r="A12151" s="5" t="s">
        <v>376</v>
      </c>
      <c r="B12151" s="5" t="s">
        <v>377</v>
      </c>
      <c r="C12151" s="6">
        <v>2019</v>
      </c>
      <c r="D12151" s="7">
        <v>605768</v>
      </c>
    </row>
    <row r="12152" spans="1:4" x14ac:dyDescent="0.3">
      <c r="A12152" s="2" t="s">
        <v>376</v>
      </c>
      <c r="B12152" s="2" t="s">
        <v>377</v>
      </c>
      <c r="C12152" s="3">
        <v>2020</v>
      </c>
      <c r="D12152" s="4">
        <v>612317</v>
      </c>
    </row>
    <row r="12153" spans="1:4" x14ac:dyDescent="0.3">
      <c r="A12153" s="5" t="s">
        <v>376</v>
      </c>
      <c r="B12153" s="5" t="s">
        <v>377</v>
      </c>
      <c r="C12153" s="6">
        <v>2021</v>
      </c>
      <c r="D12153" s="7">
        <v>617896</v>
      </c>
    </row>
    <row r="12154" spans="1:4" x14ac:dyDescent="0.3">
      <c r="A12154" s="2" t="s">
        <v>376</v>
      </c>
      <c r="B12154" s="2" t="s">
        <v>377</v>
      </c>
      <c r="C12154" s="3">
        <v>2022</v>
      </c>
      <c r="D12154" s="4">
        <v>623164</v>
      </c>
    </row>
    <row r="12155" spans="1:4" x14ac:dyDescent="0.3">
      <c r="A12155" s="5" t="s">
        <v>376</v>
      </c>
      <c r="B12155" s="5" t="s">
        <v>377</v>
      </c>
      <c r="C12155" s="6">
        <v>2023</v>
      </c>
      <c r="D12155" s="7">
        <v>628886</v>
      </c>
    </row>
    <row r="12156" spans="1:4" x14ac:dyDescent="0.3">
      <c r="A12156" s="2" t="s">
        <v>376</v>
      </c>
      <c r="B12156" s="2" t="s">
        <v>377</v>
      </c>
      <c r="C12156" s="3">
        <v>2024</v>
      </c>
      <c r="D12156" s="4">
        <v>634431</v>
      </c>
    </row>
    <row r="12157" spans="1:4" x14ac:dyDescent="0.3">
      <c r="A12157" s="5" t="s">
        <v>378</v>
      </c>
      <c r="B12157" s="5" t="s">
        <v>379</v>
      </c>
      <c r="C12157" s="6">
        <v>1960</v>
      </c>
      <c r="D12157" s="7">
        <v>7484656</v>
      </c>
    </row>
    <row r="12158" spans="1:4" x14ac:dyDescent="0.3">
      <c r="A12158" s="2" t="s">
        <v>378</v>
      </c>
      <c r="B12158" s="2" t="s">
        <v>379</v>
      </c>
      <c r="C12158" s="3">
        <v>1961</v>
      </c>
      <c r="D12158" s="4">
        <v>7519998</v>
      </c>
    </row>
    <row r="12159" spans="1:4" x14ac:dyDescent="0.3">
      <c r="A12159" s="5" t="s">
        <v>378</v>
      </c>
      <c r="B12159" s="5" t="s">
        <v>379</v>
      </c>
      <c r="C12159" s="6">
        <v>1962</v>
      </c>
      <c r="D12159" s="7">
        <v>7561588</v>
      </c>
    </row>
    <row r="12160" spans="1:4" x14ac:dyDescent="0.3">
      <c r="A12160" s="2" t="s">
        <v>378</v>
      </c>
      <c r="B12160" s="2" t="s">
        <v>379</v>
      </c>
      <c r="C12160" s="3">
        <v>1963</v>
      </c>
      <c r="D12160" s="4">
        <v>7604328</v>
      </c>
    </row>
    <row r="12161" spans="1:4" x14ac:dyDescent="0.3">
      <c r="A12161" s="5" t="s">
        <v>378</v>
      </c>
      <c r="B12161" s="5" t="s">
        <v>379</v>
      </c>
      <c r="C12161" s="6">
        <v>1964</v>
      </c>
      <c r="D12161" s="7">
        <v>7661354</v>
      </c>
    </row>
    <row r="12162" spans="1:4" x14ac:dyDescent="0.3">
      <c r="A12162" s="2" t="s">
        <v>378</v>
      </c>
      <c r="B12162" s="2" t="s">
        <v>379</v>
      </c>
      <c r="C12162" s="3">
        <v>1965</v>
      </c>
      <c r="D12162" s="4">
        <v>7733853</v>
      </c>
    </row>
    <row r="12163" spans="1:4" x14ac:dyDescent="0.3">
      <c r="A12163" s="5" t="s">
        <v>378</v>
      </c>
      <c r="B12163" s="5" t="s">
        <v>379</v>
      </c>
      <c r="C12163" s="6">
        <v>1966</v>
      </c>
      <c r="D12163" s="7">
        <v>7807797</v>
      </c>
    </row>
    <row r="12164" spans="1:4" x14ac:dyDescent="0.3">
      <c r="A12164" s="2" t="s">
        <v>378</v>
      </c>
      <c r="B12164" s="2" t="s">
        <v>379</v>
      </c>
      <c r="C12164" s="3">
        <v>1967</v>
      </c>
      <c r="D12164" s="4">
        <v>7867931</v>
      </c>
    </row>
    <row r="12165" spans="1:4" x14ac:dyDescent="0.3">
      <c r="A12165" s="5" t="s">
        <v>378</v>
      </c>
      <c r="B12165" s="5" t="s">
        <v>379</v>
      </c>
      <c r="C12165" s="6">
        <v>1968</v>
      </c>
      <c r="D12165" s="7">
        <v>7912273</v>
      </c>
    </row>
    <row r="12166" spans="1:4" x14ac:dyDescent="0.3">
      <c r="A12166" s="2" t="s">
        <v>378</v>
      </c>
      <c r="B12166" s="2" t="s">
        <v>379</v>
      </c>
      <c r="C12166" s="3">
        <v>1969</v>
      </c>
      <c r="D12166" s="4">
        <v>7968072</v>
      </c>
    </row>
    <row r="12167" spans="1:4" x14ac:dyDescent="0.3">
      <c r="A12167" s="5" t="s">
        <v>378</v>
      </c>
      <c r="B12167" s="5" t="s">
        <v>379</v>
      </c>
      <c r="C12167" s="6">
        <v>1970</v>
      </c>
      <c r="D12167" s="7">
        <v>8042801</v>
      </c>
    </row>
    <row r="12168" spans="1:4" x14ac:dyDescent="0.3">
      <c r="A12168" s="2" t="s">
        <v>378</v>
      </c>
      <c r="B12168" s="2" t="s">
        <v>379</v>
      </c>
      <c r="C12168" s="3">
        <v>1971</v>
      </c>
      <c r="D12168" s="4">
        <v>8098334</v>
      </c>
    </row>
    <row r="12169" spans="1:4" x14ac:dyDescent="0.3">
      <c r="A12169" s="5" t="s">
        <v>378</v>
      </c>
      <c r="B12169" s="5" t="s">
        <v>379</v>
      </c>
      <c r="C12169" s="6">
        <v>1972</v>
      </c>
      <c r="D12169" s="7">
        <v>8122300</v>
      </c>
    </row>
    <row r="12170" spans="1:4" x14ac:dyDescent="0.3">
      <c r="A12170" s="2" t="s">
        <v>378</v>
      </c>
      <c r="B12170" s="2" t="s">
        <v>379</v>
      </c>
      <c r="C12170" s="3">
        <v>1973</v>
      </c>
      <c r="D12170" s="4">
        <v>8136312</v>
      </c>
    </row>
    <row r="12171" spans="1:4" x14ac:dyDescent="0.3">
      <c r="A12171" s="5" t="s">
        <v>378</v>
      </c>
      <c r="B12171" s="5" t="s">
        <v>379</v>
      </c>
      <c r="C12171" s="6">
        <v>1974</v>
      </c>
      <c r="D12171" s="7">
        <v>8159955</v>
      </c>
    </row>
    <row r="12172" spans="1:4" x14ac:dyDescent="0.3">
      <c r="A12172" s="2" t="s">
        <v>378</v>
      </c>
      <c r="B12172" s="2" t="s">
        <v>379</v>
      </c>
      <c r="C12172" s="3">
        <v>1975</v>
      </c>
      <c r="D12172" s="4">
        <v>8192437</v>
      </c>
    </row>
    <row r="12173" spans="1:4" x14ac:dyDescent="0.3">
      <c r="A12173" s="5" t="s">
        <v>378</v>
      </c>
      <c r="B12173" s="5" t="s">
        <v>379</v>
      </c>
      <c r="C12173" s="6">
        <v>1976</v>
      </c>
      <c r="D12173" s="7">
        <v>8222286</v>
      </c>
    </row>
    <row r="12174" spans="1:4" x14ac:dyDescent="0.3">
      <c r="A12174" s="2" t="s">
        <v>378</v>
      </c>
      <c r="B12174" s="2" t="s">
        <v>379</v>
      </c>
      <c r="C12174" s="3">
        <v>1977</v>
      </c>
      <c r="D12174" s="4">
        <v>8251540</v>
      </c>
    </row>
    <row r="12175" spans="1:4" x14ac:dyDescent="0.3">
      <c r="A12175" s="5" t="s">
        <v>378</v>
      </c>
      <c r="B12175" s="5" t="s">
        <v>379</v>
      </c>
      <c r="C12175" s="6">
        <v>1978</v>
      </c>
      <c r="D12175" s="7">
        <v>8275599</v>
      </c>
    </row>
    <row r="12176" spans="1:4" x14ac:dyDescent="0.3">
      <c r="A12176" s="2" t="s">
        <v>378</v>
      </c>
      <c r="B12176" s="2" t="s">
        <v>379</v>
      </c>
      <c r="C12176" s="3">
        <v>1979</v>
      </c>
      <c r="D12176" s="4">
        <v>8293678</v>
      </c>
    </row>
    <row r="12177" spans="1:4" x14ac:dyDescent="0.3">
      <c r="A12177" s="5" t="s">
        <v>378</v>
      </c>
      <c r="B12177" s="5" t="s">
        <v>379</v>
      </c>
      <c r="C12177" s="6">
        <v>1980</v>
      </c>
      <c r="D12177" s="7">
        <v>8310531</v>
      </c>
    </row>
    <row r="12178" spans="1:4" x14ac:dyDescent="0.3">
      <c r="A12178" s="2" t="s">
        <v>378</v>
      </c>
      <c r="B12178" s="2" t="s">
        <v>379</v>
      </c>
      <c r="C12178" s="3">
        <v>1981</v>
      </c>
      <c r="D12178" s="4">
        <v>8320503</v>
      </c>
    </row>
    <row r="12179" spans="1:4" x14ac:dyDescent="0.3">
      <c r="A12179" s="5" t="s">
        <v>378</v>
      </c>
      <c r="B12179" s="5" t="s">
        <v>379</v>
      </c>
      <c r="C12179" s="6">
        <v>1982</v>
      </c>
      <c r="D12179" s="7">
        <v>8325263</v>
      </c>
    </row>
    <row r="12180" spans="1:4" x14ac:dyDescent="0.3">
      <c r="A12180" s="2" t="s">
        <v>378</v>
      </c>
      <c r="B12180" s="2" t="s">
        <v>379</v>
      </c>
      <c r="C12180" s="3">
        <v>1983</v>
      </c>
      <c r="D12180" s="4">
        <v>8329033</v>
      </c>
    </row>
    <row r="12181" spans="1:4" x14ac:dyDescent="0.3">
      <c r="A12181" s="5" t="s">
        <v>378</v>
      </c>
      <c r="B12181" s="5" t="s">
        <v>379</v>
      </c>
      <c r="C12181" s="6">
        <v>1984</v>
      </c>
      <c r="D12181" s="7">
        <v>8336605</v>
      </c>
    </row>
    <row r="12182" spans="1:4" x14ac:dyDescent="0.3">
      <c r="A12182" s="2" t="s">
        <v>378</v>
      </c>
      <c r="B12182" s="2" t="s">
        <v>379</v>
      </c>
      <c r="C12182" s="3">
        <v>1985</v>
      </c>
      <c r="D12182" s="4">
        <v>8350386</v>
      </c>
    </row>
    <row r="12183" spans="1:4" x14ac:dyDescent="0.3">
      <c r="A12183" s="5" t="s">
        <v>378</v>
      </c>
      <c r="B12183" s="5" t="s">
        <v>379</v>
      </c>
      <c r="C12183" s="6">
        <v>1986</v>
      </c>
      <c r="D12183" s="7">
        <v>8369829</v>
      </c>
    </row>
    <row r="12184" spans="1:4" x14ac:dyDescent="0.3">
      <c r="A12184" s="2" t="s">
        <v>378</v>
      </c>
      <c r="B12184" s="2" t="s">
        <v>379</v>
      </c>
      <c r="C12184" s="3">
        <v>1987</v>
      </c>
      <c r="D12184" s="4">
        <v>8397804</v>
      </c>
    </row>
    <row r="12185" spans="1:4" x14ac:dyDescent="0.3">
      <c r="A12185" s="5" t="s">
        <v>378</v>
      </c>
      <c r="B12185" s="5" t="s">
        <v>379</v>
      </c>
      <c r="C12185" s="6">
        <v>1988</v>
      </c>
      <c r="D12185" s="7">
        <v>8436489</v>
      </c>
    </row>
    <row r="12186" spans="1:4" x14ac:dyDescent="0.3">
      <c r="A12186" s="2" t="s">
        <v>378</v>
      </c>
      <c r="B12186" s="2" t="s">
        <v>379</v>
      </c>
      <c r="C12186" s="3">
        <v>1989</v>
      </c>
      <c r="D12186" s="4">
        <v>8492964</v>
      </c>
    </row>
    <row r="12187" spans="1:4" x14ac:dyDescent="0.3">
      <c r="A12187" s="5" t="s">
        <v>378</v>
      </c>
      <c r="B12187" s="5" t="s">
        <v>379</v>
      </c>
      <c r="C12187" s="6">
        <v>1990</v>
      </c>
      <c r="D12187" s="7">
        <v>8558835</v>
      </c>
    </row>
    <row r="12188" spans="1:4" x14ac:dyDescent="0.3">
      <c r="A12188" s="2" t="s">
        <v>378</v>
      </c>
      <c r="B12188" s="2" t="s">
        <v>379</v>
      </c>
      <c r="C12188" s="3">
        <v>1991</v>
      </c>
      <c r="D12188" s="4">
        <v>8617375</v>
      </c>
    </row>
    <row r="12189" spans="1:4" x14ac:dyDescent="0.3">
      <c r="A12189" s="5" t="s">
        <v>378</v>
      </c>
      <c r="B12189" s="5" t="s">
        <v>379</v>
      </c>
      <c r="C12189" s="6">
        <v>1992</v>
      </c>
      <c r="D12189" s="7">
        <v>8668067</v>
      </c>
    </row>
    <row r="12190" spans="1:4" x14ac:dyDescent="0.3">
      <c r="A12190" s="2" t="s">
        <v>378</v>
      </c>
      <c r="B12190" s="2" t="s">
        <v>379</v>
      </c>
      <c r="C12190" s="3">
        <v>1993</v>
      </c>
      <c r="D12190" s="4">
        <v>8718561</v>
      </c>
    </row>
    <row r="12191" spans="1:4" x14ac:dyDescent="0.3">
      <c r="A12191" s="5" t="s">
        <v>378</v>
      </c>
      <c r="B12191" s="5" t="s">
        <v>379</v>
      </c>
      <c r="C12191" s="6">
        <v>1994</v>
      </c>
      <c r="D12191" s="7">
        <v>8780745</v>
      </c>
    </row>
    <row r="12192" spans="1:4" x14ac:dyDescent="0.3">
      <c r="A12192" s="2" t="s">
        <v>378</v>
      </c>
      <c r="B12192" s="2" t="s">
        <v>379</v>
      </c>
      <c r="C12192" s="3">
        <v>1995</v>
      </c>
      <c r="D12192" s="4">
        <v>8826939</v>
      </c>
    </row>
    <row r="12193" spans="1:4" x14ac:dyDescent="0.3">
      <c r="A12193" s="5" t="s">
        <v>378</v>
      </c>
      <c r="B12193" s="5" t="s">
        <v>379</v>
      </c>
      <c r="C12193" s="6">
        <v>1996</v>
      </c>
      <c r="D12193" s="7">
        <v>8840998</v>
      </c>
    </row>
    <row r="12194" spans="1:4" x14ac:dyDescent="0.3">
      <c r="A12194" s="2" t="s">
        <v>378</v>
      </c>
      <c r="B12194" s="2" t="s">
        <v>379</v>
      </c>
      <c r="C12194" s="3">
        <v>1997</v>
      </c>
      <c r="D12194" s="4">
        <v>8846062</v>
      </c>
    </row>
    <row r="12195" spans="1:4" x14ac:dyDescent="0.3">
      <c r="A12195" s="5" t="s">
        <v>378</v>
      </c>
      <c r="B12195" s="5" t="s">
        <v>379</v>
      </c>
      <c r="C12195" s="6">
        <v>1998</v>
      </c>
      <c r="D12195" s="7">
        <v>8850974</v>
      </c>
    </row>
    <row r="12196" spans="1:4" x14ac:dyDescent="0.3">
      <c r="A12196" s="2" t="s">
        <v>378</v>
      </c>
      <c r="B12196" s="2" t="s">
        <v>379</v>
      </c>
      <c r="C12196" s="3">
        <v>1999</v>
      </c>
      <c r="D12196" s="4">
        <v>8857874</v>
      </c>
    </row>
    <row r="12197" spans="1:4" x14ac:dyDescent="0.3">
      <c r="A12197" s="5" t="s">
        <v>378</v>
      </c>
      <c r="B12197" s="5" t="s">
        <v>379</v>
      </c>
      <c r="C12197" s="6">
        <v>2000</v>
      </c>
      <c r="D12197" s="7">
        <v>8872109</v>
      </c>
    </row>
    <row r="12198" spans="1:4" x14ac:dyDescent="0.3">
      <c r="A12198" s="2" t="s">
        <v>378</v>
      </c>
      <c r="B12198" s="2" t="s">
        <v>379</v>
      </c>
      <c r="C12198" s="3">
        <v>2001</v>
      </c>
      <c r="D12198" s="4">
        <v>8895960</v>
      </c>
    </row>
    <row r="12199" spans="1:4" x14ac:dyDescent="0.3">
      <c r="A12199" s="5" t="s">
        <v>378</v>
      </c>
      <c r="B12199" s="5" t="s">
        <v>379</v>
      </c>
      <c r="C12199" s="6">
        <v>2002</v>
      </c>
      <c r="D12199" s="7">
        <v>8924958</v>
      </c>
    </row>
    <row r="12200" spans="1:4" x14ac:dyDescent="0.3">
      <c r="A12200" s="2" t="s">
        <v>378</v>
      </c>
      <c r="B12200" s="2" t="s">
        <v>379</v>
      </c>
      <c r="C12200" s="3">
        <v>2003</v>
      </c>
      <c r="D12200" s="4">
        <v>8958229</v>
      </c>
    </row>
    <row r="12201" spans="1:4" x14ac:dyDescent="0.3">
      <c r="A12201" s="5" t="s">
        <v>378</v>
      </c>
      <c r="B12201" s="5" t="s">
        <v>379</v>
      </c>
      <c r="C12201" s="6">
        <v>2004</v>
      </c>
      <c r="D12201" s="7">
        <v>8993531</v>
      </c>
    </row>
    <row r="12202" spans="1:4" x14ac:dyDescent="0.3">
      <c r="A12202" s="2" t="s">
        <v>378</v>
      </c>
      <c r="B12202" s="2" t="s">
        <v>379</v>
      </c>
      <c r="C12202" s="3">
        <v>2005</v>
      </c>
      <c r="D12202" s="4">
        <v>9029572</v>
      </c>
    </row>
    <row r="12203" spans="1:4" x14ac:dyDescent="0.3">
      <c r="A12203" s="5" t="s">
        <v>378</v>
      </c>
      <c r="B12203" s="5" t="s">
        <v>379</v>
      </c>
      <c r="C12203" s="6">
        <v>2006</v>
      </c>
      <c r="D12203" s="7">
        <v>9080505</v>
      </c>
    </row>
    <row r="12204" spans="1:4" x14ac:dyDescent="0.3">
      <c r="A12204" s="2" t="s">
        <v>378</v>
      </c>
      <c r="B12204" s="2" t="s">
        <v>379</v>
      </c>
      <c r="C12204" s="3">
        <v>2007</v>
      </c>
      <c r="D12204" s="4">
        <v>9148092</v>
      </c>
    </row>
    <row r="12205" spans="1:4" x14ac:dyDescent="0.3">
      <c r="A12205" s="5" t="s">
        <v>378</v>
      </c>
      <c r="B12205" s="5" t="s">
        <v>379</v>
      </c>
      <c r="C12205" s="6">
        <v>2008</v>
      </c>
      <c r="D12205" s="7">
        <v>9219637</v>
      </c>
    </row>
    <row r="12206" spans="1:4" x14ac:dyDescent="0.3">
      <c r="A12206" s="2" t="s">
        <v>378</v>
      </c>
      <c r="B12206" s="2" t="s">
        <v>379</v>
      </c>
      <c r="C12206" s="3">
        <v>2009</v>
      </c>
      <c r="D12206" s="4">
        <v>9298515</v>
      </c>
    </row>
    <row r="12207" spans="1:4" x14ac:dyDescent="0.3">
      <c r="A12207" s="5" t="s">
        <v>378</v>
      </c>
      <c r="B12207" s="5" t="s">
        <v>379</v>
      </c>
      <c r="C12207" s="6">
        <v>2010</v>
      </c>
      <c r="D12207" s="7">
        <v>9378126</v>
      </c>
    </row>
    <row r="12208" spans="1:4" x14ac:dyDescent="0.3">
      <c r="A12208" s="2" t="s">
        <v>378</v>
      </c>
      <c r="B12208" s="2" t="s">
        <v>379</v>
      </c>
      <c r="C12208" s="3">
        <v>2011</v>
      </c>
      <c r="D12208" s="4">
        <v>9449213</v>
      </c>
    </row>
    <row r="12209" spans="1:4" x14ac:dyDescent="0.3">
      <c r="A12209" s="5" t="s">
        <v>378</v>
      </c>
      <c r="B12209" s="5" t="s">
        <v>379</v>
      </c>
      <c r="C12209" s="6">
        <v>2012</v>
      </c>
      <c r="D12209" s="7">
        <v>9519374</v>
      </c>
    </row>
    <row r="12210" spans="1:4" x14ac:dyDescent="0.3">
      <c r="A12210" s="2" t="s">
        <v>378</v>
      </c>
      <c r="B12210" s="2" t="s">
        <v>379</v>
      </c>
      <c r="C12210" s="3">
        <v>2013</v>
      </c>
      <c r="D12210" s="4">
        <v>9600379</v>
      </c>
    </row>
    <row r="12211" spans="1:4" x14ac:dyDescent="0.3">
      <c r="A12211" s="5" t="s">
        <v>378</v>
      </c>
      <c r="B12211" s="5" t="s">
        <v>379</v>
      </c>
      <c r="C12211" s="6">
        <v>2014</v>
      </c>
      <c r="D12211" s="7">
        <v>9696110</v>
      </c>
    </row>
    <row r="12212" spans="1:4" x14ac:dyDescent="0.3">
      <c r="A12212" s="2" t="s">
        <v>378</v>
      </c>
      <c r="B12212" s="2" t="s">
        <v>379</v>
      </c>
      <c r="C12212" s="3">
        <v>2015</v>
      </c>
      <c r="D12212" s="4">
        <v>9799186</v>
      </c>
    </row>
    <row r="12213" spans="1:4" x14ac:dyDescent="0.3">
      <c r="A12213" s="5" t="s">
        <v>378</v>
      </c>
      <c r="B12213" s="5" t="s">
        <v>379</v>
      </c>
      <c r="C12213" s="6">
        <v>2016</v>
      </c>
      <c r="D12213" s="7">
        <v>9923085</v>
      </c>
    </row>
    <row r="12214" spans="1:4" x14ac:dyDescent="0.3">
      <c r="A12214" s="2" t="s">
        <v>378</v>
      </c>
      <c r="B12214" s="2" t="s">
        <v>379</v>
      </c>
      <c r="C12214" s="3">
        <v>2017</v>
      </c>
      <c r="D12214" s="4">
        <v>10057698</v>
      </c>
    </row>
    <row r="12215" spans="1:4" x14ac:dyDescent="0.3">
      <c r="A12215" s="5" t="s">
        <v>378</v>
      </c>
      <c r="B12215" s="5" t="s">
        <v>379</v>
      </c>
      <c r="C12215" s="6">
        <v>2018</v>
      </c>
      <c r="D12215" s="7">
        <v>10175214</v>
      </c>
    </row>
    <row r="12216" spans="1:4" x14ac:dyDescent="0.3">
      <c r="A12216" s="2" t="s">
        <v>378</v>
      </c>
      <c r="B12216" s="2" t="s">
        <v>379</v>
      </c>
      <c r="C12216" s="3">
        <v>2019</v>
      </c>
      <c r="D12216" s="4">
        <v>10278887</v>
      </c>
    </row>
    <row r="12217" spans="1:4" x14ac:dyDescent="0.3">
      <c r="A12217" s="5" t="s">
        <v>378</v>
      </c>
      <c r="B12217" s="5" t="s">
        <v>379</v>
      </c>
      <c r="C12217" s="6">
        <v>2020</v>
      </c>
      <c r="D12217" s="7">
        <v>10353442</v>
      </c>
    </row>
    <row r="12218" spans="1:4" x14ac:dyDescent="0.3">
      <c r="A12218" s="2" t="s">
        <v>378</v>
      </c>
      <c r="B12218" s="2" t="s">
        <v>379</v>
      </c>
      <c r="C12218" s="3">
        <v>2021</v>
      </c>
      <c r="D12218" s="4">
        <v>10415811</v>
      </c>
    </row>
    <row r="12219" spans="1:4" x14ac:dyDescent="0.3">
      <c r="A12219" s="5" t="s">
        <v>378</v>
      </c>
      <c r="B12219" s="5" t="s">
        <v>379</v>
      </c>
      <c r="C12219" s="6">
        <v>2022</v>
      </c>
      <c r="D12219" s="7">
        <v>10486941</v>
      </c>
    </row>
    <row r="12220" spans="1:4" x14ac:dyDescent="0.3">
      <c r="A12220" s="2" t="s">
        <v>378</v>
      </c>
      <c r="B12220" s="2" t="s">
        <v>379</v>
      </c>
      <c r="C12220" s="3">
        <v>2023</v>
      </c>
      <c r="D12220" s="4">
        <v>10536632</v>
      </c>
    </row>
    <row r="12221" spans="1:4" x14ac:dyDescent="0.3">
      <c r="A12221" s="5" t="s">
        <v>378</v>
      </c>
      <c r="B12221" s="5" t="s">
        <v>379</v>
      </c>
      <c r="C12221" s="6">
        <v>2024</v>
      </c>
      <c r="D12221" s="7">
        <v>10569709</v>
      </c>
    </row>
    <row r="12222" spans="1:4" x14ac:dyDescent="0.3">
      <c r="A12222" s="2" t="s">
        <v>380</v>
      </c>
      <c r="B12222" s="2" t="s">
        <v>381</v>
      </c>
      <c r="C12222" s="3">
        <v>1960</v>
      </c>
      <c r="D12222" s="4">
        <v>5327827</v>
      </c>
    </row>
    <row r="12223" spans="1:4" x14ac:dyDescent="0.3">
      <c r="A12223" s="5" t="s">
        <v>380</v>
      </c>
      <c r="B12223" s="5" t="s">
        <v>381</v>
      </c>
      <c r="C12223" s="6">
        <v>1961</v>
      </c>
      <c r="D12223" s="7">
        <v>5434294</v>
      </c>
    </row>
    <row r="12224" spans="1:4" x14ac:dyDescent="0.3">
      <c r="A12224" s="2" t="s">
        <v>380</v>
      </c>
      <c r="B12224" s="2" t="s">
        <v>381</v>
      </c>
      <c r="C12224" s="3">
        <v>1962</v>
      </c>
      <c r="D12224" s="4">
        <v>5573815</v>
      </c>
    </row>
    <row r="12225" spans="1:4" x14ac:dyDescent="0.3">
      <c r="A12225" s="5" t="s">
        <v>380</v>
      </c>
      <c r="B12225" s="5" t="s">
        <v>381</v>
      </c>
      <c r="C12225" s="6">
        <v>1963</v>
      </c>
      <c r="D12225" s="7">
        <v>5694247</v>
      </c>
    </row>
    <row r="12226" spans="1:4" x14ac:dyDescent="0.3">
      <c r="A12226" s="2" t="s">
        <v>380</v>
      </c>
      <c r="B12226" s="2" t="s">
        <v>381</v>
      </c>
      <c r="C12226" s="3">
        <v>1964</v>
      </c>
      <c r="D12226" s="4">
        <v>5789228</v>
      </c>
    </row>
    <row r="12227" spans="1:4" x14ac:dyDescent="0.3">
      <c r="A12227" s="5" t="s">
        <v>380</v>
      </c>
      <c r="B12227" s="5" t="s">
        <v>381</v>
      </c>
      <c r="C12227" s="6">
        <v>1965</v>
      </c>
      <c r="D12227" s="7">
        <v>5856472</v>
      </c>
    </row>
    <row r="12228" spans="1:4" x14ac:dyDescent="0.3">
      <c r="A12228" s="2" t="s">
        <v>380</v>
      </c>
      <c r="B12228" s="2" t="s">
        <v>381</v>
      </c>
      <c r="C12228" s="3">
        <v>1966</v>
      </c>
      <c r="D12228" s="4">
        <v>5918002</v>
      </c>
    </row>
    <row r="12229" spans="1:4" x14ac:dyDescent="0.3">
      <c r="A12229" s="5" t="s">
        <v>380</v>
      </c>
      <c r="B12229" s="5" t="s">
        <v>381</v>
      </c>
      <c r="C12229" s="6">
        <v>1967</v>
      </c>
      <c r="D12229" s="7">
        <v>5991785</v>
      </c>
    </row>
    <row r="12230" spans="1:4" x14ac:dyDescent="0.3">
      <c r="A12230" s="2" t="s">
        <v>380</v>
      </c>
      <c r="B12230" s="2" t="s">
        <v>381</v>
      </c>
      <c r="C12230" s="3">
        <v>1968</v>
      </c>
      <c r="D12230" s="4">
        <v>6067714</v>
      </c>
    </row>
    <row r="12231" spans="1:4" x14ac:dyDescent="0.3">
      <c r="A12231" s="5" t="s">
        <v>380</v>
      </c>
      <c r="B12231" s="5" t="s">
        <v>381</v>
      </c>
      <c r="C12231" s="6">
        <v>1969</v>
      </c>
      <c r="D12231" s="7">
        <v>6136387</v>
      </c>
    </row>
    <row r="12232" spans="1:4" x14ac:dyDescent="0.3">
      <c r="A12232" s="2" t="s">
        <v>380</v>
      </c>
      <c r="B12232" s="2" t="s">
        <v>381</v>
      </c>
      <c r="C12232" s="3">
        <v>1970</v>
      </c>
      <c r="D12232" s="4">
        <v>6180877</v>
      </c>
    </row>
    <row r="12233" spans="1:4" x14ac:dyDescent="0.3">
      <c r="A12233" s="5" t="s">
        <v>380</v>
      </c>
      <c r="B12233" s="5" t="s">
        <v>381</v>
      </c>
      <c r="C12233" s="6">
        <v>1971</v>
      </c>
      <c r="D12233" s="7">
        <v>6213399</v>
      </c>
    </row>
    <row r="12234" spans="1:4" x14ac:dyDescent="0.3">
      <c r="A12234" s="2" t="s">
        <v>380</v>
      </c>
      <c r="B12234" s="2" t="s">
        <v>381</v>
      </c>
      <c r="C12234" s="3">
        <v>1972</v>
      </c>
      <c r="D12234" s="4">
        <v>6260956</v>
      </c>
    </row>
    <row r="12235" spans="1:4" x14ac:dyDescent="0.3">
      <c r="A12235" s="5" t="s">
        <v>380</v>
      </c>
      <c r="B12235" s="5" t="s">
        <v>381</v>
      </c>
      <c r="C12235" s="6">
        <v>1973</v>
      </c>
      <c r="D12235" s="7">
        <v>6307347</v>
      </c>
    </row>
    <row r="12236" spans="1:4" x14ac:dyDescent="0.3">
      <c r="A12236" s="2" t="s">
        <v>380</v>
      </c>
      <c r="B12236" s="2" t="s">
        <v>381</v>
      </c>
      <c r="C12236" s="3">
        <v>1974</v>
      </c>
      <c r="D12236" s="4">
        <v>6341405</v>
      </c>
    </row>
    <row r="12237" spans="1:4" x14ac:dyDescent="0.3">
      <c r="A12237" s="5" t="s">
        <v>380</v>
      </c>
      <c r="B12237" s="5" t="s">
        <v>381</v>
      </c>
      <c r="C12237" s="6">
        <v>1975</v>
      </c>
      <c r="D12237" s="7">
        <v>6338632</v>
      </c>
    </row>
    <row r="12238" spans="1:4" x14ac:dyDescent="0.3">
      <c r="A12238" s="2" t="s">
        <v>380</v>
      </c>
      <c r="B12238" s="2" t="s">
        <v>381</v>
      </c>
      <c r="C12238" s="3">
        <v>1976</v>
      </c>
      <c r="D12238" s="4">
        <v>6302504</v>
      </c>
    </row>
    <row r="12239" spans="1:4" x14ac:dyDescent="0.3">
      <c r="A12239" s="5" t="s">
        <v>380</v>
      </c>
      <c r="B12239" s="5" t="s">
        <v>381</v>
      </c>
      <c r="C12239" s="6">
        <v>1977</v>
      </c>
      <c r="D12239" s="7">
        <v>6281174</v>
      </c>
    </row>
    <row r="12240" spans="1:4" x14ac:dyDescent="0.3">
      <c r="A12240" s="2" t="s">
        <v>380</v>
      </c>
      <c r="B12240" s="2" t="s">
        <v>381</v>
      </c>
      <c r="C12240" s="3">
        <v>1978</v>
      </c>
      <c r="D12240" s="4">
        <v>6281738</v>
      </c>
    </row>
    <row r="12241" spans="1:4" x14ac:dyDescent="0.3">
      <c r="A12241" s="5" t="s">
        <v>380</v>
      </c>
      <c r="B12241" s="5" t="s">
        <v>381</v>
      </c>
      <c r="C12241" s="6">
        <v>1979</v>
      </c>
      <c r="D12241" s="7">
        <v>6294365</v>
      </c>
    </row>
    <row r="12242" spans="1:4" x14ac:dyDescent="0.3">
      <c r="A12242" s="2" t="s">
        <v>380</v>
      </c>
      <c r="B12242" s="2" t="s">
        <v>381</v>
      </c>
      <c r="C12242" s="3">
        <v>1980</v>
      </c>
      <c r="D12242" s="4">
        <v>6319408</v>
      </c>
    </row>
    <row r="12243" spans="1:4" x14ac:dyDescent="0.3">
      <c r="A12243" s="5" t="s">
        <v>380</v>
      </c>
      <c r="B12243" s="5" t="s">
        <v>381</v>
      </c>
      <c r="C12243" s="6">
        <v>1981</v>
      </c>
      <c r="D12243" s="7">
        <v>6354074</v>
      </c>
    </row>
    <row r="12244" spans="1:4" x14ac:dyDescent="0.3">
      <c r="A12244" s="2" t="s">
        <v>380</v>
      </c>
      <c r="B12244" s="2" t="s">
        <v>381</v>
      </c>
      <c r="C12244" s="3">
        <v>1982</v>
      </c>
      <c r="D12244" s="4">
        <v>6391309</v>
      </c>
    </row>
    <row r="12245" spans="1:4" x14ac:dyDescent="0.3">
      <c r="A12245" s="5" t="s">
        <v>380</v>
      </c>
      <c r="B12245" s="5" t="s">
        <v>381</v>
      </c>
      <c r="C12245" s="6">
        <v>1983</v>
      </c>
      <c r="D12245" s="7">
        <v>6418773</v>
      </c>
    </row>
    <row r="12246" spans="1:4" x14ac:dyDescent="0.3">
      <c r="A12246" s="2" t="s">
        <v>380</v>
      </c>
      <c r="B12246" s="2" t="s">
        <v>381</v>
      </c>
      <c r="C12246" s="3">
        <v>1984</v>
      </c>
      <c r="D12246" s="4">
        <v>6441865</v>
      </c>
    </row>
    <row r="12247" spans="1:4" x14ac:dyDescent="0.3">
      <c r="A12247" s="5" t="s">
        <v>380</v>
      </c>
      <c r="B12247" s="5" t="s">
        <v>381</v>
      </c>
      <c r="C12247" s="6">
        <v>1985</v>
      </c>
      <c r="D12247" s="7">
        <v>6470365</v>
      </c>
    </row>
    <row r="12248" spans="1:4" x14ac:dyDescent="0.3">
      <c r="A12248" s="2" t="s">
        <v>380</v>
      </c>
      <c r="B12248" s="2" t="s">
        <v>381</v>
      </c>
      <c r="C12248" s="3">
        <v>1986</v>
      </c>
      <c r="D12248" s="4">
        <v>6504124</v>
      </c>
    </row>
    <row r="12249" spans="1:4" x14ac:dyDescent="0.3">
      <c r="A12249" s="5" t="s">
        <v>380</v>
      </c>
      <c r="B12249" s="5" t="s">
        <v>381</v>
      </c>
      <c r="C12249" s="6">
        <v>1987</v>
      </c>
      <c r="D12249" s="7">
        <v>6545106</v>
      </c>
    </row>
    <row r="12250" spans="1:4" x14ac:dyDescent="0.3">
      <c r="A12250" s="2" t="s">
        <v>380</v>
      </c>
      <c r="B12250" s="2" t="s">
        <v>381</v>
      </c>
      <c r="C12250" s="3">
        <v>1988</v>
      </c>
      <c r="D12250" s="4">
        <v>6593386</v>
      </c>
    </row>
    <row r="12251" spans="1:4" x14ac:dyDescent="0.3">
      <c r="A12251" s="5" t="s">
        <v>380</v>
      </c>
      <c r="B12251" s="5" t="s">
        <v>381</v>
      </c>
      <c r="C12251" s="6">
        <v>1989</v>
      </c>
      <c r="D12251" s="7">
        <v>6646912</v>
      </c>
    </row>
    <row r="12252" spans="1:4" x14ac:dyDescent="0.3">
      <c r="A12252" s="2" t="s">
        <v>380</v>
      </c>
      <c r="B12252" s="2" t="s">
        <v>381</v>
      </c>
      <c r="C12252" s="3">
        <v>1990</v>
      </c>
      <c r="D12252" s="4">
        <v>6715519</v>
      </c>
    </row>
    <row r="12253" spans="1:4" x14ac:dyDescent="0.3">
      <c r="A12253" s="5" t="s">
        <v>380</v>
      </c>
      <c r="B12253" s="5" t="s">
        <v>381</v>
      </c>
      <c r="C12253" s="6">
        <v>1991</v>
      </c>
      <c r="D12253" s="7">
        <v>6799978</v>
      </c>
    </row>
    <row r="12254" spans="1:4" x14ac:dyDescent="0.3">
      <c r="A12254" s="2" t="s">
        <v>380</v>
      </c>
      <c r="B12254" s="2" t="s">
        <v>381</v>
      </c>
      <c r="C12254" s="3">
        <v>1992</v>
      </c>
      <c r="D12254" s="4">
        <v>6875364</v>
      </c>
    </row>
    <row r="12255" spans="1:4" x14ac:dyDescent="0.3">
      <c r="A12255" s="5" t="s">
        <v>380</v>
      </c>
      <c r="B12255" s="5" t="s">
        <v>381</v>
      </c>
      <c r="C12255" s="6">
        <v>1993</v>
      </c>
      <c r="D12255" s="7">
        <v>6938265</v>
      </c>
    </row>
    <row r="12256" spans="1:4" x14ac:dyDescent="0.3">
      <c r="A12256" s="2" t="s">
        <v>380</v>
      </c>
      <c r="B12256" s="2" t="s">
        <v>381</v>
      </c>
      <c r="C12256" s="3">
        <v>1994</v>
      </c>
      <c r="D12256" s="4">
        <v>6993795</v>
      </c>
    </row>
    <row r="12257" spans="1:4" x14ac:dyDescent="0.3">
      <c r="A12257" s="5" t="s">
        <v>380</v>
      </c>
      <c r="B12257" s="5" t="s">
        <v>381</v>
      </c>
      <c r="C12257" s="6">
        <v>1995</v>
      </c>
      <c r="D12257" s="7">
        <v>7040687</v>
      </c>
    </row>
    <row r="12258" spans="1:4" x14ac:dyDescent="0.3">
      <c r="A12258" s="2" t="s">
        <v>380</v>
      </c>
      <c r="B12258" s="2" t="s">
        <v>381</v>
      </c>
      <c r="C12258" s="3">
        <v>1996</v>
      </c>
      <c r="D12258" s="4">
        <v>7071850</v>
      </c>
    </row>
    <row r="12259" spans="1:4" x14ac:dyDescent="0.3">
      <c r="A12259" s="5" t="s">
        <v>380</v>
      </c>
      <c r="B12259" s="5" t="s">
        <v>381</v>
      </c>
      <c r="C12259" s="6">
        <v>1997</v>
      </c>
      <c r="D12259" s="7">
        <v>7088906</v>
      </c>
    </row>
    <row r="12260" spans="1:4" x14ac:dyDescent="0.3">
      <c r="A12260" s="2" t="s">
        <v>380</v>
      </c>
      <c r="B12260" s="2" t="s">
        <v>381</v>
      </c>
      <c r="C12260" s="3">
        <v>1998</v>
      </c>
      <c r="D12260" s="4">
        <v>7110001</v>
      </c>
    </row>
    <row r="12261" spans="1:4" x14ac:dyDescent="0.3">
      <c r="A12261" s="5" t="s">
        <v>380</v>
      </c>
      <c r="B12261" s="5" t="s">
        <v>381</v>
      </c>
      <c r="C12261" s="6">
        <v>1999</v>
      </c>
      <c r="D12261" s="7">
        <v>7143991</v>
      </c>
    </row>
    <row r="12262" spans="1:4" x14ac:dyDescent="0.3">
      <c r="A12262" s="2" t="s">
        <v>380</v>
      </c>
      <c r="B12262" s="2" t="s">
        <v>381</v>
      </c>
      <c r="C12262" s="3">
        <v>2000</v>
      </c>
      <c r="D12262" s="4">
        <v>7184250</v>
      </c>
    </row>
    <row r="12263" spans="1:4" x14ac:dyDescent="0.3">
      <c r="A12263" s="5" t="s">
        <v>380</v>
      </c>
      <c r="B12263" s="5" t="s">
        <v>381</v>
      </c>
      <c r="C12263" s="6">
        <v>2001</v>
      </c>
      <c r="D12263" s="7">
        <v>7229854</v>
      </c>
    </row>
    <row r="12264" spans="1:4" x14ac:dyDescent="0.3">
      <c r="A12264" s="2" t="s">
        <v>380</v>
      </c>
      <c r="B12264" s="2" t="s">
        <v>381</v>
      </c>
      <c r="C12264" s="3">
        <v>2002</v>
      </c>
      <c r="D12264" s="4">
        <v>7284753</v>
      </c>
    </row>
    <row r="12265" spans="1:4" x14ac:dyDescent="0.3">
      <c r="A12265" s="5" t="s">
        <v>380</v>
      </c>
      <c r="B12265" s="5" t="s">
        <v>381</v>
      </c>
      <c r="C12265" s="6">
        <v>2003</v>
      </c>
      <c r="D12265" s="7">
        <v>7339001</v>
      </c>
    </row>
    <row r="12266" spans="1:4" x14ac:dyDescent="0.3">
      <c r="A12266" s="2" t="s">
        <v>380</v>
      </c>
      <c r="B12266" s="2" t="s">
        <v>381</v>
      </c>
      <c r="C12266" s="3">
        <v>2004</v>
      </c>
      <c r="D12266" s="4">
        <v>7389625</v>
      </c>
    </row>
    <row r="12267" spans="1:4" x14ac:dyDescent="0.3">
      <c r="A12267" s="5" t="s">
        <v>380</v>
      </c>
      <c r="B12267" s="5" t="s">
        <v>381</v>
      </c>
      <c r="C12267" s="6">
        <v>2005</v>
      </c>
      <c r="D12267" s="7">
        <v>7437115</v>
      </c>
    </row>
    <row r="12268" spans="1:4" x14ac:dyDescent="0.3">
      <c r="A12268" s="2" t="s">
        <v>380</v>
      </c>
      <c r="B12268" s="2" t="s">
        <v>381</v>
      </c>
      <c r="C12268" s="3">
        <v>2006</v>
      </c>
      <c r="D12268" s="4">
        <v>7483934</v>
      </c>
    </row>
    <row r="12269" spans="1:4" x14ac:dyDescent="0.3">
      <c r="A12269" s="5" t="s">
        <v>380</v>
      </c>
      <c r="B12269" s="5" t="s">
        <v>381</v>
      </c>
      <c r="C12269" s="6">
        <v>2007</v>
      </c>
      <c r="D12269" s="7">
        <v>7551117</v>
      </c>
    </row>
    <row r="12270" spans="1:4" x14ac:dyDescent="0.3">
      <c r="A12270" s="2" t="s">
        <v>380</v>
      </c>
      <c r="B12270" s="2" t="s">
        <v>381</v>
      </c>
      <c r="C12270" s="3">
        <v>2008</v>
      </c>
      <c r="D12270" s="4">
        <v>7647675</v>
      </c>
    </row>
    <row r="12271" spans="1:4" x14ac:dyDescent="0.3">
      <c r="A12271" s="5" t="s">
        <v>380</v>
      </c>
      <c r="B12271" s="5" t="s">
        <v>381</v>
      </c>
      <c r="C12271" s="6">
        <v>2009</v>
      </c>
      <c r="D12271" s="7">
        <v>7743831</v>
      </c>
    </row>
    <row r="12272" spans="1:4" x14ac:dyDescent="0.3">
      <c r="A12272" s="2" t="s">
        <v>380</v>
      </c>
      <c r="B12272" s="2" t="s">
        <v>381</v>
      </c>
      <c r="C12272" s="3">
        <v>2010</v>
      </c>
      <c r="D12272" s="4">
        <v>7824909</v>
      </c>
    </row>
    <row r="12273" spans="1:4" x14ac:dyDescent="0.3">
      <c r="A12273" s="5" t="s">
        <v>380</v>
      </c>
      <c r="B12273" s="5" t="s">
        <v>381</v>
      </c>
      <c r="C12273" s="6">
        <v>2011</v>
      </c>
      <c r="D12273" s="7">
        <v>7912398</v>
      </c>
    </row>
    <row r="12274" spans="1:4" x14ac:dyDescent="0.3">
      <c r="A12274" s="2" t="s">
        <v>380</v>
      </c>
      <c r="B12274" s="2" t="s">
        <v>381</v>
      </c>
      <c r="C12274" s="3">
        <v>2012</v>
      </c>
      <c r="D12274" s="4">
        <v>7996861</v>
      </c>
    </row>
    <row r="12275" spans="1:4" x14ac:dyDescent="0.3">
      <c r="A12275" s="5" t="s">
        <v>380</v>
      </c>
      <c r="B12275" s="5" t="s">
        <v>381</v>
      </c>
      <c r="C12275" s="6">
        <v>2013</v>
      </c>
      <c r="D12275" s="7">
        <v>8089346</v>
      </c>
    </row>
    <row r="12276" spans="1:4" x14ac:dyDescent="0.3">
      <c r="A12276" s="2" t="s">
        <v>380</v>
      </c>
      <c r="B12276" s="2" t="s">
        <v>381</v>
      </c>
      <c r="C12276" s="3">
        <v>2014</v>
      </c>
      <c r="D12276" s="4">
        <v>8188649</v>
      </c>
    </row>
    <row r="12277" spans="1:4" x14ac:dyDescent="0.3">
      <c r="A12277" s="5" t="s">
        <v>380</v>
      </c>
      <c r="B12277" s="5" t="s">
        <v>381</v>
      </c>
      <c r="C12277" s="6">
        <v>2015</v>
      </c>
      <c r="D12277" s="7">
        <v>8282396</v>
      </c>
    </row>
    <row r="12278" spans="1:4" x14ac:dyDescent="0.3">
      <c r="A12278" s="2" t="s">
        <v>380</v>
      </c>
      <c r="B12278" s="2" t="s">
        <v>381</v>
      </c>
      <c r="C12278" s="3">
        <v>2016</v>
      </c>
      <c r="D12278" s="4">
        <v>8373338</v>
      </c>
    </row>
    <row r="12279" spans="1:4" x14ac:dyDescent="0.3">
      <c r="A12279" s="5" t="s">
        <v>380</v>
      </c>
      <c r="B12279" s="5" t="s">
        <v>381</v>
      </c>
      <c r="C12279" s="6">
        <v>2017</v>
      </c>
      <c r="D12279" s="7">
        <v>8451840</v>
      </c>
    </row>
    <row r="12280" spans="1:4" x14ac:dyDescent="0.3">
      <c r="A12280" s="2" t="s">
        <v>380</v>
      </c>
      <c r="B12280" s="2" t="s">
        <v>381</v>
      </c>
      <c r="C12280" s="3">
        <v>2018</v>
      </c>
      <c r="D12280" s="4">
        <v>8514329</v>
      </c>
    </row>
    <row r="12281" spans="1:4" x14ac:dyDescent="0.3">
      <c r="A12281" s="5" t="s">
        <v>380</v>
      </c>
      <c r="B12281" s="5" t="s">
        <v>381</v>
      </c>
      <c r="C12281" s="6">
        <v>2019</v>
      </c>
      <c r="D12281" s="7">
        <v>8575280</v>
      </c>
    </row>
    <row r="12282" spans="1:4" x14ac:dyDescent="0.3">
      <c r="A12282" s="2" t="s">
        <v>380</v>
      </c>
      <c r="B12282" s="2" t="s">
        <v>381</v>
      </c>
      <c r="C12282" s="3">
        <v>2020</v>
      </c>
      <c r="D12282" s="4">
        <v>8638167</v>
      </c>
    </row>
    <row r="12283" spans="1:4" x14ac:dyDescent="0.3">
      <c r="A12283" s="5" t="s">
        <v>380</v>
      </c>
      <c r="B12283" s="5" t="s">
        <v>381</v>
      </c>
      <c r="C12283" s="6">
        <v>2021</v>
      </c>
      <c r="D12283" s="7">
        <v>8704546</v>
      </c>
    </row>
    <row r="12284" spans="1:4" x14ac:dyDescent="0.3">
      <c r="A12284" s="2" t="s">
        <v>380</v>
      </c>
      <c r="B12284" s="2" t="s">
        <v>381</v>
      </c>
      <c r="C12284" s="3">
        <v>2022</v>
      </c>
      <c r="D12284" s="4">
        <v>8777088</v>
      </c>
    </row>
    <row r="12285" spans="1:4" x14ac:dyDescent="0.3">
      <c r="A12285" s="5" t="s">
        <v>380</v>
      </c>
      <c r="B12285" s="5" t="s">
        <v>381</v>
      </c>
      <c r="C12285" s="6">
        <v>2023</v>
      </c>
      <c r="D12285" s="7">
        <v>8888093</v>
      </c>
    </row>
    <row r="12286" spans="1:4" x14ac:dyDescent="0.3">
      <c r="A12286" s="2" t="s">
        <v>380</v>
      </c>
      <c r="B12286" s="2" t="s">
        <v>381</v>
      </c>
      <c r="C12286" s="3">
        <v>2024</v>
      </c>
      <c r="D12286" s="4">
        <v>9034102</v>
      </c>
    </row>
    <row r="12287" spans="1:4" x14ac:dyDescent="0.3">
      <c r="A12287" s="5" t="s">
        <v>382</v>
      </c>
      <c r="B12287" s="5" t="s">
        <v>383</v>
      </c>
      <c r="C12287" s="6">
        <v>1960</v>
      </c>
      <c r="D12287" s="7">
        <v>4673500</v>
      </c>
    </row>
    <row r="12288" spans="1:4" x14ac:dyDescent="0.3">
      <c r="A12288" s="2" t="s">
        <v>382</v>
      </c>
      <c r="B12288" s="2" t="s">
        <v>383</v>
      </c>
      <c r="C12288" s="3">
        <v>1961</v>
      </c>
      <c r="D12288" s="4">
        <v>4815466</v>
      </c>
    </row>
    <row r="12289" spans="1:4" x14ac:dyDescent="0.3">
      <c r="A12289" s="5" t="s">
        <v>382</v>
      </c>
      <c r="B12289" s="5" t="s">
        <v>383</v>
      </c>
      <c r="C12289" s="6">
        <v>1962</v>
      </c>
      <c r="D12289" s="7">
        <v>4959340</v>
      </c>
    </row>
    <row r="12290" spans="1:4" x14ac:dyDescent="0.3">
      <c r="A12290" s="2" t="s">
        <v>382</v>
      </c>
      <c r="B12290" s="2" t="s">
        <v>383</v>
      </c>
      <c r="C12290" s="3">
        <v>1963</v>
      </c>
      <c r="D12290" s="4">
        <v>5110467</v>
      </c>
    </row>
    <row r="12291" spans="1:4" x14ac:dyDescent="0.3">
      <c r="A12291" s="5" t="s">
        <v>382</v>
      </c>
      <c r="B12291" s="5" t="s">
        <v>383</v>
      </c>
      <c r="C12291" s="6">
        <v>1964</v>
      </c>
      <c r="D12291" s="7">
        <v>5269087</v>
      </c>
    </row>
    <row r="12292" spans="1:4" x14ac:dyDescent="0.3">
      <c r="A12292" s="2" t="s">
        <v>382</v>
      </c>
      <c r="B12292" s="2" t="s">
        <v>383</v>
      </c>
      <c r="C12292" s="3">
        <v>1965</v>
      </c>
      <c r="D12292" s="4">
        <v>5435267</v>
      </c>
    </row>
    <row r="12293" spans="1:4" x14ac:dyDescent="0.3">
      <c r="A12293" s="5" t="s">
        <v>382</v>
      </c>
      <c r="B12293" s="5" t="s">
        <v>383</v>
      </c>
      <c r="C12293" s="6">
        <v>1966</v>
      </c>
      <c r="D12293" s="7">
        <v>5609047</v>
      </c>
    </row>
    <row r="12294" spans="1:4" x14ac:dyDescent="0.3">
      <c r="A12294" s="2" t="s">
        <v>382</v>
      </c>
      <c r="B12294" s="2" t="s">
        <v>383</v>
      </c>
      <c r="C12294" s="3">
        <v>1967</v>
      </c>
      <c r="D12294" s="4">
        <v>5790198</v>
      </c>
    </row>
    <row r="12295" spans="1:4" x14ac:dyDescent="0.3">
      <c r="A12295" s="5" t="s">
        <v>382</v>
      </c>
      <c r="B12295" s="5" t="s">
        <v>383</v>
      </c>
      <c r="C12295" s="6">
        <v>1968</v>
      </c>
      <c r="D12295" s="7">
        <v>5978742</v>
      </c>
    </row>
    <row r="12296" spans="1:4" x14ac:dyDescent="0.3">
      <c r="A12296" s="2" t="s">
        <v>382</v>
      </c>
      <c r="B12296" s="2" t="s">
        <v>383</v>
      </c>
      <c r="C12296" s="3">
        <v>1969</v>
      </c>
      <c r="D12296" s="4">
        <v>6175166</v>
      </c>
    </row>
    <row r="12297" spans="1:4" x14ac:dyDescent="0.3">
      <c r="A12297" s="5" t="s">
        <v>382</v>
      </c>
      <c r="B12297" s="5" t="s">
        <v>383</v>
      </c>
      <c r="C12297" s="6">
        <v>1970</v>
      </c>
      <c r="D12297" s="7">
        <v>6380609</v>
      </c>
    </row>
    <row r="12298" spans="1:4" x14ac:dyDescent="0.3">
      <c r="A12298" s="2" t="s">
        <v>382</v>
      </c>
      <c r="B12298" s="2" t="s">
        <v>383</v>
      </c>
      <c r="C12298" s="3">
        <v>1971</v>
      </c>
      <c r="D12298" s="4">
        <v>6598094</v>
      </c>
    </row>
    <row r="12299" spans="1:4" x14ac:dyDescent="0.3">
      <c r="A12299" s="5" t="s">
        <v>382</v>
      </c>
      <c r="B12299" s="5" t="s">
        <v>383</v>
      </c>
      <c r="C12299" s="6">
        <v>1972</v>
      </c>
      <c r="D12299" s="7">
        <v>6826024</v>
      </c>
    </row>
    <row r="12300" spans="1:4" x14ac:dyDescent="0.3">
      <c r="A12300" s="2" t="s">
        <v>382</v>
      </c>
      <c r="B12300" s="2" t="s">
        <v>383</v>
      </c>
      <c r="C12300" s="3">
        <v>1973</v>
      </c>
      <c r="D12300" s="4">
        <v>7060321</v>
      </c>
    </row>
    <row r="12301" spans="1:4" x14ac:dyDescent="0.3">
      <c r="A12301" s="5" t="s">
        <v>382</v>
      </c>
      <c r="B12301" s="5" t="s">
        <v>383</v>
      </c>
      <c r="C12301" s="6">
        <v>1974</v>
      </c>
      <c r="D12301" s="7">
        <v>7302160</v>
      </c>
    </row>
    <row r="12302" spans="1:4" x14ac:dyDescent="0.3">
      <c r="A12302" s="2" t="s">
        <v>382</v>
      </c>
      <c r="B12302" s="2" t="s">
        <v>383</v>
      </c>
      <c r="C12302" s="3">
        <v>1975</v>
      </c>
      <c r="D12302" s="4">
        <v>7554364</v>
      </c>
    </row>
    <row r="12303" spans="1:4" x14ac:dyDescent="0.3">
      <c r="A12303" s="5" t="s">
        <v>382</v>
      </c>
      <c r="B12303" s="5" t="s">
        <v>383</v>
      </c>
      <c r="C12303" s="6">
        <v>1976</v>
      </c>
      <c r="D12303" s="7">
        <v>7817320</v>
      </c>
    </row>
    <row r="12304" spans="1:4" x14ac:dyDescent="0.3">
      <c r="A12304" s="2" t="s">
        <v>382</v>
      </c>
      <c r="B12304" s="2" t="s">
        <v>383</v>
      </c>
      <c r="C12304" s="3">
        <v>1977</v>
      </c>
      <c r="D12304" s="4">
        <v>8090501</v>
      </c>
    </row>
    <row r="12305" spans="1:4" x14ac:dyDescent="0.3">
      <c r="A12305" s="5" t="s">
        <v>382</v>
      </c>
      <c r="B12305" s="5" t="s">
        <v>383</v>
      </c>
      <c r="C12305" s="6">
        <v>1978</v>
      </c>
      <c r="D12305" s="7">
        <v>8372759</v>
      </c>
    </row>
    <row r="12306" spans="1:4" x14ac:dyDescent="0.3">
      <c r="A12306" s="2" t="s">
        <v>382</v>
      </c>
      <c r="B12306" s="2" t="s">
        <v>383</v>
      </c>
      <c r="C12306" s="3">
        <v>1979</v>
      </c>
      <c r="D12306" s="4">
        <v>8661909</v>
      </c>
    </row>
    <row r="12307" spans="1:4" x14ac:dyDescent="0.3">
      <c r="A12307" s="5" t="s">
        <v>382</v>
      </c>
      <c r="B12307" s="5" t="s">
        <v>383</v>
      </c>
      <c r="C12307" s="6">
        <v>1980</v>
      </c>
      <c r="D12307" s="7">
        <v>8957663</v>
      </c>
    </row>
    <row r="12308" spans="1:4" x14ac:dyDescent="0.3">
      <c r="A12308" s="2" t="s">
        <v>382</v>
      </c>
      <c r="B12308" s="2" t="s">
        <v>383</v>
      </c>
      <c r="C12308" s="3">
        <v>1981</v>
      </c>
      <c r="D12308" s="4">
        <v>9260189</v>
      </c>
    </row>
    <row r="12309" spans="1:4" x14ac:dyDescent="0.3">
      <c r="A12309" s="5" t="s">
        <v>382</v>
      </c>
      <c r="B12309" s="5" t="s">
        <v>383</v>
      </c>
      <c r="C12309" s="6">
        <v>1982</v>
      </c>
      <c r="D12309" s="7">
        <v>9572511</v>
      </c>
    </row>
    <row r="12310" spans="1:4" x14ac:dyDescent="0.3">
      <c r="A12310" s="2" t="s">
        <v>382</v>
      </c>
      <c r="B12310" s="2" t="s">
        <v>383</v>
      </c>
      <c r="C12310" s="3">
        <v>1983</v>
      </c>
      <c r="D12310" s="4">
        <v>9904809</v>
      </c>
    </row>
    <row r="12311" spans="1:4" x14ac:dyDescent="0.3">
      <c r="A12311" s="5" t="s">
        <v>382</v>
      </c>
      <c r="B12311" s="5" t="s">
        <v>383</v>
      </c>
      <c r="C12311" s="6">
        <v>1984</v>
      </c>
      <c r="D12311" s="7">
        <v>10258398</v>
      </c>
    </row>
    <row r="12312" spans="1:4" x14ac:dyDescent="0.3">
      <c r="A12312" s="2" t="s">
        <v>382</v>
      </c>
      <c r="B12312" s="2" t="s">
        <v>383</v>
      </c>
      <c r="C12312" s="3">
        <v>1985</v>
      </c>
      <c r="D12312" s="4">
        <v>10625672</v>
      </c>
    </row>
    <row r="12313" spans="1:4" x14ac:dyDescent="0.3">
      <c r="A12313" s="5" t="s">
        <v>382</v>
      </c>
      <c r="B12313" s="5" t="s">
        <v>383</v>
      </c>
      <c r="C12313" s="6">
        <v>1986</v>
      </c>
      <c r="D12313" s="7">
        <v>11002844</v>
      </c>
    </row>
    <row r="12314" spans="1:4" x14ac:dyDescent="0.3">
      <c r="A12314" s="2" t="s">
        <v>382</v>
      </c>
      <c r="B12314" s="2" t="s">
        <v>383</v>
      </c>
      <c r="C12314" s="3">
        <v>1987</v>
      </c>
      <c r="D12314" s="4">
        <v>11388923</v>
      </c>
    </row>
    <row r="12315" spans="1:4" x14ac:dyDescent="0.3">
      <c r="A12315" s="5" t="s">
        <v>382</v>
      </c>
      <c r="B12315" s="5" t="s">
        <v>383</v>
      </c>
      <c r="C12315" s="6">
        <v>1988</v>
      </c>
      <c r="D12315" s="7">
        <v>11782264</v>
      </c>
    </row>
    <row r="12316" spans="1:4" x14ac:dyDescent="0.3">
      <c r="A12316" s="2" t="s">
        <v>382</v>
      </c>
      <c r="B12316" s="2" t="s">
        <v>383</v>
      </c>
      <c r="C12316" s="3">
        <v>1989</v>
      </c>
      <c r="D12316" s="4">
        <v>12179060</v>
      </c>
    </row>
    <row r="12317" spans="1:4" x14ac:dyDescent="0.3">
      <c r="A12317" s="5" t="s">
        <v>382</v>
      </c>
      <c r="B12317" s="5" t="s">
        <v>383</v>
      </c>
      <c r="C12317" s="6">
        <v>1990</v>
      </c>
      <c r="D12317" s="7">
        <v>12579208</v>
      </c>
    </row>
    <row r="12318" spans="1:4" x14ac:dyDescent="0.3">
      <c r="A12318" s="2" t="s">
        <v>382</v>
      </c>
      <c r="B12318" s="2" t="s">
        <v>383</v>
      </c>
      <c r="C12318" s="3">
        <v>1991</v>
      </c>
      <c r="D12318" s="4">
        <v>12980821</v>
      </c>
    </row>
    <row r="12319" spans="1:4" x14ac:dyDescent="0.3">
      <c r="A12319" s="5" t="s">
        <v>382</v>
      </c>
      <c r="B12319" s="5" t="s">
        <v>383</v>
      </c>
      <c r="C12319" s="6">
        <v>1992</v>
      </c>
      <c r="D12319" s="7">
        <v>13385571</v>
      </c>
    </row>
    <row r="12320" spans="1:4" x14ac:dyDescent="0.3">
      <c r="A12320" s="2" t="s">
        <v>382</v>
      </c>
      <c r="B12320" s="2" t="s">
        <v>383</v>
      </c>
      <c r="C12320" s="3">
        <v>1993</v>
      </c>
      <c r="D12320" s="4">
        <v>13795686</v>
      </c>
    </row>
    <row r="12321" spans="1:4" x14ac:dyDescent="0.3">
      <c r="A12321" s="5" t="s">
        <v>382</v>
      </c>
      <c r="B12321" s="5" t="s">
        <v>383</v>
      </c>
      <c r="C12321" s="6">
        <v>1994</v>
      </c>
      <c r="D12321" s="7">
        <v>14208583</v>
      </c>
    </row>
    <row r="12322" spans="1:4" x14ac:dyDescent="0.3">
      <c r="A12322" s="2" t="s">
        <v>382</v>
      </c>
      <c r="B12322" s="2" t="s">
        <v>383</v>
      </c>
      <c r="C12322" s="3">
        <v>1995</v>
      </c>
      <c r="D12322" s="4">
        <v>14616801</v>
      </c>
    </row>
    <row r="12323" spans="1:4" x14ac:dyDescent="0.3">
      <c r="A12323" s="5" t="s">
        <v>382</v>
      </c>
      <c r="B12323" s="5" t="s">
        <v>383</v>
      </c>
      <c r="C12323" s="6">
        <v>1996</v>
      </c>
      <c r="D12323" s="7">
        <v>15018104</v>
      </c>
    </row>
    <row r="12324" spans="1:4" x14ac:dyDescent="0.3">
      <c r="A12324" s="2" t="s">
        <v>382</v>
      </c>
      <c r="B12324" s="2" t="s">
        <v>383</v>
      </c>
      <c r="C12324" s="3">
        <v>1997</v>
      </c>
      <c r="D12324" s="4">
        <v>15417542</v>
      </c>
    </row>
    <row r="12325" spans="1:4" x14ac:dyDescent="0.3">
      <c r="A12325" s="5" t="s">
        <v>382</v>
      </c>
      <c r="B12325" s="5" t="s">
        <v>383</v>
      </c>
      <c r="C12325" s="6">
        <v>1998</v>
      </c>
      <c r="D12325" s="7">
        <v>15820413</v>
      </c>
    </row>
    <row r="12326" spans="1:4" x14ac:dyDescent="0.3">
      <c r="A12326" s="2" t="s">
        <v>382</v>
      </c>
      <c r="B12326" s="2" t="s">
        <v>383</v>
      </c>
      <c r="C12326" s="3">
        <v>1999</v>
      </c>
      <c r="D12326" s="4">
        <v>16228061</v>
      </c>
    </row>
    <row r="12327" spans="1:4" x14ac:dyDescent="0.3">
      <c r="A12327" s="5" t="s">
        <v>382</v>
      </c>
      <c r="B12327" s="5" t="s">
        <v>383</v>
      </c>
      <c r="C12327" s="6">
        <v>2000</v>
      </c>
      <c r="D12327" s="7">
        <v>16637888</v>
      </c>
    </row>
    <row r="12328" spans="1:4" x14ac:dyDescent="0.3">
      <c r="A12328" s="2" t="s">
        <v>382</v>
      </c>
      <c r="B12328" s="2" t="s">
        <v>383</v>
      </c>
      <c r="C12328" s="3">
        <v>2001</v>
      </c>
      <c r="D12328" s="4">
        <v>17051338</v>
      </c>
    </row>
    <row r="12329" spans="1:4" x14ac:dyDescent="0.3">
      <c r="A12329" s="5" t="s">
        <v>382</v>
      </c>
      <c r="B12329" s="5" t="s">
        <v>383</v>
      </c>
      <c r="C12329" s="6">
        <v>2002</v>
      </c>
      <c r="D12329" s="7">
        <v>17468332</v>
      </c>
    </row>
    <row r="12330" spans="1:4" x14ac:dyDescent="0.3">
      <c r="A12330" s="2" t="s">
        <v>382</v>
      </c>
      <c r="B12330" s="2" t="s">
        <v>383</v>
      </c>
      <c r="C12330" s="3">
        <v>2003</v>
      </c>
      <c r="D12330" s="4">
        <v>17889296</v>
      </c>
    </row>
    <row r="12331" spans="1:4" x14ac:dyDescent="0.3">
      <c r="A12331" s="5" t="s">
        <v>382</v>
      </c>
      <c r="B12331" s="5" t="s">
        <v>383</v>
      </c>
      <c r="C12331" s="6">
        <v>2004</v>
      </c>
      <c r="D12331" s="7">
        <v>18336875</v>
      </c>
    </row>
    <row r="12332" spans="1:4" x14ac:dyDescent="0.3">
      <c r="A12332" s="2" t="s">
        <v>382</v>
      </c>
      <c r="B12332" s="2" t="s">
        <v>383</v>
      </c>
      <c r="C12332" s="3">
        <v>2005</v>
      </c>
      <c r="D12332" s="4">
        <v>18814091</v>
      </c>
    </row>
    <row r="12333" spans="1:4" x14ac:dyDescent="0.3">
      <c r="A12333" s="5" t="s">
        <v>382</v>
      </c>
      <c r="B12333" s="5" t="s">
        <v>383</v>
      </c>
      <c r="C12333" s="6">
        <v>2006</v>
      </c>
      <c r="D12333" s="7">
        <v>19637022</v>
      </c>
    </row>
    <row r="12334" spans="1:4" x14ac:dyDescent="0.3">
      <c r="A12334" s="2" t="s">
        <v>382</v>
      </c>
      <c r="B12334" s="2" t="s">
        <v>383</v>
      </c>
      <c r="C12334" s="3">
        <v>2007</v>
      </c>
      <c r="D12334" s="4">
        <v>20884125</v>
      </c>
    </row>
    <row r="12335" spans="1:4" x14ac:dyDescent="0.3">
      <c r="A12335" s="5" t="s">
        <v>382</v>
      </c>
      <c r="B12335" s="5" t="s">
        <v>383</v>
      </c>
      <c r="C12335" s="6">
        <v>2008</v>
      </c>
      <c r="D12335" s="7">
        <v>21636564</v>
      </c>
    </row>
    <row r="12336" spans="1:4" x14ac:dyDescent="0.3">
      <c r="A12336" s="2" t="s">
        <v>382</v>
      </c>
      <c r="B12336" s="2" t="s">
        <v>383</v>
      </c>
      <c r="C12336" s="3">
        <v>2009</v>
      </c>
      <c r="D12336" s="4">
        <v>21976969</v>
      </c>
    </row>
    <row r="12337" spans="1:4" x14ac:dyDescent="0.3">
      <c r="A12337" s="5" t="s">
        <v>382</v>
      </c>
      <c r="B12337" s="5" t="s">
        <v>383</v>
      </c>
      <c r="C12337" s="6">
        <v>2010</v>
      </c>
      <c r="D12337" s="7">
        <v>22482421</v>
      </c>
    </row>
    <row r="12338" spans="1:4" x14ac:dyDescent="0.3">
      <c r="A12338" s="2" t="s">
        <v>382</v>
      </c>
      <c r="B12338" s="2" t="s">
        <v>383</v>
      </c>
      <c r="C12338" s="3">
        <v>2011</v>
      </c>
      <c r="D12338" s="4">
        <v>22878098</v>
      </c>
    </row>
    <row r="12339" spans="1:4" x14ac:dyDescent="0.3">
      <c r="A12339" s="5" t="s">
        <v>382</v>
      </c>
      <c r="B12339" s="5" t="s">
        <v>383</v>
      </c>
      <c r="C12339" s="6">
        <v>2012</v>
      </c>
      <c r="D12339" s="7">
        <v>22759763</v>
      </c>
    </row>
    <row r="12340" spans="1:4" x14ac:dyDescent="0.3">
      <c r="A12340" s="2" t="s">
        <v>382</v>
      </c>
      <c r="B12340" s="2" t="s">
        <v>383</v>
      </c>
      <c r="C12340" s="3">
        <v>2013</v>
      </c>
      <c r="D12340" s="4">
        <v>21666917</v>
      </c>
    </row>
    <row r="12341" spans="1:4" x14ac:dyDescent="0.3">
      <c r="A12341" s="5" t="s">
        <v>382</v>
      </c>
      <c r="B12341" s="5" t="s">
        <v>383</v>
      </c>
      <c r="C12341" s="6">
        <v>2014</v>
      </c>
      <c r="D12341" s="7">
        <v>20273659</v>
      </c>
    </row>
    <row r="12342" spans="1:4" x14ac:dyDescent="0.3">
      <c r="A12342" s="2" t="s">
        <v>382</v>
      </c>
      <c r="B12342" s="2" t="s">
        <v>383</v>
      </c>
      <c r="C12342" s="3">
        <v>2015</v>
      </c>
      <c r="D12342" s="4">
        <v>19424618</v>
      </c>
    </row>
    <row r="12343" spans="1:4" x14ac:dyDescent="0.3">
      <c r="A12343" s="5" t="s">
        <v>382</v>
      </c>
      <c r="B12343" s="5" t="s">
        <v>383</v>
      </c>
      <c r="C12343" s="6">
        <v>2016</v>
      </c>
      <c r="D12343" s="7">
        <v>19193834</v>
      </c>
    </row>
    <row r="12344" spans="1:4" x14ac:dyDescent="0.3">
      <c r="A12344" s="2" t="s">
        <v>382</v>
      </c>
      <c r="B12344" s="2" t="s">
        <v>383</v>
      </c>
      <c r="C12344" s="3">
        <v>2017</v>
      </c>
      <c r="D12344" s="4">
        <v>19224668</v>
      </c>
    </row>
    <row r="12345" spans="1:4" x14ac:dyDescent="0.3">
      <c r="A12345" s="5" t="s">
        <v>382</v>
      </c>
      <c r="B12345" s="5" t="s">
        <v>383</v>
      </c>
      <c r="C12345" s="6">
        <v>2018</v>
      </c>
      <c r="D12345" s="7">
        <v>19577845</v>
      </c>
    </row>
    <row r="12346" spans="1:4" x14ac:dyDescent="0.3">
      <c r="A12346" s="2" t="s">
        <v>382</v>
      </c>
      <c r="B12346" s="2" t="s">
        <v>383</v>
      </c>
      <c r="C12346" s="3">
        <v>2019</v>
      </c>
      <c r="D12346" s="4">
        <v>20353534</v>
      </c>
    </row>
    <row r="12347" spans="1:4" x14ac:dyDescent="0.3">
      <c r="A12347" s="5" t="s">
        <v>382</v>
      </c>
      <c r="B12347" s="5" t="s">
        <v>383</v>
      </c>
      <c r="C12347" s="6">
        <v>2020</v>
      </c>
      <c r="D12347" s="7">
        <v>21049429</v>
      </c>
    </row>
    <row r="12348" spans="1:4" x14ac:dyDescent="0.3">
      <c r="A12348" s="2" t="s">
        <v>382</v>
      </c>
      <c r="B12348" s="2" t="s">
        <v>383</v>
      </c>
      <c r="C12348" s="3">
        <v>2021</v>
      </c>
      <c r="D12348" s="4">
        <v>21628839</v>
      </c>
    </row>
    <row r="12349" spans="1:4" x14ac:dyDescent="0.3">
      <c r="A12349" s="5" t="s">
        <v>382</v>
      </c>
      <c r="B12349" s="5" t="s">
        <v>383</v>
      </c>
      <c r="C12349" s="6">
        <v>2022</v>
      </c>
      <c r="D12349" s="7">
        <v>22462173</v>
      </c>
    </row>
    <row r="12350" spans="1:4" x14ac:dyDescent="0.3">
      <c r="A12350" s="2" t="s">
        <v>382</v>
      </c>
      <c r="B12350" s="2" t="s">
        <v>383</v>
      </c>
      <c r="C12350" s="3">
        <v>2023</v>
      </c>
      <c r="D12350" s="4">
        <v>23594623</v>
      </c>
    </row>
    <row r="12351" spans="1:4" x14ac:dyDescent="0.3">
      <c r="A12351" s="5" t="s">
        <v>382</v>
      </c>
      <c r="B12351" s="5" t="s">
        <v>383</v>
      </c>
      <c r="C12351" s="6">
        <v>2024</v>
      </c>
      <c r="D12351" s="7">
        <v>24672760</v>
      </c>
    </row>
    <row r="12352" spans="1:4" x14ac:dyDescent="0.3">
      <c r="A12352" s="2" t="s">
        <v>384</v>
      </c>
      <c r="B12352" s="2" t="s">
        <v>385</v>
      </c>
      <c r="C12352" s="3">
        <v>1960</v>
      </c>
      <c r="D12352" s="4">
        <v>2112131</v>
      </c>
    </row>
    <row r="12353" spans="1:4" x14ac:dyDescent="0.3">
      <c r="A12353" s="5" t="s">
        <v>384</v>
      </c>
      <c r="B12353" s="5" t="s">
        <v>385</v>
      </c>
      <c r="C12353" s="6">
        <v>1961</v>
      </c>
      <c r="D12353" s="7">
        <v>2181805</v>
      </c>
    </row>
    <row r="12354" spans="1:4" x14ac:dyDescent="0.3">
      <c r="A12354" s="2" t="s">
        <v>384</v>
      </c>
      <c r="B12354" s="2" t="s">
        <v>385</v>
      </c>
      <c r="C12354" s="3">
        <v>1962</v>
      </c>
      <c r="D12354" s="4">
        <v>2255026</v>
      </c>
    </row>
    <row r="12355" spans="1:4" x14ac:dyDescent="0.3">
      <c r="A12355" s="5" t="s">
        <v>384</v>
      </c>
      <c r="B12355" s="5" t="s">
        <v>385</v>
      </c>
      <c r="C12355" s="6">
        <v>1963</v>
      </c>
      <c r="D12355" s="7">
        <v>2331736</v>
      </c>
    </row>
    <row r="12356" spans="1:4" x14ac:dyDescent="0.3">
      <c r="A12356" s="2" t="s">
        <v>384</v>
      </c>
      <c r="B12356" s="2" t="s">
        <v>385</v>
      </c>
      <c r="C12356" s="3">
        <v>1964</v>
      </c>
      <c r="D12356" s="4">
        <v>2411260</v>
      </c>
    </row>
    <row r="12357" spans="1:4" x14ac:dyDescent="0.3">
      <c r="A12357" s="5" t="s">
        <v>384</v>
      </c>
      <c r="B12357" s="5" t="s">
        <v>385</v>
      </c>
      <c r="C12357" s="6">
        <v>1965</v>
      </c>
      <c r="D12357" s="7">
        <v>2492998</v>
      </c>
    </row>
    <row r="12358" spans="1:4" x14ac:dyDescent="0.3">
      <c r="A12358" s="2" t="s">
        <v>384</v>
      </c>
      <c r="B12358" s="2" t="s">
        <v>385</v>
      </c>
      <c r="C12358" s="3">
        <v>1966</v>
      </c>
      <c r="D12358" s="4">
        <v>2577184</v>
      </c>
    </row>
    <row r="12359" spans="1:4" x14ac:dyDescent="0.3">
      <c r="A12359" s="5" t="s">
        <v>384</v>
      </c>
      <c r="B12359" s="5" t="s">
        <v>385</v>
      </c>
      <c r="C12359" s="6">
        <v>1967</v>
      </c>
      <c r="D12359" s="7">
        <v>2664130</v>
      </c>
    </row>
    <row r="12360" spans="1:4" x14ac:dyDescent="0.3">
      <c r="A12360" s="2" t="s">
        <v>384</v>
      </c>
      <c r="B12360" s="2" t="s">
        <v>385</v>
      </c>
      <c r="C12360" s="3">
        <v>1968</v>
      </c>
      <c r="D12360" s="4">
        <v>2753848</v>
      </c>
    </row>
    <row r="12361" spans="1:4" x14ac:dyDescent="0.3">
      <c r="A12361" s="5" t="s">
        <v>384</v>
      </c>
      <c r="B12361" s="5" t="s">
        <v>385</v>
      </c>
      <c r="C12361" s="6">
        <v>1969</v>
      </c>
      <c r="D12361" s="7">
        <v>2845273</v>
      </c>
    </row>
    <row r="12362" spans="1:4" x14ac:dyDescent="0.3">
      <c r="A12362" s="2" t="s">
        <v>384</v>
      </c>
      <c r="B12362" s="2" t="s">
        <v>385</v>
      </c>
      <c r="C12362" s="3">
        <v>1970</v>
      </c>
      <c r="D12362" s="4">
        <v>2936779</v>
      </c>
    </row>
    <row r="12363" spans="1:4" x14ac:dyDescent="0.3">
      <c r="A12363" s="5" t="s">
        <v>384</v>
      </c>
      <c r="B12363" s="5" t="s">
        <v>385</v>
      </c>
      <c r="C12363" s="6">
        <v>1971</v>
      </c>
      <c r="D12363" s="7">
        <v>3028837</v>
      </c>
    </row>
    <row r="12364" spans="1:4" x14ac:dyDescent="0.3">
      <c r="A12364" s="2" t="s">
        <v>384</v>
      </c>
      <c r="B12364" s="2" t="s">
        <v>385</v>
      </c>
      <c r="C12364" s="3">
        <v>1972</v>
      </c>
      <c r="D12364" s="4">
        <v>3123691</v>
      </c>
    </row>
    <row r="12365" spans="1:4" x14ac:dyDescent="0.3">
      <c r="A12365" s="5" t="s">
        <v>384</v>
      </c>
      <c r="B12365" s="5" t="s">
        <v>385</v>
      </c>
      <c r="C12365" s="6">
        <v>1973</v>
      </c>
      <c r="D12365" s="7">
        <v>3222290</v>
      </c>
    </row>
    <row r="12366" spans="1:4" x14ac:dyDescent="0.3">
      <c r="A12366" s="2" t="s">
        <v>384</v>
      </c>
      <c r="B12366" s="2" t="s">
        <v>385</v>
      </c>
      <c r="C12366" s="3">
        <v>1974</v>
      </c>
      <c r="D12366" s="4">
        <v>3324499</v>
      </c>
    </row>
    <row r="12367" spans="1:4" x14ac:dyDescent="0.3">
      <c r="A12367" s="5" t="s">
        <v>384</v>
      </c>
      <c r="B12367" s="5" t="s">
        <v>385</v>
      </c>
      <c r="C12367" s="6">
        <v>1975</v>
      </c>
      <c r="D12367" s="7">
        <v>3430425</v>
      </c>
    </row>
    <row r="12368" spans="1:4" x14ac:dyDescent="0.3">
      <c r="A12368" s="2" t="s">
        <v>384</v>
      </c>
      <c r="B12368" s="2" t="s">
        <v>385</v>
      </c>
      <c r="C12368" s="3">
        <v>1976</v>
      </c>
      <c r="D12368" s="4">
        <v>3540076</v>
      </c>
    </row>
    <row r="12369" spans="1:4" x14ac:dyDescent="0.3">
      <c r="A12369" s="5" t="s">
        <v>384</v>
      </c>
      <c r="B12369" s="5" t="s">
        <v>385</v>
      </c>
      <c r="C12369" s="6">
        <v>1977</v>
      </c>
      <c r="D12369" s="7">
        <v>3653265</v>
      </c>
    </row>
    <row r="12370" spans="1:4" x14ac:dyDescent="0.3">
      <c r="A12370" s="2" t="s">
        <v>384</v>
      </c>
      <c r="B12370" s="2" t="s">
        <v>385</v>
      </c>
      <c r="C12370" s="3">
        <v>1978</v>
      </c>
      <c r="D12370" s="4">
        <v>3768508</v>
      </c>
    </row>
    <row r="12371" spans="1:4" x14ac:dyDescent="0.3">
      <c r="A12371" s="5" t="s">
        <v>384</v>
      </c>
      <c r="B12371" s="5" t="s">
        <v>385</v>
      </c>
      <c r="C12371" s="6">
        <v>1979</v>
      </c>
      <c r="D12371" s="7">
        <v>3882691</v>
      </c>
    </row>
    <row r="12372" spans="1:4" x14ac:dyDescent="0.3">
      <c r="A12372" s="2" t="s">
        <v>384</v>
      </c>
      <c r="B12372" s="2" t="s">
        <v>385</v>
      </c>
      <c r="C12372" s="3">
        <v>1980</v>
      </c>
      <c r="D12372" s="4">
        <v>3995256</v>
      </c>
    </row>
    <row r="12373" spans="1:4" x14ac:dyDescent="0.3">
      <c r="A12373" s="5" t="s">
        <v>384</v>
      </c>
      <c r="B12373" s="5" t="s">
        <v>385</v>
      </c>
      <c r="C12373" s="6">
        <v>1981</v>
      </c>
      <c r="D12373" s="7">
        <v>4109022</v>
      </c>
    </row>
    <row r="12374" spans="1:4" x14ac:dyDescent="0.3">
      <c r="A12374" s="2" t="s">
        <v>384</v>
      </c>
      <c r="B12374" s="2" t="s">
        <v>385</v>
      </c>
      <c r="C12374" s="3">
        <v>1982</v>
      </c>
      <c r="D12374" s="4">
        <v>4227171</v>
      </c>
    </row>
    <row r="12375" spans="1:4" x14ac:dyDescent="0.3">
      <c r="A12375" s="5" t="s">
        <v>384</v>
      </c>
      <c r="B12375" s="5" t="s">
        <v>385</v>
      </c>
      <c r="C12375" s="6">
        <v>1983</v>
      </c>
      <c r="D12375" s="7">
        <v>4350874</v>
      </c>
    </row>
    <row r="12376" spans="1:4" x14ac:dyDescent="0.3">
      <c r="A12376" s="2" t="s">
        <v>384</v>
      </c>
      <c r="B12376" s="2" t="s">
        <v>385</v>
      </c>
      <c r="C12376" s="3">
        <v>1984</v>
      </c>
      <c r="D12376" s="4">
        <v>4480026</v>
      </c>
    </row>
    <row r="12377" spans="1:4" x14ac:dyDescent="0.3">
      <c r="A12377" s="5" t="s">
        <v>384</v>
      </c>
      <c r="B12377" s="5" t="s">
        <v>385</v>
      </c>
      <c r="C12377" s="6">
        <v>1985</v>
      </c>
      <c r="D12377" s="7">
        <v>4619003</v>
      </c>
    </row>
    <row r="12378" spans="1:4" x14ac:dyDescent="0.3">
      <c r="A12378" s="2" t="s">
        <v>384</v>
      </c>
      <c r="B12378" s="2" t="s">
        <v>385</v>
      </c>
      <c r="C12378" s="3">
        <v>1986</v>
      </c>
      <c r="D12378" s="4">
        <v>4772139</v>
      </c>
    </row>
    <row r="12379" spans="1:4" x14ac:dyDescent="0.3">
      <c r="A12379" s="5" t="s">
        <v>384</v>
      </c>
      <c r="B12379" s="5" t="s">
        <v>385</v>
      </c>
      <c r="C12379" s="6">
        <v>1987</v>
      </c>
      <c r="D12379" s="7">
        <v>4939059</v>
      </c>
    </row>
    <row r="12380" spans="1:4" x14ac:dyDescent="0.3">
      <c r="A12380" s="2" t="s">
        <v>384</v>
      </c>
      <c r="B12380" s="2" t="s">
        <v>385</v>
      </c>
      <c r="C12380" s="3">
        <v>1988</v>
      </c>
      <c r="D12380" s="4">
        <v>5114989</v>
      </c>
    </row>
    <row r="12381" spans="1:4" x14ac:dyDescent="0.3">
      <c r="A12381" s="5" t="s">
        <v>384</v>
      </c>
      <c r="B12381" s="5" t="s">
        <v>385</v>
      </c>
      <c r="C12381" s="6">
        <v>1989</v>
      </c>
      <c r="D12381" s="7">
        <v>5267249</v>
      </c>
    </row>
    <row r="12382" spans="1:4" x14ac:dyDescent="0.3">
      <c r="A12382" s="2" t="s">
        <v>384</v>
      </c>
      <c r="B12382" s="2" t="s">
        <v>385</v>
      </c>
      <c r="C12382" s="3">
        <v>1990</v>
      </c>
      <c r="D12382" s="4">
        <v>5398768</v>
      </c>
    </row>
    <row r="12383" spans="1:4" x14ac:dyDescent="0.3">
      <c r="A12383" s="5" t="s">
        <v>384</v>
      </c>
      <c r="B12383" s="5" t="s">
        <v>385</v>
      </c>
      <c r="C12383" s="6">
        <v>1991</v>
      </c>
      <c r="D12383" s="7">
        <v>5541205</v>
      </c>
    </row>
    <row r="12384" spans="1:4" x14ac:dyDescent="0.3">
      <c r="A12384" s="2" t="s">
        <v>384</v>
      </c>
      <c r="B12384" s="2" t="s">
        <v>385</v>
      </c>
      <c r="C12384" s="3">
        <v>1992</v>
      </c>
      <c r="D12384" s="4">
        <v>5649400</v>
      </c>
    </row>
    <row r="12385" spans="1:4" x14ac:dyDescent="0.3">
      <c r="A12385" s="5" t="s">
        <v>384</v>
      </c>
      <c r="B12385" s="5" t="s">
        <v>385</v>
      </c>
      <c r="C12385" s="6">
        <v>1993</v>
      </c>
      <c r="D12385" s="7">
        <v>5724993</v>
      </c>
    </row>
    <row r="12386" spans="1:4" x14ac:dyDescent="0.3">
      <c r="A12386" s="2" t="s">
        <v>384</v>
      </c>
      <c r="B12386" s="2" t="s">
        <v>385</v>
      </c>
      <c r="C12386" s="3">
        <v>1994</v>
      </c>
      <c r="D12386" s="4">
        <v>5825368</v>
      </c>
    </row>
    <row r="12387" spans="1:4" x14ac:dyDescent="0.3">
      <c r="A12387" s="5" t="s">
        <v>384</v>
      </c>
      <c r="B12387" s="5" t="s">
        <v>385</v>
      </c>
      <c r="C12387" s="6">
        <v>1995</v>
      </c>
      <c r="D12387" s="7">
        <v>5948584</v>
      </c>
    </row>
    <row r="12388" spans="1:4" x14ac:dyDescent="0.3">
      <c r="A12388" s="2" t="s">
        <v>384</v>
      </c>
      <c r="B12388" s="2" t="s">
        <v>385</v>
      </c>
      <c r="C12388" s="3">
        <v>1996</v>
      </c>
      <c r="D12388" s="4">
        <v>6066523</v>
      </c>
    </row>
    <row r="12389" spans="1:4" x14ac:dyDescent="0.3">
      <c r="A12389" s="5" t="s">
        <v>384</v>
      </c>
      <c r="B12389" s="5" t="s">
        <v>385</v>
      </c>
      <c r="C12389" s="6">
        <v>1997</v>
      </c>
      <c r="D12389" s="7">
        <v>6139829</v>
      </c>
    </row>
    <row r="12390" spans="1:4" x14ac:dyDescent="0.3">
      <c r="A12390" s="2" t="s">
        <v>384</v>
      </c>
      <c r="B12390" s="2" t="s">
        <v>385</v>
      </c>
      <c r="C12390" s="3">
        <v>1998</v>
      </c>
      <c r="D12390" s="4">
        <v>6176397</v>
      </c>
    </row>
    <row r="12391" spans="1:4" x14ac:dyDescent="0.3">
      <c r="A12391" s="5" t="s">
        <v>384</v>
      </c>
      <c r="B12391" s="5" t="s">
        <v>385</v>
      </c>
      <c r="C12391" s="6">
        <v>1999</v>
      </c>
      <c r="D12391" s="7">
        <v>6208370</v>
      </c>
    </row>
    <row r="12392" spans="1:4" x14ac:dyDescent="0.3">
      <c r="A12392" s="2" t="s">
        <v>384</v>
      </c>
      <c r="B12392" s="2" t="s">
        <v>385</v>
      </c>
      <c r="C12392" s="3">
        <v>2000</v>
      </c>
      <c r="D12392" s="4">
        <v>6284735</v>
      </c>
    </row>
    <row r="12393" spans="1:4" x14ac:dyDescent="0.3">
      <c r="A12393" s="5" t="s">
        <v>384</v>
      </c>
      <c r="B12393" s="5" t="s">
        <v>385</v>
      </c>
      <c r="C12393" s="6">
        <v>2001</v>
      </c>
      <c r="D12393" s="7">
        <v>6407377</v>
      </c>
    </row>
    <row r="12394" spans="1:4" x14ac:dyDescent="0.3">
      <c r="A12394" s="2" t="s">
        <v>384</v>
      </c>
      <c r="B12394" s="2" t="s">
        <v>385</v>
      </c>
      <c r="C12394" s="3">
        <v>2002</v>
      </c>
      <c r="D12394" s="4">
        <v>6531669</v>
      </c>
    </row>
    <row r="12395" spans="1:4" x14ac:dyDescent="0.3">
      <c r="A12395" s="5" t="s">
        <v>384</v>
      </c>
      <c r="B12395" s="5" t="s">
        <v>385</v>
      </c>
      <c r="C12395" s="6">
        <v>2003</v>
      </c>
      <c r="D12395" s="7">
        <v>6658575</v>
      </c>
    </row>
    <row r="12396" spans="1:4" x14ac:dyDescent="0.3">
      <c r="A12396" s="2" t="s">
        <v>384</v>
      </c>
      <c r="B12396" s="2" t="s">
        <v>385</v>
      </c>
      <c r="C12396" s="3">
        <v>2004</v>
      </c>
      <c r="D12396" s="4">
        <v>6790547</v>
      </c>
    </row>
    <row r="12397" spans="1:4" x14ac:dyDescent="0.3">
      <c r="A12397" s="5" t="s">
        <v>384</v>
      </c>
      <c r="B12397" s="5" t="s">
        <v>385</v>
      </c>
      <c r="C12397" s="6">
        <v>2005</v>
      </c>
      <c r="D12397" s="7">
        <v>6924720</v>
      </c>
    </row>
    <row r="12398" spans="1:4" x14ac:dyDescent="0.3">
      <c r="A12398" s="2" t="s">
        <v>384</v>
      </c>
      <c r="B12398" s="2" t="s">
        <v>385</v>
      </c>
      <c r="C12398" s="3">
        <v>2006</v>
      </c>
      <c r="D12398" s="4">
        <v>7057566</v>
      </c>
    </row>
    <row r="12399" spans="1:4" x14ac:dyDescent="0.3">
      <c r="A12399" s="5" t="s">
        <v>384</v>
      </c>
      <c r="B12399" s="5" t="s">
        <v>385</v>
      </c>
      <c r="C12399" s="6">
        <v>2007</v>
      </c>
      <c r="D12399" s="7">
        <v>7194477</v>
      </c>
    </row>
    <row r="12400" spans="1:4" x14ac:dyDescent="0.3">
      <c r="A12400" s="2" t="s">
        <v>384</v>
      </c>
      <c r="B12400" s="2" t="s">
        <v>385</v>
      </c>
      <c r="C12400" s="3">
        <v>2008</v>
      </c>
      <c r="D12400" s="4">
        <v>7338403</v>
      </c>
    </row>
    <row r="12401" spans="1:4" x14ac:dyDescent="0.3">
      <c r="A12401" s="5" t="s">
        <v>384</v>
      </c>
      <c r="B12401" s="5" t="s">
        <v>385</v>
      </c>
      <c r="C12401" s="6">
        <v>2009</v>
      </c>
      <c r="D12401" s="7">
        <v>7490230</v>
      </c>
    </row>
    <row r="12402" spans="1:4" x14ac:dyDescent="0.3">
      <c r="A12402" s="2" t="s">
        <v>384</v>
      </c>
      <c r="B12402" s="2" t="s">
        <v>385</v>
      </c>
      <c r="C12402" s="3">
        <v>2010</v>
      </c>
      <c r="D12402" s="4">
        <v>7652141</v>
      </c>
    </row>
    <row r="12403" spans="1:4" x14ac:dyDescent="0.3">
      <c r="A12403" s="5" t="s">
        <v>384</v>
      </c>
      <c r="B12403" s="5" t="s">
        <v>385</v>
      </c>
      <c r="C12403" s="6">
        <v>2011</v>
      </c>
      <c r="D12403" s="7">
        <v>7824785</v>
      </c>
    </row>
    <row r="12404" spans="1:4" x14ac:dyDescent="0.3">
      <c r="A12404" s="2" t="s">
        <v>384</v>
      </c>
      <c r="B12404" s="2" t="s">
        <v>385</v>
      </c>
      <c r="C12404" s="3">
        <v>2012</v>
      </c>
      <c r="D12404" s="4">
        <v>8014084</v>
      </c>
    </row>
    <row r="12405" spans="1:4" x14ac:dyDescent="0.3">
      <c r="A12405" s="5" t="s">
        <v>384</v>
      </c>
      <c r="B12405" s="5" t="s">
        <v>385</v>
      </c>
      <c r="C12405" s="6">
        <v>2013</v>
      </c>
      <c r="D12405" s="7">
        <v>8216724</v>
      </c>
    </row>
    <row r="12406" spans="1:4" x14ac:dyDescent="0.3">
      <c r="A12406" s="2" t="s">
        <v>384</v>
      </c>
      <c r="B12406" s="2" t="s">
        <v>385</v>
      </c>
      <c r="C12406" s="3">
        <v>2014</v>
      </c>
      <c r="D12406" s="4">
        <v>8425552</v>
      </c>
    </row>
    <row r="12407" spans="1:4" x14ac:dyDescent="0.3">
      <c r="A12407" s="5" t="s">
        <v>384</v>
      </c>
      <c r="B12407" s="5" t="s">
        <v>385</v>
      </c>
      <c r="C12407" s="6">
        <v>2015</v>
      </c>
      <c r="D12407" s="7">
        <v>8643840</v>
      </c>
    </row>
    <row r="12408" spans="1:4" x14ac:dyDescent="0.3">
      <c r="A12408" s="2" t="s">
        <v>384</v>
      </c>
      <c r="B12408" s="2" t="s">
        <v>385</v>
      </c>
      <c r="C12408" s="3">
        <v>2016</v>
      </c>
      <c r="D12408" s="4">
        <v>8865631</v>
      </c>
    </row>
    <row r="12409" spans="1:4" x14ac:dyDescent="0.3">
      <c r="A12409" s="5" t="s">
        <v>384</v>
      </c>
      <c r="B12409" s="5" t="s">
        <v>385</v>
      </c>
      <c r="C12409" s="6">
        <v>2017</v>
      </c>
      <c r="D12409" s="7">
        <v>9085946</v>
      </c>
    </row>
    <row r="12410" spans="1:4" x14ac:dyDescent="0.3">
      <c r="A12410" s="2" t="s">
        <v>384</v>
      </c>
      <c r="B12410" s="2" t="s">
        <v>385</v>
      </c>
      <c r="C12410" s="3">
        <v>2018</v>
      </c>
      <c r="D12410" s="4">
        <v>9307333</v>
      </c>
    </row>
    <row r="12411" spans="1:4" x14ac:dyDescent="0.3">
      <c r="A12411" s="5" t="s">
        <v>384</v>
      </c>
      <c r="B12411" s="5" t="s">
        <v>385</v>
      </c>
      <c r="C12411" s="6">
        <v>2019</v>
      </c>
      <c r="D12411" s="7">
        <v>9529966</v>
      </c>
    </row>
    <row r="12412" spans="1:4" x14ac:dyDescent="0.3">
      <c r="A12412" s="2" t="s">
        <v>384</v>
      </c>
      <c r="B12412" s="2" t="s">
        <v>385</v>
      </c>
      <c r="C12412" s="3">
        <v>2020</v>
      </c>
      <c r="D12412" s="4">
        <v>9749310</v>
      </c>
    </row>
    <row r="12413" spans="1:4" x14ac:dyDescent="0.3">
      <c r="A12413" s="5" t="s">
        <v>384</v>
      </c>
      <c r="B12413" s="5" t="s">
        <v>385</v>
      </c>
      <c r="C12413" s="6">
        <v>2021</v>
      </c>
      <c r="D12413" s="7">
        <v>9966908</v>
      </c>
    </row>
    <row r="12414" spans="1:4" x14ac:dyDescent="0.3">
      <c r="A12414" s="2" t="s">
        <v>384</v>
      </c>
      <c r="B12414" s="2" t="s">
        <v>385</v>
      </c>
      <c r="C12414" s="3">
        <v>2022</v>
      </c>
      <c r="D12414" s="4">
        <v>10182222</v>
      </c>
    </row>
    <row r="12415" spans="1:4" x14ac:dyDescent="0.3">
      <c r="A12415" s="5" t="s">
        <v>384</v>
      </c>
      <c r="B12415" s="5" t="s">
        <v>385</v>
      </c>
      <c r="C12415" s="6">
        <v>2023</v>
      </c>
      <c r="D12415" s="7">
        <v>10389799</v>
      </c>
    </row>
    <row r="12416" spans="1:4" x14ac:dyDescent="0.3">
      <c r="A12416" s="2" t="s">
        <v>384</v>
      </c>
      <c r="B12416" s="2" t="s">
        <v>385</v>
      </c>
      <c r="C12416" s="3">
        <v>2024</v>
      </c>
      <c r="D12416" s="4">
        <v>10590927</v>
      </c>
    </row>
    <row r="12417" spans="1:4" x14ac:dyDescent="0.3">
      <c r="A12417" s="5" t="s">
        <v>386</v>
      </c>
      <c r="B12417" s="5" t="s">
        <v>387</v>
      </c>
      <c r="C12417" s="6">
        <v>1960</v>
      </c>
      <c r="D12417" s="7">
        <v>9901419</v>
      </c>
    </row>
    <row r="12418" spans="1:4" x14ac:dyDescent="0.3">
      <c r="A12418" s="2" t="s">
        <v>386</v>
      </c>
      <c r="B12418" s="2" t="s">
        <v>387</v>
      </c>
      <c r="C12418" s="3">
        <v>1961</v>
      </c>
      <c r="D12418" s="4">
        <v>10187886</v>
      </c>
    </row>
    <row r="12419" spans="1:4" x14ac:dyDescent="0.3">
      <c r="A12419" s="5" t="s">
        <v>386</v>
      </c>
      <c r="B12419" s="5" t="s">
        <v>387</v>
      </c>
      <c r="C12419" s="6">
        <v>1962</v>
      </c>
      <c r="D12419" s="7">
        <v>10487756</v>
      </c>
    </row>
    <row r="12420" spans="1:4" x14ac:dyDescent="0.3">
      <c r="A12420" s="2" t="s">
        <v>386</v>
      </c>
      <c r="B12420" s="2" t="s">
        <v>387</v>
      </c>
      <c r="C12420" s="3">
        <v>1963</v>
      </c>
      <c r="D12420" s="4">
        <v>10799528</v>
      </c>
    </row>
    <row r="12421" spans="1:4" x14ac:dyDescent="0.3">
      <c r="A12421" s="5" t="s">
        <v>386</v>
      </c>
      <c r="B12421" s="5" t="s">
        <v>387</v>
      </c>
      <c r="C12421" s="6">
        <v>1964</v>
      </c>
      <c r="D12421" s="7">
        <v>11127826</v>
      </c>
    </row>
    <row r="12422" spans="1:4" x14ac:dyDescent="0.3">
      <c r="A12422" s="2" t="s">
        <v>386</v>
      </c>
      <c r="B12422" s="2" t="s">
        <v>387</v>
      </c>
      <c r="C12422" s="3">
        <v>1965</v>
      </c>
      <c r="D12422" s="4">
        <v>11470728</v>
      </c>
    </row>
    <row r="12423" spans="1:4" x14ac:dyDescent="0.3">
      <c r="A12423" s="5" t="s">
        <v>386</v>
      </c>
      <c r="B12423" s="5" t="s">
        <v>387</v>
      </c>
      <c r="C12423" s="6">
        <v>1966</v>
      </c>
      <c r="D12423" s="7">
        <v>11827459</v>
      </c>
    </row>
    <row r="12424" spans="1:4" x14ac:dyDescent="0.3">
      <c r="A12424" s="2" t="s">
        <v>386</v>
      </c>
      <c r="B12424" s="2" t="s">
        <v>387</v>
      </c>
      <c r="C12424" s="3">
        <v>1967</v>
      </c>
      <c r="D12424" s="4">
        <v>12200109</v>
      </c>
    </row>
    <row r="12425" spans="1:4" x14ac:dyDescent="0.3">
      <c r="A12425" s="5" t="s">
        <v>386</v>
      </c>
      <c r="B12425" s="5" t="s">
        <v>387</v>
      </c>
      <c r="C12425" s="6">
        <v>1968</v>
      </c>
      <c r="D12425" s="7">
        <v>12602076</v>
      </c>
    </row>
    <row r="12426" spans="1:4" x14ac:dyDescent="0.3">
      <c r="A12426" s="2" t="s">
        <v>386</v>
      </c>
      <c r="B12426" s="2" t="s">
        <v>387</v>
      </c>
      <c r="C12426" s="3">
        <v>1969</v>
      </c>
      <c r="D12426" s="4">
        <v>13036700</v>
      </c>
    </row>
    <row r="12427" spans="1:4" x14ac:dyDescent="0.3">
      <c r="A12427" s="5" t="s">
        <v>386</v>
      </c>
      <c r="B12427" s="5" t="s">
        <v>387</v>
      </c>
      <c r="C12427" s="6">
        <v>1970</v>
      </c>
      <c r="D12427" s="7">
        <v>13492677</v>
      </c>
    </row>
    <row r="12428" spans="1:4" x14ac:dyDescent="0.3">
      <c r="A12428" s="2" t="s">
        <v>386</v>
      </c>
      <c r="B12428" s="2" t="s">
        <v>387</v>
      </c>
      <c r="C12428" s="3">
        <v>1971</v>
      </c>
      <c r="D12428" s="4">
        <v>13971451</v>
      </c>
    </row>
    <row r="12429" spans="1:4" x14ac:dyDescent="0.3">
      <c r="A12429" s="5" t="s">
        <v>386</v>
      </c>
      <c r="B12429" s="5" t="s">
        <v>387</v>
      </c>
      <c r="C12429" s="6">
        <v>1972</v>
      </c>
      <c r="D12429" s="7">
        <v>14479308</v>
      </c>
    </row>
    <row r="12430" spans="1:4" x14ac:dyDescent="0.3">
      <c r="A12430" s="2" t="s">
        <v>386</v>
      </c>
      <c r="B12430" s="2" t="s">
        <v>387</v>
      </c>
      <c r="C12430" s="3">
        <v>1973</v>
      </c>
      <c r="D12430" s="4">
        <v>15010101</v>
      </c>
    </row>
    <row r="12431" spans="1:4" x14ac:dyDescent="0.3">
      <c r="A12431" s="5" t="s">
        <v>386</v>
      </c>
      <c r="B12431" s="5" t="s">
        <v>387</v>
      </c>
      <c r="C12431" s="6">
        <v>1974</v>
      </c>
      <c r="D12431" s="7">
        <v>15561630</v>
      </c>
    </row>
    <row r="12432" spans="1:4" x14ac:dyDescent="0.3">
      <c r="A12432" s="2" t="s">
        <v>386</v>
      </c>
      <c r="B12432" s="2" t="s">
        <v>387</v>
      </c>
      <c r="C12432" s="3">
        <v>1975</v>
      </c>
      <c r="D12432" s="4">
        <v>16138361</v>
      </c>
    </row>
    <row r="12433" spans="1:4" x14ac:dyDescent="0.3">
      <c r="A12433" s="5" t="s">
        <v>386</v>
      </c>
      <c r="B12433" s="5" t="s">
        <v>387</v>
      </c>
      <c r="C12433" s="6">
        <v>1976</v>
      </c>
      <c r="D12433" s="7">
        <v>16736211</v>
      </c>
    </row>
    <row r="12434" spans="1:4" x14ac:dyDescent="0.3">
      <c r="A12434" s="2" t="s">
        <v>386</v>
      </c>
      <c r="B12434" s="2" t="s">
        <v>387</v>
      </c>
      <c r="C12434" s="3">
        <v>1977</v>
      </c>
      <c r="D12434" s="4">
        <v>17352929</v>
      </c>
    </row>
    <row r="12435" spans="1:4" x14ac:dyDescent="0.3">
      <c r="A12435" s="5" t="s">
        <v>386</v>
      </c>
      <c r="B12435" s="5" t="s">
        <v>387</v>
      </c>
      <c r="C12435" s="6">
        <v>1978</v>
      </c>
      <c r="D12435" s="7">
        <v>17976566</v>
      </c>
    </row>
    <row r="12436" spans="1:4" x14ac:dyDescent="0.3">
      <c r="A12436" s="2" t="s">
        <v>386</v>
      </c>
      <c r="B12436" s="2" t="s">
        <v>387</v>
      </c>
      <c r="C12436" s="3">
        <v>1979</v>
      </c>
      <c r="D12436" s="4">
        <v>18592038</v>
      </c>
    </row>
    <row r="12437" spans="1:4" x14ac:dyDescent="0.3">
      <c r="A12437" s="5" t="s">
        <v>386</v>
      </c>
      <c r="B12437" s="5" t="s">
        <v>387</v>
      </c>
      <c r="C12437" s="6">
        <v>1980</v>
      </c>
      <c r="D12437" s="7">
        <v>19189769</v>
      </c>
    </row>
    <row r="12438" spans="1:4" x14ac:dyDescent="0.3">
      <c r="A12438" s="2" t="s">
        <v>386</v>
      </c>
      <c r="B12438" s="2" t="s">
        <v>387</v>
      </c>
      <c r="C12438" s="3">
        <v>1981</v>
      </c>
      <c r="D12438" s="4">
        <v>19784703</v>
      </c>
    </row>
    <row r="12439" spans="1:4" x14ac:dyDescent="0.3">
      <c r="A12439" s="5" t="s">
        <v>386</v>
      </c>
      <c r="B12439" s="5" t="s">
        <v>387</v>
      </c>
      <c r="C12439" s="6">
        <v>1982</v>
      </c>
      <c r="D12439" s="7">
        <v>20398571</v>
      </c>
    </row>
    <row r="12440" spans="1:4" x14ac:dyDescent="0.3">
      <c r="A12440" s="2" t="s">
        <v>386</v>
      </c>
      <c r="B12440" s="2" t="s">
        <v>387</v>
      </c>
      <c r="C12440" s="3">
        <v>1983</v>
      </c>
      <c r="D12440" s="4">
        <v>21079874</v>
      </c>
    </row>
    <row r="12441" spans="1:4" x14ac:dyDescent="0.3">
      <c r="A12441" s="5" t="s">
        <v>386</v>
      </c>
      <c r="B12441" s="5" t="s">
        <v>387</v>
      </c>
      <c r="C12441" s="6">
        <v>1984</v>
      </c>
      <c r="D12441" s="7">
        <v>21779066</v>
      </c>
    </row>
    <row r="12442" spans="1:4" x14ac:dyDescent="0.3">
      <c r="A12442" s="2" t="s">
        <v>386</v>
      </c>
      <c r="B12442" s="2" t="s">
        <v>387</v>
      </c>
      <c r="C12442" s="3">
        <v>1985</v>
      </c>
      <c r="D12442" s="4">
        <v>22501693</v>
      </c>
    </row>
    <row r="12443" spans="1:4" x14ac:dyDescent="0.3">
      <c r="A12443" s="5" t="s">
        <v>386</v>
      </c>
      <c r="B12443" s="5" t="s">
        <v>387</v>
      </c>
      <c r="C12443" s="6">
        <v>1986</v>
      </c>
      <c r="D12443" s="7">
        <v>23258959</v>
      </c>
    </row>
    <row r="12444" spans="1:4" x14ac:dyDescent="0.3">
      <c r="A12444" s="2" t="s">
        <v>386</v>
      </c>
      <c r="B12444" s="2" t="s">
        <v>387</v>
      </c>
      <c r="C12444" s="3">
        <v>1987</v>
      </c>
      <c r="D12444" s="4">
        <v>24030378</v>
      </c>
    </row>
    <row r="12445" spans="1:4" x14ac:dyDescent="0.3">
      <c r="A12445" s="5" t="s">
        <v>386</v>
      </c>
      <c r="B12445" s="5" t="s">
        <v>387</v>
      </c>
      <c r="C12445" s="6">
        <v>1988</v>
      </c>
      <c r="D12445" s="7">
        <v>24769686</v>
      </c>
    </row>
    <row r="12446" spans="1:4" x14ac:dyDescent="0.3">
      <c r="A12446" s="2" t="s">
        <v>386</v>
      </c>
      <c r="B12446" s="2" t="s">
        <v>387</v>
      </c>
      <c r="C12446" s="3">
        <v>1989</v>
      </c>
      <c r="D12446" s="4">
        <v>25438759</v>
      </c>
    </row>
    <row r="12447" spans="1:4" x14ac:dyDescent="0.3">
      <c r="A12447" s="5" t="s">
        <v>386</v>
      </c>
      <c r="B12447" s="5" t="s">
        <v>387</v>
      </c>
      <c r="C12447" s="6">
        <v>1990</v>
      </c>
      <c r="D12447" s="7">
        <v>26110207</v>
      </c>
    </row>
    <row r="12448" spans="1:4" x14ac:dyDescent="0.3">
      <c r="A12448" s="2" t="s">
        <v>386</v>
      </c>
      <c r="B12448" s="2" t="s">
        <v>387</v>
      </c>
      <c r="C12448" s="3">
        <v>1991</v>
      </c>
      <c r="D12448" s="4">
        <v>26780436</v>
      </c>
    </row>
    <row r="12449" spans="1:4" x14ac:dyDescent="0.3">
      <c r="A12449" s="5" t="s">
        <v>386</v>
      </c>
      <c r="B12449" s="5" t="s">
        <v>387</v>
      </c>
      <c r="C12449" s="6">
        <v>1992</v>
      </c>
      <c r="D12449" s="7">
        <v>27457588</v>
      </c>
    </row>
    <row r="12450" spans="1:4" x14ac:dyDescent="0.3">
      <c r="A12450" s="2" t="s">
        <v>386</v>
      </c>
      <c r="B12450" s="2" t="s">
        <v>387</v>
      </c>
      <c r="C12450" s="3">
        <v>1993</v>
      </c>
      <c r="D12450" s="4">
        <v>28332692</v>
      </c>
    </row>
    <row r="12451" spans="1:4" x14ac:dyDescent="0.3">
      <c r="A12451" s="5" t="s">
        <v>386</v>
      </c>
      <c r="B12451" s="5" t="s">
        <v>387</v>
      </c>
      <c r="C12451" s="6">
        <v>1994</v>
      </c>
      <c r="D12451" s="7">
        <v>29442356</v>
      </c>
    </row>
    <row r="12452" spans="1:4" x14ac:dyDescent="0.3">
      <c r="A12452" s="2" t="s">
        <v>386</v>
      </c>
      <c r="B12452" s="2" t="s">
        <v>387</v>
      </c>
      <c r="C12452" s="3">
        <v>1995</v>
      </c>
      <c r="D12452" s="4">
        <v>30383497</v>
      </c>
    </row>
    <row r="12453" spans="1:4" x14ac:dyDescent="0.3">
      <c r="A12453" s="5" t="s">
        <v>386</v>
      </c>
      <c r="B12453" s="5" t="s">
        <v>387</v>
      </c>
      <c r="C12453" s="6">
        <v>1996</v>
      </c>
      <c r="D12453" s="7">
        <v>30945762</v>
      </c>
    </row>
    <row r="12454" spans="1:4" x14ac:dyDescent="0.3">
      <c r="A12454" s="2" t="s">
        <v>386</v>
      </c>
      <c r="B12454" s="2" t="s">
        <v>387</v>
      </c>
      <c r="C12454" s="3">
        <v>1997</v>
      </c>
      <c r="D12454" s="4">
        <v>31578089</v>
      </c>
    </row>
    <row r="12455" spans="1:4" x14ac:dyDescent="0.3">
      <c r="A12455" s="5" t="s">
        <v>386</v>
      </c>
      <c r="B12455" s="5" t="s">
        <v>387</v>
      </c>
      <c r="C12455" s="6">
        <v>1998</v>
      </c>
      <c r="D12455" s="7">
        <v>32420458</v>
      </c>
    </row>
    <row r="12456" spans="1:4" x14ac:dyDescent="0.3">
      <c r="A12456" s="2" t="s">
        <v>386</v>
      </c>
      <c r="B12456" s="2" t="s">
        <v>387</v>
      </c>
      <c r="C12456" s="3">
        <v>1999</v>
      </c>
      <c r="D12456" s="4">
        <v>33300330</v>
      </c>
    </row>
    <row r="12457" spans="1:4" x14ac:dyDescent="0.3">
      <c r="A12457" s="5" t="s">
        <v>386</v>
      </c>
      <c r="B12457" s="5" t="s">
        <v>387</v>
      </c>
      <c r="C12457" s="6">
        <v>2000</v>
      </c>
      <c r="D12457" s="7">
        <v>34260139</v>
      </c>
    </row>
    <row r="12458" spans="1:4" x14ac:dyDescent="0.3">
      <c r="A12458" s="2" t="s">
        <v>386</v>
      </c>
      <c r="B12458" s="2" t="s">
        <v>387</v>
      </c>
      <c r="C12458" s="3">
        <v>2001</v>
      </c>
      <c r="D12458" s="4">
        <v>35198299</v>
      </c>
    </row>
    <row r="12459" spans="1:4" x14ac:dyDescent="0.3">
      <c r="A12459" s="5" t="s">
        <v>386</v>
      </c>
      <c r="B12459" s="5" t="s">
        <v>387</v>
      </c>
      <c r="C12459" s="6">
        <v>2002</v>
      </c>
      <c r="D12459" s="7">
        <v>36121304</v>
      </c>
    </row>
    <row r="12460" spans="1:4" x14ac:dyDescent="0.3">
      <c r="A12460" s="2" t="s">
        <v>386</v>
      </c>
      <c r="B12460" s="2" t="s">
        <v>387</v>
      </c>
      <c r="C12460" s="3">
        <v>2003</v>
      </c>
      <c r="D12460" s="4">
        <v>37089555</v>
      </c>
    </row>
    <row r="12461" spans="1:4" x14ac:dyDescent="0.3">
      <c r="A12461" s="5" t="s">
        <v>386</v>
      </c>
      <c r="B12461" s="5" t="s">
        <v>387</v>
      </c>
      <c r="C12461" s="6">
        <v>2004</v>
      </c>
      <c r="D12461" s="7">
        <v>38109668</v>
      </c>
    </row>
    <row r="12462" spans="1:4" x14ac:dyDescent="0.3">
      <c r="A12462" s="2" t="s">
        <v>386</v>
      </c>
      <c r="B12462" s="2" t="s">
        <v>387</v>
      </c>
      <c r="C12462" s="3">
        <v>2005</v>
      </c>
      <c r="D12462" s="4">
        <v>39182076</v>
      </c>
    </row>
    <row r="12463" spans="1:4" x14ac:dyDescent="0.3">
      <c r="A12463" s="5" t="s">
        <v>386</v>
      </c>
      <c r="B12463" s="5" t="s">
        <v>387</v>
      </c>
      <c r="C12463" s="6">
        <v>2006</v>
      </c>
      <c r="D12463" s="7">
        <v>40294902</v>
      </c>
    </row>
    <row r="12464" spans="1:4" x14ac:dyDescent="0.3">
      <c r="A12464" s="2" t="s">
        <v>386</v>
      </c>
      <c r="B12464" s="2" t="s">
        <v>387</v>
      </c>
      <c r="C12464" s="3">
        <v>2007</v>
      </c>
      <c r="D12464" s="4">
        <v>41435512</v>
      </c>
    </row>
    <row r="12465" spans="1:4" x14ac:dyDescent="0.3">
      <c r="A12465" s="5" t="s">
        <v>386</v>
      </c>
      <c r="B12465" s="5" t="s">
        <v>387</v>
      </c>
      <c r="C12465" s="6">
        <v>2008</v>
      </c>
      <c r="D12465" s="7">
        <v>42570728</v>
      </c>
    </row>
    <row r="12466" spans="1:4" x14ac:dyDescent="0.3">
      <c r="A12466" s="2" t="s">
        <v>386</v>
      </c>
      <c r="B12466" s="2" t="s">
        <v>387</v>
      </c>
      <c r="C12466" s="3">
        <v>2009</v>
      </c>
      <c r="D12466" s="4">
        <v>43633982</v>
      </c>
    </row>
    <row r="12467" spans="1:4" x14ac:dyDescent="0.3">
      <c r="A12467" s="5" t="s">
        <v>386</v>
      </c>
      <c r="B12467" s="5" t="s">
        <v>387</v>
      </c>
      <c r="C12467" s="6">
        <v>2010</v>
      </c>
      <c r="D12467" s="7">
        <v>44758488</v>
      </c>
    </row>
    <row r="12468" spans="1:4" x14ac:dyDescent="0.3">
      <c r="A12468" s="2" t="s">
        <v>386</v>
      </c>
      <c r="B12468" s="2" t="s">
        <v>387</v>
      </c>
      <c r="C12468" s="3">
        <v>2011</v>
      </c>
      <c r="D12468" s="4">
        <v>46029367</v>
      </c>
    </row>
    <row r="12469" spans="1:4" x14ac:dyDescent="0.3">
      <c r="A12469" s="5" t="s">
        <v>386</v>
      </c>
      <c r="B12469" s="5" t="s">
        <v>387</v>
      </c>
      <c r="C12469" s="6">
        <v>2012</v>
      </c>
      <c r="D12469" s="7">
        <v>47374260</v>
      </c>
    </row>
    <row r="12470" spans="1:4" x14ac:dyDescent="0.3">
      <c r="A12470" s="2" t="s">
        <v>386</v>
      </c>
      <c r="B12470" s="2" t="s">
        <v>387</v>
      </c>
      <c r="C12470" s="3">
        <v>2013</v>
      </c>
      <c r="D12470" s="4">
        <v>48824128</v>
      </c>
    </row>
    <row r="12471" spans="1:4" x14ac:dyDescent="0.3">
      <c r="A12471" s="5" t="s">
        <v>386</v>
      </c>
      <c r="B12471" s="5" t="s">
        <v>387</v>
      </c>
      <c r="C12471" s="6">
        <v>2014</v>
      </c>
      <c r="D12471" s="7">
        <v>50351512</v>
      </c>
    </row>
    <row r="12472" spans="1:4" x14ac:dyDescent="0.3">
      <c r="A12472" s="2" t="s">
        <v>386</v>
      </c>
      <c r="B12472" s="2" t="s">
        <v>387</v>
      </c>
      <c r="C12472" s="3">
        <v>2015</v>
      </c>
      <c r="D12472" s="4">
        <v>52020962</v>
      </c>
    </row>
    <row r="12473" spans="1:4" x14ac:dyDescent="0.3">
      <c r="A12473" s="5" t="s">
        <v>386</v>
      </c>
      <c r="B12473" s="5" t="s">
        <v>387</v>
      </c>
      <c r="C12473" s="6">
        <v>2016</v>
      </c>
      <c r="D12473" s="7">
        <v>53824013</v>
      </c>
    </row>
    <row r="12474" spans="1:4" x14ac:dyDescent="0.3">
      <c r="A12474" s="2" t="s">
        <v>386</v>
      </c>
      <c r="B12474" s="2" t="s">
        <v>387</v>
      </c>
      <c r="C12474" s="3">
        <v>2017</v>
      </c>
      <c r="D12474" s="4">
        <v>55652890</v>
      </c>
    </row>
    <row r="12475" spans="1:4" x14ac:dyDescent="0.3">
      <c r="A12475" s="5" t="s">
        <v>386</v>
      </c>
      <c r="B12475" s="5" t="s">
        <v>387</v>
      </c>
      <c r="C12475" s="6">
        <v>2018</v>
      </c>
      <c r="D12475" s="7">
        <v>57437145</v>
      </c>
    </row>
    <row r="12476" spans="1:4" x14ac:dyDescent="0.3">
      <c r="A12476" s="2" t="s">
        <v>386</v>
      </c>
      <c r="B12476" s="2" t="s">
        <v>387</v>
      </c>
      <c r="C12476" s="3">
        <v>2019</v>
      </c>
      <c r="D12476" s="4">
        <v>59174891</v>
      </c>
    </row>
    <row r="12477" spans="1:4" x14ac:dyDescent="0.3">
      <c r="A12477" s="5" t="s">
        <v>386</v>
      </c>
      <c r="B12477" s="5" t="s">
        <v>387</v>
      </c>
      <c r="C12477" s="6">
        <v>2020</v>
      </c>
      <c r="D12477" s="7">
        <v>60972798</v>
      </c>
    </row>
    <row r="12478" spans="1:4" x14ac:dyDescent="0.3">
      <c r="A12478" s="2" t="s">
        <v>386</v>
      </c>
      <c r="B12478" s="2" t="s">
        <v>387</v>
      </c>
      <c r="C12478" s="3">
        <v>2021</v>
      </c>
      <c r="D12478" s="4">
        <v>62830412</v>
      </c>
    </row>
    <row r="12479" spans="1:4" x14ac:dyDescent="0.3">
      <c r="A12479" s="5" t="s">
        <v>386</v>
      </c>
      <c r="B12479" s="5" t="s">
        <v>387</v>
      </c>
      <c r="C12479" s="6">
        <v>2022</v>
      </c>
      <c r="D12479" s="7">
        <v>64711821</v>
      </c>
    </row>
    <row r="12480" spans="1:4" x14ac:dyDescent="0.3">
      <c r="A12480" s="2" t="s">
        <v>386</v>
      </c>
      <c r="B12480" s="2" t="s">
        <v>387</v>
      </c>
      <c r="C12480" s="3">
        <v>2023</v>
      </c>
      <c r="D12480" s="4">
        <v>66617606</v>
      </c>
    </row>
    <row r="12481" spans="1:4" x14ac:dyDescent="0.3">
      <c r="A12481" s="5" t="s">
        <v>386</v>
      </c>
      <c r="B12481" s="5" t="s">
        <v>387</v>
      </c>
      <c r="C12481" s="6">
        <v>2024</v>
      </c>
      <c r="D12481" s="7">
        <v>68560157</v>
      </c>
    </row>
    <row r="12482" spans="1:4" x14ac:dyDescent="0.3">
      <c r="A12482" s="2" t="s">
        <v>388</v>
      </c>
      <c r="B12482" s="2" t="s">
        <v>389</v>
      </c>
      <c r="C12482" s="3">
        <v>1960</v>
      </c>
      <c r="D12482" s="4">
        <v>26851747</v>
      </c>
    </row>
    <row r="12483" spans="1:4" x14ac:dyDescent="0.3">
      <c r="A12483" s="5" t="s">
        <v>388</v>
      </c>
      <c r="B12483" s="5" t="s">
        <v>389</v>
      </c>
      <c r="C12483" s="6">
        <v>1961</v>
      </c>
      <c r="D12483" s="7">
        <v>27650334</v>
      </c>
    </row>
    <row r="12484" spans="1:4" x14ac:dyDescent="0.3">
      <c r="A12484" s="2" t="s">
        <v>388</v>
      </c>
      <c r="B12484" s="2" t="s">
        <v>389</v>
      </c>
      <c r="C12484" s="3">
        <v>1962</v>
      </c>
      <c r="D12484" s="4">
        <v>28481040</v>
      </c>
    </row>
    <row r="12485" spans="1:4" x14ac:dyDescent="0.3">
      <c r="A12485" s="5" t="s">
        <v>388</v>
      </c>
      <c r="B12485" s="5" t="s">
        <v>389</v>
      </c>
      <c r="C12485" s="6">
        <v>1963</v>
      </c>
      <c r="D12485" s="7">
        <v>29342322</v>
      </c>
    </row>
    <row r="12486" spans="1:4" x14ac:dyDescent="0.3">
      <c r="A12486" s="2" t="s">
        <v>388</v>
      </c>
      <c r="B12486" s="2" t="s">
        <v>389</v>
      </c>
      <c r="C12486" s="3">
        <v>1964</v>
      </c>
      <c r="D12486" s="4">
        <v>30232141</v>
      </c>
    </row>
    <row r="12487" spans="1:4" x14ac:dyDescent="0.3">
      <c r="A12487" s="5" t="s">
        <v>388</v>
      </c>
      <c r="B12487" s="5" t="s">
        <v>389</v>
      </c>
      <c r="C12487" s="6">
        <v>1965</v>
      </c>
      <c r="D12487" s="7">
        <v>31149337</v>
      </c>
    </row>
    <row r="12488" spans="1:4" x14ac:dyDescent="0.3">
      <c r="A12488" s="2" t="s">
        <v>388</v>
      </c>
      <c r="B12488" s="2" t="s">
        <v>389</v>
      </c>
      <c r="C12488" s="3">
        <v>1966</v>
      </c>
      <c r="D12488" s="4">
        <v>32086071</v>
      </c>
    </row>
    <row r="12489" spans="1:4" x14ac:dyDescent="0.3">
      <c r="A12489" s="5" t="s">
        <v>388</v>
      </c>
      <c r="B12489" s="5" t="s">
        <v>389</v>
      </c>
      <c r="C12489" s="6">
        <v>1967</v>
      </c>
      <c r="D12489" s="7">
        <v>33037801</v>
      </c>
    </row>
    <row r="12490" spans="1:4" x14ac:dyDescent="0.3">
      <c r="A12490" s="2" t="s">
        <v>388</v>
      </c>
      <c r="B12490" s="2" t="s">
        <v>389</v>
      </c>
      <c r="C12490" s="3">
        <v>1968</v>
      </c>
      <c r="D12490" s="4">
        <v>34002560</v>
      </c>
    </row>
    <row r="12491" spans="1:4" x14ac:dyDescent="0.3">
      <c r="A12491" s="5" t="s">
        <v>388</v>
      </c>
      <c r="B12491" s="5" t="s">
        <v>389</v>
      </c>
      <c r="C12491" s="6">
        <v>1969</v>
      </c>
      <c r="D12491" s="7">
        <v>34973782</v>
      </c>
    </row>
    <row r="12492" spans="1:4" x14ac:dyDescent="0.3">
      <c r="A12492" s="2" t="s">
        <v>388</v>
      </c>
      <c r="B12492" s="2" t="s">
        <v>389</v>
      </c>
      <c r="C12492" s="3">
        <v>1970</v>
      </c>
      <c r="D12492" s="4">
        <v>35954408</v>
      </c>
    </row>
    <row r="12493" spans="1:4" x14ac:dyDescent="0.3">
      <c r="A12493" s="5" t="s">
        <v>388</v>
      </c>
      <c r="B12493" s="5" t="s">
        <v>389</v>
      </c>
      <c r="C12493" s="6">
        <v>1971</v>
      </c>
      <c r="D12493" s="7">
        <v>36937387</v>
      </c>
    </row>
    <row r="12494" spans="1:4" x14ac:dyDescent="0.3">
      <c r="A12494" s="2" t="s">
        <v>388</v>
      </c>
      <c r="B12494" s="2" t="s">
        <v>389</v>
      </c>
      <c r="C12494" s="3">
        <v>1972</v>
      </c>
      <c r="D12494" s="4">
        <v>37933929</v>
      </c>
    </row>
    <row r="12495" spans="1:4" x14ac:dyDescent="0.3">
      <c r="A12495" s="5" t="s">
        <v>388</v>
      </c>
      <c r="B12495" s="5" t="s">
        <v>389</v>
      </c>
      <c r="C12495" s="6">
        <v>1973</v>
      </c>
      <c r="D12495" s="7">
        <v>38947787</v>
      </c>
    </row>
    <row r="12496" spans="1:4" x14ac:dyDescent="0.3">
      <c r="A12496" s="2" t="s">
        <v>388</v>
      </c>
      <c r="B12496" s="2" t="s">
        <v>389</v>
      </c>
      <c r="C12496" s="3">
        <v>1974</v>
      </c>
      <c r="D12496" s="4">
        <v>39952891</v>
      </c>
    </row>
    <row r="12497" spans="1:4" x14ac:dyDescent="0.3">
      <c r="A12497" s="5" t="s">
        <v>388</v>
      </c>
      <c r="B12497" s="5" t="s">
        <v>389</v>
      </c>
      <c r="C12497" s="6">
        <v>1975</v>
      </c>
      <c r="D12497" s="7">
        <v>40940005</v>
      </c>
    </row>
    <row r="12498" spans="1:4" x14ac:dyDescent="0.3">
      <c r="A12498" s="2" t="s">
        <v>388</v>
      </c>
      <c r="B12498" s="2" t="s">
        <v>389</v>
      </c>
      <c r="C12498" s="3">
        <v>1976</v>
      </c>
      <c r="D12498" s="4">
        <v>41896504</v>
      </c>
    </row>
    <row r="12499" spans="1:4" x14ac:dyDescent="0.3">
      <c r="A12499" s="5" t="s">
        <v>388</v>
      </c>
      <c r="B12499" s="5" t="s">
        <v>389</v>
      </c>
      <c r="C12499" s="6">
        <v>1977</v>
      </c>
      <c r="D12499" s="7">
        <v>42843974</v>
      </c>
    </row>
    <row r="12500" spans="1:4" x14ac:dyDescent="0.3">
      <c r="A12500" s="2" t="s">
        <v>388</v>
      </c>
      <c r="B12500" s="2" t="s">
        <v>389</v>
      </c>
      <c r="C12500" s="3">
        <v>1978</v>
      </c>
      <c r="D12500" s="4">
        <v>43788976</v>
      </c>
    </row>
    <row r="12501" spans="1:4" x14ac:dyDescent="0.3">
      <c r="A12501" s="5" t="s">
        <v>388</v>
      </c>
      <c r="B12501" s="5" t="s">
        <v>389</v>
      </c>
      <c r="C12501" s="6">
        <v>1979</v>
      </c>
      <c r="D12501" s="7">
        <v>44718434</v>
      </c>
    </row>
    <row r="12502" spans="1:4" x14ac:dyDescent="0.3">
      <c r="A12502" s="2" t="s">
        <v>388</v>
      </c>
      <c r="B12502" s="2" t="s">
        <v>389</v>
      </c>
      <c r="C12502" s="3">
        <v>1980</v>
      </c>
      <c r="D12502" s="4">
        <v>45650022</v>
      </c>
    </row>
    <row r="12503" spans="1:4" x14ac:dyDescent="0.3">
      <c r="A12503" s="5" t="s">
        <v>388</v>
      </c>
      <c r="B12503" s="5" t="s">
        <v>389</v>
      </c>
      <c r="C12503" s="6">
        <v>1981</v>
      </c>
      <c r="D12503" s="7">
        <v>46575855</v>
      </c>
    </row>
    <row r="12504" spans="1:4" x14ac:dyDescent="0.3">
      <c r="A12504" s="2" t="s">
        <v>388</v>
      </c>
      <c r="B12504" s="2" t="s">
        <v>389</v>
      </c>
      <c r="C12504" s="3">
        <v>1982</v>
      </c>
      <c r="D12504" s="4">
        <v>47494577</v>
      </c>
    </row>
    <row r="12505" spans="1:4" x14ac:dyDescent="0.3">
      <c r="A12505" s="5" t="s">
        <v>388</v>
      </c>
      <c r="B12505" s="5" t="s">
        <v>389</v>
      </c>
      <c r="C12505" s="6">
        <v>1983</v>
      </c>
      <c r="D12505" s="7">
        <v>48423309</v>
      </c>
    </row>
    <row r="12506" spans="1:4" x14ac:dyDescent="0.3">
      <c r="A12506" s="2" t="s">
        <v>388</v>
      </c>
      <c r="B12506" s="2" t="s">
        <v>389</v>
      </c>
      <c r="C12506" s="3">
        <v>1984</v>
      </c>
      <c r="D12506" s="4">
        <v>49351708</v>
      </c>
    </row>
    <row r="12507" spans="1:4" x14ac:dyDescent="0.3">
      <c r="A12507" s="5" t="s">
        <v>388</v>
      </c>
      <c r="B12507" s="5" t="s">
        <v>389</v>
      </c>
      <c r="C12507" s="6">
        <v>1985</v>
      </c>
      <c r="D12507" s="7">
        <v>50270753</v>
      </c>
    </row>
    <row r="12508" spans="1:4" x14ac:dyDescent="0.3">
      <c r="A12508" s="2" t="s">
        <v>388</v>
      </c>
      <c r="B12508" s="2" t="s">
        <v>389</v>
      </c>
      <c r="C12508" s="3">
        <v>1986</v>
      </c>
      <c r="D12508" s="4">
        <v>51177834</v>
      </c>
    </row>
    <row r="12509" spans="1:4" x14ac:dyDescent="0.3">
      <c r="A12509" s="5" t="s">
        <v>388</v>
      </c>
      <c r="B12509" s="5" t="s">
        <v>389</v>
      </c>
      <c r="C12509" s="6">
        <v>1987</v>
      </c>
      <c r="D12509" s="7">
        <v>52074105</v>
      </c>
    </row>
    <row r="12510" spans="1:4" x14ac:dyDescent="0.3">
      <c r="A12510" s="2" t="s">
        <v>388</v>
      </c>
      <c r="B12510" s="2" t="s">
        <v>389</v>
      </c>
      <c r="C12510" s="3">
        <v>1988</v>
      </c>
      <c r="D12510" s="4">
        <v>52969595</v>
      </c>
    </row>
    <row r="12511" spans="1:4" x14ac:dyDescent="0.3">
      <c r="A12511" s="5" t="s">
        <v>388</v>
      </c>
      <c r="B12511" s="5" t="s">
        <v>389</v>
      </c>
      <c r="C12511" s="6">
        <v>1989</v>
      </c>
      <c r="D12511" s="7">
        <v>53848956</v>
      </c>
    </row>
    <row r="12512" spans="1:4" x14ac:dyDescent="0.3">
      <c r="A12512" s="2" t="s">
        <v>388</v>
      </c>
      <c r="B12512" s="2" t="s">
        <v>389</v>
      </c>
      <c r="C12512" s="3">
        <v>1990</v>
      </c>
      <c r="D12512" s="4">
        <v>54738329</v>
      </c>
    </row>
    <row r="12513" spans="1:4" x14ac:dyDescent="0.3">
      <c r="A12513" s="5" t="s">
        <v>388</v>
      </c>
      <c r="B12513" s="5" t="s">
        <v>389</v>
      </c>
      <c r="C12513" s="6">
        <v>1991</v>
      </c>
      <c r="D12513" s="7">
        <v>55637434</v>
      </c>
    </row>
    <row r="12514" spans="1:4" x14ac:dyDescent="0.3">
      <c r="A12514" s="2" t="s">
        <v>388</v>
      </c>
      <c r="B12514" s="2" t="s">
        <v>389</v>
      </c>
      <c r="C12514" s="3">
        <v>1992</v>
      </c>
      <c r="D12514" s="4">
        <v>56528834</v>
      </c>
    </row>
    <row r="12515" spans="1:4" x14ac:dyDescent="0.3">
      <c r="A12515" s="5" t="s">
        <v>388</v>
      </c>
      <c r="B12515" s="5" t="s">
        <v>389</v>
      </c>
      <c r="C12515" s="6">
        <v>1993</v>
      </c>
      <c r="D12515" s="7">
        <v>57408198</v>
      </c>
    </row>
    <row r="12516" spans="1:4" x14ac:dyDescent="0.3">
      <c r="A12516" s="2" t="s">
        <v>388</v>
      </c>
      <c r="B12516" s="2" t="s">
        <v>389</v>
      </c>
      <c r="C12516" s="3">
        <v>1994</v>
      </c>
      <c r="D12516" s="4">
        <v>58260854</v>
      </c>
    </row>
    <row r="12517" spans="1:4" x14ac:dyDescent="0.3">
      <c r="A12517" s="5" t="s">
        <v>388</v>
      </c>
      <c r="B12517" s="5" t="s">
        <v>389</v>
      </c>
      <c r="C12517" s="6">
        <v>1995</v>
      </c>
      <c r="D12517" s="7">
        <v>59098232</v>
      </c>
    </row>
    <row r="12518" spans="1:4" x14ac:dyDescent="0.3">
      <c r="A12518" s="2" t="s">
        <v>388</v>
      </c>
      <c r="B12518" s="2" t="s">
        <v>389</v>
      </c>
      <c r="C12518" s="3">
        <v>1996</v>
      </c>
      <c r="D12518" s="4">
        <v>59920064</v>
      </c>
    </row>
    <row r="12519" spans="1:4" x14ac:dyDescent="0.3">
      <c r="A12519" s="5" t="s">
        <v>388</v>
      </c>
      <c r="B12519" s="5" t="s">
        <v>389</v>
      </c>
      <c r="C12519" s="6">
        <v>1997</v>
      </c>
      <c r="D12519" s="7">
        <v>60724584</v>
      </c>
    </row>
    <row r="12520" spans="1:4" x14ac:dyDescent="0.3">
      <c r="A12520" s="2" t="s">
        <v>388</v>
      </c>
      <c r="B12520" s="2" t="s">
        <v>389</v>
      </c>
      <c r="C12520" s="3">
        <v>1998</v>
      </c>
      <c r="D12520" s="4">
        <v>61522630</v>
      </c>
    </row>
    <row r="12521" spans="1:4" x14ac:dyDescent="0.3">
      <c r="A12521" s="5" t="s">
        <v>388</v>
      </c>
      <c r="B12521" s="5" t="s">
        <v>389</v>
      </c>
      <c r="C12521" s="6">
        <v>1999</v>
      </c>
      <c r="D12521" s="7">
        <v>62299043</v>
      </c>
    </row>
    <row r="12522" spans="1:4" x14ac:dyDescent="0.3">
      <c r="A12522" s="2" t="s">
        <v>388</v>
      </c>
      <c r="B12522" s="2" t="s">
        <v>389</v>
      </c>
      <c r="C12522" s="3">
        <v>2000</v>
      </c>
      <c r="D12522" s="4">
        <v>63007815</v>
      </c>
    </row>
    <row r="12523" spans="1:4" x14ac:dyDescent="0.3">
      <c r="A12523" s="5" t="s">
        <v>388</v>
      </c>
      <c r="B12523" s="5" t="s">
        <v>389</v>
      </c>
      <c r="C12523" s="6">
        <v>2001</v>
      </c>
      <c r="D12523" s="7">
        <v>63651141</v>
      </c>
    </row>
    <row r="12524" spans="1:4" x14ac:dyDescent="0.3">
      <c r="A12524" s="2" t="s">
        <v>388</v>
      </c>
      <c r="B12524" s="2" t="s">
        <v>389</v>
      </c>
      <c r="C12524" s="3">
        <v>2002</v>
      </c>
      <c r="D12524" s="4">
        <v>64266437</v>
      </c>
    </row>
    <row r="12525" spans="1:4" x14ac:dyDescent="0.3">
      <c r="A12525" s="5" t="s">
        <v>388</v>
      </c>
      <c r="B12525" s="5" t="s">
        <v>389</v>
      </c>
      <c r="C12525" s="6">
        <v>2003</v>
      </c>
      <c r="D12525" s="7">
        <v>64868166</v>
      </c>
    </row>
    <row r="12526" spans="1:4" x14ac:dyDescent="0.3">
      <c r="A12526" s="2" t="s">
        <v>388</v>
      </c>
      <c r="B12526" s="2" t="s">
        <v>389</v>
      </c>
      <c r="C12526" s="3">
        <v>2004</v>
      </c>
      <c r="D12526" s="4">
        <v>65452047</v>
      </c>
    </row>
    <row r="12527" spans="1:4" x14ac:dyDescent="0.3">
      <c r="A12527" s="5" t="s">
        <v>388</v>
      </c>
      <c r="B12527" s="5" t="s">
        <v>389</v>
      </c>
      <c r="C12527" s="6">
        <v>2005</v>
      </c>
      <c r="D12527" s="7">
        <v>66017420</v>
      </c>
    </row>
    <row r="12528" spans="1:4" x14ac:dyDescent="0.3">
      <c r="A12528" s="2" t="s">
        <v>388</v>
      </c>
      <c r="B12528" s="2" t="s">
        <v>389</v>
      </c>
      <c r="C12528" s="3">
        <v>2006</v>
      </c>
      <c r="D12528" s="4">
        <v>66567687</v>
      </c>
    </row>
    <row r="12529" spans="1:4" x14ac:dyDescent="0.3">
      <c r="A12529" s="5" t="s">
        <v>388</v>
      </c>
      <c r="B12529" s="5" t="s">
        <v>389</v>
      </c>
      <c r="C12529" s="6">
        <v>2007</v>
      </c>
      <c r="D12529" s="7">
        <v>67102394</v>
      </c>
    </row>
    <row r="12530" spans="1:4" x14ac:dyDescent="0.3">
      <c r="A12530" s="2" t="s">
        <v>388</v>
      </c>
      <c r="B12530" s="2" t="s">
        <v>389</v>
      </c>
      <c r="C12530" s="3">
        <v>2008</v>
      </c>
      <c r="D12530" s="4">
        <v>67619830</v>
      </c>
    </row>
    <row r="12531" spans="1:4" x14ac:dyDescent="0.3">
      <c r="A12531" s="5" t="s">
        <v>388</v>
      </c>
      <c r="B12531" s="5" t="s">
        <v>389</v>
      </c>
      <c r="C12531" s="6">
        <v>2009</v>
      </c>
      <c r="D12531" s="7">
        <v>68121080</v>
      </c>
    </row>
    <row r="12532" spans="1:4" x14ac:dyDescent="0.3">
      <c r="A12532" s="2" t="s">
        <v>388</v>
      </c>
      <c r="B12532" s="2" t="s">
        <v>389</v>
      </c>
      <c r="C12532" s="3">
        <v>2010</v>
      </c>
      <c r="D12532" s="4">
        <v>68579447</v>
      </c>
    </row>
    <row r="12533" spans="1:4" x14ac:dyDescent="0.3">
      <c r="A12533" s="5" t="s">
        <v>388</v>
      </c>
      <c r="B12533" s="5" t="s">
        <v>389</v>
      </c>
      <c r="C12533" s="6">
        <v>2011</v>
      </c>
      <c r="D12533" s="7">
        <v>69007208</v>
      </c>
    </row>
    <row r="12534" spans="1:4" x14ac:dyDescent="0.3">
      <c r="A12534" s="2" t="s">
        <v>388</v>
      </c>
      <c r="B12534" s="2" t="s">
        <v>389</v>
      </c>
      <c r="C12534" s="3">
        <v>2012</v>
      </c>
      <c r="D12534" s="4">
        <v>69436098</v>
      </c>
    </row>
    <row r="12535" spans="1:4" x14ac:dyDescent="0.3">
      <c r="A12535" s="5" t="s">
        <v>388</v>
      </c>
      <c r="B12535" s="5" t="s">
        <v>389</v>
      </c>
      <c r="C12535" s="6">
        <v>2013</v>
      </c>
      <c r="D12535" s="7">
        <v>69845114</v>
      </c>
    </row>
    <row r="12536" spans="1:4" x14ac:dyDescent="0.3">
      <c r="A12536" s="2" t="s">
        <v>388</v>
      </c>
      <c r="B12536" s="2" t="s">
        <v>389</v>
      </c>
      <c r="C12536" s="3">
        <v>2014</v>
      </c>
      <c r="D12536" s="4">
        <v>70216367</v>
      </c>
    </row>
    <row r="12537" spans="1:4" x14ac:dyDescent="0.3">
      <c r="A12537" s="5" t="s">
        <v>388</v>
      </c>
      <c r="B12537" s="5" t="s">
        <v>389</v>
      </c>
      <c r="C12537" s="6">
        <v>2015</v>
      </c>
      <c r="D12537" s="7">
        <v>70540795</v>
      </c>
    </row>
    <row r="12538" spans="1:4" x14ac:dyDescent="0.3">
      <c r="A12538" s="2" t="s">
        <v>388</v>
      </c>
      <c r="B12538" s="2" t="s">
        <v>389</v>
      </c>
      <c r="C12538" s="3">
        <v>2016</v>
      </c>
      <c r="D12538" s="4">
        <v>70859841</v>
      </c>
    </row>
    <row r="12539" spans="1:4" x14ac:dyDescent="0.3">
      <c r="A12539" s="5" t="s">
        <v>388</v>
      </c>
      <c r="B12539" s="5" t="s">
        <v>389</v>
      </c>
      <c r="C12539" s="6">
        <v>2017</v>
      </c>
      <c r="D12539" s="7">
        <v>71160187</v>
      </c>
    </row>
    <row r="12540" spans="1:4" x14ac:dyDescent="0.3">
      <c r="A12540" s="2" t="s">
        <v>388</v>
      </c>
      <c r="B12540" s="2" t="s">
        <v>389</v>
      </c>
      <c r="C12540" s="3">
        <v>2018</v>
      </c>
      <c r="D12540" s="4">
        <v>71376079</v>
      </c>
    </row>
    <row r="12541" spans="1:4" x14ac:dyDescent="0.3">
      <c r="A12541" s="5" t="s">
        <v>388</v>
      </c>
      <c r="B12541" s="5" t="s">
        <v>389</v>
      </c>
      <c r="C12541" s="6">
        <v>2019</v>
      </c>
      <c r="D12541" s="7">
        <v>71522271</v>
      </c>
    </row>
    <row r="12542" spans="1:4" x14ac:dyDescent="0.3">
      <c r="A12542" s="2" t="s">
        <v>388</v>
      </c>
      <c r="B12542" s="2" t="s">
        <v>389</v>
      </c>
      <c r="C12542" s="3">
        <v>2020</v>
      </c>
      <c r="D12542" s="4">
        <v>71641484</v>
      </c>
    </row>
    <row r="12543" spans="1:4" x14ac:dyDescent="0.3">
      <c r="A12543" s="5" t="s">
        <v>388</v>
      </c>
      <c r="B12543" s="5" t="s">
        <v>389</v>
      </c>
      <c r="C12543" s="6">
        <v>2021</v>
      </c>
      <c r="D12543" s="7">
        <v>71727332</v>
      </c>
    </row>
    <row r="12544" spans="1:4" x14ac:dyDescent="0.3">
      <c r="A12544" s="2" t="s">
        <v>388</v>
      </c>
      <c r="B12544" s="2" t="s">
        <v>389</v>
      </c>
      <c r="C12544" s="3">
        <v>2022</v>
      </c>
      <c r="D12544" s="4">
        <v>71735329</v>
      </c>
    </row>
    <row r="12545" spans="1:4" x14ac:dyDescent="0.3">
      <c r="A12545" s="5" t="s">
        <v>388</v>
      </c>
      <c r="B12545" s="5" t="s">
        <v>389</v>
      </c>
      <c r="C12545" s="6">
        <v>2023</v>
      </c>
      <c r="D12545" s="7">
        <v>71702435</v>
      </c>
    </row>
    <row r="12546" spans="1:4" x14ac:dyDescent="0.3">
      <c r="A12546" s="2" t="s">
        <v>388</v>
      </c>
      <c r="B12546" s="2" t="s">
        <v>389</v>
      </c>
      <c r="C12546" s="3">
        <v>2024</v>
      </c>
      <c r="D12546" s="4">
        <v>71668011</v>
      </c>
    </row>
    <row r="12547" spans="1:4" x14ac:dyDescent="0.3">
      <c r="A12547" s="5" t="s">
        <v>390</v>
      </c>
      <c r="B12547" s="5" t="s">
        <v>391</v>
      </c>
      <c r="C12547" s="6">
        <v>1960</v>
      </c>
      <c r="D12547" s="7">
        <v>468118</v>
      </c>
    </row>
    <row r="12548" spans="1:4" x14ac:dyDescent="0.3">
      <c r="A12548" s="2" t="s">
        <v>390</v>
      </c>
      <c r="B12548" s="2" t="s">
        <v>391</v>
      </c>
      <c r="C12548" s="3">
        <v>1961</v>
      </c>
      <c r="D12548" s="4">
        <v>475291</v>
      </c>
    </row>
    <row r="12549" spans="1:4" x14ac:dyDescent="0.3">
      <c r="A12549" s="5" t="s">
        <v>390</v>
      </c>
      <c r="B12549" s="5" t="s">
        <v>391</v>
      </c>
      <c r="C12549" s="6">
        <v>1962</v>
      </c>
      <c r="D12549" s="7">
        <v>482774</v>
      </c>
    </row>
    <row r="12550" spans="1:4" x14ac:dyDescent="0.3">
      <c r="A12550" s="2" t="s">
        <v>390</v>
      </c>
      <c r="B12550" s="2" t="s">
        <v>391</v>
      </c>
      <c r="C12550" s="3">
        <v>1963</v>
      </c>
      <c r="D12550" s="4">
        <v>490564</v>
      </c>
    </row>
    <row r="12551" spans="1:4" x14ac:dyDescent="0.3">
      <c r="A12551" s="5" t="s">
        <v>390</v>
      </c>
      <c r="B12551" s="5" t="s">
        <v>391</v>
      </c>
      <c r="C12551" s="6">
        <v>1964</v>
      </c>
      <c r="D12551" s="7">
        <v>498659</v>
      </c>
    </row>
    <row r="12552" spans="1:4" x14ac:dyDescent="0.3">
      <c r="A12552" s="2" t="s">
        <v>390</v>
      </c>
      <c r="B12552" s="2" t="s">
        <v>391</v>
      </c>
      <c r="C12552" s="3">
        <v>1965</v>
      </c>
      <c r="D12552" s="4">
        <v>507034</v>
      </c>
    </row>
    <row r="12553" spans="1:4" x14ac:dyDescent="0.3">
      <c r="A12553" s="5" t="s">
        <v>390</v>
      </c>
      <c r="B12553" s="5" t="s">
        <v>391</v>
      </c>
      <c r="C12553" s="6">
        <v>1966</v>
      </c>
      <c r="D12553" s="7">
        <v>515696</v>
      </c>
    </row>
    <row r="12554" spans="1:4" x14ac:dyDescent="0.3">
      <c r="A12554" s="2" t="s">
        <v>390</v>
      </c>
      <c r="B12554" s="2" t="s">
        <v>391</v>
      </c>
      <c r="C12554" s="3">
        <v>1967</v>
      </c>
      <c r="D12554" s="4">
        <v>524648</v>
      </c>
    </row>
    <row r="12555" spans="1:4" x14ac:dyDescent="0.3">
      <c r="A12555" s="5" t="s">
        <v>390</v>
      </c>
      <c r="B12555" s="5" t="s">
        <v>391</v>
      </c>
      <c r="C12555" s="6">
        <v>1968</v>
      </c>
      <c r="D12555" s="7">
        <v>533875</v>
      </c>
    </row>
    <row r="12556" spans="1:4" x14ac:dyDescent="0.3">
      <c r="A12556" s="2" t="s">
        <v>390</v>
      </c>
      <c r="B12556" s="2" t="s">
        <v>391</v>
      </c>
      <c r="C12556" s="3">
        <v>1969</v>
      </c>
      <c r="D12556" s="4">
        <v>543356</v>
      </c>
    </row>
    <row r="12557" spans="1:4" x14ac:dyDescent="0.3">
      <c r="A12557" s="5" t="s">
        <v>390</v>
      </c>
      <c r="B12557" s="5" t="s">
        <v>391</v>
      </c>
      <c r="C12557" s="6">
        <v>1970</v>
      </c>
      <c r="D12557" s="7">
        <v>553069</v>
      </c>
    </row>
    <row r="12558" spans="1:4" x14ac:dyDescent="0.3">
      <c r="A12558" s="2" t="s">
        <v>390</v>
      </c>
      <c r="B12558" s="2" t="s">
        <v>391</v>
      </c>
      <c r="C12558" s="3">
        <v>1971</v>
      </c>
      <c r="D12558" s="4">
        <v>562966</v>
      </c>
    </row>
    <row r="12559" spans="1:4" x14ac:dyDescent="0.3">
      <c r="A12559" s="5" t="s">
        <v>390</v>
      </c>
      <c r="B12559" s="5" t="s">
        <v>391</v>
      </c>
      <c r="C12559" s="6">
        <v>1972</v>
      </c>
      <c r="D12559" s="7">
        <v>572962</v>
      </c>
    </row>
    <row r="12560" spans="1:4" x14ac:dyDescent="0.3">
      <c r="A12560" s="2" t="s">
        <v>390</v>
      </c>
      <c r="B12560" s="2" t="s">
        <v>391</v>
      </c>
      <c r="C12560" s="3">
        <v>1973</v>
      </c>
      <c r="D12560" s="4">
        <v>582855</v>
      </c>
    </row>
    <row r="12561" spans="1:4" x14ac:dyDescent="0.3">
      <c r="A12561" s="5" t="s">
        <v>390</v>
      </c>
      <c r="B12561" s="5" t="s">
        <v>391</v>
      </c>
      <c r="C12561" s="6">
        <v>1974</v>
      </c>
      <c r="D12561" s="7">
        <v>590827</v>
      </c>
    </row>
    <row r="12562" spans="1:4" x14ac:dyDescent="0.3">
      <c r="A12562" s="2" t="s">
        <v>390</v>
      </c>
      <c r="B12562" s="2" t="s">
        <v>391</v>
      </c>
      <c r="C12562" s="3">
        <v>1975</v>
      </c>
      <c r="D12562" s="4">
        <v>598158</v>
      </c>
    </row>
    <row r="12563" spans="1:4" x14ac:dyDescent="0.3">
      <c r="A12563" s="5" t="s">
        <v>390</v>
      </c>
      <c r="B12563" s="5" t="s">
        <v>391</v>
      </c>
      <c r="C12563" s="6">
        <v>1976</v>
      </c>
      <c r="D12563" s="7">
        <v>607620</v>
      </c>
    </row>
    <row r="12564" spans="1:4" x14ac:dyDescent="0.3">
      <c r="A12564" s="2" t="s">
        <v>390</v>
      </c>
      <c r="B12564" s="2" t="s">
        <v>391</v>
      </c>
      <c r="C12564" s="3">
        <v>1977</v>
      </c>
      <c r="D12564" s="4">
        <v>618315</v>
      </c>
    </row>
    <row r="12565" spans="1:4" x14ac:dyDescent="0.3">
      <c r="A12565" s="5" t="s">
        <v>390</v>
      </c>
      <c r="B12565" s="5" t="s">
        <v>391</v>
      </c>
      <c r="C12565" s="6">
        <v>1978</v>
      </c>
      <c r="D12565" s="7">
        <v>628775</v>
      </c>
    </row>
    <row r="12566" spans="1:4" x14ac:dyDescent="0.3">
      <c r="A12566" s="2" t="s">
        <v>390</v>
      </c>
      <c r="B12566" s="2" t="s">
        <v>391</v>
      </c>
      <c r="C12566" s="3">
        <v>1979</v>
      </c>
      <c r="D12566" s="4">
        <v>638719</v>
      </c>
    </row>
    <row r="12567" spans="1:4" x14ac:dyDescent="0.3">
      <c r="A12567" s="5" t="s">
        <v>390</v>
      </c>
      <c r="B12567" s="5" t="s">
        <v>391</v>
      </c>
      <c r="C12567" s="6">
        <v>1980</v>
      </c>
      <c r="D12567" s="7">
        <v>649871</v>
      </c>
    </row>
    <row r="12568" spans="1:4" x14ac:dyDescent="0.3">
      <c r="A12568" s="2" t="s">
        <v>390</v>
      </c>
      <c r="B12568" s="2" t="s">
        <v>391</v>
      </c>
      <c r="C12568" s="3">
        <v>1981</v>
      </c>
      <c r="D12568" s="4">
        <v>660493</v>
      </c>
    </row>
    <row r="12569" spans="1:4" x14ac:dyDescent="0.3">
      <c r="A12569" s="5" t="s">
        <v>390</v>
      </c>
      <c r="B12569" s="5" t="s">
        <v>391</v>
      </c>
      <c r="C12569" s="6">
        <v>1982</v>
      </c>
      <c r="D12569" s="7">
        <v>669149</v>
      </c>
    </row>
    <row r="12570" spans="1:4" x14ac:dyDescent="0.3">
      <c r="A12570" s="2" t="s">
        <v>390</v>
      </c>
      <c r="B12570" s="2" t="s">
        <v>391</v>
      </c>
      <c r="C12570" s="3">
        <v>1983</v>
      </c>
      <c r="D12570" s="4">
        <v>677707</v>
      </c>
    </row>
    <row r="12571" spans="1:4" x14ac:dyDescent="0.3">
      <c r="A12571" s="5" t="s">
        <v>390</v>
      </c>
      <c r="B12571" s="5" t="s">
        <v>391</v>
      </c>
      <c r="C12571" s="6">
        <v>1984</v>
      </c>
      <c r="D12571" s="7">
        <v>686777</v>
      </c>
    </row>
    <row r="12572" spans="1:4" x14ac:dyDescent="0.3">
      <c r="A12572" s="2" t="s">
        <v>390</v>
      </c>
      <c r="B12572" s="2" t="s">
        <v>391</v>
      </c>
      <c r="C12572" s="3">
        <v>1985</v>
      </c>
      <c r="D12572" s="4">
        <v>696665</v>
      </c>
    </row>
    <row r="12573" spans="1:4" x14ac:dyDescent="0.3">
      <c r="A12573" s="5" t="s">
        <v>390</v>
      </c>
      <c r="B12573" s="5" t="s">
        <v>391</v>
      </c>
      <c r="C12573" s="6">
        <v>1986</v>
      </c>
      <c r="D12573" s="7">
        <v>707185</v>
      </c>
    </row>
    <row r="12574" spans="1:4" x14ac:dyDescent="0.3">
      <c r="A12574" s="2" t="s">
        <v>390</v>
      </c>
      <c r="B12574" s="2" t="s">
        <v>391</v>
      </c>
      <c r="C12574" s="3">
        <v>1987</v>
      </c>
      <c r="D12574" s="4">
        <v>718476</v>
      </c>
    </row>
    <row r="12575" spans="1:4" x14ac:dyDescent="0.3">
      <c r="A12575" s="5" t="s">
        <v>390</v>
      </c>
      <c r="B12575" s="5" t="s">
        <v>391</v>
      </c>
      <c r="C12575" s="6">
        <v>1988</v>
      </c>
      <c r="D12575" s="7">
        <v>730745</v>
      </c>
    </row>
    <row r="12576" spans="1:4" x14ac:dyDescent="0.3">
      <c r="A12576" s="2" t="s">
        <v>390</v>
      </c>
      <c r="B12576" s="2" t="s">
        <v>391</v>
      </c>
      <c r="C12576" s="3">
        <v>1989</v>
      </c>
      <c r="D12576" s="4">
        <v>744856</v>
      </c>
    </row>
    <row r="12577" spans="1:4" x14ac:dyDescent="0.3">
      <c r="A12577" s="5" t="s">
        <v>390</v>
      </c>
      <c r="B12577" s="5" t="s">
        <v>391</v>
      </c>
      <c r="C12577" s="6">
        <v>1990</v>
      </c>
      <c r="D12577" s="7">
        <v>760345</v>
      </c>
    </row>
    <row r="12578" spans="1:4" x14ac:dyDescent="0.3">
      <c r="A12578" s="2" t="s">
        <v>390</v>
      </c>
      <c r="B12578" s="2" t="s">
        <v>391</v>
      </c>
      <c r="C12578" s="3">
        <v>1991</v>
      </c>
      <c r="D12578" s="4">
        <v>778278</v>
      </c>
    </row>
    <row r="12579" spans="1:4" x14ac:dyDescent="0.3">
      <c r="A12579" s="5" t="s">
        <v>390</v>
      </c>
      <c r="B12579" s="5" t="s">
        <v>391</v>
      </c>
      <c r="C12579" s="6">
        <v>1992</v>
      </c>
      <c r="D12579" s="7">
        <v>799318</v>
      </c>
    </row>
    <row r="12580" spans="1:4" x14ac:dyDescent="0.3">
      <c r="A12580" s="2" t="s">
        <v>390</v>
      </c>
      <c r="B12580" s="2" t="s">
        <v>391</v>
      </c>
      <c r="C12580" s="3">
        <v>1993</v>
      </c>
      <c r="D12580" s="4">
        <v>821437</v>
      </c>
    </row>
    <row r="12581" spans="1:4" x14ac:dyDescent="0.3">
      <c r="A12581" s="5" t="s">
        <v>390</v>
      </c>
      <c r="B12581" s="5" t="s">
        <v>391</v>
      </c>
      <c r="C12581" s="6">
        <v>1994</v>
      </c>
      <c r="D12581" s="7">
        <v>844493</v>
      </c>
    </row>
    <row r="12582" spans="1:4" x14ac:dyDescent="0.3">
      <c r="A12582" s="2" t="s">
        <v>390</v>
      </c>
      <c r="B12582" s="2" t="s">
        <v>391</v>
      </c>
      <c r="C12582" s="3">
        <v>1995</v>
      </c>
      <c r="D12582" s="4">
        <v>868146</v>
      </c>
    </row>
    <row r="12583" spans="1:4" x14ac:dyDescent="0.3">
      <c r="A12583" s="5" t="s">
        <v>390</v>
      </c>
      <c r="B12583" s="5" t="s">
        <v>391</v>
      </c>
      <c r="C12583" s="6">
        <v>1996</v>
      </c>
      <c r="D12583" s="7">
        <v>892282</v>
      </c>
    </row>
    <row r="12584" spans="1:4" x14ac:dyDescent="0.3">
      <c r="A12584" s="2" t="s">
        <v>390</v>
      </c>
      <c r="B12584" s="2" t="s">
        <v>391</v>
      </c>
      <c r="C12584" s="3">
        <v>1997</v>
      </c>
      <c r="D12584" s="4">
        <v>917184</v>
      </c>
    </row>
    <row r="12585" spans="1:4" x14ac:dyDescent="0.3">
      <c r="A12585" s="5" t="s">
        <v>390</v>
      </c>
      <c r="B12585" s="5" t="s">
        <v>391</v>
      </c>
      <c r="C12585" s="6">
        <v>1998</v>
      </c>
      <c r="D12585" s="7">
        <v>942530</v>
      </c>
    </row>
    <row r="12586" spans="1:4" x14ac:dyDescent="0.3">
      <c r="A12586" s="2" t="s">
        <v>390</v>
      </c>
      <c r="B12586" s="2" t="s">
        <v>391</v>
      </c>
      <c r="C12586" s="3">
        <v>1999</v>
      </c>
      <c r="D12586" s="4">
        <v>834697</v>
      </c>
    </row>
    <row r="12587" spans="1:4" x14ac:dyDescent="0.3">
      <c r="A12587" s="5" t="s">
        <v>390</v>
      </c>
      <c r="B12587" s="5" t="s">
        <v>391</v>
      </c>
      <c r="C12587" s="6">
        <v>2000</v>
      </c>
      <c r="D12587" s="7">
        <v>745088</v>
      </c>
    </row>
    <row r="12588" spans="1:4" x14ac:dyDescent="0.3">
      <c r="A12588" s="2" t="s">
        <v>390</v>
      </c>
      <c r="B12588" s="2" t="s">
        <v>391</v>
      </c>
      <c r="C12588" s="3">
        <v>2001</v>
      </c>
      <c r="D12588" s="4">
        <v>812249</v>
      </c>
    </row>
    <row r="12589" spans="1:4" x14ac:dyDescent="0.3">
      <c r="A12589" s="5" t="s">
        <v>390</v>
      </c>
      <c r="B12589" s="5" t="s">
        <v>391</v>
      </c>
      <c r="C12589" s="6">
        <v>2002</v>
      </c>
      <c r="D12589" s="7">
        <v>879159</v>
      </c>
    </row>
    <row r="12590" spans="1:4" x14ac:dyDescent="0.3">
      <c r="A12590" s="2" t="s">
        <v>390</v>
      </c>
      <c r="B12590" s="2" t="s">
        <v>391</v>
      </c>
      <c r="C12590" s="3">
        <v>2003</v>
      </c>
      <c r="D12590" s="4">
        <v>916878</v>
      </c>
    </row>
    <row r="12591" spans="1:4" x14ac:dyDescent="0.3">
      <c r="A12591" s="5" t="s">
        <v>390</v>
      </c>
      <c r="B12591" s="5" t="s">
        <v>391</v>
      </c>
      <c r="C12591" s="6">
        <v>2004</v>
      </c>
      <c r="D12591" s="7">
        <v>929074</v>
      </c>
    </row>
    <row r="12592" spans="1:4" x14ac:dyDescent="0.3">
      <c r="A12592" s="2" t="s">
        <v>390</v>
      </c>
      <c r="B12592" s="2" t="s">
        <v>391</v>
      </c>
      <c r="C12592" s="3">
        <v>2005</v>
      </c>
      <c r="D12592" s="4">
        <v>948311</v>
      </c>
    </row>
    <row r="12593" spans="1:4" x14ac:dyDescent="0.3">
      <c r="A12593" s="5" t="s">
        <v>390</v>
      </c>
      <c r="B12593" s="5" t="s">
        <v>391</v>
      </c>
      <c r="C12593" s="6">
        <v>2006</v>
      </c>
      <c r="D12593" s="7">
        <v>976597</v>
      </c>
    </row>
    <row r="12594" spans="1:4" x14ac:dyDescent="0.3">
      <c r="A12594" s="2" t="s">
        <v>390</v>
      </c>
      <c r="B12594" s="2" t="s">
        <v>391</v>
      </c>
      <c r="C12594" s="3">
        <v>2007</v>
      </c>
      <c r="D12594" s="4">
        <v>1004889</v>
      </c>
    </row>
    <row r="12595" spans="1:4" x14ac:dyDescent="0.3">
      <c r="A12595" s="5" t="s">
        <v>390</v>
      </c>
      <c r="B12595" s="5" t="s">
        <v>391</v>
      </c>
      <c r="C12595" s="6">
        <v>2008</v>
      </c>
      <c r="D12595" s="7">
        <v>1032429</v>
      </c>
    </row>
    <row r="12596" spans="1:4" x14ac:dyDescent="0.3">
      <c r="A12596" s="2" t="s">
        <v>390</v>
      </c>
      <c r="B12596" s="2" t="s">
        <v>391</v>
      </c>
      <c r="C12596" s="3">
        <v>2009</v>
      </c>
      <c r="D12596" s="4">
        <v>1058782</v>
      </c>
    </row>
    <row r="12597" spans="1:4" x14ac:dyDescent="0.3">
      <c r="A12597" s="5" t="s">
        <v>390</v>
      </c>
      <c r="B12597" s="5" t="s">
        <v>391</v>
      </c>
      <c r="C12597" s="6">
        <v>2010</v>
      </c>
      <c r="D12597" s="7">
        <v>1084679</v>
      </c>
    </row>
    <row r="12598" spans="1:4" x14ac:dyDescent="0.3">
      <c r="A12598" s="2" t="s">
        <v>390</v>
      </c>
      <c r="B12598" s="2" t="s">
        <v>391</v>
      </c>
      <c r="C12598" s="3">
        <v>2011</v>
      </c>
      <c r="D12598" s="4">
        <v>1110207</v>
      </c>
    </row>
    <row r="12599" spans="1:4" x14ac:dyDescent="0.3">
      <c r="A12599" s="5" t="s">
        <v>390</v>
      </c>
      <c r="B12599" s="5" t="s">
        <v>391</v>
      </c>
      <c r="C12599" s="6">
        <v>2012</v>
      </c>
      <c r="D12599" s="7">
        <v>1134885</v>
      </c>
    </row>
    <row r="12600" spans="1:4" x14ac:dyDescent="0.3">
      <c r="A12600" s="2" t="s">
        <v>390</v>
      </c>
      <c r="B12600" s="2" t="s">
        <v>391</v>
      </c>
      <c r="C12600" s="3">
        <v>2013</v>
      </c>
      <c r="D12600" s="4">
        <v>1158695</v>
      </c>
    </row>
    <row r="12601" spans="1:4" x14ac:dyDescent="0.3">
      <c r="A12601" s="5" t="s">
        <v>390</v>
      </c>
      <c r="B12601" s="5" t="s">
        <v>391</v>
      </c>
      <c r="C12601" s="6">
        <v>2014</v>
      </c>
      <c r="D12601" s="7">
        <v>1181903</v>
      </c>
    </row>
    <row r="12602" spans="1:4" x14ac:dyDescent="0.3">
      <c r="A12602" s="2" t="s">
        <v>390</v>
      </c>
      <c r="B12602" s="2" t="s">
        <v>391</v>
      </c>
      <c r="C12602" s="3">
        <v>2015</v>
      </c>
      <c r="D12602" s="4">
        <v>1205131</v>
      </c>
    </row>
    <row r="12603" spans="1:4" x14ac:dyDescent="0.3">
      <c r="A12603" s="5" t="s">
        <v>390</v>
      </c>
      <c r="B12603" s="5" t="s">
        <v>391</v>
      </c>
      <c r="C12603" s="6">
        <v>2016</v>
      </c>
      <c r="D12603" s="7">
        <v>1228312</v>
      </c>
    </row>
    <row r="12604" spans="1:4" x14ac:dyDescent="0.3">
      <c r="A12604" s="2" t="s">
        <v>390</v>
      </c>
      <c r="B12604" s="2" t="s">
        <v>391</v>
      </c>
      <c r="C12604" s="3">
        <v>2017</v>
      </c>
      <c r="D12604" s="4">
        <v>1251703</v>
      </c>
    </row>
    <row r="12605" spans="1:4" x14ac:dyDescent="0.3">
      <c r="A12605" s="5" t="s">
        <v>390</v>
      </c>
      <c r="B12605" s="5" t="s">
        <v>391</v>
      </c>
      <c r="C12605" s="6">
        <v>2018</v>
      </c>
      <c r="D12605" s="7">
        <v>1275959</v>
      </c>
    </row>
    <row r="12606" spans="1:4" x14ac:dyDescent="0.3">
      <c r="A12606" s="2" t="s">
        <v>390</v>
      </c>
      <c r="B12606" s="2" t="s">
        <v>391</v>
      </c>
      <c r="C12606" s="3">
        <v>2019</v>
      </c>
      <c r="D12606" s="4">
        <v>1300945</v>
      </c>
    </row>
    <row r="12607" spans="1:4" x14ac:dyDescent="0.3">
      <c r="A12607" s="5" t="s">
        <v>390</v>
      </c>
      <c r="B12607" s="5" t="s">
        <v>391</v>
      </c>
      <c r="C12607" s="6">
        <v>2020</v>
      </c>
      <c r="D12607" s="7">
        <v>1326053</v>
      </c>
    </row>
    <row r="12608" spans="1:4" x14ac:dyDescent="0.3">
      <c r="A12608" s="2" t="s">
        <v>390</v>
      </c>
      <c r="B12608" s="2" t="s">
        <v>391</v>
      </c>
      <c r="C12608" s="3">
        <v>2021</v>
      </c>
      <c r="D12608" s="4">
        <v>1350139</v>
      </c>
    </row>
    <row r="12609" spans="1:4" x14ac:dyDescent="0.3">
      <c r="A12609" s="5" t="s">
        <v>390</v>
      </c>
      <c r="B12609" s="5" t="s">
        <v>391</v>
      </c>
      <c r="C12609" s="6">
        <v>2022</v>
      </c>
      <c r="D12609" s="7">
        <v>1369295</v>
      </c>
    </row>
    <row r="12610" spans="1:4" x14ac:dyDescent="0.3">
      <c r="A12610" s="2" t="s">
        <v>390</v>
      </c>
      <c r="B12610" s="2" t="s">
        <v>391</v>
      </c>
      <c r="C12610" s="3">
        <v>2023</v>
      </c>
      <c r="D12610" s="4">
        <v>1384286</v>
      </c>
    </row>
    <row r="12611" spans="1:4" x14ac:dyDescent="0.3">
      <c r="A12611" s="5" t="s">
        <v>390</v>
      </c>
      <c r="B12611" s="5" t="s">
        <v>391</v>
      </c>
      <c r="C12611" s="6">
        <v>2024</v>
      </c>
      <c r="D12611" s="7">
        <v>1400638</v>
      </c>
    </row>
    <row r="12612" spans="1:4" x14ac:dyDescent="0.3">
      <c r="A12612" s="2" t="s">
        <v>392</v>
      </c>
      <c r="B12612" s="2" t="s">
        <v>393</v>
      </c>
      <c r="C12612" s="3">
        <v>1960</v>
      </c>
      <c r="D12612" s="4">
        <v>1673110</v>
      </c>
    </row>
    <row r="12613" spans="1:4" x14ac:dyDescent="0.3">
      <c r="A12613" s="5" t="s">
        <v>392</v>
      </c>
      <c r="B12613" s="5" t="s">
        <v>393</v>
      </c>
      <c r="C12613" s="6">
        <v>1961</v>
      </c>
      <c r="D12613" s="7">
        <v>1702717</v>
      </c>
    </row>
    <row r="12614" spans="1:4" x14ac:dyDescent="0.3">
      <c r="A12614" s="2" t="s">
        <v>392</v>
      </c>
      <c r="B12614" s="2" t="s">
        <v>393</v>
      </c>
      <c r="C12614" s="3">
        <v>1962</v>
      </c>
      <c r="D12614" s="4">
        <v>1732959</v>
      </c>
    </row>
    <row r="12615" spans="1:4" x14ac:dyDescent="0.3">
      <c r="A12615" s="5" t="s">
        <v>392</v>
      </c>
      <c r="B12615" s="5" t="s">
        <v>393</v>
      </c>
      <c r="C12615" s="6">
        <v>1963</v>
      </c>
      <c r="D12615" s="7">
        <v>1765072</v>
      </c>
    </row>
    <row r="12616" spans="1:4" x14ac:dyDescent="0.3">
      <c r="A12616" s="2" t="s">
        <v>392</v>
      </c>
      <c r="B12616" s="2" t="s">
        <v>393</v>
      </c>
      <c r="C12616" s="3">
        <v>1964</v>
      </c>
      <c r="D12616" s="4">
        <v>1803440</v>
      </c>
    </row>
    <row r="12617" spans="1:4" x14ac:dyDescent="0.3">
      <c r="A12617" s="5" t="s">
        <v>392</v>
      </c>
      <c r="B12617" s="5" t="s">
        <v>393</v>
      </c>
      <c r="C12617" s="6">
        <v>1965</v>
      </c>
      <c r="D12617" s="7">
        <v>1853771</v>
      </c>
    </row>
    <row r="12618" spans="1:4" x14ac:dyDescent="0.3">
      <c r="A12618" s="2" t="s">
        <v>392</v>
      </c>
      <c r="B12618" s="2" t="s">
        <v>393</v>
      </c>
      <c r="C12618" s="3">
        <v>1966</v>
      </c>
      <c r="D12618" s="4">
        <v>1918513</v>
      </c>
    </row>
    <row r="12619" spans="1:4" x14ac:dyDescent="0.3">
      <c r="A12619" s="5" t="s">
        <v>392</v>
      </c>
      <c r="B12619" s="5" t="s">
        <v>393</v>
      </c>
      <c r="C12619" s="6">
        <v>1967</v>
      </c>
      <c r="D12619" s="7">
        <v>1995890</v>
      </c>
    </row>
    <row r="12620" spans="1:4" x14ac:dyDescent="0.3">
      <c r="A12620" s="2" t="s">
        <v>392</v>
      </c>
      <c r="B12620" s="2" t="s">
        <v>393</v>
      </c>
      <c r="C12620" s="3">
        <v>1968</v>
      </c>
      <c r="D12620" s="4">
        <v>2080226</v>
      </c>
    </row>
    <row r="12621" spans="1:4" x14ac:dyDescent="0.3">
      <c r="A12621" s="5" t="s">
        <v>392</v>
      </c>
      <c r="B12621" s="5" t="s">
        <v>393</v>
      </c>
      <c r="C12621" s="6">
        <v>1969</v>
      </c>
      <c r="D12621" s="7">
        <v>2164814</v>
      </c>
    </row>
    <row r="12622" spans="1:4" x14ac:dyDescent="0.3">
      <c r="A12622" s="2" t="s">
        <v>392</v>
      </c>
      <c r="B12622" s="2" t="s">
        <v>393</v>
      </c>
      <c r="C12622" s="3">
        <v>1970</v>
      </c>
      <c r="D12622" s="4">
        <v>2244773</v>
      </c>
    </row>
    <row r="12623" spans="1:4" x14ac:dyDescent="0.3">
      <c r="A12623" s="5" t="s">
        <v>392</v>
      </c>
      <c r="B12623" s="5" t="s">
        <v>393</v>
      </c>
      <c r="C12623" s="6">
        <v>1971</v>
      </c>
      <c r="D12623" s="7">
        <v>2317976</v>
      </c>
    </row>
    <row r="12624" spans="1:4" x14ac:dyDescent="0.3">
      <c r="A12624" s="2" t="s">
        <v>392</v>
      </c>
      <c r="B12624" s="2" t="s">
        <v>393</v>
      </c>
      <c r="C12624" s="3">
        <v>1972</v>
      </c>
      <c r="D12624" s="4">
        <v>2384994</v>
      </c>
    </row>
    <row r="12625" spans="1:4" x14ac:dyDescent="0.3">
      <c r="A12625" s="5" t="s">
        <v>392</v>
      </c>
      <c r="B12625" s="5" t="s">
        <v>393</v>
      </c>
      <c r="C12625" s="6">
        <v>1973</v>
      </c>
      <c r="D12625" s="7">
        <v>2448749</v>
      </c>
    </row>
    <row r="12626" spans="1:4" x14ac:dyDescent="0.3">
      <c r="A12626" s="2" t="s">
        <v>392</v>
      </c>
      <c r="B12626" s="2" t="s">
        <v>393</v>
      </c>
      <c r="C12626" s="3">
        <v>1974</v>
      </c>
      <c r="D12626" s="4">
        <v>2511760</v>
      </c>
    </row>
    <row r="12627" spans="1:4" x14ac:dyDescent="0.3">
      <c r="A12627" s="5" t="s">
        <v>392</v>
      </c>
      <c r="B12627" s="5" t="s">
        <v>393</v>
      </c>
      <c r="C12627" s="6">
        <v>1975</v>
      </c>
      <c r="D12627" s="7">
        <v>2574622</v>
      </c>
    </row>
    <row r="12628" spans="1:4" x14ac:dyDescent="0.3">
      <c r="A12628" s="2" t="s">
        <v>392</v>
      </c>
      <c r="B12628" s="2" t="s">
        <v>393</v>
      </c>
      <c r="C12628" s="3">
        <v>1976</v>
      </c>
      <c r="D12628" s="4">
        <v>2637796</v>
      </c>
    </row>
    <row r="12629" spans="1:4" x14ac:dyDescent="0.3">
      <c r="A12629" s="5" t="s">
        <v>392</v>
      </c>
      <c r="B12629" s="5" t="s">
        <v>393</v>
      </c>
      <c r="C12629" s="6">
        <v>1977</v>
      </c>
      <c r="D12629" s="7">
        <v>2701894</v>
      </c>
    </row>
    <row r="12630" spans="1:4" x14ac:dyDescent="0.3">
      <c r="A12630" s="2" t="s">
        <v>392</v>
      </c>
      <c r="B12630" s="2" t="s">
        <v>393</v>
      </c>
      <c r="C12630" s="3">
        <v>1978</v>
      </c>
      <c r="D12630" s="4">
        <v>2768148</v>
      </c>
    </row>
    <row r="12631" spans="1:4" x14ac:dyDescent="0.3">
      <c r="A12631" s="5" t="s">
        <v>392</v>
      </c>
      <c r="B12631" s="5" t="s">
        <v>393</v>
      </c>
      <c r="C12631" s="6">
        <v>1979</v>
      </c>
      <c r="D12631" s="7">
        <v>2839854</v>
      </c>
    </row>
    <row r="12632" spans="1:4" x14ac:dyDescent="0.3">
      <c r="A12632" s="2" t="s">
        <v>392</v>
      </c>
      <c r="B12632" s="2" t="s">
        <v>393</v>
      </c>
      <c r="C12632" s="3">
        <v>1980</v>
      </c>
      <c r="D12632" s="4">
        <v>2920894</v>
      </c>
    </row>
    <row r="12633" spans="1:4" x14ac:dyDescent="0.3">
      <c r="A12633" s="5" t="s">
        <v>392</v>
      </c>
      <c r="B12633" s="5" t="s">
        <v>393</v>
      </c>
      <c r="C12633" s="6">
        <v>1981</v>
      </c>
      <c r="D12633" s="7">
        <v>3013043</v>
      </c>
    </row>
    <row r="12634" spans="1:4" x14ac:dyDescent="0.3">
      <c r="A12634" s="2" t="s">
        <v>392</v>
      </c>
      <c r="B12634" s="2" t="s">
        <v>393</v>
      </c>
      <c r="C12634" s="3">
        <v>1982</v>
      </c>
      <c r="D12634" s="4">
        <v>3115042</v>
      </c>
    </row>
    <row r="12635" spans="1:4" x14ac:dyDescent="0.3">
      <c r="A12635" s="5" t="s">
        <v>392</v>
      </c>
      <c r="B12635" s="5" t="s">
        <v>393</v>
      </c>
      <c r="C12635" s="6">
        <v>1983</v>
      </c>
      <c r="D12635" s="7">
        <v>3222899</v>
      </c>
    </row>
    <row r="12636" spans="1:4" x14ac:dyDescent="0.3">
      <c r="A12636" s="2" t="s">
        <v>392</v>
      </c>
      <c r="B12636" s="2" t="s">
        <v>393</v>
      </c>
      <c r="C12636" s="3">
        <v>1984</v>
      </c>
      <c r="D12636" s="4">
        <v>3332837</v>
      </c>
    </row>
    <row r="12637" spans="1:4" x14ac:dyDescent="0.3">
      <c r="A12637" s="5" t="s">
        <v>392</v>
      </c>
      <c r="B12637" s="5" t="s">
        <v>393</v>
      </c>
      <c r="C12637" s="6">
        <v>1985</v>
      </c>
      <c r="D12637" s="7">
        <v>3441091</v>
      </c>
    </row>
    <row r="12638" spans="1:4" x14ac:dyDescent="0.3">
      <c r="A12638" s="2" t="s">
        <v>392</v>
      </c>
      <c r="B12638" s="2" t="s">
        <v>393</v>
      </c>
      <c r="C12638" s="3">
        <v>1986</v>
      </c>
      <c r="D12638" s="4">
        <v>3547952</v>
      </c>
    </row>
    <row r="12639" spans="1:4" x14ac:dyDescent="0.3">
      <c r="A12639" s="5" t="s">
        <v>392</v>
      </c>
      <c r="B12639" s="5" t="s">
        <v>393</v>
      </c>
      <c r="C12639" s="6">
        <v>1987</v>
      </c>
      <c r="D12639" s="7">
        <v>3657508</v>
      </c>
    </row>
    <row r="12640" spans="1:4" x14ac:dyDescent="0.3">
      <c r="A12640" s="2" t="s">
        <v>392</v>
      </c>
      <c r="B12640" s="2" t="s">
        <v>393</v>
      </c>
      <c r="C12640" s="3">
        <v>1988</v>
      </c>
      <c r="D12640" s="4">
        <v>3769742</v>
      </c>
    </row>
    <row r="12641" spans="1:4" x14ac:dyDescent="0.3">
      <c r="A12641" s="5" t="s">
        <v>392</v>
      </c>
      <c r="B12641" s="5" t="s">
        <v>393</v>
      </c>
      <c r="C12641" s="6">
        <v>1989</v>
      </c>
      <c r="D12641" s="7">
        <v>3883411</v>
      </c>
    </row>
    <row r="12642" spans="1:4" x14ac:dyDescent="0.3">
      <c r="A12642" s="2" t="s">
        <v>392</v>
      </c>
      <c r="B12642" s="2" t="s">
        <v>393</v>
      </c>
      <c r="C12642" s="3">
        <v>1990</v>
      </c>
      <c r="D12642" s="4">
        <v>3998761</v>
      </c>
    </row>
    <row r="12643" spans="1:4" x14ac:dyDescent="0.3">
      <c r="A12643" s="5" t="s">
        <v>392</v>
      </c>
      <c r="B12643" s="5" t="s">
        <v>393</v>
      </c>
      <c r="C12643" s="6">
        <v>1991</v>
      </c>
      <c r="D12643" s="7">
        <v>4115560</v>
      </c>
    </row>
    <row r="12644" spans="1:4" x14ac:dyDescent="0.3">
      <c r="A12644" s="2" t="s">
        <v>392</v>
      </c>
      <c r="B12644" s="2" t="s">
        <v>393</v>
      </c>
      <c r="C12644" s="3">
        <v>1992</v>
      </c>
      <c r="D12644" s="4">
        <v>4233617</v>
      </c>
    </row>
    <row r="12645" spans="1:4" x14ac:dyDescent="0.3">
      <c r="A12645" s="5" t="s">
        <v>392</v>
      </c>
      <c r="B12645" s="5" t="s">
        <v>393</v>
      </c>
      <c r="C12645" s="6">
        <v>1993</v>
      </c>
      <c r="D12645" s="7">
        <v>4207453</v>
      </c>
    </row>
    <row r="12646" spans="1:4" x14ac:dyDescent="0.3">
      <c r="A12646" s="2" t="s">
        <v>392</v>
      </c>
      <c r="B12646" s="2" t="s">
        <v>393</v>
      </c>
      <c r="C12646" s="3">
        <v>1994</v>
      </c>
      <c r="D12646" s="4">
        <v>4222940</v>
      </c>
    </row>
    <row r="12647" spans="1:4" x14ac:dyDescent="0.3">
      <c r="A12647" s="5" t="s">
        <v>392</v>
      </c>
      <c r="B12647" s="5" t="s">
        <v>393</v>
      </c>
      <c r="C12647" s="6">
        <v>1995</v>
      </c>
      <c r="D12647" s="7">
        <v>4410832</v>
      </c>
    </row>
    <row r="12648" spans="1:4" x14ac:dyDescent="0.3">
      <c r="A12648" s="2" t="s">
        <v>392</v>
      </c>
      <c r="B12648" s="2" t="s">
        <v>393</v>
      </c>
      <c r="C12648" s="3">
        <v>1996</v>
      </c>
      <c r="D12648" s="4">
        <v>4577860</v>
      </c>
    </row>
    <row r="12649" spans="1:4" x14ac:dyDescent="0.3">
      <c r="A12649" s="5" t="s">
        <v>392</v>
      </c>
      <c r="B12649" s="5" t="s">
        <v>393</v>
      </c>
      <c r="C12649" s="6">
        <v>1997</v>
      </c>
      <c r="D12649" s="7">
        <v>4725030</v>
      </c>
    </row>
    <row r="12650" spans="1:4" x14ac:dyDescent="0.3">
      <c r="A12650" s="2" t="s">
        <v>392</v>
      </c>
      <c r="B12650" s="2" t="s">
        <v>393</v>
      </c>
      <c r="C12650" s="3">
        <v>1998</v>
      </c>
      <c r="D12650" s="4">
        <v>4860913</v>
      </c>
    </row>
    <row r="12651" spans="1:4" x14ac:dyDescent="0.3">
      <c r="A12651" s="5" t="s">
        <v>392</v>
      </c>
      <c r="B12651" s="5" t="s">
        <v>393</v>
      </c>
      <c r="C12651" s="6">
        <v>1999</v>
      </c>
      <c r="D12651" s="7">
        <v>5000269</v>
      </c>
    </row>
    <row r="12652" spans="1:4" x14ac:dyDescent="0.3">
      <c r="A12652" s="2" t="s">
        <v>392</v>
      </c>
      <c r="B12652" s="2" t="s">
        <v>393</v>
      </c>
      <c r="C12652" s="3">
        <v>2000</v>
      </c>
      <c r="D12652" s="4">
        <v>5140037</v>
      </c>
    </row>
    <row r="12653" spans="1:4" x14ac:dyDescent="0.3">
      <c r="A12653" s="5" t="s">
        <v>392</v>
      </c>
      <c r="B12653" s="5" t="s">
        <v>393</v>
      </c>
      <c r="C12653" s="6">
        <v>2001</v>
      </c>
      <c r="D12653" s="7">
        <v>5277382</v>
      </c>
    </row>
    <row r="12654" spans="1:4" x14ac:dyDescent="0.3">
      <c r="A12654" s="2" t="s">
        <v>392</v>
      </c>
      <c r="B12654" s="2" t="s">
        <v>393</v>
      </c>
      <c r="C12654" s="3">
        <v>2002</v>
      </c>
      <c r="D12654" s="4">
        <v>5413274</v>
      </c>
    </row>
    <row r="12655" spans="1:4" x14ac:dyDescent="0.3">
      <c r="A12655" s="5" t="s">
        <v>392</v>
      </c>
      <c r="B12655" s="5" t="s">
        <v>393</v>
      </c>
      <c r="C12655" s="6">
        <v>2003</v>
      </c>
      <c r="D12655" s="7">
        <v>5552167</v>
      </c>
    </row>
    <row r="12656" spans="1:4" x14ac:dyDescent="0.3">
      <c r="A12656" s="2" t="s">
        <v>392</v>
      </c>
      <c r="B12656" s="2" t="s">
        <v>393</v>
      </c>
      <c r="C12656" s="3">
        <v>2004</v>
      </c>
      <c r="D12656" s="4">
        <v>5696508</v>
      </c>
    </row>
    <row r="12657" spans="1:4" x14ac:dyDescent="0.3">
      <c r="A12657" s="5" t="s">
        <v>392</v>
      </c>
      <c r="B12657" s="5" t="s">
        <v>393</v>
      </c>
      <c r="C12657" s="6">
        <v>2005</v>
      </c>
      <c r="D12657" s="7">
        <v>5844631</v>
      </c>
    </row>
    <row r="12658" spans="1:4" x14ac:dyDescent="0.3">
      <c r="A12658" s="2" t="s">
        <v>392</v>
      </c>
      <c r="B12658" s="2" t="s">
        <v>393</v>
      </c>
      <c r="C12658" s="3">
        <v>2006</v>
      </c>
      <c r="D12658" s="4">
        <v>6010668</v>
      </c>
    </row>
    <row r="12659" spans="1:4" x14ac:dyDescent="0.3">
      <c r="A12659" s="5" t="s">
        <v>392</v>
      </c>
      <c r="B12659" s="5" t="s">
        <v>393</v>
      </c>
      <c r="C12659" s="6">
        <v>2007</v>
      </c>
      <c r="D12659" s="7">
        <v>6188344</v>
      </c>
    </row>
    <row r="12660" spans="1:4" x14ac:dyDescent="0.3">
      <c r="A12660" s="2" t="s">
        <v>392</v>
      </c>
      <c r="B12660" s="2" t="s">
        <v>393</v>
      </c>
      <c r="C12660" s="3">
        <v>2008</v>
      </c>
      <c r="D12660" s="4">
        <v>6368812</v>
      </c>
    </row>
    <row r="12661" spans="1:4" x14ac:dyDescent="0.3">
      <c r="A12661" s="5" t="s">
        <v>392</v>
      </c>
      <c r="B12661" s="5" t="s">
        <v>393</v>
      </c>
      <c r="C12661" s="6">
        <v>2009</v>
      </c>
      <c r="D12661" s="7">
        <v>6551865</v>
      </c>
    </row>
    <row r="12662" spans="1:4" x14ac:dyDescent="0.3">
      <c r="A12662" s="2" t="s">
        <v>392</v>
      </c>
      <c r="B12662" s="2" t="s">
        <v>393</v>
      </c>
      <c r="C12662" s="3">
        <v>2010</v>
      </c>
      <c r="D12662" s="4">
        <v>6732590</v>
      </c>
    </row>
    <row r="12663" spans="1:4" x14ac:dyDescent="0.3">
      <c r="A12663" s="5" t="s">
        <v>392</v>
      </c>
      <c r="B12663" s="5" t="s">
        <v>393</v>
      </c>
      <c r="C12663" s="6">
        <v>2011</v>
      </c>
      <c r="D12663" s="7">
        <v>6916474</v>
      </c>
    </row>
    <row r="12664" spans="1:4" x14ac:dyDescent="0.3">
      <c r="A12664" s="2" t="s">
        <v>392</v>
      </c>
      <c r="B12664" s="2" t="s">
        <v>393</v>
      </c>
      <c r="C12664" s="3">
        <v>2012</v>
      </c>
      <c r="D12664" s="4">
        <v>7100736</v>
      </c>
    </row>
    <row r="12665" spans="1:4" x14ac:dyDescent="0.3">
      <c r="A12665" s="5" t="s">
        <v>392</v>
      </c>
      <c r="B12665" s="5" t="s">
        <v>393</v>
      </c>
      <c r="C12665" s="6">
        <v>2013</v>
      </c>
      <c r="D12665" s="7">
        <v>7285442</v>
      </c>
    </row>
    <row r="12666" spans="1:4" x14ac:dyDescent="0.3">
      <c r="A12666" s="2" t="s">
        <v>392</v>
      </c>
      <c r="B12666" s="2" t="s">
        <v>393</v>
      </c>
      <c r="C12666" s="3">
        <v>2014</v>
      </c>
      <c r="D12666" s="4">
        <v>7472450</v>
      </c>
    </row>
    <row r="12667" spans="1:4" x14ac:dyDescent="0.3">
      <c r="A12667" s="5" t="s">
        <v>392</v>
      </c>
      <c r="B12667" s="5" t="s">
        <v>393</v>
      </c>
      <c r="C12667" s="6">
        <v>2015</v>
      </c>
      <c r="D12667" s="7">
        <v>7663195</v>
      </c>
    </row>
    <row r="12668" spans="1:4" x14ac:dyDescent="0.3">
      <c r="A12668" s="2" t="s">
        <v>392</v>
      </c>
      <c r="B12668" s="2" t="s">
        <v>393</v>
      </c>
      <c r="C12668" s="3">
        <v>2016</v>
      </c>
      <c r="D12668" s="4">
        <v>7858289</v>
      </c>
    </row>
    <row r="12669" spans="1:4" x14ac:dyDescent="0.3">
      <c r="A12669" s="5" t="s">
        <v>392</v>
      </c>
      <c r="B12669" s="5" t="s">
        <v>393</v>
      </c>
      <c r="C12669" s="6">
        <v>2017</v>
      </c>
      <c r="D12669" s="7">
        <v>8057140</v>
      </c>
    </row>
    <row r="12670" spans="1:4" x14ac:dyDescent="0.3">
      <c r="A12670" s="2" t="s">
        <v>392</v>
      </c>
      <c r="B12670" s="2" t="s">
        <v>393</v>
      </c>
      <c r="C12670" s="3">
        <v>2018</v>
      </c>
      <c r="D12670" s="4">
        <v>8258778</v>
      </c>
    </row>
    <row r="12671" spans="1:4" x14ac:dyDescent="0.3">
      <c r="A12671" s="5" t="s">
        <v>392</v>
      </c>
      <c r="B12671" s="5" t="s">
        <v>393</v>
      </c>
      <c r="C12671" s="6">
        <v>2019</v>
      </c>
      <c r="D12671" s="7">
        <v>8463068</v>
      </c>
    </row>
    <row r="12672" spans="1:4" x14ac:dyDescent="0.3">
      <c r="A12672" s="2" t="s">
        <v>392</v>
      </c>
      <c r="B12672" s="2" t="s">
        <v>393</v>
      </c>
      <c r="C12672" s="3">
        <v>2020</v>
      </c>
      <c r="D12672" s="4">
        <v>8669720</v>
      </c>
    </row>
    <row r="12673" spans="1:4" x14ac:dyDescent="0.3">
      <c r="A12673" s="5" t="s">
        <v>392</v>
      </c>
      <c r="B12673" s="5" t="s">
        <v>393</v>
      </c>
      <c r="C12673" s="6">
        <v>2021</v>
      </c>
      <c r="D12673" s="7">
        <v>8878379</v>
      </c>
    </row>
    <row r="12674" spans="1:4" x14ac:dyDescent="0.3">
      <c r="A12674" s="2" t="s">
        <v>392</v>
      </c>
      <c r="B12674" s="2" t="s">
        <v>393</v>
      </c>
      <c r="C12674" s="3">
        <v>2022</v>
      </c>
      <c r="D12674" s="4">
        <v>9089738</v>
      </c>
    </row>
    <row r="12675" spans="1:4" x14ac:dyDescent="0.3">
      <c r="A12675" s="5" t="s">
        <v>392</v>
      </c>
      <c r="B12675" s="5" t="s">
        <v>393</v>
      </c>
      <c r="C12675" s="6">
        <v>2023</v>
      </c>
      <c r="D12675" s="7">
        <v>9304337</v>
      </c>
    </row>
    <row r="12676" spans="1:4" x14ac:dyDescent="0.3">
      <c r="A12676" s="2" t="s">
        <v>392</v>
      </c>
      <c r="B12676" s="2" t="s">
        <v>393</v>
      </c>
      <c r="C12676" s="3">
        <v>2024</v>
      </c>
      <c r="D12676" s="4">
        <v>9515236</v>
      </c>
    </row>
    <row r="12677" spans="1:4" x14ac:dyDescent="0.3">
      <c r="A12677" s="5" t="s">
        <v>394</v>
      </c>
      <c r="B12677" s="5" t="s">
        <v>395</v>
      </c>
      <c r="C12677" s="6">
        <v>1960</v>
      </c>
      <c r="D12677" s="7">
        <v>66170</v>
      </c>
    </row>
    <row r="12678" spans="1:4" x14ac:dyDescent="0.3">
      <c r="A12678" s="2" t="s">
        <v>394</v>
      </c>
      <c r="B12678" s="2" t="s">
        <v>395</v>
      </c>
      <c r="C12678" s="3">
        <v>1961</v>
      </c>
      <c r="D12678" s="4">
        <v>68037</v>
      </c>
    </row>
    <row r="12679" spans="1:4" x14ac:dyDescent="0.3">
      <c r="A12679" s="5" t="s">
        <v>394</v>
      </c>
      <c r="B12679" s="5" t="s">
        <v>395</v>
      </c>
      <c r="C12679" s="6">
        <v>1962</v>
      </c>
      <c r="D12679" s="7">
        <v>69940</v>
      </c>
    </row>
    <row r="12680" spans="1:4" x14ac:dyDescent="0.3">
      <c r="A12680" s="2" t="s">
        <v>394</v>
      </c>
      <c r="B12680" s="2" t="s">
        <v>395</v>
      </c>
      <c r="C12680" s="3">
        <v>1963</v>
      </c>
      <c r="D12680" s="4">
        <v>71885</v>
      </c>
    </row>
    <row r="12681" spans="1:4" x14ac:dyDescent="0.3">
      <c r="A12681" s="5" t="s">
        <v>394</v>
      </c>
      <c r="B12681" s="5" t="s">
        <v>395</v>
      </c>
      <c r="C12681" s="6">
        <v>1964</v>
      </c>
      <c r="D12681" s="7">
        <v>73879</v>
      </c>
    </row>
    <row r="12682" spans="1:4" x14ac:dyDescent="0.3">
      <c r="A12682" s="2" t="s">
        <v>394</v>
      </c>
      <c r="B12682" s="2" t="s">
        <v>395</v>
      </c>
      <c r="C12682" s="3">
        <v>1965</v>
      </c>
      <c r="D12682" s="4">
        <v>75924</v>
      </c>
    </row>
    <row r="12683" spans="1:4" x14ac:dyDescent="0.3">
      <c r="A12683" s="5" t="s">
        <v>394</v>
      </c>
      <c r="B12683" s="5" t="s">
        <v>395</v>
      </c>
      <c r="C12683" s="6">
        <v>1966</v>
      </c>
      <c r="D12683" s="7">
        <v>78002</v>
      </c>
    </row>
    <row r="12684" spans="1:4" x14ac:dyDescent="0.3">
      <c r="A12684" s="2" t="s">
        <v>394</v>
      </c>
      <c r="B12684" s="2" t="s">
        <v>395</v>
      </c>
      <c r="C12684" s="3">
        <v>1967</v>
      </c>
      <c r="D12684" s="4">
        <v>79814</v>
      </c>
    </row>
    <row r="12685" spans="1:4" x14ac:dyDescent="0.3">
      <c r="A12685" s="5" t="s">
        <v>394</v>
      </c>
      <c r="B12685" s="5" t="s">
        <v>395</v>
      </c>
      <c r="C12685" s="6">
        <v>1968</v>
      </c>
      <c r="D12685" s="7">
        <v>81353</v>
      </c>
    </row>
    <row r="12686" spans="1:4" x14ac:dyDescent="0.3">
      <c r="A12686" s="2" t="s">
        <v>394</v>
      </c>
      <c r="B12686" s="2" t="s">
        <v>395</v>
      </c>
      <c r="C12686" s="3">
        <v>1969</v>
      </c>
      <c r="D12686" s="4">
        <v>82885</v>
      </c>
    </row>
    <row r="12687" spans="1:4" x14ac:dyDescent="0.3">
      <c r="A12687" s="5" t="s">
        <v>394</v>
      </c>
      <c r="B12687" s="5" t="s">
        <v>395</v>
      </c>
      <c r="C12687" s="6">
        <v>1970</v>
      </c>
      <c r="D12687" s="7">
        <v>84401</v>
      </c>
    </row>
    <row r="12688" spans="1:4" x14ac:dyDescent="0.3">
      <c r="A12688" s="2" t="s">
        <v>394</v>
      </c>
      <c r="B12688" s="2" t="s">
        <v>395</v>
      </c>
      <c r="C12688" s="3">
        <v>1971</v>
      </c>
      <c r="D12688" s="4">
        <v>85896</v>
      </c>
    </row>
    <row r="12689" spans="1:4" x14ac:dyDescent="0.3">
      <c r="A12689" s="5" t="s">
        <v>394</v>
      </c>
      <c r="B12689" s="5" t="s">
        <v>395</v>
      </c>
      <c r="C12689" s="6">
        <v>1972</v>
      </c>
      <c r="D12689" s="7">
        <v>87356</v>
      </c>
    </row>
    <row r="12690" spans="1:4" x14ac:dyDescent="0.3">
      <c r="A12690" s="2" t="s">
        <v>394</v>
      </c>
      <c r="B12690" s="2" t="s">
        <v>395</v>
      </c>
      <c r="C12690" s="3">
        <v>1973</v>
      </c>
      <c r="D12690" s="4">
        <v>88805</v>
      </c>
    </row>
    <row r="12691" spans="1:4" x14ac:dyDescent="0.3">
      <c r="A12691" s="5" t="s">
        <v>394</v>
      </c>
      <c r="B12691" s="5" t="s">
        <v>395</v>
      </c>
      <c r="C12691" s="6">
        <v>1974</v>
      </c>
      <c r="D12691" s="7">
        <v>90683</v>
      </c>
    </row>
    <row r="12692" spans="1:4" x14ac:dyDescent="0.3">
      <c r="A12692" s="2" t="s">
        <v>394</v>
      </c>
      <c r="B12692" s="2" t="s">
        <v>395</v>
      </c>
      <c r="C12692" s="3">
        <v>1975</v>
      </c>
      <c r="D12692" s="4">
        <v>93017</v>
      </c>
    </row>
    <row r="12693" spans="1:4" x14ac:dyDescent="0.3">
      <c r="A12693" s="5" t="s">
        <v>394</v>
      </c>
      <c r="B12693" s="5" t="s">
        <v>395</v>
      </c>
      <c r="C12693" s="6">
        <v>1976</v>
      </c>
      <c r="D12693" s="7">
        <v>95325</v>
      </c>
    </row>
    <row r="12694" spans="1:4" x14ac:dyDescent="0.3">
      <c r="A12694" s="2" t="s">
        <v>394</v>
      </c>
      <c r="B12694" s="2" t="s">
        <v>395</v>
      </c>
      <c r="C12694" s="3">
        <v>1977</v>
      </c>
      <c r="D12694" s="4">
        <v>96725</v>
      </c>
    </row>
    <row r="12695" spans="1:4" x14ac:dyDescent="0.3">
      <c r="A12695" s="5" t="s">
        <v>394</v>
      </c>
      <c r="B12695" s="5" t="s">
        <v>395</v>
      </c>
      <c r="C12695" s="6">
        <v>1978</v>
      </c>
      <c r="D12695" s="7">
        <v>97204</v>
      </c>
    </row>
    <row r="12696" spans="1:4" x14ac:dyDescent="0.3">
      <c r="A12696" s="2" t="s">
        <v>394</v>
      </c>
      <c r="B12696" s="2" t="s">
        <v>395</v>
      </c>
      <c r="C12696" s="3">
        <v>1979</v>
      </c>
      <c r="D12696" s="4">
        <v>97544</v>
      </c>
    </row>
    <row r="12697" spans="1:4" x14ac:dyDescent="0.3">
      <c r="A12697" s="5" t="s">
        <v>394</v>
      </c>
      <c r="B12697" s="5" t="s">
        <v>395</v>
      </c>
      <c r="C12697" s="6">
        <v>1980</v>
      </c>
      <c r="D12697" s="7">
        <v>97769</v>
      </c>
    </row>
    <row r="12698" spans="1:4" x14ac:dyDescent="0.3">
      <c r="A12698" s="2" t="s">
        <v>394</v>
      </c>
      <c r="B12698" s="2" t="s">
        <v>395</v>
      </c>
      <c r="C12698" s="3">
        <v>1981</v>
      </c>
      <c r="D12698" s="4">
        <v>97909</v>
      </c>
    </row>
    <row r="12699" spans="1:4" x14ac:dyDescent="0.3">
      <c r="A12699" s="5" t="s">
        <v>394</v>
      </c>
      <c r="B12699" s="5" t="s">
        <v>395</v>
      </c>
      <c r="C12699" s="6">
        <v>1982</v>
      </c>
      <c r="D12699" s="7">
        <v>97980</v>
      </c>
    </row>
    <row r="12700" spans="1:4" x14ac:dyDescent="0.3">
      <c r="A12700" s="2" t="s">
        <v>394</v>
      </c>
      <c r="B12700" s="2" t="s">
        <v>395</v>
      </c>
      <c r="C12700" s="3">
        <v>1983</v>
      </c>
      <c r="D12700" s="4">
        <v>97998</v>
      </c>
    </row>
    <row r="12701" spans="1:4" x14ac:dyDescent="0.3">
      <c r="A12701" s="5" t="s">
        <v>394</v>
      </c>
      <c r="B12701" s="5" t="s">
        <v>395</v>
      </c>
      <c r="C12701" s="6">
        <v>1984</v>
      </c>
      <c r="D12701" s="7">
        <v>97990</v>
      </c>
    </row>
    <row r="12702" spans="1:4" x14ac:dyDescent="0.3">
      <c r="A12702" s="2" t="s">
        <v>394</v>
      </c>
      <c r="B12702" s="2" t="s">
        <v>395</v>
      </c>
      <c r="C12702" s="3">
        <v>1985</v>
      </c>
      <c r="D12702" s="4">
        <v>97984</v>
      </c>
    </row>
    <row r="12703" spans="1:4" x14ac:dyDescent="0.3">
      <c r="A12703" s="5" t="s">
        <v>394</v>
      </c>
      <c r="B12703" s="5" t="s">
        <v>395</v>
      </c>
      <c r="C12703" s="6">
        <v>1986</v>
      </c>
      <c r="D12703" s="7">
        <v>98010</v>
      </c>
    </row>
    <row r="12704" spans="1:4" x14ac:dyDescent="0.3">
      <c r="A12704" s="2" t="s">
        <v>394</v>
      </c>
      <c r="B12704" s="2" t="s">
        <v>395</v>
      </c>
      <c r="C12704" s="3">
        <v>1987</v>
      </c>
      <c r="D12704" s="4">
        <v>98376</v>
      </c>
    </row>
    <row r="12705" spans="1:4" x14ac:dyDescent="0.3">
      <c r="A12705" s="5" t="s">
        <v>394</v>
      </c>
      <c r="B12705" s="5" t="s">
        <v>395</v>
      </c>
      <c r="C12705" s="6">
        <v>1988</v>
      </c>
      <c r="D12705" s="7">
        <v>98969</v>
      </c>
    </row>
    <row r="12706" spans="1:4" x14ac:dyDescent="0.3">
      <c r="A12706" s="2" t="s">
        <v>394</v>
      </c>
      <c r="B12706" s="2" t="s">
        <v>395</v>
      </c>
      <c r="C12706" s="3">
        <v>1989</v>
      </c>
      <c r="D12706" s="4">
        <v>99403</v>
      </c>
    </row>
    <row r="12707" spans="1:4" x14ac:dyDescent="0.3">
      <c r="A12707" s="5" t="s">
        <v>394</v>
      </c>
      <c r="B12707" s="5" t="s">
        <v>395</v>
      </c>
      <c r="C12707" s="6">
        <v>1990</v>
      </c>
      <c r="D12707" s="7">
        <v>99700</v>
      </c>
    </row>
    <row r="12708" spans="1:4" x14ac:dyDescent="0.3">
      <c r="A12708" s="2" t="s">
        <v>394</v>
      </c>
      <c r="B12708" s="2" t="s">
        <v>395</v>
      </c>
      <c r="C12708" s="3">
        <v>1991</v>
      </c>
      <c r="D12708" s="4">
        <v>99895</v>
      </c>
    </row>
    <row r="12709" spans="1:4" x14ac:dyDescent="0.3">
      <c r="A12709" s="5" t="s">
        <v>394</v>
      </c>
      <c r="B12709" s="5" t="s">
        <v>395</v>
      </c>
      <c r="C12709" s="6">
        <v>1992</v>
      </c>
      <c r="D12709" s="7">
        <v>100022</v>
      </c>
    </row>
    <row r="12710" spans="1:4" x14ac:dyDescent="0.3">
      <c r="A12710" s="2" t="s">
        <v>394</v>
      </c>
      <c r="B12710" s="2" t="s">
        <v>395</v>
      </c>
      <c r="C12710" s="3">
        <v>1993</v>
      </c>
      <c r="D12710" s="4">
        <v>100103</v>
      </c>
    </row>
    <row r="12711" spans="1:4" x14ac:dyDescent="0.3">
      <c r="A12711" s="5" t="s">
        <v>394</v>
      </c>
      <c r="B12711" s="5" t="s">
        <v>395</v>
      </c>
      <c r="C12711" s="6">
        <v>1994</v>
      </c>
      <c r="D12711" s="7">
        <v>100166</v>
      </c>
    </row>
    <row r="12712" spans="1:4" x14ac:dyDescent="0.3">
      <c r="A12712" s="2" t="s">
        <v>394</v>
      </c>
      <c r="B12712" s="2" t="s">
        <v>395</v>
      </c>
      <c r="C12712" s="3">
        <v>1995</v>
      </c>
      <c r="D12712" s="4">
        <v>100225</v>
      </c>
    </row>
    <row r="12713" spans="1:4" x14ac:dyDescent="0.3">
      <c r="A12713" s="5" t="s">
        <v>394</v>
      </c>
      <c r="B12713" s="5" t="s">
        <v>395</v>
      </c>
      <c r="C12713" s="6">
        <v>1996</v>
      </c>
      <c r="D12713" s="7">
        <v>100275</v>
      </c>
    </row>
    <row r="12714" spans="1:4" x14ac:dyDescent="0.3">
      <c r="A12714" s="2" t="s">
        <v>394</v>
      </c>
      <c r="B12714" s="2" t="s">
        <v>395</v>
      </c>
      <c r="C12714" s="3">
        <v>1997</v>
      </c>
      <c r="D12714" s="4">
        <v>100674</v>
      </c>
    </row>
    <row r="12715" spans="1:4" x14ac:dyDescent="0.3">
      <c r="A12715" s="5" t="s">
        <v>394</v>
      </c>
      <c r="B12715" s="5" t="s">
        <v>395</v>
      </c>
      <c r="C12715" s="6">
        <v>1998</v>
      </c>
      <c r="D12715" s="7">
        <v>101388</v>
      </c>
    </row>
    <row r="12716" spans="1:4" x14ac:dyDescent="0.3">
      <c r="A12716" s="2" t="s">
        <v>394</v>
      </c>
      <c r="B12716" s="2" t="s">
        <v>395</v>
      </c>
      <c r="C12716" s="3">
        <v>1999</v>
      </c>
      <c r="D12716" s="4">
        <v>102046</v>
      </c>
    </row>
    <row r="12717" spans="1:4" x14ac:dyDescent="0.3">
      <c r="A12717" s="5" t="s">
        <v>394</v>
      </c>
      <c r="B12717" s="5" t="s">
        <v>395</v>
      </c>
      <c r="C12717" s="6">
        <v>2000</v>
      </c>
      <c r="D12717" s="7">
        <v>102677</v>
      </c>
    </row>
    <row r="12718" spans="1:4" x14ac:dyDescent="0.3">
      <c r="A12718" s="2" t="s">
        <v>394</v>
      </c>
      <c r="B12718" s="2" t="s">
        <v>395</v>
      </c>
      <c r="C12718" s="3">
        <v>2001</v>
      </c>
      <c r="D12718" s="4">
        <v>103288</v>
      </c>
    </row>
    <row r="12719" spans="1:4" x14ac:dyDescent="0.3">
      <c r="A12719" s="5" t="s">
        <v>394</v>
      </c>
      <c r="B12719" s="5" t="s">
        <v>395</v>
      </c>
      <c r="C12719" s="6">
        <v>2002</v>
      </c>
      <c r="D12719" s="7">
        <v>103874</v>
      </c>
    </row>
    <row r="12720" spans="1:4" x14ac:dyDescent="0.3">
      <c r="A12720" s="2" t="s">
        <v>394</v>
      </c>
      <c r="B12720" s="2" t="s">
        <v>395</v>
      </c>
      <c r="C12720" s="3">
        <v>2003</v>
      </c>
      <c r="D12720" s="4">
        <v>104464</v>
      </c>
    </row>
    <row r="12721" spans="1:4" x14ac:dyDescent="0.3">
      <c r="A12721" s="5" t="s">
        <v>394</v>
      </c>
      <c r="B12721" s="5" t="s">
        <v>395</v>
      </c>
      <c r="C12721" s="6">
        <v>2004</v>
      </c>
      <c r="D12721" s="7">
        <v>105071</v>
      </c>
    </row>
    <row r="12722" spans="1:4" x14ac:dyDescent="0.3">
      <c r="A12722" s="2" t="s">
        <v>394</v>
      </c>
      <c r="B12722" s="2" t="s">
        <v>395</v>
      </c>
      <c r="C12722" s="3">
        <v>2005</v>
      </c>
      <c r="D12722" s="4">
        <v>105671</v>
      </c>
    </row>
    <row r="12723" spans="1:4" x14ac:dyDescent="0.3">
      <c r="A12723" s="5" t="s">
        <v>394</v>
      </c>
      <c r="B12723" s="5" t="s">
        <v>395</v>
      </c>
      <c r="C12723" s="6">
        <v>2006</v>
      </c>
      <c r="D12723" s="7">
        <v>106253</v>
      </c>
    </row>
    <row r="12724" spans="1:4" x14ac:dyDescent="0.3">
      <c r="A12724" s="2" t="s">
        <v>394</v>
      </c>
      <c r="B12724" s="2" t="s">
        <v>395</v>
      </c>
      <c r="C12724" s="3">
        <v>2007</v>
      </c>
      <c r="D12724" s="4">
        <v>106726</v>
      </c>
    </row>
    <row r="12725" spans="1:4" x14ac:dyDescent="0.3">
      <c r="A12725" s="5" t="s">
        <v>394</v>
      </c>
      <c r="B12725" s="5" t="s">
        <v>395</v>
      </c>
      <c r="C12725" s="6">
        <v>2008</v>
      </c>
      <c r="D12725" s="7">
        <v>107020</v>
      </c>
    </row>
    <row r="12726" spans="1:4" x14ac:dyDescent="0.3">
      <c r="A12726" s="2" t="s">
        <v>394</v>
      </c>
      <c r="B12726" s="2" t="s">
        <v>395</v>
      </c>
      <c r="C12726" s="3">
        <v>2009</v>
      </c>
      <c r="D12726" s="4">
        <v>107203</v>
      </c>
    </row>
    <row r="12727" spans="1:4" x14ac:dyDescent="0.3">
      <c r="A12727" s="5" t="s">
        <v>394</v>
      </c>
      <c r="B12727" s="5" t="s">
        <v>395</v>
      </c>
      <c r="C12727" s="6">
        <v>2010</v>
      </c>
      <c r="D12727" s="7">
        <v>107400</v>
      </c>
    </row>
    <row r="12728" spans="1:4" x14ac:dyDescent="0.3">
      <c r="A12728" s="2" t="s">
        <v>394</v>
      </c>
      <c r="B12728" s="2" t="s">
        <v>395</v>
      </c>
      <c r="C12728" s="3">
        <v>2011</v>
      </c>
      <c r="D12728" s="4">
        <v>107570</v>
      </c>
    </row>
    <row r="12729" spans="1:4" x14ac:dyDescent="0.3">
      <c r="A12729" s="5" t="s">
        <v>394</v>
      </c>
      <c r="B12729" s="5" t="s">
        <v>395</v>
      </c>
      <c r="C12729" s="6">
        <v>2012</v>
      </c>
      <c r="D12729" s="7">
        <v>107460</v>
      </c>
    </row>
    <row r="12730" spans="1:4" x14ac:dyDescent="0.3">
      <c r="A12730" s="2" t="s">
        <v>394</v>
      </c>
      <c r="B12730" s="2" t="s">
        <v>395</v>
      </c>
      <c r="C12730" s="3">
        <v>2013</v>
      </c>
      <c r="D12730" s="4">
        <v>107078</v>
      </c>
    </row>
    <row r="12731" spans="1:4" x14ac:dyDescent="0.3">
      <c r="A12731" s="5" t="s">
        <v>394</v>
      </c>
      <c r="B12731" s="5" t="s">
        <v>395</v>
      </c>
      <c r="C12731" s="6">
        <v>2014</v>
      </c>
      <c r="D12731" s="7">
        <v>106609</v>
      </c>
    </row>
    <row r="12732" spans="1:4" x14ac:dyDescent="0.3">
      <c r="A12732" s="2" t="s">
        <v>394</v>
      </c>
      <c r="B12732" s="2" t="s">
        <v>395</v>
      </c>
      <c r="C12732" s="3">
        <v>2015</v>
      </c>
      <c r="D12732" s="4">
        <v>106095</v>
      </c>
    </row>
    <row r="12733" spans="1:4" x14ac:dyDescent="0.3">
      <c r="A12733" s="5" t="s">
        <v>394</v>
      </c>
      <c r="B12733" s="5" t="s">
        <v>395</v>
      </c>
      <c r="C12733" s="6">
        <v>2016</v>
      </c>
      <c r="D12733" s="7">
        <v>105524</v>
      </c>
    </row>
    <row r="12734" spans="1:4" x14ac:dyDescent="0.3">
      <c r="A12734" s="2" t="s">
        <v>394</v>
      </c>
      <c r="B12734" s="2" t="s">
        <v>395</v>
      </c>
      <c r="C12734" s="3">
        <v>2017</v>
      </c>
      <c r="D12734" s="4">
        <v>105356</v>
      </c>
    </row>
    <row r="12735" spans="1:4" x14ac:dyDescent="0.3">
      <c r="A12735" s="5" t="s">
        <v>394</v>
      </c>
      <c r="B12735" s="5" t="s">
        <v>395</v>
      </c>
      <c r="C12735" s="6">
        <v>2018</v>
      </c>
      <c r="D12735" s="7">
        <v>105567</v>
      </c>
    </row>
    <row r="12736" spans="1:4" x14ac:dyDescent="0.3">
      <c r="A12736" s="2" t="s">
        <v>394</v>
      </c>
      <c r="B12736" s="2" t="s">
        <v>395</v>
      </c>
      <c r="C12736" s="3">
        <v>2019</v>
      </c>
      <c r="D12736" s="4">
        <v>105669</v>
      </c>
    </row>
    <row r="12737" spans="1:4" x14ac:dyDescent="0.3">
      <c r="A12737" s="5" t="s">
        <v>394</v>
      </c>
      <c r="B12737" s="5" t="s">
        <v>395</v>
      </c>
      <c r="C12737" s="6">
        <v>2020</v>
      </c>
      <c r="D12737" s="7">
        <v>105704</v>
      </c>
    </row>
    <row r="12738" spans="1:4" x14ac:dyDescent="0.3">
      <c r="A12738" s="2" t="s">
        <v>394</v>
      </c>
      <c r="B12738" s="2" t="s">
        <v>395</v>
      </c>
      <c r="C12738" s="3">
        <v>2021</v>
      </c>
      <c r="D12738" s="4">
        <v>105490</v>
      </c>
    </row>
    <row r="12739" spans="1:4" x14ac:dyDescent="0.3">
      <c r="A12739" s="5" t="s">
        <v>394</v>
      </c>
      <c r="B12739" s="5" t="s">
        <v>395</v>
      </c>
      <c r="C12739" s="6">
        <v>2022</v>
      </c>
      <c r="D12739" s="7">
        <v>105042</v>
      </c>
    </row>
    <row r="12740" spans="1:4" x14ac:dyDescent="0.3">
      <c r="A12740" s="2" t="s">
        <v>394</v>
      </c>
      <c r="B12740" s="2" t="s">
        <v>395</v>
      </c>
      <c r="C12740" s="3">
        <v>2023</v>
      </c>
      <c r="D12740" s="4">
        <v>104597</v>
      </c>
    </row>
    <row r="12741" spans="1:4" x14ac:dyDescent="0.3">
      <c r="A12741" s="5" t="s">
        <v>394</v>
      </c>
      <c r="B12741" s="5" t="s">
        <v>395</v>
      </c>
      <c r="C12741" s="6">
        <v>2024</v>
      </c>
      <c r="D12741" s="7">
        <v>104175</v>
      </c>
    </row>
    <row r="12742" spans="1:4" x14ac:dyDescent="0.3">
      <c r="A12742" s="2" t="s">
        <v>396</v>
      </c>
      <c r="B12742" s="2" t="s">
        <v>397</v>
      </c>
      <c r="C12742" s="3">
        <v>1960</v>
      </c>
      <c r="D12742" s="4">
        <v>844943</v>
      </c>
    </row>
    <row r="12743" spans="1:4" x14ac:dyDescent="0.3">
      <c r="A12743" s="5" t="s">
        <v>396</v>
      </c>
      <c r="B12743" s="5" t="s">
        <v>397</v>
      </c>
      <c r="C12743" s="6">
        <v>1961</v>
      </c>
      <c r="D12743" s="7">
        <v>863144</v>
      </c>
    </row>
    <row r="12744" spans="1:4" x14ac:dyDescent="0.3">
      <c r="A12744" s="2" t="s">
        <v>396</v>
      </c>
      <c r="B12744" s="2" t="s">
        <v>397</v>
      </c>
      <c r="C12744" s="3">
        <v>1962</v>
      </c>
      <c r="D12744" s="4">
        <v>880194</v>
      </c>
    </row>
    <row r="12745" spans="1:4" x14ac:dyDescent="0.3">
      <c r="A12745" s="5" t="s">
        <v>396</v>
      </c>
      <c r="B12745" s="5" t="s">
        <v>397</v>
      </c>
      <c r="C12745" s="6">
        <v>1963</v>
      </c>
      <c r="D12745" s="7">
        <v>896804</v>
      </c>
    </row>
    <row r="12746" spans="1:4" x14ac:dyDescent="0.3">
      <c r="A12746" s="2" t="s">
        <v>396</v>
      </c>
      <c r="B12746" s="2" t="s">
        <v>397</v>
      </c>
      <c r="C12746" s="3">
        <v>1964</v>
      </c>
      <c r="D12746" s="4">
        <v>912963</v>
      </c>
    </row>
    <row r="12747" spans="1:4" x14ac:dyDescent="0.3">
      <c r="A12747" s="5" t="s">
        <v>396</v>
      </c>
      <c r="B12747" s="5" t="s">
        <v>397</v>
      </c>
      <c r="C12747" s="6">
        <v>1965</v>
      </c>
      <c r="D12747" s="7">
        <v>928425</v>
      </c>
    </row>
    <row r="12748" spans="1:4" x14ac:dyDescent="0.3">
      <c r="A12748" s="2" t="s">
        <v>396</v>
      </c>
      <c r="B12748" s="2" t="s">
        <v>397</v>
      </c>
      <c r="C12748" s="3">
        <v>1966</v>
      </c>
      <c r="D12748" s="4">
        <v>942937</v>
      </c>
    </row>
    <row r="12749" spans="1:4" x14ac:dyDescent="0.3">
      <c r="A12749" s="5" t="s">
        <v>396</v>
      </c>
      <c r="B12749" s="5" t="s">
        <v>397</v>
      </c>
      <c r="C12749" s="6">
        <v>1967</v>
      </c>
      <c r="D12749" s="7">
        <v>956418</v>
      </c>
    </row>
    <row r="12750" spans="1:4" x14ac:dyDescent="0.3">
      <c r="A12750" s="2" t="s">
        <v>396</v>
      </c>
      <c r="B12750" s="2" t="s">
        <v>397</v>
      </c>
      <c r="C12750" s="3">
        <v>1968</v>
      </c>
      <c r="D12750" s="4">
        <v>969006</v>
      </c>
    </row>
    <row r="12751" spans="1:4" x14ac:dyDescent="0.3">
      <c r="A12751" s="5" t="s">
        <v>396</v>
      </c>
      <c r="B12751" s="5" t="s">
        <v>397</v>
      </c>
      <c r="C12751" s="6">
        <v>1969</v>
      </c>
      <c r="D12751" s="7">
        <v>980706</v>
      </c>
    </row>
    <row r="12752" spans="1:4" x14ac:dyDescent="0.3">
      <c r="A12752" s="2" t="s">
        <v>396</v>
      </c>
      <c r="B12752" s="2" t="s">
        <v>397</v>
      </c>
      <c r="C12752" s="3">
        <v>1970</v>
      </c>
      <c r="D12752" s="4">
        <v>991471</v>
      </c>
    </row>
    <row r="12753" spans="1:4" x14ac:dyDescent="0.3">
      <c r="A12753" s="5" t="s">
        <v>396</v>
      </c>
      <c r="B12753" s="5" t="s">
        <v>397</v>
      </c>
      <c r="C12753" s="6">
        <v>1971</v>
      </c>
      <c r="D12753" s="7">
        <v>1002585</v>
      </c>
    </row>
    <row r="12754" spans="1:4" x14ac:dyDescent="0.3">
      <c r="A12754" s="2" t="s">
        <v>396</v>
      </c>
      <c r="B12754" s="2" t="s">
        <v>397</v>
      </c>
      <c r="C12754" s="3">
        <v>1972</v>
      </c>
      <c r="D12754" s="4">
        <v>1014921</v>
      </c>
    </row>
    <row r="12755" spans="1:4" x14ac:dyDescent="0.3">
      <c r="A12755" s="5" t="s">
        <v>396</v>
      </c>
      <c r="B12755" s="5" t="s">
        <v>397</v>
      </c>
      <c r="C12755" s="6">
        <v>1973</v>
      </c>
      <c r="D12755" s="7">
        <v>1027851</v>
      </c>
    </row>
    <row r="12756" spans="1:4" x14ac:dyDescent="0.3">
      <c r="A12756" s="2" t="s">
        <v>396</v>
      </c>
      <c r="B12756" s="2" t="s">
        <v>397</v>
      </c>
      <c r="C12756" s="3">
        <v>1974</v>
      </c>
      <c r="D12756" s="4">
        <v>1040761</v>
      </c>
    </row>
    <row r="12757" spans="1:4" x14ac:dyDescent="0.3">
      <c r="A12757" s="5" t="s">
        <v>396</v>
      </c>
      <c r="B12757" s="5" t="s">
        <v>397</v>
      </c>
      <c r="C12757" s="6">
        <v>1975</v>
      </c>
      <c r="D12757" s="7">
        <v>1053469</v>
      </c>
    </row>
    <row r="12758" spans="1:4" x14ac:dyDescent="0.3">
      <c r="A12758" s="2" t="s">
        <v>396</v>
      </c>
      <c r="B12758" s="2" t="s">
        <v>397</v>
      </c>
      <c r="C12758" s="3">
        <v>1976</v>
      </c>
      <c r="D12758" s="4">
        <v>1066311</v>
      </c>
    </row>
    <row r="12759" spans="1:4" x14ac:dyDescent="0.3">
      <c r="A12759" s="5" t="s">
        <v>396</v>
      </c>
      <c r="B12759" s="5" t="s">
        <v>397</v>
      </c>
      <c r="C12759" s="6">
        <v>1977</v>
      </c>
      <c r="D12759" s="7">
        <v>1079554</v>
      </c>
    </row>
    <row r="12760" spans="1:4" x14ac:dyDescent="0.3">
      <c r="A12760" s="2" t="s">
        <v>396</v>
      </c>
      <c r="B12760" s="2" t="s">
        <v>397</v>
      </c>
      <c r="C12760" s="3">
        <v>1978</v>
      </c>
      <c r="D12760" s="4">
        <v>1093380</v>
      </c>
    </row>
    <row r="12761" spans="1:4" x14ac:dyDescent="0.3">
      <c r="A12761" s="5" t="s">
        <v>396</v>
      </c>
      <c r="B12761" s="5" t="s">
        <v>397</v>
      </c>
      <c r="C12761" s="6">
        <v>1979</v>
      </c>
      <c r="D12761" s="7">
        <v>1107639</v>
      </c>
    </row>
    <row r="12762" spans="1:4" x14ac:dyDescent="0.3">
      <c r="A12762" s="2" t="s">
        <v>396</v>
      </c>
      <c r="B12762" s="2" t="s">
        <v>397</v>
      </c>
      <c r="C12762" s="3">
        <v>1980</v>
      </c>
      <c r="D12762" s="4">
        <v>1121744</v>
      </c>
    </row>
    <row r="12763" spans="1:4" x14ac:dyDescent="0.3">
      <c r="A12763" s="5" t="s">
        <v>396</v>
      </c>
      <c r="B12763" s="5" t="s">
        <v>397</v>
      </c>
      <c r="C12763" s="6">
        <v>1981</v>
      </c>
      <c r="D12763" s="7">
        <v>1135132</v>
      </c>
    </row>
    <row r="12764" spans="1:4" x14ac:dyDescent="0.3">
      <c r="A12764" s="2" t="s">
        <v>396</v>
      </c>
      <c r="B12764" s="2" t="s">
        <v>397</v>
      </c>
      <c r="C12764" s="3">
        <v>1982</v>
      </c>
      <c r="D12764" s="4">
        <v>1147927</v>
      </c>
    </row>
    <row r="12765" spans="1:4" x14ac:dyDescent="0.3">
      <c r="A12765" s="5" t="s">
        <v>396</v>
      </c>
      <c r="B12765" s="5" t="s">
        <v>397</v>
      </c>
      <c r="C12765" s="6">
        <v>1983</v>
      </c>
      <c r="D12765" s="7">
        <v>1160534</v>
      </c>
    </row>
    <row r="12766" spans="1:4" x14ac:dyDescent="0.3">
      <c r="A12766" s="2" t="s">
        <v>396</v>
      </c>
      <c r="B12766" s="2" t="s">
        <v>397</v>
      </c>
      <c r="C12766" s="3">
        <v>1984</v>
      </c>
      <c r="D12766" s="4">
        <v>1172984</v>
      </c>
    </row>
    <row r="12767" spans="1:4" x14ac:dyDescent="0.3">
      <c r="A12767" s="5" t="s">
        <v>396</v>
      </c>
      <c r="B12767" s="5" t="s">
        <v>397</v>
      </c>
      <c r="C12767" s="6">
        <v>1985</v>
      </c>
      <c r="D12767" s="7">
        <v>1187366</v>
      </c>
    </row>
    <row r="12768" spans="1:4" x14ac:dyDescent="0.3">
      <c r="A12768" s="2" t="s">
        <v>396</v>
      </c>
      <c r="B12768" s="2" t="s">
        <v>397</v>
      </c>
      <c r="C12768" s="3">
        <v>1986</v>
      </c>
      <c r="D12768" s="4">
        <v>1203124</v>
      </c>
    </row>
    <row r="12769" spans="1:4" x14ac:dyDescent="0.3">
      <c r="A12769" s="5" t="s">
        <v>396</v>
      </c>
      <c r="B12769" s="5" t="s">
        <v>397</v>
      </c>
      <c r="C12769" s="6">
        <v>1987</v>
      </c>
      <c r="D12769" s="7">
        <v>1217364</v>
      </c>
    </row>
    <row r="12770" spans="1:4" x14ac:dyDescent="0.3">
      <c r="A12770" s="2" t="s">
        <v>396</v>
      </c>
      <c r="B12770" s="2" t="s">
        <v>397</v>
      </c>
      <c r="C12770" s="3">
        <v>1988</v>
      </c>
      <c r="D12770" s="4">
        <v>1230069</v>
      </c>
    </row>
    <row r="12771" spans="1:4" x14ac:dyDescent="0.3">
      <c r="A12771" s="5" t="s">
        <v>396</v>
      </c>
      <c r="B12771" s="5" t="s">
        <v>397</v>
      </c>
      <c r="C12771" s="6">
        <v>1989</v>
      </c>
      <c r="D12771" s="7">
        <v>1241600</v>
      </c>
    </row>
    <row r="12772" spans="1:4" x14ac:dyDescent="0.3">
      <c r="A12772" s="2" t="s">
        <v>396</v>
      </c>
      <c r="B12772" s="2" t="s">
        <v>397</v>
      </c>
      <c r="C12772" s="3">
        <v>1990</v>
      </c>
      <c r="D12772" s="4">
        <v>1252208</v>
      </c>
    </row>
    <row r="12773" spans="1:4" x14ac:dyDescent="0.3">
      <c r="A12773" s="5" t="s">
        <v>396</v>
      </c>
      <c r="B12773" s="5" t="s">
        <v>397</v>
      </c>
      <c r="C12773" s="6">
        <v>1991</v>
      </c>
      <c r="D12773" s="7">
        <v>1262171</v>
      </c>
    </row>
    <row r="12774" spans="1:4" x14ac:dyDescent="0.3">
      <c r="A12774" s="2" t="s">
        <v>396</v>
      </c>
      <c r="B12774" s="2" t="s">
        <v>397</v>
      </c>
      <c r="C12774" s="3">
        <v>1992</v>
      </c>
      <c r="D12774" s="4">
        <v>1271674</v>
      </c>
    </row>
    <row r="12775" spans="1:4" x14ac:dyDescent="0.3">
      <c r="A12775" s="5" t="s">
        <v>396</v>
      </c>
      <c r="B12775" s="5" t="s">
        <v>397</v>
      </c>
      <c r="C12775" s="6">
        <v>1993</v>
      </c>
      <c r="D12775" s="7">
        <v>1280466</v>
      </c>
    </row>
    <row r="12776" spans="1:4" x14ac:dyDescent="0.3">
      <c r="A12776" s="2" t="s">
        <v>396</v>
      </c>
      <c r="B12776" s="2" t="s">
        <v>397</v>
      </c>
      <c r="C12776" s="3">
        <v>1994</v>
      </c>
      <c r="D12776" s="4">
        <v>1288341</v>
      </c>
    </row>
    <row r="12777" spans="1:4" x14ac:dyDescent="0.3">
      <c r="A12777" s="5" t="s">
        <v>396</v>
      </c>
      <c r="B12777" s="5" t="s">
        <v>397</v>
      </c>
      <c r="C12777" s="6">
        <v>1995</v>
      </c>
      <c r="D12777" s="7">
        <v>1295169</v>
      </c>
    </row>
    <row r="12778" spans="1:4" x14ac:dyDescent="0.3">
      <c r="A12778" s="2" t="s">
        <v>396</v>
      </c>
      <c r="B12778" s="2" t="s">
        <v>397</v>
      </c>
      <c r="C12778" s="3">
        <v>1996</v>
      </c>
      <c r="D12778" s="4">
        <v>1300928</v>
      </c>
    </row>
    <row r="12779" spans="1:4" x14ac:dyDescent="0.3">
      <c r="A12779" s="5" t="s">
        <v>396</v>
      </c>
      <c r="B12779" s="5" t="s">
        <v>397</v>
      </c>
      <c r="C12779" s="6">
        <v>1997</v>
      </c>
      <c r="D12779" s="7">
        <v>1305836</v>
      </c>
    </row>
    <row r="12780" spans="1:4" x14ac:dyDescent="0.3">
      <c r="A12780" s="2" t="s">
        <v>396</v>
      </c>
      <c r="B12780" s="2" t="s">
        <v>397</v>
      </c>
      <c r="C12780" s="3">
        <v>1998</v>
      </c>
      <c r="D12780" s="4">
        <v>1310225</v>
      </c>
    </row>
    <row r="12781" spans="1:4" x14ac:dyDescent="0.3">
      <c r="A12781" s="5" t="s">
        <v>396</v>
      </c>
      <c r="B12781" s="5" t="s">
        <v>397</v>
      </c>
      <c r="C12781" s="6">
        <v>1999</v>
      </c>
      <c r="D12781" s="7">
        <v>1314708</v>
      </c>
    </row>
    <row r="12782" spans="1:4" x14ac:dyDescent="0.3">
      <c r="A12782" s="2" t="s">
        <v>396</v>
      </c>
      <c r="B12782" s="2" t="s">
        <v>397</v>
      </c>
      <c r="C12782" s="3">
        <v>2000</v>
      </c>
      <c r="D12782" s="4">
        <v>1319774</v>
      </c>
    </row>
    <row r="12783" spans="1:4" x14ac:dyDescent="0.3">
      <c r="A12783" s="5" t="s">
        <v>396</v>
      </c>
      <c r="B12783" s="5" t="s">
        <v>397</v>
      </c>
      <c r="C12783" s="6">
        <v>2001</v>
      </c>
      <c r="D12783" s="7">
        <v>1325567</v>
      </c>
    </row>
    <row r="12784" spans="1:4" x14ac:dyDescent="0.3">
      <c r="A12784" s="2" t="s">
        <v>396</v>
      </c>
      <c r="B12784" s="2" t="s">
        <v>397</v>
      </c>
      <c r="C12784" s="3">
        <v>2002</v>
      </c>
      <c r="D12784" s="4">
        <v>1332011</v>
      </c>
    </row>
    <row r="12785" spans="1:4" x14ac:dyDescent="0.3">
      <c r="A12785" s="5" t="s">
        <v>396</v>
      </c>
      <c r="B12785" s="5" t="s">
        <v>397</v>
      </c>
      <c r="C12785" s="6">
        <v>2003</v>
      </c>
      <c r="D12785" s="7">
        <v>1338709</v>
      </c>
    </row>
    <row r="12786" spans="1:4" x14ac:dyDescent="0.3">
      <c r="A12786" s="2" t="s">
        <v>396</v>
      </c>
      <c r="B12786" s="2" t="s">
        <v>397</v>
      </c>
      <c r="C12786" s="3">
        <v>2004</v>
      </c>
      <c r="D12786" s="4">
        <v>1345380</v>
      </c>
    </row>
    <row r="12787" spans="1:4" x14ac:dyDescent="0.3">
      <c r="A12787" s="5" t="s">
        <v>396</v>
      </c>
      <c r="B12787" s="5" t="s">
        <v>397</v>
      </c>
      <c r="C12787" s="6">
        <v>2005</v>
      </c>
      <c r="D12787" s="7">
        <v>1294494</v>
      </c>
    </row>
    <row r="12788" spans="1:4" x14ac:dyDescent="0.3">
      <c r="A12788" s="2" t="s">
        <v>396</v>
      </c>
      <c r="B12788" s="2" t="s">
        <v>397</v>
      </c>
      <c r="C12788" s="3">
        <v>2006</v>
      </c>
      <c r="D12788" s="4">
        <v>1297944</v>
      </c>
    </row>
    <row r="12789" spans="1:4" x14ac:dyDescent="0.3">
      <c r="A12789" s="5" t="s">
        <v>396</v>
      </c>
      <c r="B12789" s="5" t="s">
        <v>397</v>
      </c>
      <c r="C12789" s="6">
        <v>2007</v>
      </c>
      <c r="D12789" s="7">
        <v>1303188</v>
      </c>
    </row>
    <row r="12790" spans="1:4" x14ac:dyDescent="0.3">
      <c r="A12790" s="2" t="s">
        <v>396</v>
      </c>
      <c r="B12790" s="2" t="s">
        <v>397</v>
      </c>
      <c r="C12790" s="3">
        <v>2008</v>
      </c>
      <c r="D12790" s="4">
        <v>1308587</v>
      </c>
    </row>
    <row r="12791" spans="1:4" x14ac:dyDescent="0.3">
      <c r="A12791" s="5" t="s">
        <v>396</v>
      </c>
      <c r="B12791" s="5" t="s">
        <v>397</v>
      </c>
      <c r="C12791" s="6">
        <v>2009</v>
      </c>
      <c r="D12791" s="7">
        <v>1310106</v>
      </c>
    </row>
    <row r="12792" spans="1:4" x14ac:dyDescent="0.3">
      <c r="A12792" s="2" t="s">
        <v>396</v>
      </c>
      <c r="B12792" s="2" t="s">
        <v>397</v>
      </c>
      <c r="C12792" s="3">
        <v>2010</v>
      </c>
      <c r="D12792" s="4">
        <v>1317714</v>
      </c>
    </row>
    <row r="12793" spans="1:4" x14ac:dyDescent="0.3">
      <c r="A12793" s="5" t="s">
        <v>396</v>
      </c>
      <c r="B12793" s="5" t="s">
        <v>397</v>
      </c>
      <c r="C12793" s="6">
        <v>2011</v>
      </c>
      <c r="D12793" s="7">
        <v>1328019</v>
      </c>
    </row>
    <row r="12794" spans="1:4" x14ac:dyDescent="0.3">
      <c r="A12794" s="2" t="s">
        <v>396</v>
      </c>
      <c r="B12794" s="2" t="s">
        <v>397</v>
      </c>
      <c r="C12794" s="3">
        <v>2012</v>
      </c>
      <c r="D12794" s="4">
        <v>1335194</v>
      </c>
    </row>
    <row r="12795" spans="1:4" x14ac:dyDescent="0.3">
      <c r="A12795" s="5" t="s">
        <v>396</v>
      </c>
      <c r="B12795" s="5" t="s">
        <v>397</v>
      </c>
      <c r="C12795" s="6">
        <v>2013</v>
      </c>
      <c r="D12795" s="7">
        <v>1340557</v>
      </c>
    </row>
    <row r="12796" spans="1:4" x14ac:dyDescent="0.3">
      <c r="A12796" s="2" t="s">
        <v>396</v>
      </c>
      <c r="B12796" s="2" t="s">
        <v>397</v>
      </c>
      <c r="C12796" s="3">
        <v>2014</v>
      </c>
      <c r="D12796" s="4">
        <v>1345343</v>
      </c>
    </row>
    <row r="12797" spans="1:4" x14ac:dyDescent="0.3">
      <c r="A12797" s="5" t="s">
        <v>396</v>
      </c>
      <c r="B12797" s="5" t="s">
        <v>397</v>
      </c>
      <c r="C12797" s="6">
        <v>2015</v>
      </c>
      <c r="D12797" s="7">
        <v>1349667</v>
      </c>
    </row>
    <row r="12798" spans="1:4" x14ac:dyDescent="0.3">
      <c r="A12798" s="2" t="s">
        <v>396</v>
      </c>
      <c r="B12798" s="2" t="s">
        <v>397</v>
      </c>
      <c r="C12798" s="3">
        <v>2016</v>
      </c>
      <c r="D12798" s="4">
        <v>1353895</v>
      </c>
    </row>
    <row r="12799" spans="1:4" x14ac:dyDescent="0.3">
      <c r="A12799" s="5" t="s">
        <v>396</v>
      </c>
      <c r="B12799" s="5" t="s">
        <v>397</v>
      </c>
      <c r="C12799" s="6">
        <v>2017</v>
      </c>
      <c r="D12799" s="7">
        <v>1356633</v>
      </c>
    </row>
    <row r="12800" spans="1:4" x14ac:dyDescent="0.3">
      <c r="A12800" s="2" t="s">
        <v>396</v>
      </c>
      <c r="B12800" s="2" t="s">
        <v>397</v>
      </c>
      <c r="C12800" s="3">
        <v>2018</v>
      </c>
      <c r="D12800" s="4">
        <v>1359193</v>
      </c>
    </row>
    <row r="12801" spans="1:4" x14ac:dyDescent="0.3">
      <c r="A12801" s="5" t="s">
        <v>396</v>
      </c>
      <c r="B12801" s="5" t="s">
        <v>397</v>
      </c>
      <c r="C12801" s="6">
        <v>2019</v>
      </c>
      <c r="D12801" s="7">
        <v>1363985</v>
      </c>
    </row>
    <row r="12802" spans="1:4" x14ac:dyDescent="0.3">
      <c r="A12802" s="2" t="s">
        <v>396</v>
      </c>
      <c r="B12802" s="2" t="s">
        <v>397</v>
      </c>
      <c r="C12802" s="3">
        <v>2020</v>
      </c>
      <c r="D12802" s="4">
        <v>1366725</v>
      </c>
    </row>
    <row r="12803" spans="1:4" x14ac:dyDescent="0.3">
      <c r="A12803" s="5" t="s">
        <v>396</v>
      </c>
      <c r="B12803" s="5" t="s">
        <v>397</v>
      </c>
      <c r="C12803" s="6">
        <v>2021</v>
      </c>
      <c r="D12803" s="7">
        <v>1367558</v>
      </c>
    </row>
    <row r="12804" spans="1:4" x14ac:dyDescent="0.3">
      <c r="A12804" s="2" t="s">
        <v>396</v>
      </c>
      <c r="B12804" s="2" t="s">
        <v>397</v>
      </c>
      <c r="C12804" s="3">
        <v>2022</v>
      </c>
      <c r="D12804" s="4">
        <v>1365805</v>
      </c>
    </row>
    <row r="12805" spans="1:4" x14ac:dyDescent="0.3">
      <c r="A12805" s="5" t="s">
        <v>396</v>
      </c>
      <c r="B12805" s="5" t="s">
        <v>397</v>
      </c>
      <c r="C12805" s="6">
        <v>2023</v>
      </c>
      <c r="D12805" s="7">
        <v>1367510</v>
      </c>
    </row>
    <row r="12806" spans="1:4" x14ac:dyDescent="0.3">
      <c r="A12806" s="2" t="s">
        <v>396</v>
      </c>
      <c r="B12806" s="2" t="s">
        <v>397</v>
      </c>
      <c r="C12806" s="3">
        <v>2024</v>
      </c>
      <c r="D12806" s="4">
        <v>1368333</v>
      </c>
    </row>
    <row r="12807" spans="1:4" x14ac:dyDescent="0.3">
      <c r="A12807" s="5" t="s">
        <v>398</v>
      </c>
      <c r="B12807" s="5" t="s">
        <v>399</v>
      </c>
      <c r="C12807" s="6">
        <v>1960</v>
      </c>
      <c r="D12807" s="7">
        <v>4267288</v>
      </c>
    </row>
    <row r="12808" spans="1:4" x14ac:dyDescent="0.3">
      <c r="A12808" s="2" t="s">
        <v>398</v>
      </c>
      <c r="B12808" s="2" t="s">
        <v>399</v>
      </c>
      <c r="C12808" s="3">
        <v>1961</v>
      </c>
      <c r="D12808" s="4">
        <v>4316278</v>
      </c>
    </row>
    <row r="12809" spans="1:4" x14ac:dyDescent="0.3">
      <c r="A12809" s="5" t="s">
        <v>398</v>
      </c>
      <c r="B12809" s="5" t="s">
        <v>399</v>
      </c>
      <c r="C12809" s="6">
        <v>1962</v>
      </c>
      <c r="D12809" s="7">
        <v>4369136</v>
      </c>
    </row>
    <row r="12810" spans="1:4" x14ac:dyDescent="0.3">
      <c r="A12810" s="2" t="s">
        <v>398</v>
      </c>
      <c r="B12810" s="2" t="s">
        <v>399</v>
      </c>
      <c r="C12810" s="3">
        <v>1963</v>
      </c>
      <c r="D12810" s="4">
        <v>4427131</v>
      </c>
    </row>
    <row r="12811" spans="1:4" x14ac:dyDescent="0.3">
      <c r="A12811" s="5" t="s">
        <v>398</v>
      </c>
      <c r="B12811" s="5" t="s">
        <v>399</v>
      </c>
      <c r="C12811" s="6">
        <v>1964</v>
      </c>
      <c r="D12811" s="7">
        <v>4489869</v>
      </c>
    </row>
    <row r="12812" spans="1:4" x14ac:dyDescent="0.3">
      <c r="A12812" s="2" t="s">
        <v>398</v>
      </c>
      <c r="B12812" s="2" t="s">
        <v>399</v>
      </c>
      <c r="C12812" s="3">
        <v>1965</v>
      </c>
      <c r="D12812" s="4">
        <v>4561385</v>
      </c>
    </row>
    <row r="12813" spans="1:4" x14ac:dyDescent="0.3">
      <c r="A12813" s="5" t="s">
        <v>398</v>
      </c>
      <c r="B12813" s="5" t="s">
        <v>399</v>
      </c>
      <c r="C12813" s="6">
        <v>1966</v>
      </c>
      <c r="D12813" s="7">
        <v>4652287</v>
      </c>
    </row>
    <row r="12814" spans="1:4" x14ac:dyDescent="0.3">
      <c r="A12814" s="2" t="s">
        <v>398</v>
      </c>
      <c r="B12814" s="2" t="s">
        <v>399</v>
      </c>
      <c r="C12814" s="3">
        <v>1967</v>
      </c>
      <c r="D12814" s="4">
        <v>4760970</v>
      </c>
    </row>
    <row r="12815" spans="1:4" x14ac:dyDescent="0.3">
      <c r="A12815" s="5" t="s">
        <v>398</v>
      </c>
      <c r="B12815" s="5" t="s">
        <v>399</v>
      </c>
      <c r="C12815" s="6">
        <v>1968</v>
      </c>
      <c r="D12815" s="7">
        <v>4879899</v>
      </c>
    </row>
    <row r="12816" spans="1:4" x14ac:dyDescent="0.3">
      <c r="A12816" s="2" t="s">
        <v>398</v>
      </c>
      <c r="B12816" s="2" t="s">
        <v>399</v>
      </c>
      <c r="C12816" s="3">
        <v>1969</v>
      </c>
      <c r="D12816" s="4">
        <v>5004697</v>
      </c>
    </row>
    <row r="12817" spans="1:4" x14ac:dyDescent="0.3">
      <c r="A12817" s="5" t="s">
        <v>398</v>
      </c>
      <c r="B12817" s="5" t="s">
        <v>399</v>
      </c>
      <c r="C12817" s="6">
        <v>1970</v>
      </c>
      <c r="D12817" s="7">
        <v>5131396</v>
      </c>
    </row>
    <row r="12818" spans="1:4" x14ac:dyDescent="0.3">
      <c r="A12818" s="2" t="s">
        <v>398</v>
      </c>
      <c r="B12818" s="2" t="s">
        <v>399</v>
      </c>
      <c r="C12818" s="3">
        <v>1971</v>
      </c>
      <c r="D12818" s="4">
        <v>5261658</v>
      </c>
    </row>
    <row r="12819" spans="1:4" x14ac:dyDescent="0.3">
      <c r="A12819" s="5" t="s">
        <v>398</v>
      </c>
      <c r="B12819" s="5" t="s">
        <v>399</v>
      </c>
      <c r="C12819" s="6">
        <v>1972</v>
      </c>
      <c r="D12819" s="7">
        <v>5396557</v>
      </c>
    </row>
    <row r="12820" spans="1:4" x14ac:dyDescent="0.3">
      <c r="A12820" s="2" t="s">
        <v>398</v>
      </c>
      <c r="B12820" s="2" t="s">
        <v>399</v>
      </c>
      <c r="C12820" s="3">
        <v>1973</v>
      </c>
      <c r="D12820" s="4">
        <v>5537242</v>
      </c>
    </row>
    <row r="12821" spans="1:4" x14ac:dyDescent="0.3">
      <c r="A12821" s="5" t="s">
        <v>398</v>
      </c>
      <c r="B12821" s="5" t="s">
        <v>399</v>
      </c>
      <c r="C12821" s="6">
        <v>1974</v>
      </c>
      <c r="D12821" s="7">
        <v>5684674</v>
      </c>
    </row>
    <row r="12822" spans="1:4" x14ac:dyDescent="0.3">
      <c r="A12822" s="2" t="s">
        <v>398</v>
      </c>
      <c r="B12822" s="2" t="s">
        <v>399</v>
      </c>
      <c r="C12822" s="3">
        <v>1975</v>
      </c>
      <c r="D12822" s="4">
        <v>5839262</v>
      </c>
    </row>
    <row r="12823" spans="1:4" x14ac:dyDescent="0.3">
      <c r="A12823" s="5" t="s">
        <v>398</v>
      </c>
      <c r="B12823" s="5" t="s">
        <v>399</v>
      </c>
      <c r="C12823" s="6">
        <v>1976</v>
      </c>
      <c r="D12823" s="7">
        <v>5996994</v>
      </c>
    </row>
    <row r="12824" spans="1:4" x14ac:dyDescent="0.3">
      <c r="A12824" s="2" t="s">
        <v>398</v>
      </c>
      <c r="B12824" s="2" t="s">
        <v>399</v>
      </c>
      <c r="C12824" s="3">
        <v>1977</v>
      </c>
      <c r="D12824" s="4">
        <v>6155931</v>
      </c>
    </row>
    <row r="12825" spans="1:4" x14ac:dyDescent="0.3">
      <c r="A12825" s="5" t="s">
        <v>398</v>
      </c>
      <c r="B12825" s="5" t="s">
        <v>399</v>
      </c>
      <c r="C12825" s="6">
        <v>1978</v>
      </c>
      <c r="D12825" s="7">
        <v>6309390</v>
      </c>
    </row>
    <row r="12826" spans="1:4" x14ac:dyDescent="0.3">
      <c r="A12826" s="2" t="s">
        <v>398</v>
      </c>
      <c r="B12826" s="2" t="s">
        <v>399</v>
      </c>
      <c r="C12826" s="3">
        <v>1979</v>
      </c>
      <c r="D12826" s="4">
        <v>6456419</v>
      </c>
    </row>
    <row r="12827" spans="1:4" x14ac:dyDescent="0.3">
      <c r="A12827" s="5" t="s">
        <v>398</v>
      </c>
      <c r="B12827" s="5" t="s">
        <v>399</v>
      </c>
      <c r="C12827" s="6">
        <v>1980</v>
      </c>
      <c r="D12827" s="7">
        <v>6606195</v>
      </c>
    </row>
    <row r="12828" spans="1:4" x14ac:dyDescent="0.3">
      <c r="A12828" s="2" t="s">
        <v>398</v>
      </c>
      <c r="B12828" s="2" t="s">
        <v>399</v>
      </c>
      <c r="C12828" s="3">
        <v>1981</v>
      </c>
      <c r="D12828" s="4">
        <v>6758284</v>
      </c>
    </row>
    <row r="12829" spans="1:4" x14ac:dyDescent="0.3">
      <c r="A12829" s="5" t="s">
        <v>398</v>
      </c>
      <c r="B12829" s="5" t="s">
        <v>399</v>
      </c>
      <c r="C12829" s="6">
        <v>1982</v>
      </c>
      <c r="D12829" s="7">
        <v>6908642</v>
      </c>
    </row>
    <row r="12830" spans="1:4" x14ac:dyDescent="0.3">
      <c r="A12830" s="2" t="s">
        <v>398</v>
      </c>
      <c r="B12830" s="2" t="s">
        <v>399</v>
      </c>
      <c r="C12830" s="3">
        <v>1983</v>
      </c>
      <c r="D12830" s="4">
        <v>7053800</v>
      </c>
    </row>
    <row r="12831" spans="1:4" x14ac:dyDescent="0.3">
      <c r="A12831" s="5" t="s">
        <v>398</v>
      </c>
      <c r="B12831" s="5" t="s">
        <v>399</v>
      </c>
      <c r="C12831" s="6">
        <v>1984</v>
      </c>
      <c r="D12831" s="7">
        <v>7220044</v>
      </c>
    </row>
    <row r="12832" spans="1:4" x14ac:dyDescent="0.3">
      <c r="A12832" s="2" t="s">
        <v>398</v>
      </c>
      <c r="B12832" s="2" t="s">
        <v>399</v>
      </c>
      <c r="C12832" s="3">
        <v>1985</v>
      </c>
      <c r="D12832" s="4">
        <v>7409903</v>
      </c>
    </row>
    <row r="12833" spans="1:4" x14ac:dyDescent="0.3">
      <c r="A12833" s="5" t="s">
        <v>398</v>
      </c>
      <c r="B12833" s="5" t="s">
        <v>399</v>
      </c>
      <c r="C12833" s="6">
        <v>1986</v>
      </c>
      <c r="D12833" s="7">
        <v>7600301</v>
      </c>
    </row>
    <row r="12834" spans="1:4" x14ac:dyDescent="0.3">
      <c r="A12834" s="2" t="s">
        <v>398</v>
      </c>
      <c r="B12834" s="2" t="s">
        <v>399</v>
      </c>
      <c r="C12834" s="3">
        <v>1987</v>
      </c>
      <c r="D12834" s="4">
        <v>7789987</v>
      </c>
    </row>
    <row r="12835" spans="1:4" x14ac:dyDescent="0.3">
      <c r="A12835" s="5" t="s">
        <v>398</v>
      </c>
      <c r="B12835" s="5" t="s">
        <v>399</v>
      </c>
      <c r="C12835" s="6">
        <v>1988</v>
      </c>
      <c r="D12835" s="7">
        <v>7974440</v>
      </c>
    </row>
    <row r="12836" spans="1:4" x14ac:dyDescent="0.3">
      <c r="A12836" s="2" t="s">
        <v>398</v>
      </c>
      <c r="B12836" s="2" t="s">
        <v>399</v>
      </c>
      <c r="C12836" s="3">
        <v>1989</v>
      </c>
      <c r="D12836" s="4">
        <v>8151660</v>
      </c>
    </row>
    <row r="12837" spans="1:4" x14ac:dyDescent="0.3">
      <c r="A12837" s="5" t="s">
        <v>398</v>
      </c>
      <c r="B12837" s="5" t="s">
        <v>399</v>
      </c>
      <c r="C12837" s="6">
        <v>1990</v>
      </c>
      <c r="D12837" s="7">
        <v>8324509</v>
      </c>
    </row>
    <row r="12838" spans="1:4" x14ac:dyDescent="0.3">
      <c r="A12838" s="2" t="s">
        <v>398</v>
      </c>
      <c r="B12838" s="2" t="s">
        <v>399</v>
      </c>
      <c r="C12838" s="3">
        <v>1991</v>
      </c>
      <c r="D12838" s="4">
        <v>8501827</v>
      </c>
    </row>
    <row r="12839" spans="1:4" x14ac:dyDescent="0.3">
      <c r="A12839" s="5" t="s">
        <v>398</v>
      </c>
      <c r="B12839" s="5" t="s">
        <v>399</v>
      </c>
      <c r="C12839" s="6">
        <v>1992</v>
      </c>
      <c r="D12839" s="7">
        <v>8682512</v>
      </c>
    </row>
    <row r="12840" spans="1:4" x14ac:dyDescent="0.3">
      <c r="A12840" s="2" t="s">
        <v>398</v>
      </c>
      <c r="B12840" s="2" t="s">
        <v>399</v>
      </c>
      <c r="C12840" s="3">
        <v>1993</v>
      </c>
      <c r="D12840" s="4">
        <v>8857910</v>
      </c>
    </row>
    <row r="12841" spans="1:4" x14ac:dyDescent="0.3">
      <c r="A12841" s="5" t="s">
        <v>398</v>
      </c>
      <c r="B12841" s="5" t="s">
        <v>399</v>
      </c>
      <c r="C12841" s="6">
        <v>1994</v>
      </c>
      <c r="D12841" s="7">
        <v>9018448</v>
      </c>
    </row>
    <row r="12842" spans="1:4" x14ac:dyDescent="0.3">
      <c r="A12842" s="2" t="s">
        <v>398</v>
      </c>
      <c r="B12842" s="2" t="s">
        <v>399</v>
      </c>
      <c r="C12842" s="3">
        <v>1995</v>
      </c>
      <c r="D12842" s="4">
        <v>9161258</v>
      </c>
    </row>
    <row r="12843" spans="1:4" x14ac:dyDescent="0.3">
      <c r="A12843" s="5" t="s">
        <v>398</v>
      </c>
      <c r="B12843" s="5" t="s">
        <v>399</v>
      </c>
      <c r="C12843" s="6">
        <v>1996</v>
      </c>
      <c r="D12843" s="7">
        <v>9294432</v>
      </c>
    </row>
    <row r="12844" spans="1:4" x14ac:dyDescent="0.3">
      <c r="A12844" s="2" t="s">
        <v>398</v>
      </c>
      <c r="B12844" s="2" t="s">
        <v>399</v>
      </c>
      <c r="C12844" s="3">
        <v>1997</v>
      </c>
      <c r="D12844" s="4">
        <v>9421270</v>
      </c>
    </row>
    <row r="12845" spans="1:4" x14ac:dyDescent="0.3">
      <c r="A12845" s="5" t="s">
        <v>398</v>
      </c>
      <c r="B12845" s="5" t="s">
        <v>399</v>
      </c>
      <c r="C12845" s="6">
        <v>1998</v>
      </c>
      <c r="D12845" s="7">
        <v>9541667</v>
      </c>
    </row>
    <row r="12846" spans="1:4" x14ac:dyDescent="0.3">
      <c r="A12846" s="2" t="s">
        <v>398</v>
      </c>
      <c r="B12846" s="2" t="s">
        <v>399</v>
      </c>
      <c r="C12846" s="3">
        <v>1999</v>
      </c>
      <c r="D12846" s="4">
        <v>9655963</v>
      </c>
    </row>
    <row r="12847" spans="1:4" x14ac:dyDescent="0.3">
      <c r="A12847" s="5" t="s">
        <v>398</v>
      </c>
      <c r="B12847" s="5" t="s">
        <v>399</v>
      </c>
      <c r="C12847" s="6">
        <v>2000</v>
      </c>
      <c r="D12847" s="7">
        <v>9764935</v>
      </c>
    </row>
    <row r="12848" spans="1:4" x14ac:dyDescent="0.3">
      <c r="A12848" s="2" t="s">
        <v>398</v>
      </c>
      <c r="B12848" s="2" t="s">
        <v>399</v>
      </c>
      <c r="C12848" s="3">
        <v>2001</v>
      </c>
      <c r="D12848" s="4">
        <v>9869677</v>
      </c>
    </row>
    <row r="12849" spans="1:4" x14ac:dyDescent="0.3">
      <c r="A12849" s="5" t="s">
        <v>398</v>
      </c>
      <c r="B12849" s="5" t="s">
        <v>399</v>
      </c>
      <c r="C12849" s="6">
        <v>2002</v>
      </c>
      <c r="D12849" s="7">
        <v>9971515</v>
      </c>
    </row>
    <row r="12850" spans="1:4" x14ac:dyDescent="0.3">
      <c r="A12850" s="2" t="s">
        <v>398</v>
      </c>
      <c r="B12850" s="2" t="s">
        <v>399</v>
      </c>
      <c r="C12850" s="3">
        <v>2003</v>
      </c>
      <c r="D12850" s="4">
        <v>10071632</v>
      </c>
    </row>
    <row r="12851" spans="1:4" x14ac:dyDescent="0.3">
      <c r="A12851" s="5" t="s">
        <v>398</v>
      </c>
      <c r="B12851" s="5" t="s">
        <v>399</v>
      </c>
      <c r="C12851" s="6">
        <v>2004</v>
      </c>
      <c r="D12851" s="7">
        <v>10166163</v>
      </c>
    </row>
    <row r="12852" spans="1:4" x14ac:dyDescent="0.3">
      <c r="A12852" s="2" t="s">
        <v>398</v>
      </c>
      <c r="B12852" s="2" t="s">
        <v>399</v>
      </c>
      <c r="C12852" s="3">
        <v>2005</v>
      </c>
      <c r="D12852" s="4">
        <v>10255472</v>
      </c>
    </row>
    <row r="12853" spans="1:4" x14ac:dyDescent="0.3">
      <c r="A12853" s="5" t="s">
        <v>398</v>
      </c>
      <c r="B12853" s="5" t="s">
        <v>399</v>
      </c>
      <c r="C12853" s="6">
        <v>2006</v>
      </c>
      <c r="D12853" s="7">
        <v>10346410</v>
      </c>
    </row>
    <row r="12854" spans="1:4" x14ac:dyDescent="0.3">
      <c r="A12854" s="2" t="s">
        <v>398</v>
      </c>
      <c r="B12854" s="2" t="s">
        <v>399</v>
      </c>
      <c r="C12854" s="3">
        <v>2007</v>
      </c>
      <c r="D12854" s="4">
        <v>10441702</v>
      </c>
    </row>
    <row r="12855" spans="1:4" x14ac:dyDescent="0.3">
      <c r="A12855" s="5" t="s">
        <v>398</v>
      </c>
      <c r="B12855" s="5" t="s">
        <v>399</v>
      </c>
      <c r="C12855" s="6">
        <v>2008</v>
      </c>
      <c r="D12855" s="7">
        <v>10542635</v>
      </c>
    </row>
    <row r="12856" spans="1:4" x14ac:dyDescent="0.3">
      <c r="A12856" s="2" t="s">
        <v>398</v>
      </c>
      <c r="B12856" s="2" t="s">
        <v>399</v>
      </c>
      <c r="C12856" s="3">
        <v>2009</v>
      </c>
      <c r="D12856" s="4">
        <v>10650681</v>
      </c>
    </row>
    <row r="12857" spans="1:4" x14ac:dyDescent="0.3">
      <c r="A12857" s="5" t="s">
        <v>398</v>
      </c>
      <c r="B12857" s="5" t="s">
        <v>399</v>
      </c>
      <c r="C12857" s="6">
        <v>2010</v>
      </c>
      <c r="D12857" s="7">
        <v>10765980</v>
      </c>
    </row>
    <row r="12858" spans="1:4" x14ac:dyDescent="0.3">
      <c r="A12858" s="2" t="s">
        <v>398</v>
      </c>
      <c r="B12858" s="2" t="s">
        <v>399</v>
      </c>
      <c r="C12858" s="3">
        <v>2011</v>
      </c>
      <c r="D12858" s="4">
        <v>10886035</v>
      </c>
    </row>
    <row r="12859" spans="1:4" x14ac:dyDescent="0.3">
      <c r="A12859" s="5" t="s">
        <v>398</v>
      </c>
      <c r="B12859" s="5" t="s">
        <v>399</v>
      </c>
      <c r="C12859" s="6">
        <v>2012</v>
      </c>
      <c r="D12859" s="7">
        <v>11009647</v>
      </c>
    </row>
    <row r="12860" spans="1:4" x14ac:dyDescent="0.3">
      <c r="A12860" s="2" t="s">
        <v>398</v>
      </c>
      <c r="B12860" s="2" t="s">
        <v>399</v>
      </c>
      <c r="C12860" s="3">
        <v>2013</v>
      </c>
      <c r="D12860" s="4">
        <v>11141361</v>
      </c>
    </row>
    <row r="12861" spans="1:4" x14ac:dyDescent="0.3">
      <c r="A12861" s="5" t="s">
        <v>398</v>
      </c>
      <c r="B12861" s="5" t="s">
        <v>399</v>
      </c>
      <c r="C12861" s="6">
        <v>2014</v>
      </c>
      <c r="D12861" s="7">
        <v>11274288</v>
      </c>
    </row>
    <row r="12862" spans="1:4" x14ac:dyDescent="0.3">
      <c r="A12862" s="2" t="s">
        <v>398</v>
      </c>
      <c r="B12862" s="2" t="s">
        <v>399</v>
      </c>
      <c r="C12862" s="3">
        <v>2015</v>
      </c>
      <c r="D12862" s="4">
        <v>11402264</v>
      </c>
    </row>
    <row r="12863" spans="1:4" x14ac:dyDescent="0.3">
      <c r="A12863" s="5" t="s">
        <v>398</v>
      </c>
      <c r="B12863" s="5" t="s">
        <v>399</v>
      </c>
      <c r="C12863" s="6">
        <v>2016</v>
      </c>
      <c r="D12863" s="7">
        <v>11528674</v>
      </c>
    </row>
    <row r="12864" spans="1:4" x14ac:dyDescent="0.3">
      <c r="A12864" s="2" t="s">
        <v>398</v>
      </c>
      <c r="B12864" s="2" t="s">
        <v>399</v>
      </c>
      <c r="C12864" s="3">
        <v>2017</v>
      </c>
      <c r="D12864" s="4">
        <v>11650498</v>
      </c>
    </row>
    <row r="12865" spans="1:4" x14ac:dyDescent="0.3">
      <c r="A12865" s="5" t="s">
        <v>398</v>
      </c>
      <c r="B12865" s="5" t="s">
        <v>399</v>
      </c>
      <c r="C12865" s="6">
        <v>2018</v>
      </c>
      <c r="D12865" s="7">
        <v>11765514</v>
      </c>
    </row>
    <row r="12866" spans="1:4" x14ac:dyDescent="0.3">
      <c r="A12866" s="2" t="s">
        <v>398</v>
      </c>
      <c r="B12866" s="2" t="s">
        <v>399</v>
      </c>
      <c r="C12866" s="3">
        <v>2019</v>
      </c>
      <c r="D12866" s="4">
        <v>11875081</v>
      </c>
    </row>
    <row r="12867" spans="1:4" x14ac:dyDescent="0.3">
      <c r="A12867" s="5" t="s">
        <v>398</v>
      </c>
      <c r="B12867" s="5" t="s">
        <v>399</v>
      </c>
      <c r="C12867" s="6">
        <v>2020</v>
      </c>
      <c r="D12867" s="7">
        <v>11974057</v>
      </c>
    </row>
    <row r="12868" spans="1:4" x14ac:dyDescent="0.3">
      <c r="A12868" s="2" t="s">
        <v>398</v>
      </c>
      <c r="B12868" s="2" t="s">
        <v>399</v>
      </c>
      <c r="C12868" s="3">
        <v>2021</v>
      </c>
      <c r="D12868" s="4">
        <v>12048622</v>
      </c>
    </row>
    <row r="12869" spans="1:4" x14ac:dyDescent="0.3">
      <c r="A12869" s="5" t="s">
        <v>398</v>
      </c>
      <c r="B12869" s="5" t="s">
        <v>399</v>
      </c>
      <c r="C12869" s="6">
        <v>2022</v>
      </c>
      <c r="D12869" s="7">
        <v>12119334</v>
      </c>
    </row>
    <row r="12870" spans="1:4" x14ac:dyDescent="0.3">
      <c r="A12870" s="2" t="s">
        <v>398</v>
      </c>
      <c r="B12870" s="2" t="s">
        <v>399</v>
      </c>
      <c r="C12870" s="3">
        <v>2023</v>
      </c>
      <c r="D12870" s="4">
        <v>12200431</v>
      </c>
    </row>
    <row r="12871" spans="1:4" x14ac:dyDescent="0.3">
      <c r="A12871" s="5" t="s">
        <v>398</v>
      </c>
      <c r="B12871" s="5" t="s">
        <v>399</v>
      </c>
      <c r="C12871" s="6">
        <v>2024</v>
      </c>
      <c r="D12871" s="7">
        <v>12277109</v>
      </c>
    </row>
    <row r="12872" spans="1:4" x14ac:dyDescent="0.3">
      <c r="A12872" s="2" t="s">
        <v>400</v>
      </c>
      <c r="B12872" s="2" t="s">
        <v>401</v>
      </c>
      <c r="C12872" s="3">
        <v>1960</v>
      </c>
      <c r="D12872" s="4">
        <v>28329898</v>
      </c>
    </row>
    <row r="12873" spans="1:4" x14ac:dyDescent="0.3">
      <c r="A12873" s="5" t="s">
        <v>400</v>
      </c>
      <c r="B12873" s="5" t="s">
        <v>401</v>
      </c>
      <c r="C12873" s="6">
        <v>1961</v>
      </c>
      <c r="D12873" s="7">
        <v>29119238</v>
      </c>
    </row>
    <row r="12874" spans="1:4" x14ac:dyDescent="0.3">
      <c r="A12874" s="2" t="s">
        <v>400</v>
      </c>
      <c r="B12874" s="2" t="s">
        <v>401</v>
      </c>
      <c r="C12874" s="3">
        <v>1962</v>
      </c>
      <c r="D12874" s="4">
        <v>29916147</v>
      </c>
    </row>
    <row r="12875" spans="1:4" x14ac:dyDescent="0.3">
      <c r="A12875" s="5" t="s">
        <v>400</v>
      </c>
      <c r="B12875" s="5" t="s">
        <v>401</v>
      </c>
      <c r="C12875" s="6">
        <v>1963</v>
      </c>
      <c r="D12875" s="7">
        <v>30726841</v>
      </c>
    </row>
    <row r="12876" spans="1:4" x14ac:dyDescent="0.3">
      <c r="A12876" s="2" t="s">
        <v>400</v>
      </c>
      <c r="B12876" s="2" t="s">
        <v>401</v>
      </c>
      <c r="C12876" s="3">
        <v>1964</v>
      </c>
      <c r="D12876" s="4">
        <v>31543072</v>
      </c>
    </row>
    <row r="12877" spans="1:4" x14ac:dyDescent="0.3">
      <c r="A12877" s="5" t="s">
        <v>400</v>
      </c>
      <c r="B12877" s="5" t="s">
        <v>401</v>
      </c>
      <c r="C12877" s="6">
        <v>1965</v>
      </c>
      <c r="D12877" s="7">
        <v>32345220</v>
      </c>
    </row>
    <row r="12878" spans="1:4" x14ac:dyDescent="0.3">
      <c r="A12878" s="2" t="s">
        <v>400</v>
      </c>
      <c r="B12878" s="2" t="s">
        <v>401</v>
      </c>
      <c r="C12878" s="3">
        <v>1966</v>
      </c>
      <c r="D12878" s="4">
        <v>33177672</v>
      </c>
    </row>
    <row r="12879" spans="1:4" x14ac:dyDescent="0.3">
      <c r="A12879" s="5" t="s">
        <v>400</v>
      </c>
      <c r="B12879" s="5" t="s">
        <v>401</v>
      </c>
      <c r="C12879" s="6">
        <v>1967</v>
      </c>
      <c r="D12879" s="7">
        <v>34050421</v>
      </c>
    </row>
    <row r="12880" spans="1:4" x14ac:dyDescent="0.3">
      <c r="A12880" s="2" t="s">
        <v>400</v>
      </c>
      <c r="B12880" s="2" t="s">
        <v>401</v>
      </c>
      <c r="C12880" s="3">
        <v>1968</v>
      </c>
      <c r="D12880" s="4">
        <v>34921684</v>
      </c>
    </row>
    <row r="12881" spans="1:4" x14ac:dyDescent="0.3">
      <c r="A12881" s="5" t="s">
        <v>400</v>
      </c>
      <c r="B12881" s="5" t="s">
        <v>401</v>
      </c>
      <c r="C12881" s="6">
        <v>1969</v>
      </c>
      <c r="D12881" s="7">
        <v>35787774</v>
      </c>
    </row>
    <row r="12882" spans="1:4" x14ac:dyDescent="0.3">
      <c r="A12882" s="2" t="s">
        <v>400</v>
      </c>
      <c r="B12882" s="2" t="s">
        <v>401</v>
      </c>
      <c r="C12882" s="3">
        <v>1970</v>
      </c>
      <c r="D12882" s="4">
        <v>36638465</v>
      </c>
    </row>
    <row r="12883" spans="1:4" x14ac:dyDescent="0.3">
      <c r="A12883" s="5" t="s">
        <v>400</v>
      </c>
      <c r="B12883" s="5" t="s">
        <v>401</v>
      </c>
      <c r="C12883" s="6">
        <v>1971</v>
      </c>
      <c r="D12883" s="7">
        <v>37518611</v>
      </c>
    </row>
    <row r="12884" spans="1:4" x14ac:dyDescent="0.3">
      <c r="A12884" s="2" t="s">
        <v>400</v>
      </c>
      <c r="B12884" s="2" t="s">
        <v>401</v>
      </c>
      <c r="C12884" s="3">
        <v>1972</v>
      </c>
      <c r="D12884" s="4">
        <v>38430221</v>
      </c>
    </row>
    <row r="12885" spans="1:4" x14ac:dyDescent="0.3">
      <c r="A12885" s="5" t="s">
        <v>400</v>
      </c>
      <c r="B12885" s="5" t="s">
        <v>401</v>
      </c>
      <c r="C12885" s="6">
        <v>1973</v>
      </c>
      <c r="D12885" s="7">
        <v>39329533</v>
      </c>
    </row>
    <row r="12886" spans="1:4" x14ac:dyDescent="0.3">
      <c r="A12886" s="2" t="s">
        <v>400</v>
      </c>
      <c r="B12886" s="2" t="s">
        <v>401</v>
      </c>
      <c r="C12886" s="3">
        <v>1974</v>
      </c>
      <c r="D12886" s="4">
        <v>40210234</v>
      </c>
    </row>
    <row r="12887" spans="1:4" x14ac:dyDescent="0.3">
      <c r="A12887" s="5" t="s">
        <v>400</v>
      </c>
      <c r="B12887" s="5" t="s">
        <v>401</v>
      </c>
      <c r="C12887" s="6">
        <v>1975</v>
      </c>
      <c r="D12887" s="7">
        <v>41053126</v>
      </c>
    </row>
    <row r="12888" spans="1:4" x14ac:dyDescent="0.3">
      <c r="A12888" s="2" t="s">
        <v>400</v>
      </c>
      <c r="B12888" s="2" t="s">
        <v>401</v>
      </c>
      <c r="C12888" s="3">
        <v>1976</v>
      </c>
      <c r="D12888" s="4">
        <v>41899984</v>
      </c>
    </row>
    <row r="12889" spans="1:4" x14ac:dyDescent="0.3">
      <c r="A12889" s="5" t="s">
        <v>400</v>
      </c>
      <c r="B12889" s="5" t="s">
        <v>401</v>
      </c>
      <c r="C12889" s="6">
        <v>1977</v>
      </c>
      <c r="D12889" s="7">
        <v>42773298</v>
      </c>
    </row>
    <row r="12890" spans="1:4" x14ac:dyDescent="0.3">
      <c r="A12890" s="2" t="s">
        <v>400</v>
      </c>
      <c r="B12890" s="2" t="s">
        <v>401</v>
      </c>
      <c r="C12890" s="3">
        <v>1978</v>
      </c>
      <c r="D12890" s="4">
        <v>43645306</v>
      </c>
    </row>
    <row r="12891" spans="1:4" x14ac:dyDescent="0.3">
      <c r="A12891" s="5" t="s">
        <v>400</v>
      </c>
      <c r="B12891" s="5" t="s">
        <v>401</v>
      </c>
      <c r="C12891" s="6">
        <v>1979</v>
      </c>
      <c r="D12891" s="7">
        <v>44510429</v>
      </c>
    </row>
    <row r="12892" spans="1:4" x14ac:dyDescent="0.3">
      <c r="A12892" s="2" t="s">
        <v>400</v>
      </c>
      <c r="B12892" s="2" t="s">
        <v>401</v>
      </c>
      <c r="C12892" s="3">
        <v>1980</v>
      </c>
      <c r="D12892" s="4">
        <v>45408815</v>
      </c>
    </row>
    <row r="12893" spans="1:4" x14ac:dyDescent="0.3">
      <c r="A12893" s="5" t="s">
        <v>400</v>
      </c>
      <c r="B12893" s="5" t="s">
        <v>401</v>
      </c>
      <c r="C12893" s="6">
        <v>1981</v>
      </c>
      <c r="D12893" s="7">
        <v>46321190</v>
      </c>
    </row>
    <row r="12894" spans="1:4" x14ac:dyDescent="0.3">
      <c r="A12894" s="2" t="s">
        <v>400</v>
      </c>
      <c r="B12894" s="2" t="s">
        <v>401</v>
      </c>
      <c r="C12894" s="3">
        <v>1982</v>
      </c>
      <c r="D12894" s="4">
        <v>47322096</v>
      </c>
    </row>
    <row r="12895" spans="1:4" x14ac:dyDescent="0.3">
      <c r="A12895" s="5" t="s">
        <v>400</v>
      </c>
      <c r="B12895" s="5" t="s">
        <v>401</v>
      </c>
      <c r="C12895" s="6">
        <v>1983</v>
      </c>
      <c r="D12895" s="7">
        <v>48447410</v>
      </c>
    </row>
    <row r="12896" spans="1:4" x14ac:dyDescent="0.3">
      <c r="A12896" s="2" t="s">
        <v>400</v>
      </c>
      <c r="B12896" s="2" t="s">
        <v>401</v>
      </c>
      <c r="C12896" s="3">
        <v>1984</v>
      </c>
      <c r="D12896" s="4">
        <v>49574069</v>
      </c>
    </row>
    <row r="12897" spans="1:4" x14ac:dyDescent="0.3">
      <c r="A12897" s="5" t="s">
        <v>400</v>
      </c>
      <c r="B12897" s="5" t="s">
        <v>401</v>
      </c>
      <c r="C12897" s="6">
        <v>1985</v>
      </c>
      <c r="D12897" s="7">
        <v>50687115</v>
      </c>
    </row>
    <row r="12898" spans="1:4" x14ac:dyDescent="0.3">
      <c r="A12898" s="2" t="s">
        <v>400</v>
      </c>
      <c r="B12898" s="2" t="s">
        <v>401</v>
      </c>
      <c r="C12898" s="3">
        <v>1986</v>
      </c>
      <c r="D12898" s="4">
        <v>51777772</v>
      </c>
    </row>
    <row r="12899" spans="1:4" x14ac:dyDescent="0.3">
      <c r="A12899" s="5" t="s">
        <v>400</v>
      </c>
      <c r="B12899" s="5" t="s">
        <v>401</v>
      </c>
      <c r="C12899" s="6">
        <v>1987</v>
      </c>
      <c r="D12899" s="7">
        <v>52843670</v>
      </c>
    </row>
    <row r="12900" spans="1:4" x14ac:dyDescent="0.3">
      <c r="A12900" s="2" t="s">
        <v>400</v>
      </c>
      <c r="B12900" s="2" t="s">
        <v>401</v>
      </c>
      <c r="C12900" s="3">
        <v>1988</v>
      </c>
      <c r="D12900" s="4">
        <v>53909626</v>
      </c>
    </row>
    <row r="12901" spans="1:4" x14ac:dyDescent="0.3">
      <c r="A12901" s="5" t="s">
        <v>400</v>
      </c>
      <c r="B12901" s="5" t="s">
        <v>401</v>
      </c>
      <c r="C12901" s="6">
        <v>1989</v>
      </c>
      <c r="D12901" s="7">
        <v>54976723</v>
      </c>
    </row>
    <row r="12902" spans="1:4" x14ac:dyDescent="0.3">
      <c r="A12902" s="2" t="s">
        <v>400</v>
      </c>
      <c r="B12902" s="2" t="s">
        <v>401</v>
      </c>
      <c r="C12902" s="3">
        <v>1990</v>
      </c>
      <c r="D12902" s="4">
        <v>56015628</v>
      </c>
    </row>
    <row r="12903" spans="1:4" x14ac:dyDescent="0.3">
      <c r="A12903" s="5" t="s">
        <v>400</v>
      </c>
      <c r="B12903" s="5" t="s">
        <v>401</v>
      </c>
      <c r="C12903" s="6">
        <v>1991</v>
      </c>
      <c r="D12903" s="7">
        <v>57009887</v>
      </c>
    </row>
    <row r="12904" spans="1:4" x14ac:dyDescent="0.3">
      <c r="A12904" s="2" t="s">
        <v>400</v>
      </c>
      <c r="B12904" s="2" t="s">
        <v>401</v>
      </c>
      <c r="C12904" s="3">
        <v>1992</v>
      </c>
      <c r="D12904" s="4">
        <v>57990118</v>
      </c>
    </row>
    <row r="12905" spans="1:4" x14ac:dyDescent="0.3">
      <c r="A12905" s="5" t="s">
        <v>400</v>
      </c>
      <c r="B12905" s="5" t="s">
        <v>401</v>
      </c>
      <c r="C12905" s="6">
        <v>1993</v>
      </c>
      <c r="D12905" s="7">
        <v>58999167</v>
      </c>
    </row>
    <row r="12906" spans="1:4" x14ac:dyDescent="0.3">
      <c r="A12906" s="2" t="s">
        <v>400</v>
      </c>
      <c r="B12906" s="2" t="s">
        <v>401</v>
      </c>
      <c r="C12906" s="3">
        <v>1994</v>
      </c>
      <c r="D12906" s="4">
        <v>60033836</v>
      </c>
    </row>
    <row r="12907" spans="1:4" x14ac:dyDescent="0.3">
      <c r="A12907" s="5" t="s">
        <v>400</v>
      </c>
      <c r="B12907" s="5" t="s">
        <v>401</v>
      </c>
      <c r="C12907" s="6">
        <v>1995</v>
      </c>
      <c r="D12907" s="7">
        <v>61024503</v>
      </c>
    </row>
    <row r="12908" spans="1:4" x14ac:dyDescent="0.3">
      <c r="A12908" s="2" t="s">
        <v>400</v>
      </c>
      <c r="B12908" s="2" t="s">
        <v>401</v>
      </c>
      <c r="C12908" s="3">
        <v>1996</v>
      </c>
      <c r="D12908" s="4">
        <v>61951134</v>
      </c>
    </row>
    <row r="12909" spans="1:4" x14ac:dyDescent="0.3">
      <c r="A12909" s="5" t="s">
        <v>400</v>
      </c>
      <c r="B12909" s="5" t="s">
        <v>401</v>
      </c>
      <c r="C12909" s="6">
        <v>1997</v>
      </c>
      <c r="D12909" s="7">
        <v>62852966</v>
      </c>
    </row>
    <row r="12910" spans="1:4" x14ac:dyDescent="0.3">
      <c r="A12910" s="2" t="s">
        <v>400</v>
      </c>
      <c r="B12910" s="2" t="s">
        <v>401</v>
      </c>
      <c r="C12910" s="3">
        <v>1998</v>
      </c>
      <c r="D12910" s="4">
        <v>63734383</v>
      </c>
    </row>
    <row r="12911" spans="1:4" x14ac:dyDescent="0.3">
      <c r="A12911" s="5" t="s">
        <v>400</v>
      </c>
      <c r="B12911" s="5" t="s">
        <v>401</v>
      </c>
      <c r="C12911" s="6">
        <v>1999</v>
      </c>
      <c r="D12911" s="7">
        <v>64591923</v>
      </c>
    </row>
    <row r="12912" spans="1:4" x14ac:dyDescent="0.3">
      <c r="A12912" s="2" t="s">
        <v>400</v>
      </c>
      <c r="B12912" s="2" t="s">
        <v>401</v>
      </c>
      <c r="C12912" s="3">
        <v>2000</v>
      </c>
      <c r="D12912" s="4">
        <v>65425961</v>
      </c>
    </row>
    <row r="12913" spans="1:4" x14ac:dyDescent="0.3">
      <c r="A12913" s="5" t="s">
        <v>400</v>
      </c>
      <c r="B12913" s="5" t="s">
        <v>401</v>
      </c>
      <c r="C12913" s="6">
        <v>2001</v>
      </c>
      <c r="D12913" s="7">
        <v>66245128</v>
      </c>
    </row>
    <row r="12914" spans="1:4" x14ac:dyDescent="0.3">
      <c r="A12914" s="2" t="s">
        <v>400</v>
      </c>
      <c r="B12914" s="2" t="s">
        <v>401</v>
      </c>
      <c r="C12914" s="3">
        <v>2002</v>
      </c>
      <c r="D12914" s="4">
        <v>67048795</v>
      </c>
    </row>
    <row r="12915" spans="1:4" x14ac:dyDescent="0.3">
      <c r="A12915" s="5" t="s">
        <v>400</v>
      </c>
      <c r="B12915" s="5" t="s">
        <v>401</v>
      </c>
      <c r="C12915" s="6">
        <v>2003</v>
      </c>
      <c r="D12915" s="7">
        <v>67831730</v>
      </c>
    </row>
    <row r="12916" spans="1:4" x14ac:dyDescent="0.3">
      <c r="A12916" s="2" t="s">
        <v>400</v>
      </c>
      <c r="B12916" s="2" t="s">
        <v>401</v>
      </c>
      <c r="C12916" s="3">
        <v>2004</v>
      </c>
      <c r="D12916" s="4">
        <v>68592617</v>
      </c>
    </row>
    <row r="12917" spans="1:4" x14ac:dyDescent="0.3">
      <c r="A12917" s="5" t="s">
        <v>400</v>
      </c>
      <c r="B12917" s="5" t="s">
        <v>401</v>
      </c>
      <c r="C12917" s="6">
        <v>2005</v>
      </c>
      <c r="D12917" s="7">
        <v>69329557</v>
      </c>
    </row>
    <row r="12918" spans="1:4" x14ac:dyDescent="0.3">
      <c r="A12918" s="2" t="s">
        <v>400</v>
      </c>
      <c r="B12918" s="2" t="s">
        <v>401</v>
      </c>
      <c r="C12918" s="3">
        <v>2006</v>
      </c>
      <c r="D12918" s="4">
        <v>70045349</v>
      </c>
    </row>
    <row r="12919" spans="1:4" x14ac:dyDescent="0.3">
      <c r="A12919" s="5" t="s">
        <v>400</v>
      </c>
      <c r="B12919" s="5" t="s">
        <v>401</v>
      </c>
      <c r="C12919" s="6">
        <v>2007</v>
      </c>
      <c r="D12919" s="7">
        <v>70158112</v>
      </c>
    </row>
    <row r="12920" spans="1:4" x14ac:dyDescent="0.3">
      <c r="A12920" s="2" t="s">
        <v>400</v>
      </c>
      <c r="B12920" s="2" t="s">
        <v>401</v>
      </c>
      <c r="C12920" s="3">
        <v>2008</v>
      </c>
      <c r="D12920" s="4">
        <v>71051678</v>
      </c>
    </row>
    <row r="12921" spans="1:4" x14ac:dyDescent="0.3">
      <c r="A12921" s="5" t="s">
        <v>400</v>
      </c>
      <c r="B12921" s="5" t="s">
        <v>401</v>
      </c>
      <c r="C12921" s="6">
        <v>2009</v>
      </c>
      <c r="D12921" s="7">
        <v>72039206</v>
      </c>
    </row>
    <row r="12922" spans="1:4" x14ac:dyDescent="0.3">
      <c r="A12922" s="2" t="s">
        <v>400</v>
      </c>
      <c r="B12922" s="2" t="s">
        <v>401</v>
      </c>
      <c r="C12922" s="3">
        <v>2010</v>
      </c>
      <c r="D12922" s="4">
        <v>73142150</v>
      </c>
    </row>
    <row r="12923" spans="1:4" x14ac:dyDescent="0.3">
      <c r="A12923" s="5" t="s">
        <v>400</v>
      </c>
      <c r="B12923" s="5" t="s">
        <v>401</v>
      </c>
      <c r="C12923" s="6">
        <v>2011</v>
      </c>
      <c r="D12923" s="7">
        <v>74223629</v>
      </c>
    </row>
    <row r="12924" spans="1:4" x14ac:dyDescent="0.3">
      <c r="A12924" s="2" t="s">
        <v>400</v>
      </c>
      <c r="B12924" s="2" t="s">
        <v>401</v>
      </c>
      <c r="C12924" s="3">
        <v>2012</v>
      </c>
      <c r="D12924" s="4">
        <v>75175827</v>
      </c>
    </row>
    <row r="12925" spans="1:4" x14ac:dyDescent="0.3">
      <c r="A12925" s="5" t="s">
        <v>400</v>
      </c>
      <c r="B12925" s="5" t="s">
        <v>401</v>
      </c>
      <c r="C12925" s="6">
        <v>2013</v>
      </c>
      <c r="D12925" s="7">
        <v>76147624</v>
      </c>
    </row>
    <row r="12926" spans="1:4" x14ac:dyDescent="0.3">
      <c r="A12926" s="2" t="s">
        <v>400</v>
      </c>
      <c r="B12926" s="2" t="s">
        <v>401</v>
      </c>
      <c r="C12926" s="3">
        <v>2014</v>
      </c>
      <c r="D12926" s="4">
        <v>77181884</v>
      </c>
    </row>
    <row r="12927" spans="1:4" x14ac:dyDescent="0.3">
      <c r="A12927" s="5" t="s">
        <v>400</v>
      </c>
      <c r="B12927" s="5" t="s">
        <v>401</v>
      </c>
      <c r="C12927" s="6">
        <v>2015</v>
      </c>
      <c r="D12927" s="7">
        <v>78218479</v>
      </c>
    </row>
    <row r="12928" spans="1:4" x14ac:dyDescent="0.3">
      <c r="A12928" s="2" t="s">
        <v>400</v>
      </c>
      <c r="B12928" s="2" t="s">
        <v>401</v>
      </c>
      <c r="C12928" s="3">
        <v>2016</v>
      </c>
      <c r="D12928" s="4">
        <v>79277962</v>
      </c>
    </row>
    <row r="12929" spans="1:4" x14ac:dyDescent="0.3">
      <c r="A12929" s="5" t="s">
        <v>400</v>
      </c>
      <c r="B12929" s="5" t="s">
        <v>401</v>
      </c>
      <c r="C12929" s="6">
        <v>2017</v>
      </c>
      <c r="D12929" s="7">
        <v>80312698</v>
      </c>
    </row>
    <row r="12930" spans="1:4" x14ac:dyDescent="0.3">
      <c r="A12930" s="2" t="s">
        <v>400</v>
      </c>
      <c r="B12930" s="2" t="s">
        <v>401</v>
      </c>
      <c r="C12930" s="3">
        <v>2018</v>
      </c>
      <c r="D12930" s="4">
        <v>81407204</v>
      </c>
    </row>
    <row r="12931" spans="1:4" x14ac:dyDescent="0.3">
      <c r="A12931" s="5" t="s">
        <v>400</v>
      </c>
      <c r="B12931" s="5" t="s">
        <v>401</v>
      </c>
      <c r="C12931" s="6">
        <v>2019</v>
      </c>
      <c r="D12931" s="7">
        <v>82579440</v>
      </c>
    </row>
    <row r="12932" spans="1:4" x14ac:dyDescent="0.3">
      <c r="A12932" s="2" t="s">
        <v>400</v>
      </c>
      <c r="B12932" s="2" t="s">
        <v>401</v>
      </c>
      <c r="C12932" s="3">
        <v>2020</v>
      </c>
      <c r="D12932" s="4">
        <v>83384680</v>
      </c>
    </row>
    <row r="12933" spans="1:4" x14ac:dyDescent="0.3">
      <c r="A12933" s="5" t="s">
        <v>400</v>
      </c>
      <c r="B12933" s="5" t="s">
        <v>401</v>
      </c>
      <c r="C12933" s="6">
        <v>2021</v>
      </c>
      <c r="D12933" s="7">
        <v>84147318</v>
      </c>
    </row>
    <row r="12934" spans="1:4" x14ac:dyDescent="0.3">
      <c r="A12934" s="2" t="s">
        <v>400</v>
      </c>
      <c r="B12934" s="2" t="s">
        <v>401</v>
      </c>
      <c r="C12934" s="3">
        <v>2022</v>
      </c>
      <c r="D12934" s="4">
        <v>84979913</v>
      </c>
    </row>
    <row r="12935" spans="1:4" x14ac:dyDescent="0.3">
      <c r="A12935" s="5" t="s">
        <v>400</v>
      </c>
      <c r="B12935" s="5" t="s">
        <v>401</v>
      </c>
      <c r="C12935" s="6">
        <v>2023</v>
      </c>
      <c r="D12935" s="7">
        <v>85325965</v>
      </c>
    </row>
    <row r="12936" spans="1:4" x14ac:dyDescent="0.3">
      <c r="A12936" s="2" t="s">
        <v>400</v>
      </c>
      <c r="B12936" s="2" t="s">
        <v>401</v>
      </c>
      <c r="C12936" s="3">
        <v>2024</v>
      </c>
      <c r="D12936" s="4">
        <v>85518661</v>
      </c>
    </row>
    <row r="12937" spans="1:4" x14ac:dyDescent="0.3">
      <c r="A12937" s="5" t="s">
        <v>402</v>
      </c>
      <c r="B12937" s="5" t="s">
        <v>403</v>
      </c>
      <c r="C12937" s="6">
        <v>1960</v>
      </c>
      <c r="D12937" s="7">
        <v>1643457</v>
      </c>
    </row>
    <row r="12938" spans="1:4" x14ac:dyDescent="0.3">
      <c r="A12938" s="2" t="s">
        <v>402</v>
      </c>
      <c r="B12938" s="2" t="s">
        <v>403</v>
      </c>
      <c r="C12938" s="3">
        <v>1961</v>
      </c>
      <c r="D12938" s="4">
        <v>1695400</v>
      </c>
    </row>
    <row r="12939" spans="1:4" x14ac:dyDescent="0.3">
      <c r="A12939" s="5" t="s">
        <v>402</v>
      </c>
      <c r="B12939" s="5" t="s">
        <v>403</v>
      </c>
      <c r="C12939" s="6">
        <v>1962</v>
      </c>
      <c r="D12939" s="7">
        <v>1749214</v>
      </c>
    </row>
    <row r="12940" spans="1:4" x14ac:dyDescent="0.3">
      <c r="A12940" s="2" t="s">
        <v>402</v>
      </c>
      <c r="B12940" s="2" t="s">
        <v>403</v>
      </c>
      <c r="C12940" s="3">
        <v>1963</v>
      </c>
      <c r="D12940" s="4">
        <v>1804272</v>
      </c>
    </row>
    <row r="12941" spans="1:4" x14ac:dyDescent="0.3">
      <c r="A12941" s="5" t="s">
        <v>402</v>
      </c>
      <c r="B12941" s="5" t="s">
        <v>403</v>
      </c>
      <c r="C12941" s="6">
        <v>1964</v>
      </c>
      <c r="D12941" s="7">
        <v>1859997</v>
      </c>
    </row>
    <row r="12942" spans="1:4" x14ac:dyDescent="0.3">
      <c r="A12942" s="2" t="s">
        <v>402</v>
      </c>
      <c r="B12942" s="2" t="s">
        <v>403</v>
      </c>
      <c r="C12942" s="3">
        <v>1965</v>
      </c>
      <c r="D12942" s="4">
        <v>1915916</v>
      </c>
    </row>
    <row r="12943" spans="1:4" x14ac:dyDescent="0.3">
      <c r="A12943" s="5" t="s">
        <v>402</v>
      </c>
      <c r="B12943" s="5" t="s">
        <v>403</v>
      </c>
      <c r="C12943" s="6">
        <v>1966</v>
      </c>
      <c r="D12943" s="7">
        <v>1971737</v>
      </c>
    </row>
    <row r="12944" spans="1:4" x14ac:dyDescent="0.3">
      <c r="A12944" s="2" t="s">
        <v>402</v>
      </c>
      <c r="B12944" s="2" t="s">
        <v>403</v>
      </c>
      <c r="C12944" s="3">
        <v>1967</v>
      </c>
      <c r="D12944" s="4">
        <v>2027403</v>
      </c>
    </row>
    <row r="12945" spans="1:4" x14ac:dyDescent="0.3">
      <c r="A12945" s="5" t="s">
        <v>402</v>
      </c>
      <c r="B12945" s="5" t="s">
        <v>403</v>
      </c>
      <c r="C12945" s="6">
        <v>1968</v>
      </c>
      <c r="D12945" s="7">
        <v>2083069</v>
      </c>
    </row>
    <row r="12946" spans="1:4" x14ac:dyDescent="0.3">
      <c r="A12946" s="2" t="s">
        <v>402</v>
      </c>
      <c r="B12946" s="2" t="s">
        <v>403</v>
      </c>
      <c r="C12946" s="3">
        <v>1969</v>
      </c>
      <c r="D12946" s="4">
        <v>2139024</v>
      </c>
    </row>
    <row r="12947" spans="1:4" x14ac:dyDescent="0.3">
      <c r="A12947" s="5" t="s">
        <v>402</v>
      </c>
      <c r="B12947" s="5" t="s">
        <v>403</v>
      </c>
      <c r="C12947" s="6">
        <v>1970</v>
      </c>
      <c r="D12947" s="7">
        <v>2195616</v>
      </c>
    </row>
    <row r="12948" spans="1:4" x14ac:dyDescent="0.3">
      <c r="A12948" s="2" t="s">
        <v>402</v>
      </c>
      <c r="B12948" s="2" t="s">
        <v>403</v>
      </c>
      <c r="C12948" s="3">
        <v>1971</v>
      </c>
      <c r="D12948" s="4">
        <v>2253119</v>
      </c>
    </row>
    <row r="12949" spans="1:4" x14ac:dyDescent="0.3">
      <c r="A12949" s="5" t="s">
        <v>402</v>
      </c>
      <c r="B12949" s="5" t="s">
        <v>403</v>
      </c>
      <c r="C12949" s="6">
        <v>1972</v>
      </c>
      <c r="D12949" s="7">
        <v>2311430</v>
      </c>
    </row>
    <row r="12950" spans="1:4" x14ac:dyDescent="0.3">
      <c r="A12950" s="2" t="s">
        <v>402</v>
      </c>
      <c r="B12950" s="2" t="s">
        <v>403</v>
      </c>
      <c r="C12950" s="3">
        <v>1973</v>
      </c>
      <c r="D12950" s="4">
        <v>2370919</v>
      </c>
    </row>
    <row r="12951" spans="1:4" x14ac:dyDescent="0.3">
      <c r="A12951" s="5" t="s">
        <v>402</v>
      </c>
      <c r="B12951" s="5" t="s">
        <v>403</v>
      </c>
      <c r="C12951" s="6">
        <v>1974</v>
      </c>
      <c r="D12951" s="7">
        <v>2432028</v>
      </c>
    </row>
    <row r="12952" spans="1:4" x14ac:dyDescent="0.3">
      <c r="A12952" s="2" t="s">
        <v>402</v>
      </c>
      <c r="B12952" s="2" t="s">
        <v>403</v>
      </c>
      <c r="C12952" s="3">
        <v>1975</v>
      </c>
      <c r="D12952" s="4">
        <v>2494570</v>
      </c>
    </row>
    <row r="12953" spans="1:4" x14ac:dyDescent="0.3">
      <c r="A12953" s="5" t="s">
        <v>402</v>
      </c>
      <c r="B12953" s="5" t="s">
        <v>403</v>
      </c>
      <c r="C12953" s="6">
        <v>1976</v>
      </c>
      <c r="D12953" s="7">
        <v>2558521</v>
      </c>
    </row>
    <row r="12954" spans="1:4" x14ac:dyDescent="0.3">
      <c r="A12954" s="2" t="s">
        <v>402</v>
      </c>
      <c r="B12954" s="2" t="s">
        <v>403</v>
      </c>
      <c r="C12954" s="3">
        <v>1977</v>
      </c>
      <c r="D12954" s="4">
        <v>2623948</v>
      </c>
    </row>
    <row r="12955" spans="1:4" x14ac:dyDescent="0.3">
      <c r="A12955" s="5" t="s">
        <v>402</v>
      </c>
      <c r="B12955" s="5" t="s">
        <v>403</v>
      </c>
      <c r="C12955" s="6">
        <v>1978</v>
      </c>
      <c r="D12955" s="7">
        <v>2691088</v>
      </c>
    </row>
    <row r="12956" spans="1:4" x14ac:dyDescent="0.3">
      <c r="A12956" s="2" t="s">
        <v>402</v>
      </c>
      <c r="B12956" s="2" t="s">
        <v>403</v>
      </c>
      <c r="C12956" s="3">
        <v>1979</v>
      </c>
      <c r="D12956" s="4">
        <v>2760358</v>
      </c>
    </row>
    <row r="12957" spans="1:4" x14ac:dyDescent="0.3">
      <c r="A12957" s="5" t="s">
        <v>402</v>
      </c>
      <c r="B12957" s="5" t="s">
        <v>403</v>
      </c>
      <c r="C12957" s="6">
        <v>1980</v>
      </c>
      <c r="D12957" s="7">
        <v>2832203</v>
      </c>
    </row>
    <row r="12958" spans="1:4" x14ac:dyDescent="0.3">
      <c r="A12958" s="2" t="s">
        <v>402</v>
      </c>
      <c r="B12958" s="2" t="s">
        <v>403</v>
      </c>
      <c r="C12958" s="3">
        <v>1981</v>
      </c>
      <c r="D12958" s="4">
        <v>2907187</v>
      </c>
    </row>
    <row r="12959" spans="1:4" x14ac:dyDescent="0.3">
      <c r="A12959" s="5" t="s">
        <v>402</v>
      </c>
      <c r="B12959" s="5" t="s">
        <v>403</v>
      </c>
      <c r="C12959" s="6">
        <v>1982</v>
      </c>
      <c r="D12959" s="7">
        <v>2985557</v>
      </c>
    </row>
    <row r="12960" spans="1:4" x14ac:dyDescent="0.3">
      <c r="A12960" s="2" t="s">
        <v>402</v>
      </c>
      <c r="B12960" s="2" t="s">
        <v>403</v>
      </c>
      <c r="C12960" s="3">
        <v>1983</v>
      </c>
      <c r="D12960" s="4">
        <v>3067534</v>
      </c>
    </row>
    <row r="12961" spans="1:4" x14ac:dyDescent="0.3">
      <c r="A12961" s="5" t="s">
        <v>402</v>
      </c>
      <c r="B12961" s="5" t="s">
        <v>403</v>
      </c>
      <c r="C12961" s="6">
        <v>1984</v>
      </c>
      <c r="D12961" s="7">
        <v>3154079</v>
      </c>
    </row>
    <row r="12962" spans="1:4" x14ac:dyDescent="0.3">
      <c r="A12962" s="2" t="s">
        <v>402</v>
      </c>
      <c r="B12962" s="2" t="s">
        <v>403</v>
      </c>
      <c r="C12962" s="3">
        <v>1985</v>
      </c>
      <c r="D12962" s="4">
        <v>3247534</v>
      </c>
    </row>
    <row r="12963" spans="1:4" x14ac:dyDescent="0.3">
      <c r="A12963" s="5" t="s">
        <v>402</v>
      </c>
      <c r="B12963" s="5" t="s">
        <v>403</v>
      </c>
      <c r="C12963" s="6">
        <v>1986</v>
      </c>
      <c r="D12963" s="7">
        <v>3347809</v>
      </c>
    </row>
    <row r="12964" spans="1:4" x14ac:dyDescent="0.3">
      <c r="A12964" s="2" t="s">
        <v>402</v>
      </c>
      <c r="B12964" s="2" t="s">
        <v>403</v>
      </c>
      <c r="C12964" s="3">
        <v>1987</v>
      </c>
      <c r="D12964" s="4">
        <v>3452731</v>
      </c>
    </row>
    <row r="12965" spans="1:4" x14ac:dyDescent="0.3">
      <c r="A12965" s="5" t="s">
        <v>402</v>
      </c>
      <c r="B12965" s="5" t="s">
        <v>403</v>
      </c>
      <c r="C12965" s="6">
        <v>1988</v>
      </c>
      <c r="D12965" s="7">
        <v>3559363</v>
      </c>
    </row>
    <row r="12966" spans="1:4" x14ac:dyDescent="0.3">
      <c r="A12966" s="2" t="s">
        <v>402</v>
      </c>
      <c r="B12966" s="2" t="s">
        <v>403</v>
      </c>
      <c r="C12966" s="3">
        <v>1989</v>
      </c>
      <c r="D12966" s="4">
        <v>3662459</v>
      </c>
    </row>
    <row r="12967" spans="1:4" x14ac:dyDescent="0.3">
      <c r="A12967" s="5" t="s">
        <v>402</v>
      </c>
      <c r="B12967" s="5" t="s">
        <v>403</v>
      </c>
      <c r="C12967" s="6">
        <v>1990</v>
      </c>
      <c r="D12967" s="7">
        <v>3760562</v>
      </c>
    </row>
    <row r="12968" spans="1:4" x14ac:dyDescent="0.3">
      <c r="A12968" s="2" t="s">
        <v>402</v>
      </c>
      <c r="B12968" s="2" t="s">
        <v>403</v>
      </c>
      <c r="C12968" s="3">
        <v>1991</v>
      </c>
      <c r="D12968" s="4">
        <v>3855894</v>
      </c>
    </row>
    <row r="12969" spans="1:4" x14ac:dyDescent="0.3">
      <c r="A12969" s="5" t="s">
        <v>402</v>
      </c>
      <c r="B12969" s="5" t="s">
        <v>403</v>
      </c>
      <c r="C12969" s="6">
        <v>1992</v>
      </c>
      <c r="D12969" s="7">
        <v>3944689</v>
      </c>
    </row>
    <row r="12970" spans="1:4" x14ac:dyDescent="0.3">
      <c r="A12970" s="2" t="s">
        <v>402</v>
      </c>
      <c r="B12970" s="2" t="s">
        <v>403</v>
      </c>
      <c r="C12970" s="3">
        <v>1993</v>
      </c>
      <c r="D12970" s="4">
        <v>4032407</v>
      </c>
    </row>
    <row r="12971" spans="1:4" x14ac:dyDescent="0.3">
      <c r="A12971" s="5" t="s">
        <v>402</v>
      </c>
      <c r="B12971" s="5" t="s">
        <v>403</v>
      </c>
      <c r="C12971" s="6">
        <v>1994</v>
      </c>
      <c r="D12971" s="7">
        <v>4116662</v>
      </c>
    </row>
    <row r="12972" spans="1:4" x14ac:dyDescent="0.3">
      <c r="A12972" s="2" t="s">
        <v>402</v>
      </c>
      <c r="B12972" s="2" t="s">
        <v>403</v>
      </c>
      <c r="C12972" s="3">
        <v>1995</v>
      </c>
      <c r="D12972" s="4">
        <v>4191203</v>
      </c>
    </row>
    <row r="12973" spans="1:4" x14ac:dyDescent="0.3">
      <c r="A12973" s="5" t="s">
        <v>402</v>
      </c>
      <c r="B12973" s="5" t="s">
        <v>403</v>
      </c>
      <c r="C12973" s="6">
        <v>1996</v>
      </c>
      <c r="D12973" s="7">
        <v>4263819</v>
      </c>
    </row>
    <row r="12974" spans="1:4" x14ac:dyDescent="0.3">
      <c r="A12974" s="2" t="s">
        <v>402</v>
      </c>
      <c r="B12974" s="2" t="s">
        <v>403</v>
      </c>
      <c r="C12974" s="3">
        <v>1997</v>
      </c>
      <c r="D12974" s="4">
        <v>4336730</v>
      </c>
    </row>
    <row r="12975" spans="1:4" x14ac:dyDescent="0.3">
      <c r="A12975" s="5" t="s">
        <v>402</v>
      </c>
      <c r="B12975" s="5" t="s">
        <v>403</v>
      </c>
      <c r="C12975" s="6">
        <v>1998</v>
      </c>
      <c r="D12975" s="7">
        <v>4410507</v>
      </c>
    </row>
    <row r="12976" spans="1:4" x14ac:dyDescent="0.3">
      <c r="A12976" s="2" t="s">
        <v>402</v>
      </c>
      <c r="B12976" s="2" t="s">
        <v>403</v>
      </c>
      <c r="C12976" s="3">
        <v>1999</v>
      </c>
      <c r="D12976" s="4">
        <v>4492170</v>
      </c>
    </row>
    <row r="12977" spans="1:4" x14ac:dyDescent="0.3">
      <c r="A12977" s="5" t="s">
        <v>402</v>
      </c>
      <c r="B12977" s="5" t="s">
        <v>403</v>
      </c>
      <c r="C12977" s="6">
        <v>2000</v>
      </c>
      <c r="D12977" s="7">
        <v>4582677</v>
      </c>
    </row>
    <row r="12978" spans="1:4" x14ac:dyDescent="0.3">
      <c r="A12978" s="2" t="s">
        <v>402</v>
      </c>
      <c r="B12978" s="2" t="s">
        <v>403</v>
      </c>
      <c r="C12978" s="3">
        <v>2001</v>
      </c>
      <c r="D12978" s="4">
        <v>4675409</v>
      </c>
    </row>
    <row r="12979" spans="1:4" x14ac:dyDescent="0.3">
      <c r="A12979" s="5" t="s">
        <v>402</v>
      </c>
      <c r="B12979" s="5" t="s">
        <v>403</v>
      </c>
      <c r="C12979" s="6">
        <v>2002</v>
      </c>
      <c r="D12979" s="7">
        <v>4769465</v>
      </c>
    </row>
    <row r="12980" spans="1:4" x14ac:dyDescent="0.3">
      <c r="A12980" s="2" t="s">
        <v>402</v>
      </c>
      <c r="B12980" s="2" t="s">
        <v>403</v>
      </c>
      <c r="C12980" s="3">
        <v>2003</v>
      </c>
      <c r="D12980" s="4">
        <v>4863865</v>
      </c>
    </row>
    <row r="12981" spans="1:4" x14ac:dyDescent="0.3">
      <c r="A12981" s="5" t="s">
        <v>402</v>
      </c>
      <c r="B12981" s="5" t="s">
        <v>403</v>
      </c>
      <c r="C12981" s="6">
        <v>2004</v>
      </c>
      <c r="D12981" s="7">
        <v>4958093</v>
      </c>
    </row>
    <row r="12982" spans="1:4" x14ac:dyDescent="0.3">
      <c r="A12982" s="2" t="s">
        <v>402</v>
      </c>
      <c r="B12982" s="2" t="s">
        <v>403</v>
      </c>
      <c r="C12982" s="3">
        <v>2005</v>
      </c>
      <c r="D12982" s="4">
        <v>5052257</v>
      </c>
    </row>
    <row r="12983" spans="1:4" x14ac:dyDescent="0.3">
      <c r="A12983" s="5" t="s">
        <v>402</v>
      </c>
      <c r="B12983" s="5" t="s">
        <v>403</v>
      </c>
      <c r="C12983" s="6">
        <v>2006</v>
      </c>
      <c r="D12983" s="7">
        <v>5147105</v>
      </c>
    </row>
    <row r="12984" spans="1:4" x14ac:dyDescent="0.3">
      <c r="A12984" s="2" t="s">
        <v>402</v>
      </c>
      <c r="B12984" s="2" t="s">
        <v>403</v>
      </c>
      <c r="C12984" s="3">
        <v>2007</v>
      </c>
      <c r="D12984" s="4">
        <v>5244046</v>
      </c>
    </row>
    <row r="12985" spans="1:4" x14ac:dyDescent="0.3">
      <c r="A12985" s="5" t="s">
        <v>402</v>
      </c>
      <c r="B12985" s="5" t="s">
        <v>403</v>
      </c>
      <c r="C12985" s="6">
        <v>2008</v>
      </c>
      <c r="D12985" s="7">
        <v>5345029</v>
      </c>
    </row>
    <row r="12986" spans="1:4" x14ac:dyDescent="0.3">
      <c r="A12986" s="2" t="s">
        <v>402</v>
      </c>
      <c r="B12986" s="2" t="s">
        <v>403</v>
      </c>
      <c r="C12986" s="3">
        <v>2009</v>
      </c>
      <c r="D12986" s="4">
        <v>5451592</v>
      </c>
    </row>
    <row r="12987" spans="1:4" x14ac:dyDescent="0.3">
      <c r="A12987" s="5" t="s">
        <v>402</v>
      </c>
      <c r="B12987" s="5" t="s">
        <v>403</v>
      </c>
      <c r="C12987" s="6">
        <v>2010</v>
      </c>
      <c r="D12987" s="7">
        <v>5564356</v>
      </c>
    </row>
    <row r="12988" spans="1:4" x14ac:dyDescent="0.3">
      <c r="A12988" s="2" t="s">
        <v>402</v>
      </c>
      <c r="B12988" s="2" t="s">
        <v>403</v>
      </c>
      <c r="C12988" s="3">
        <v>2011</v>
      </c>
      <c r="D12988" s="4">
        <v>5683417</v>
      </c>
    </row>
    <row r="12989" spans="1:4" x14ac:dyDescent="0.3">
      <c r="A12989" s="5" t="s">
        <v>402</v>
      </c>
      <c r="B12989" s="5" t="s">
        <v>403</v>
      </c>
      <c r="C12989" s="6">
        <v>2012</v>
      </c>
      <c r="D12989" s="7">
        <v>5808546</v>
      </c>
    </row>
    <row r="12990" spans="1:4" x14ac:dyDescent="0.3">
      <c r="A12990" s="2" t="s">
        <v>402</v>
      </c>
      <c r="B12990" s="2" t="s">
        <v>403</v>
      </c>
      <c r="C12990" s="3">
        <v>2013</v>
      </c>
      <c r="D12990" s="4">
        <v>5939341</v>
      </c>
    </row>
    <row r="12991" spans="1:4" x14ac:dyDescent="0.3">
      <c r="A12991" s="5" t="s">
        <v>402</v>
      </c>
      <c r="B12991" s="5" t="s">
        <v>403</v>
      </c>
      <c r="C12991" s="6">
        <v>2014</v>
      </c>
      <c r="D12991" s="7">
        <v>6075283</v>
      </c>
    </row>
    <row r="12992" spans="1:4" x14ac:dyDescent="0.3">
      <c r="A12992" s="2" t="s">
        <v>402</v>
      </c>
      <c r="B12992" s="2" t="s">
        <v>403</v>
      </c>
      <c r="C12992" s="3">
        <v>2015</v>
      </c>
      <c r="D12992" s="4">
        <v>6215770</v>
      </c>
    </row>
    <row r="12993" spans="1:4" x14ac:dyDescent="0.3">
      <c r="A12993" s="5" t="s">
        <v>402</v>
      </c>
      <c r="B12993" s="5" t="s">
        <v>403</v>
      </c>
      <c r="C12993" s="6">
        <v>2016</v>
      </c>
      <c r="D12993" s="7">
        <v>6360041</v>
      </c>
    </row>
    <row r="12994" spans="1:4" x14ac:dyDescent="0.3">
      <c r="A12994" s="2" t="s">
        <v>402</v>
      </c>
      <c r="B12994" s="2" t="s">
        <v>403</v>
      </c>
      <c r="C12994" s="3">
        <v>2017</v>
      </c>
      <c r="D12994" s="4">
        <v>6507061</v>
      </c>
    </row>
    <row r="12995" spans="1:4" x14ac:dyDescent="0.3">
      <c r="A12995" s="5" t="s">
        <v>402</v>
      </c>
      <c r="B12995" s="5" t="s">
        <v>403</v>
      </c>
      <c r="C12995" s="6">
        <v>2018</v>
      </c>
      <c r="D12995" s="7">
        <v>6655524</v>
      </c>
    </row>
    <row r="12996" spans="1:4" x14ac:dyDescent="0.3">
      <c r="A12996" s="2" t="s">
        <v>402</v>
      </c>
      <c r="B12996" s="2" t="s">
        <v>403</v>
      </c>
      <c r="C12996" s="3">
        <v>2019</v>
      </c>
      <c r="D12996" s="4">
        <v>6803944</v>
      </c>
    </row>
    <row r="12997" spans="1:4" x14ac:dyDescent="0.3">
      <c r="A12997" s="5" t="s">
        <v>402</v>
      </c>
      <c r="B12997" s="5" t="s">
        <v>403</v>
      </c>
      <c r="C12997" s="6">
        <v>2020</v>
      </c>
      <c r="D12997" s="7">
        <v>6949912</v>
      </c>
    </row>
    <row r="12998" spans="1:4" x14ac:dyDescent="0.3">
      <c r="A12998" s="2" t="s">
        <v>402</v>
      </c>
      <c r="B12998" s="2" t="s">
        <v>403</v>
      </c>
      <c r="C12998" s="3">
        <v>2021</v>
      </c>
      <c r="D12998" s="4">
        <v>7092043</v>
      </c>
    </row>
    <row r="12999" spans="1:4" x14ac:dyDescent="0.3">
      <c r="A12999" s="5" t="s">
        <v>402</v>
      </c>
      <c r="B12999" s="5" t="s">
        <v>403</v>
      </c>
      <c r="C12999" s="6">
        <v>2022</v>
      </c>
      <c r="D12999" s="7">
        <v>7230193</v>
      </c>
    </row>
    <row r="13000" spans="1:4" x14ac:dyDescent="0.3">
      <c r="A13000" s="2" t="s">
        <v>402</v>
      </c>
      <c r="B13000" s="2" t="s">
        <v>403</v>
      </c>
      <c r="C13000" s="3">
        <v>2023</v>
      </c>
      <c r="D13000" s="4">
        <v>7364438</v>
      </c>
    </row>
    <row r="13001" spans="1:4" x14ac:dyDescent="0.3">
      <c r="A13001" s="5" t="s">
        <v>402</v>
      </c>
      <c r="B13001" s="5" t="s">
        <v>403</v>
      </c>
      <c r="C13001" s="6">
        <v>2024</v>
      </c>
      <c r="D13001" s="7">
        <v>7494498</v>
      </c>
    </row>
    <row r="13002" spans="1:4" x14ac:dyDescent="0.3">
      <c r="A13002" s="2" t="s">
        <v>404</v>
      </c>
      <c r="B13002" s="2" t="s">
        <v>405</v>
      </c>
      <c r="C13002" s="3">
        <v>1960</v>
      </c>
      <c r="D13002" s="4">
        <v>5599</v>
      </c>
    </row>
    <row r="13003" spans="1:4" x14ac:dyDescent="0.3">
      <c r="A13003" s="5" t="s">
        <v>404</v>
      </c>
      <c r="B13003" s="5" t="s">
        <v>405</v>
      </c>
      <c r="C13003" s="6">
        <v>1961</v>
      </c>
      <c r="D13003" s="7">
        <v>5622</v>
      </c>
    </row>
    <row r="13004" spans="1:4" x14ac:dyDescent="0.3">
      <c r="A13004" s="2" t="s">
        <v>404</v>
      </c>
      <c r="B13004" s="2" t="s">
        <v>405</v>
      </c>
      <c r="C13004" s="3">
        <v>1962</v>
      </c>
      <c r="D13004" s="4">
        <v>5636</v>
      </c>
    </row>
    <row r="13005" spans="1:4" x14ac:dyDescent="0.3">
      <c r="A13005" s="5" t="s">
        <v>404</v>
      </c>
      <c r="B13005" s="5" t="s">
        <v>405</v>
      </c>
      <c r="C13005" s="6">
        <v>1963</v>
      </c>
      <c r="D13005" s="7">
        <v>5647</v>
      </c>
    </row>
    <row r="13006" spans="1:4" x14ac:dyDescent="0.3">
      <c r="A13006" s="2" t="s">
        <v>404</v>
      </c>
      <c r="B13006" s="2" t="s">
        <v>405</v>
      </c>
      <c r="C13006" s="3">
        <v>1964</v>
      </c>
      <c r="D13006" s="4">
        <v>5657</v>
      </c>
    </row>
    <row r="13007" spans="1:4" x14ac:dyDescent="0.3">
      <c r="A13007" s="5" t="s">
        <v>404</v>
      </c>
      <c r="B13007" s="5" t="s">
        <v>405</v>
      </c>
      <c r="C13007" s="6">
        <v>1965</v>
      </c>
      <c r="D13007" s="7">
        <v>5658</v>
      </c>
    </row>
    <row r="13008" spans="1:4" x14ac:dyDescent="0.3">
      <c r="A13008" s="2" t="s">
        <v>404</v>
      </c>
      <c r="B13008" s="2" t="s">
        <v>405</v>
      </c>
      <c r="C13008" s="3">
        <v>1966</v>
      </c>
      <c r="D13008" s="4">
        <v>5654</v>
      </c>
    </row>
    <row r="13009" spans="1:4" x14ac:dyDescent="0.3">
      <c r="A13009" s="5" t="s">
        <v>404</v>
      </c>
      <c r="B13009" s="5" t="s">
        <v>405</v>
      </c>
      <c r="C13009" s="6">
        <v>1967</v>
      </c>
      <c r="D13009" s="7">
        <v>5657</v>
      </c>
    </row>
    <row r="13010" spans="1:4" x14ac:dyDescent="0.3">
      <c r="A13010" s="2" t="s">
        <v>404</v>
      </c>
      <c r="B13010" s="2" t="s">
        <v>405</v>
      </c>
      <c r="C13010" s="3">
        <v>1968</v>
      </c>
      <c r="D13010" s="4">
        <v>5656</v>
      </c>
    </row>
    <row r="13011" spans="1:4" x14ac:dyDescent="0.3">
      <c r="A13011" s="5" t="s">
        <v>404</v>
      </c>
      <c r="B13011" s="5" t="s">
        <v>405</v>
      </c>
      <c r="C13011" s="6">
        <v>1969</v>
      </c>
      <c r="D13011" s="7">
        <v>5652</v>
      </c>
    </row>
    <row r="13012" spans="1:4" x14ac:dyDescent="0.3">
      <c r="A13012" s="2" t="s">
        <v>404</v>
      </c>
      <c r="B13012" s="2" t="s">
        <v>405</v>
      </c>
      <c r="C13012" s="3">
        <v>1970</v>
      </c>
      <c r="D13012" s="4">
        <v>5667</v>
      </c>
    </row>
    <row r="13013" spans="1:4" x14ac:dyDescent="0.3">
      <c r="A13013" s="5" t="s">
        <v>404</v>
      </c>
      <c r="B13013" s="5" t="s">
        <v>405</v>
      </c>
      <c r="C13013" s="6">
        <v>1971</v>
      </c>
      <c r="D13013" s="7">
        <v>5754</v>
      </c>
    </row>
    <row r="13014" spans="1:4" x14ac:dyDescent="0.3">
      <c r="A13014" s="2" t="s">
        <v>404</v>
      </c>
      <c r="B13014" s="2" t="s">
        <v>405</v>
      </c>
      <c r="C13014" s="3">
        <v>1972</v>
      </c>
      <c r="D13014" s="4">
        <v>5915</v>
      </c>
    </row>
    <row r="13015" spans="1:4" x14ac:dyDescent="0.3">
      <c r="A13015" s="5" t="s">
        <v>404</v>
      </c>
      <c r="B13015" s="5" t="s">
        <v>405</v>
      </c>
      <c r="C13015" s="6">
        <v>1973</v>
      </c>
      <c r="D13015" s="7">
        <v>6090</v>
      </c>
    </row>
    <row r="13016" spans="1:4" x14ac:dyDescent="0.3">
      <c r="A13016" s="2" t="s">
        <v>404</v>
      </c>
      <c r="B13016" s="2" t="s">
        <v>405</v>
      </c>
      <c r="C13016" s="3">
        <v>1974</v>
      </c>
      <c r="D13016" s="4">
        <v>6273</v>
      </c>
    </row>
    <row r="13017" spans="1:4" x14ac:dyDescent="0.3">
      <c r="A13017" s="5" t="s">
        <v>404</v>
      </c>
      <c r="B13017" s="5" t="s">
        <v>405</v>
      </c>
      <c r="C13017" s="6">
        <v>1975</v>
      </c>
      <c r="D13017" s="7">
        <v>6463</v>
      </c>
    </row>
    <row r="13018" spans="1:4" x14ac:dyDescent="0.3">
      <c r="A13018" s="2" t="s">
        <v>404</v>
      </c>
      <c r="B13018" s="2" t="s">
        <v>405</v>
      </c>
      <c r="C13018" s="3">
        <v>1976</v>
      </c>
      <c r="D13018" s="4">
        <v>6660</v>
      </c>
    </row>
    <row r="13019" spans="1:4" x14ac:dyDescent="0.3">
      <c r="A13019" s="5" t="s">
        <v>404</v>
      </c>
      <c r="B13019" s="5" t="s">
        <v>405</v>
      </c>
      <c r="C13019" s="6">
        <v>1977</v>
      </c>
      <c r="D13019" s="7">
        <v>6864</v>
      </c>
    </row>
    <row r="13020" spans="1:4" x14ac:dyDescent="0.3">
      <c r="A13020" s="2" t="s">
        <v>404</v>
      </c>
      <c r="B13020" s="2" t="s">
        <v>405</v>
      </c>
      <c r="C13020" s="3">
        <v>1978</v>
      </c>
      <c r="D13020" s="4">
        <v>7083</v>
      </c>
    </row>
    <row r="13021" spans="1:4" x14ac:dyDescent="0.3">
      <c r="A13021" s="5" t="s">
        <v>404</v>
      </c>
      <c r="B13021" s="5" t="s">
        <v>405</v>
      </c>
      <c r="C13021" s="6">
        <v>1979</v>
      </c>
      <c r="D13021" s="7">
        <v>7306</v>
      </c>
    </row>
    <row r="13022" spans="1:4" x14ac:dyDescent="0.3">
      <c r="A13022" s="2" t="s">
        <v>404</v>
      </c>
      <c r="B13022" s="2" t="s">
        <v>405</v>
      </c>
      <c r="C13022" s="3">
        <v>1980</v>
      </c>
      <c r="D13022" s="4">
        <v>7564</v>
      </c>
    </row>
    <row r="13023" spans="1:4" x14ac:dyDescent="0.3">
      <c r="A13023" s="5" t="s">
        <v>404</v>
      </c>
      <c r="B13023" s="5" t="s">
        <v>405</v>
      </c>
      <c r="C13023" s="6">
        <v>1981</v>
      </c>
      <c r="D13023" s="7">
        <v>7908</v>
      </c>
    </row>
    <row r="13024" spans="1:4" x14ac:dyDescent="0.3">
      <c r="A13024" s="2" t="s">
        <v>404</v>
      </c>
      <c r="B13024" s="2" t="s">
        <v>405</v>
      </c>
      <c r="C13024" s="3">
        <v>1982</v>
      </c>
      <c r="D13024" s="4">
        <v>8297</v>
      </c>
    </row>
    <row r="13025" spans="1:4" x14ac:dyDescent="0.3">
      <c r="A13025" s="5" t="s">
        <v>404</v>
      </c>
      <c r="B13025" s="5" t="s">
        <v>405</v>
      </c>
      <c r="C13025" s="6">
        <v>1983</v>
      </c>
      <c r="D13025" s="7">
        <v>8697</v>
      </c>
    </row>
    <row r="13026" spans="1:4" x14ac:dyDescent="0.3">
      <c r="A13026" s="2" t="s">
        <v>404</v>
      </c>
      <c r="B13026" s="2" t="s">
        <v>405</v>
      </c>
      <c r="C13026" s="3">
        <v>1984</v>
      </c>
      <c r="D13026" s="4">
        <v>9107</v>
      </c>
    </row>
    <row r="13027" spans="1:4" x14ac:dyDescent="0.3">
      <c r="A13027" s="5" t="s">
        <v>404</v>
      </c>
      <c r="B13027" s="5" t="s">
        <v>405</v>
      </c>
      <c r="C13027" s="6">
        <v>1985</v>
      </c>
      <c r="D13027" s="7">
        <v>9521</v>
      </c>
    </row>
    <row r="13028" spans="1:4" x14ac:dyDescent="0.3">
      <c r="A13028" s="2" t="s">
        <v>404</v>
      </c>
      <c r="B13028" s="2" t="s">
        <v>405</v>
      </c>
      <c r="C13028" s="3">
        <v>1986</v>
      </c>
      <c r="D13028" s="4">
        <v>9941</v>
      </c>
    </row>
    <row r="13029" spans="1:4" x14ac:dyDescent="0.3">
      <c r="A13029" s="5" t="s">
        <v>404</v>
      </c>
      <c r="B13029" s="5" t="s">
        <v>405</v>
      </c>
      <c r="C13029" s="6">
        <v>1987</v>
      </c>
      <c r="D13029" s="7">
        <v>10361</v>
      </c>
    </row>
    <row r="13030" spans="1:4" x14ac:dyDescent="0.3">
      <c r="A13030" s="2" t="s">
        <v>404</v>
      </c>
      <c r="B13030" s="2" t="s">
        <v>405</v>
      </c>
      <c r="C13030" s="3">
        <v>1988</v>
      </c>
      <c r="D13030" s="4">
        <v>10775</v>
      </c>
    </row>
    <row r="13031" spans="1:4" x14ac:dyDescent="0.3">
      <c r="A13031" s="5" t="s">
        <v>404</v>
      </c>
      <c r="B13031" s="5" t="s">
        <v>405</v>
      </c>
      <c r="C13031" s="6">
        <v>1989</v>
      </c>
      <c r="D13031" s="7">
        <v>11193</v>
      </c>
    </row>
    <row r="13032" spans="1:4" x14ac:dyDescent="0.3">
      <c r="A13032" s="2" t="s">
        <v>404</v>
      </c>
      <c r="B13032" s="2" t="s">
        <v>405</v>
      </c>
      <c r="C13032" s="3">
        <v>1990</v>
      </c>
      <c r="D13032" s="4">
        <v>11688</v>
      </c>
    </row>
    <row r="13033" spans="1:4" x14ac:dyDescent="0.3">
      <c r="A13033" s="5" t="s">
        <v>404</v>
      </c>
      <c r="B13033" s="5" t="s">
        <v>405</v>
      </c>
      <c r="C13033" s="6">
        <v>1991</v>
      </c>
      <c r="D13033" s="7">
        <v>12305</v>
      </c>
    </row>
    <row r="13034" spans="1:4" x14ac:dyDescent="0.3">
      <c r="A13034" s="2" t="s">
        <v>404</v>
      </c>
      <c r="B13034" s="2" t="s">
        <v>405</v>
      </c>
      <c r="C13034" s="3">
        <v>1992</v>
      </c>
      <c r="D13034" s="4">
        <v>12970</v>
      </c>
    </row>
    <row r="13035" spans="1:4" x14ac:dyDescent="0.3">
      <c r="A13035" s="5" t="s">
        <v>404</v>
      </c>
      <c r="B13035" s="5" t="s">
        <v>405</v>
      </c>
      <c r="C13035" s="6">
        <v>1993</v>
      </c>
      <c r="D13035" s="7">
        <v>13648</v>
      </c>
    </row>
    <row r="13036" spans="1:4" x14ac:dyDescent="0.3">
      <c r="A13036" s="2" t="s">
        <v>404</v>
      </c>
      <c r="B13036" s="2" t="s">
        <v>405</v>
      </c>
      <c r="C13036" s="3">
        <v>1994</v>
      </c>
      <c r="D13036" s="4">
        <v>14344</v>
      </c>
    </row>
    <row r="13037" spans="1:4" x14ac:dyDescent="0.3">
      <c r="A13037" s="5" t="s">
        <v>404</v>
      </c>
      <c r="B13037" s="5" t="s">
        <v>405</v>
      </c>
      <c r="C13037" s="6">
        <v>1995</v>
      </c>
      <c r="D13037" s="7">
        <v>15052</v>
      </c>
    </row>
    <row r="13038" spans="1:4" x14ac:dyDescent="0.3">
      <c r="A13038" s="2" t="s">
        <v>404</v>
      </c>
      <c r="B13038" s="2" t="s">
        <v>405</v>
      </c>
      <c r="C13038" s="3">
        <v>1996</v>
      </c>
      <c r="D13038" s="4">
        <v>15765</v>
      </c>
    </row>
    <row r="13039" spans="1:4" x14ac:dyDescent="0.3">
      <c r="A13039" s="5" t="s">
        <v>404</v>
      </c>
      <c r="B13039" s="5" t="s">
        <v>405</v>
      </c>
      <c r="C13039" s="6">
        <v>1997</v>
      </c>
      <c r="D13039" s="7">
        <v>16482</v>
      </c>
    </row>
    <row r="13040" spans="1:4" x14ac:dyDescent="0.3">
      <c r="A13040" s="2" t="s">
        <v>404</v>
      </c>
      <c r="B13040" s="2" t="s">
        <v>405</v>
      </c>
      <c r="C13040" s="3">
        <v>1998</v>
      </c>
      <c r="D13040" s="4">
        <v>17212</v>
      </c>
    </row>
    <row r="13041" spans="1:4" x14ac:dyDescent="0.3">
      <c r="A13041" s="5" t="s">
        <v>404</v>
      </c>
      <c r="B13041" s="5" t="s">
        <v>405</v>
      </c>
      <c r="C13041" s="6">
        <v>1999</v>
      </c>
      <c r="D13041" s="7">
        <v>17959</v>
      </c>
    </row>
    <row r="13042" spans="1:4" x14ac:dyDescent="0.3">
      <c r="A13042" s="2" t="s">
        <v>404</v>
      </c>
      <c r="B13042" s="2" t="s">
        <v>405</v>
      </c>
      <c r="C13042" s="3">
        <v>2000</v>
      </c>
      <c r="D13042" s="4">
        <v>18730</v>
      </c>
    </row>
    <row r="13043" spans="1:4" x14ac:dyDescent="0.3">
      <c r="A13043" s="5" t="s">
        <v>404</v>
      </c>
      <c r="B13043" s="5" t="s">
        <v>405</v>
      </c>
      <c r="C13043" s="6">
        <v>2001</v>
      </c>
      <c r="D13043" s="7">
        <v>19576</v>
      </c>
    </row>
    <row r="13044" spans="1:4" x14ac:dyDescent="0.3">
      <c r="A13044" s="2" t="s">
        <v>404</v>
      </c>
      <c r="B13044" s="2" t="s">
        <v>405</v>
      </c>
      <c r="C13044" s="3">
        <v>2002</v>
      </c>
      <c r="D13044" s="4">
        <v>20597</v>
      </c>
    </row>
    <row r="13045" spans="1:4" x14ac:dyDescent="0.3">
      <c r="A13045" s="5" t="s">
        <v>404</v>
      </c>
      <c r="B13045" s="5" t="s">
        <v>405</v>
      </c>
      <c r="C13045" s="6">
        <v>2003</v>
      </c>
      <c r="D13045" s="7">
        <v>21727</v>
      </c>
    </row>
    <row r="13046" spans="1:4" x14ac:dyDescent="0.3">
      <c r="A13046" s="2" t="s">
        <v>404</v>
      </c>
      <c r="B13046" s="2" t="s">
        <v>405</v>
      </c>
      <c r="C13046" s="3">
        <v>2004</v>
      </c>
      <c r="D13046" s="4">
        <v>22856</v>
      </c>
    </row>
    <row r="13047" spans="1:4" x14ac:dyDescent="0.3">
      <c r="A13047" s="5" t="s">
        <v>404</v>
      </c>
      <c r="B13047" s="5" t="s">
        <v>405</v>
      </c>
      <c r="C13047" s="6">
        <v>2005</v>
      </c>
      <c r="D13047" s="7">
        <v>23988</v>
      </c>
    </row>
    <row r="13048" spans="1:4" x14ac:dyDescent="0.3">
      <c r="A13048" s="2" t="s">
        <v>404</v>
      </c>
      <c r="B13048" s="2" t="s">
        <v>405</v>
      </c>
      <c r="C13048" s="3">
        <v>2006</v>
      </c>
      <c r="D13048" s="4">
        <v>25123</v>
      </c>
    </row>
    <row r="13049" spans="1:4" x14ac:dyDescent="0.3">
      <c r="A13049" s="5" t="s">
        <v>404</v>
      </c>
      <c r="B13049" s="5" t="s">
        <v>405</v>
      </c>
      <c r="C13049" s="6">
        <v>2007</v>
      </c>
      <c r="D13049" s="7">
        <v>26270</v>
      </c>
    </row>
    <row r="13050" spans="1:4" x14ac:dyDescent="0.3">
      <c r="A13050" s="2" t="s">
        <v>404</v>
      </c>
      <c r="B13050" s="2" t="s">
        <v>405</v>
      </c>
      <c r="C13050" s="3">
        <v>2008</v>
      </c>
      <c r="D13050" s="4">
        <v>27427</v>
      </c>
    </row>
    <row r="13051" spans="1:4" x14ac:dyDescent="0.3">
      <c r="A13051" s="5" t="s">
        <v>404</v>
      </c>
      <c r="B13051" s="5" t="s">
        <v>405</v>
      </c>
      <c r="C13051" s="6">
        <v>2009</v>
      </c>
      <c r="D13051" s="7">
        <v>28588</v>
      </c>
    </row>
    <row r="13052" spans="1:4" x14ac:dyDescent="0.3">
      <c r="A13052" s="2" t="s">
        <v>404</v>
      </c>
      <c r="B13052" s="2" t="s">
        <v>405</v>
      </c>
      <c r="C13052" s="3">
        <v>2010</v>
      </c>
      <c r="D13052" s="4">
        <v>29739</v>
      </c>
    </row>
    <row r="13053" spans="1:4" x14ac:dyDescent="0.3">
      <c r="A13053" s="5" t="s">
        <v>404</v>
      </c>
      <c r="B13053" s="5" t="s">
        <v>405</v>
      </c>
      <c r="C13053" s="6">
        <v>2011</v>
      </c>
      <c r="D13053" s="7">
        <v>30846</v>
      </c>
    </row>
    <row r="13054" spans="1:4" x14ac:dyDescent="0.3">
      <c r="A13054" s="2" t="s">
        <v>404</v>
      </c>
      <c r="B13054" s="2" t="s">
        <v>405</v>
      </c>
      <c r="C13054" s="3">
        <v>2012</v>
      </c>
      <c r="D13054" s="4">
        <v>32127</v>
      </c>
    </row>
    <row r="13055" spans="1:4" x14ac:dyDescent="0.3">
      <c r="A13055" s="5" t="s">
        <v>404</v>
      </c>
      <c r="B13055" s="5" t="s">
        <v>405</v>
      </c>
      <c r="C13055" s="6">
        <v>2013</v>
      </c>
      <c r="D13055" s="7">
        <v>33653</v>
      </c>
    </row>
    <row r="13056" spans="1:4" x14ac:dyDescent="0.3">
      <c r="A13056" s="2" t="s">
        <v>404</v>
      </c>
      <c r="B13056" s="2" t="s">
        <v>405</v>
      </c>
      <c r="C13056" s="3">
        <v>2014</v>
      </c>
      <c r="D13056" s="4">
        <v>35050</v>
      </c>
    </row>
    <row r="13057" spans="1:4" x14ac:dyDescent="0.3">
      <c r="A13057" s="5" t="s">
        <v>404</v>
      </c>
      <c r="B13057" s="5" t="s">
        <v>405</v>
      </c>
      <c r="C13057" s="6">
        <v>2015</v>
      </c>
      <c r="D13057" s="7">
        <v>36605</v>
      </c>
    </row>
    <row r="13058" spans="1:4" x14ac:dyDescent="0.3">
      <c r="A13058" s="2" t="s">
        <v>404</v>
      </c>
      <c r="B13058" s="2" t="s">
        <v>405</v>
      </c>
      <c r="C13058" s="3">
        <v>2016</v>
      </c>
      <c r="D13058" s="4">
        <v>38315</v>
      </c>
    </row>
    <row r="13059" spans="1:4" x14ac:dyDescent="0.3">
      <c r="A13059" s="5" t="s">
        <v>404</v>
      </c>
      <c r="B13059" s="5" t="s">
        <v>405</v>
      </c>
      <c r="C13059" s="6">
        <v>2017</v>
      </c>
      <c r="D13059" s="7">
        <v>39913</v>
      </c>
    </row>
    <row r="13060" spans="1:4" x14ac:dyDescent="0.3">
      <c r="A13060" s="2" t="s">
        <v>404</v>
      </c>
      <c r="B13060" s="2" t="s">
        <v>405</v>
      </c>
      <c r="C13060" s="3">
        <v>2018</v>
      </c>
      <c r="D13060" s="4">
        <v>41559</v>
      </c>
    </row>
    <row r="13061" spans="1:4" x14ac:dyDescent="0.3">
      <c r="A13061" s="5" t="s">
        <v>404</v>
      </c>
      <c r="B13061" s="5" t="s">
        <v>405</v>
      </c>
      <c r="C13061" s="6">
        <v>2019</v>
      </c>
      <c r="D13061" s="7">
        <v>43166</v>
      </c>
    </row>
    <row r="13062" spans="1:4" x14ac:dyDescent="0.3">
      <c r="A13062" s="2" t="s">
        <v>404</v>
      </c>
      <c r="B13062" s="2" t="s">
        <v>405</v>
      </c>
      <c r="C13062" s="3">
        <v>2020</v>
      </c>
      <c r="D13062" s="4">
        <v>44386</v>
      </c>
    </row>
    <row r="13063" spans="1:4" x14ac:dyDescent="0.3">
      <c r="A13063" s="5" t="s">
        <v>404</v>
      </c>
      <c r="B13063" s="5" t="s">
        <v>405</v>
      </c>
      <c r="C13063" s="6">
        <v>2021</v>
      </c>
      <c r="D13063" s="7">
        <v>45243</v>
      </c>
    </row>
    <row r="13064" spans="1:4" x14ac:dyDescent="0.3">
      <c r="A13064" s="2" t="s">
        <v>404</v>
      </c>
      <c r="B13064" s="2" t="s">
        <v>405</v>
      </c>
      <c r="C13064" s="3">
        <v>2022</v>
      </c>
      <c r="D13064" s="4">
        <v>45847</v>
      </c>
    </row>
    <row r="13065" spans="1:4" x14ac:dyDescent="0.3">
      <c r="A13065" s="5" t="s">
        <v>404</v>
      </c>
      <c r="B13065" s="5" t="s">
        <v>405</v>
      </c>
      <c r="C13065" s="6">
        <v>2023</v>
      </c>
      <c r="D13065" s="7">
        <v>46198</v>
      </c>
    </row>
    <row r="13066" spans="1:4" x14ac:dyDescent="0.3">
      <c r="A13066" s="2" t="s">
        <v>404</v>
      </c>
      <c r="B13066" s="2" t="s">
        <v>405</v>
      </c>
      <c r="C13066" s="3">
        <v>2024</v>
      </c>
      <c r="D13066" s="4">
        <v>46535</v>
      </c>
    </row>
    <row r="13067" spans="1:4" x14ac:dyDescent="0.3">
      <c r="A13067" s="5" t="s">
        <v>406</v>
      </c>
      <c r="B13067" s="5" t="s">
        <v>407</v>
      </c>
      <c r="C13067" s="6">
        <v>1960</v>
      </c>
      <c r="D13067" s="7">
        <v>5598</v>
      </c>
    </row>
    <row r="13068" spans="1:4" x14ac:dyDescent="0.3">
      <c r="A13068" s="2" t="s">
        <v>406</v>
      </c>
      <c r="B13068" s="2" t="s">
        <v>407</v>
      </c>
      <c r="C13068" s="3">
        <v>1961</v>
      </c>
      <c r="D13068" s="4">
        <v>5648</v>
      </c>
    </row>
    <row r="13069" spans="1:4" x14ac:dyDescent="0.3">
      <c r="A13069" s="5" t="s">
        <v>406</v>
      </c>
      <c r="B13069" s="5" t="s">
        <v>407</v>
      </c>
      <c r="C13069" s="6">
        <v>1962</v>
      </c>
      <c r="D13069" s="7">
        <v>5699</v>
      </c>
    </row>
    <row r="13070" spans="1:4" x14ac:dyDescent="0.3">
      <c r="A13070" s="2" t="s">
        <v>406</v>
      </c>
      <c r="B13070" s="2" t="s">
        <v>407</v>
      </c>
      <c r="C13070" s="3">
        <v>1963</v>
      </c>
      <c r="D13070" s="4">
        <v>5751</v>
      </c>
    </row>
    <row r="13071" spans="1:4" x14ac:dyDescent="0.3">
      <c r="A13071" s="5" t="s">
        <v>406</v>
      </c>
      <c r="B13071" s="5" t="s">
        <v>407</v>
      </c>
      <c r="C13071" s="6">
        <v>1964</v>
      </c>
      <c r="D13071" s="7">
        <v>5752</v>
      </c>
    </row>
    <row r="13072" spans="1:4" x14ac:dyDescent="0.3">
      <c r="A13072" s="2" t="s">
        <v>406</v>
      </c>
      <c r="B13072" s="2" t="s">
        <v>407</v>
      </c>
      <c r="C13072" s="3">
        <v>1965</v>
      </c>
      <c r="D13072" s="4">
        <v>5715</v>
      </c>
    </row>
    <row r="13073" spans="1:4" x14ac:dyDescent="0.3">
      <c r="A13073" s="5" t="s">
        <v>406</v>
      </c>
      <c r="B13073" s="5" t="s">
        <v>407</v>
      </c>
      <c r="C13073" s="6">
        <v>1966</v>
      </c>
      <c r="D13073" s="7">
        <v>5686</v>
      </c>
    </row>
    <row r="13074" spans="1:4" x14ac:dyDescent="0.3">
      <c r="A13074" s="2" t="s">
        <v>406</v>
      </c>
      <c r="B13074" s="2" t="s">
        <v>407</v>
      </c>
      <c r="C13074" s="3">
        <v>1967</v>
      </c>
      <c r="D13074" s="4">
        <v>5652</v>
      </c>
    </row>
    <row r="13075" spans="1:4" x14ac:dyDescent="0.3">
      <c r="A13075" s="5" t="s">
        <v>406</v>
      </c>
      <c r="B13075" s="5" t="s">
        <v>407</v>
      </c>
      <c r="C13075" s="6">
        <v>1968</v>
      </c>
      <c r="D13075" s="7">
        <v>5624</v>
      </c>
    </row>
    <row r="13076" spans="1:4" x14ac:dyDescent="0.3">
      <c r="A13076" s="2" t="s">
        <v>406</v>
      </c>
      <c r="B13076" s="2" t="s">
        <v>407</v>
      </c>
      <c r="C13076" s="3">
        <v>1969</v>
      </c>
      <c r="D13076" s="4">
        <v>5631</v>
      </c>
    </row>
    <row r="13077" spans="1:4" x14ac:dyDescent="0.3">
      <c r="A13077" s="5" t="s">
        <v>406</v>
      </c>
      <c r="B13077" s="5" t="s">
        <v>407</v>
      </c>
      <c r="C13077" s="6">
        <v>1970</v>
      </c>
      <c r="D13077" s="7">
        <v>5663</v>
      </c>
    </row>
    <row r="13078" spans="1:4" x14ac:dyDescent="0.3">
      <c r="A13078" s="2" t="s">
        <v>406</v>
      </c>
      <c r="B13078" s="2" t="s">
        <v>407</v>
      </c>
      <c r="C13078" s="3">
        <v>1971</v>
      </c>
      <c r="D13078" s="4">
        <v>5685</v>
      </c>
    </row>
    <row r="13079" spans="1:4" x14ac:dyDescent="0.3">
      <c r="A13079" s="5" t="s">
        <v>406</v>
      </c>
      <c r="B13079" s="5" t="s">
        <v>407</v>
      </c>
      <c r="C13079" s="6">
        <v>1972</v>
      </c>
      <c r="D13079" s="7">
        <v>5692</v>
      </c>
    </row>
    <row r="13080" spans="1:4" x14ac:dyDescent="0.3">
      <c r="A13080" s="2" t="s">
        <v>406</v>
      </c>
      <c r="B13080" s="2" t="s">
        <v>407</v>
      </c>
      <c r="C13080" s="3">
        <v>1973</v>
      </c>
      <c r="D13080" s="4">
        <v>5681</v>
      </c>
    </row>
    <row r="13081" spans="1:4" x14ac:dyDescent="0.3">
      <c r="A13081" s="5" t="s">
        <v>406</v>
      </c>
      <c r="B13081" s="5" t="s">
        <v>407</v>
      </c>
      <c r="C13081" s="6">
        <v>1974</v>
      </c>
      <c r="D13081" s="7">
        <v>5822</v>
      </c>
    </row>
    <row r="13082" spans="1:4" x14ac:dyDescent="0.3">
      <c r="A13082" s="2" t="s">
        <v>406</v>
      </c>
      <c r="B13082" s="2" t="s">
        <v>407</v>
      </c>
      <c r="C13082" s="3">
        <v>1975</v>
      </c>
      <c r="D13082" s="4">
        <v>6117</v>
      </c>
    </row>
    <row r="13083" spans="1:4" x14ac:dyDescent="0.3">
      <c r="A13083" s="5" t="s">
        <v>406</v>
      </c>
      <c r="B13083" s="5" t="s">
        <v>407</v>
      </c>
      <c r="C13083" s="6">
        <v>1976</v>
      </c>
      <c r="D13083" s="7">
        <v>6404</v>
      </c>
    </row>
    <row r="13084" spans="1:4" x14ac:dyDescent="0.3">
      <c r="A13084" s="2" t="s">
        <v>406</v>
      </c>
      <c r="B13084" s="2" t="s">
        <v>407</v>
      </c>
      <c r="C13084" s="3">
        <v>1977</v>
      </c>
      <c r="D13084" s="4">
        <v>6686</v>
      </c>
    </row>
    <row r="13085" spans="1:4" x14ac:dyDescent="0.3">
      <c r="A13085" s="5" t="s">
        <v>406</v>
      </c>
      <c r="B13085" s="5" t="s">
        <v>407</v>
      </c>
      <c r="C13085" s="6">
        <v>1978</v>
      </c>
      <c r="D13085" s="7">
        <v>6957</v>
      </c>
    </row>
    <row r="13086" spans="1:4" x14ac:dyDescent="0.3">
      <c r="A13086" s="2" t="s">
        <v>406</v>
      </c>
      <c r="B13086" s="2" t="s">
        <v>407</v>
      </c>
      <c r="C13086" s="3">
        <v>1979</v>
      </c>
      <c r="D13086" s="4">
        <v>7184</v>
      </c>
    </row>
    <row r="13087" spans="1:4" x14ac:dyDescent="0.3">
      <c r="A13087" s="5" t="s">
        <v>406</v>
      </c>
      <c r="B13087" s="5" t="s">
        <v>407</v>
      </c>
      <c r="C13087" s="6">
        <v>1980</v>
      </c>
      <c r="D13087" s="7">
        <v>7366</v>
      </c>
    </row>
    <row r="13088" spans="1:4" x14ac:dyDescent="0.3">
      <c r="A13088" s="2" t="s">
        <v>406</v>
      </c>
      <c r="B13088" s="2" t="s">
        <v>407</v>
      </c>
      <c r="C13088" s="3">
        <v>1981</v>
      </c>
      <c r="D13088" s="4">
        <v>7526</v>
      </c>
    </row>
    <row r="13089" spans="1:4" x14ac:dyDescent="0.3">
      <c r="A13089" s="5" t="s">
        <v>406</v>
      </c>
      <c r="B13089" s="5" t="s">
        <v>407</v>
      </c>
      <c r="C13089" s="6">
        <v>1982</v>
      </c>
      <c r="D13089" s="7">
        <v>7664</v>
      </c>
    </row>
    <row r="13090" spans="1:4" x14ac:dyDescent="0.3">
      <c r="A13090" s="2" t="s">
        <v>406</v>
      </c>
      <c r="B13090" s="2" t="s">
        <v>407</v>
      </c>
      <c r="C13090" s="3">
        <v>1983</v>
      </c>
      <c r="D13090" s="4">
        <v>7789</v>
      </c>
    </row>
    <row r="13091" spans="1:4" x14ac:dyDescent="0.3">
      <c r="A13091" s="5" t="s">
        <v>406</v>
      </c>
      <c r="B13091" s="5" t="s">
        <v>407</v>
      </c>
      <c r="C13091" s="6">
        <v>1984</v>
      </c>
      <c r="D13091" s="7">
        <v>7902</v>
      </c>
    </row>
    <row r="13092" spans="1:4" x14ac:dyDescent="0.3">
      <c r="A13092" s="2" t="s">
        <v>406</v>
      </c>
      <c r="B13092" s="2" t="s">
        <v>407</v>
      </c>
      <c r="C13092" s="3">
        <v>1985</v>
      </c>
      <c r="D13092" s="4">
        <v>8046</v>
      </c>
    </row>
    <row r="13093" spans="1:4" x14ac:dyDescent="0.3">
      <c r="A13093" s="5" t="s">
        <v>406</v>
      </c>
      <c r="B13093" s="5" t="s">
        <v>407</v>
      </c>
      <c r="C13093" s="6">
        <v>1986</v>
      </c>
      <c r="D13093" s="7">
        <v>8217</v>
      </c>
    </row>
    <row r="13094" spans="1:4" x14ac:dyDescent="0.3">
      <c r="A13094" s="2" t="s">
        <v>406</v>
      </c>
      <c r="B13094" s="2" t="s">
        <v>407</v>
      </c>
      <c r="C13094" s="3">
        <v>1987</v>
      </c>
      <c r="D13094" s="4">
        <v>8371</v>
      </c>
    </row>
    <row r="13095" spans="1:4" x14ac:dyDescent="0.3">
      <c r="A13095" s="5" t="s">
        <v>406</v>
      </c>
      <c r="B13095" s="5" t="s">
        <v>407</v>
      </c>
      <c r="C13095" s="6">
        <v>1988</v>
      </c>
      <c r="D13095" s="7">
        <v>8518</v>
      </c>
    </row>
    <row r="13096" spans="1:4" x14ac:dyDescent="0.3">
      <c r="A13096" s="2" t="s">
        <v>406</v>
      </c>
      <c r="B13096" s="2" t="s">
        <v>407</v>
      </c>
      <c r="C13096" s="3">
        <v>1989</v>
      </c>
      <c r="D13096" s="4">
        <v>8662</v>
      </c>
    </row>
    <row r="13097" spans="1:4" x14ac:dyDescent="0.3">
      <c r="A13097" s="5" t="s">
        <v>406</v>
      </c>
      <c r="B13097" s="5" t="s">
        <v>407</v>
      </c>
      <c r="C13097" s="6">
        <v>1990</v>
      </c>
      <c r="D13097" s="7">
        <v>8798</v>
      </c>
    </row>
    <row r="13098" spans="1:4" x14ac:dyDescent="0.3">
      <c r="A13098" s="2" t="s">
        <v>406</v>
      </c>
      <c r="B13098" s="2" t="s">
        <v>407</v>
      </c>
      <c r="C13098" s="3">
        <v>1991</v>
      </c>
      <c r="D13098" s="4">
        <v>8928</v>
      </c>
    </row>
    <row r="13099" spans="1:4" x14ac:dyDescent="0.3">
      <c r="A13099" s="5" t="s">
        <v>406</v>
      </c>
      <c r="B13099" s="5" t="s">
        <v>407</v>
      </c>
      <c r="C13099" s="6">
        <v>1992</v>
      </c>
      <c r="D13099" s="7">
        <v>9038</v>
      </c>
    </row>
    <row r="13100" spans="1:4" x14ac:dyDescent="0.3">
      <c r="A13100" s="2" t="s">
        <v>406</v>
      </c>
      <c r="B13100" s="2" t="s">
        <v>407</v>
      </c>
      <c r="C13100" s="3">
        <v>1993</v>
      </c>
      <c r="D13100" s="4">
        <v>9126</v>
      </c>
    </row>
    <row r="13101" spans="1:4" x14ac:dyDescent="0.3">
      <c r="A13101" s="5" t="s">
        <v>406</v>
      </c>
      <c r="B13101" s="5" t="s">
        <v>407</v>
      </c>
      <c r="C13101" s="6">
        <v>1994</v>
      </c>
      <c r="D13101" s="7">
        <v>9207</v>
      </c>
    </row>
    <row r="13102" spans="1:4" x14ac:dyDescent="0.3">
      <c r="A13102" s="2" t="s">
        <v>406</v>
      </c>
      <c r="B13102" s="2" t="s">
        <v>407</v>
      </c>
      <c r="C13102" s="3">
        <v>1995</v>
      </c>
      <c r="D13102" s="4">
        <v>9280</v>
      </c>
    </row>
    <row r="13103" spans="1:4" x14ac:dyDescent="0.3">
      <c r="A13103" s="5" t="s">
        <v>406</v>
      </c>
      <c r="B13103" s="5" t="s">
        <v>407</v>
      </c>
      <c r="C13103" s="6">
        <v>1996</v>
      </c>
      <c r="D13103" s="7">
        <v>9342</v>
      </c>
    </row>
    <row r="13104" spans="1:4" x14ac:dyDescent="0.3">
      <c r="A13104" s="2" t="s">
        <v>406</v>
      </c>
      <c r="B13104" s="2" t="s">
        <v>407</v>
      </c>
      <c r="C13104" s="3">
        <v>1997</v>
      </c>
      <c r="D13104" s="4">
        <v>9400</v>
      </c>
    </row>
    <row r="13105" spans="1:4" x14ac:dyDescent="0.3">
      <c r="A13105" s="5" t="s">
        <v>406</v>
      </c>
      <c r="B13105" s="5" t="s">
        <v>407</v>
      </c>
      <c r="C13105" s="6">
        <v>1998</v>
      </c>
      <c r="D13105" s="7">
        <v>9451</v>
      </c>
    </row>
    <row r="13106" spans="1:4" x14ac:dyDescent="0.3">
      <c r="A13106" s="2" t="s">
        <v>406</v>
      </c>
      <c r="B13106" s="2" t="s">
        <v>407</v>
      </c>
      <c r="C13106" s="3">
        <v>1999</v>
      </c>
      <c r="D13106" s="4">
        <v>9496</v>
      </c>
    </row>
    <row r="13107" spans="1:4" x14ac:dyDescent="0.3">
      <c r="A13107" s="5" t="s">
        <v>406</v>
      </c>
      <c r="B13107" s="5" t="s">
        <v>407</v>
      </c>
      <c r="C13107" s="6">
        <v>2000</v>
      </c>
      <c r="D13107" s="7">
        <v>9544</v>
      </c>
    </row>
    <row r="13108" spans="1:4" x14ac:dyDescent="0.3">
      <c r="A13108" s="2" t="s">
        <v>406</v>
      </c>
      <c r="B13108" s="2" t="s">
        <v>407</v>
      </c>
      <c r="C13108" s="3">
        <v>2001</v>
      </c>
      <c r="D13108" s="4">
        <v>9586</v>
      </c>
    </row>
    <row r="13109" spans="1:4" x14ac:dyDescent="0.3">
      <c r="A13109" s="5" t="s">
        <v>406</v>
      </c>
      <c r="B13109" s="5" t="s">
        <v>407</v>
      </c>
      <c r="C13109" s="6">
        <v>2002</v>
      </c>
      <c r="D13109" s="7">
        <v>9623</v>
      </c>
    </row>
    <row r="13110" spans="1:4" x14ac:dyDescent="0.3">
      <c r="A13110" s="2" t="s">
        <v>406</v>
      </c>
      <c r="B13110" s="2" t="s">
        <v>407</v>
      </c>
      <c r="C13110" s="3">
        <v>2003</v>
      </c>
      <c r="D13110" s="4">
        <v>9695</v>
      </c>
    </row>
    <row r="13111" spans="1:4" x14ac:dyDescent="0.3">
      <c r="A13111" s="5" t="s">
        <v>406</v>
      </c>
      <c r="B13111" s="5" t="s">
        <v>407</v>
      </c>
      <c r="C13111" s="6">
        <v>2004</v>
      </c>
      <c r="D13111" s="7">
        <v>9816</v>
      </c>
    </row>
    <row r="13112" spans="1:4" x14ac:dyDescent="0.3">
      <c r="A13112" s="2" t="s">
        <v>406</v>
      </c>
      <c r="B13112" s="2" t="s">
        <v>407</v>
      </c>
      <c r="C13112" s="3">
        <v>2005</v>
      </c>
      <c r="D13112" s="4">
        <v>9940</v>
      </c>
    </row>
    <row r="13113" spans="1:4" x14ac:dyDescent="0.3">
      <c r="A13113" s="5" t="s">
        <v>406</v>
      </c>
      <c r="B13113" s="5" t="s">
        <v>407</v>
      </c>
      <c r="C13113" s="6">
        <v>2006</v>
      </c>
      <c r="D13113" s="7">
        <v>10056</v>
      </c>
    </row>
    <row r="13114" spans="1:4" x14ac:dyDescent="0.3">
      <c r="A13114" s="2" t="s">
        <v>406</v>
      </c>
      <c r="B13114" s="2" t="s">
        <v>407</v>
      </c>
      <c r="C13114" s="3">
        <v>2007</v>
      </c>
      <c r="D13114" s="4">
        <v>10182</v>
      </c>
    </row>
    <row r="13115" spans="1:4" x14ac:dyDescent="0.3">
      <c r="A13115" s="5" t="s">
        <v>406</v>
      </c>
      <c r="B13115" s="5" t="s">
        <v>407</v>
      </c>
      <c r="C13115" s="6">
        <v>2008</v>
      </c>
      <c r="D13115" s="7">
        <v>10321</v>
      </c>
    </row>
    <row r="13116" spans="1:4" x14ac:dyDescent="0.3">
      <c r="A13116" s="2" t="s">
        <v>406</v>
      </c>
      <c r="B13116" s="2" t="s">
        <v>407</v>
      </c>
      <c r="C13116" s="3">
        <v>2009</v>
      </c>
      <c r="D13116" s="4">
        <v>10461</v>
      </c>
    </row>
    <row r="13117" spans="1:4" x14ac:dyDescent="0.3">
      <c r="A13117" s="5" t="s">
        <v>406</v>
      </c>
      <c r="B13117" s="5" t="s">
        <v>407</v>
      </c>
      <c r="C13117" s="6">
        <v>2010</v>
      </c>
      <c r="D13117" s="7">
        <v>10614</v>
      </c>
    </row>
    <row r="13118" spans="1:4" x14ac:dyDescent="0.3">
      <c r="A13118" s="2" t="s">
        <v>406</v>
      </c>
      <c r="B13118" s="2" t="s">
        <v>407</v>
      </c>
      <c r="C13118" s="3">
        <v>2011</v>
      </c>
      <c r="D13118" s="4">
        <v>10780</v>
      </c>
    </row>
    <row r="13119" spans="1:4" x14ac:dyDescent="0.3">
      <c r="A13119" s="5" t="s">
        <v>406</v>
      </c>
      <c r="B13119" s="5" t="s">
        <v>407</v>
      </c>
      <c r="C13119" s="6">
        <v>2012</v>
      </c>
      <c r="D13119" s="7">
        <v>10934</v>
      </c>
    </row>
    <row r="13120" spans="1:4" x14ac:dyDescent="0.3">
      <c r="A13120" s="2" t="s">
        <v>406</v>
      </c>
      <c r="B13120" s="2" t="s">
        <v>407</v>
      </c>
      <c r="C13120" s="3">
        <v>2013</v>
      </c>
      <c r="D13120" s="4">
        <v>11001</v>
      </c>
    </row>
    <row r="13121" spans="1:4" x14ac:dyDescent="0.3">
      <c r="A13121" s="5" t="s">
        <v>406</v>
      </c>
      <c r="B13121" s="5" t="s">
        <v>407</v>
      </c>
      <c r="C13121" s="6">
        <v>2014</v>
      </c>
      <c r="D13121" s="7">
        <v>10984</v>
      </c>
    </row>
    <row r="13122" spans="1:4" x14ac:dyDescent="0.3">
      <c r="A13122" s="2" t="s">
        <v>406</v>
      </c>
      <c r="B13122" s="2" t="s">
        <v>407</v>
      </c>
      <c r="C13122" s="3">
        <v>2015</v>
      </c>
      <c r="D13122" s="4">
        <v>10963</v>
      </c>
    </row>
    <row r="13123" spans="1:4" x14ac:dyDescent="0.3">
      <c r="A13123" s="5" t="s">
        <v>406</v>
      </c>
      <c r="B13123" s="5" t="s">
        <v>407</v>
      </c>
      <c r="C13123" s="6">
        <v>2016</v>
      </c>
      <c r="D13123" s="7">
        <v>10930</v>
      </c>
    </row>
    <row r="13124" spans="1:4" x14ac:dyDescent="0.3">
      <c r="A13124" s="2" t="s">
        <v>406</v>
      </c>
      <c r="B13124" s="2" t="s">
        <v>407</v>
      </c>
      <c r="C13124" s="3">
        <v>2017</v>
      </c>
      <c r="D13124" s="4">
        <v>10869</v>
      </c>
    </row>
    <row r="13125" spans="1:4" x14ac:dyDescent="0.3">
      <c r="A13125" s="5" t="s">
        <v>406</v>
      </c>
      <c r="B13125" s="5" t="s">
        <v>407</v>
      </c>
      <c r="C13125" s="6">
        <v>2018</v>
      </c>
      <c r="D13125" s="7">
        <v>10751</v>
      </c>
    </row>
    <row r="13126" spans="1:4" x14ac:dyDescent="0.3">
      <c r="A13126" s="2" t="s">
        <v>406</v>
      </c>
      <c r="B13126" s="2" t="s">
        <v>407</v>
      </c>
      <c r="C13126" s="3">
        <v>2019</v>
      </c>
      <c r="D13126" s="4">
        <v>10581</v>
      </c>
    </row>
    <row r="13127" spans="1:4" x14ac:dyDescent="0.3">
      <c r="A13127" s="5" t="s">
        <v>406</v>
      </c>
      <c r="B13127" s="5" t="s">
        <v>407</v>
      </c>
      <c r="C13127" s="6">
        <v>2020</v>
      </c>
      <c r="D13127" s="7">
        <v>10399</v>
      </c>
    </row>
    <row r="13128" spans="1:4" x14ac:dyDescent="0.3">
      <c r="A13128" s="2" t="s">
        <v>406</v>
      </c>
      <c r="B13128" s="2" t="s">
        <v>407</v>
      </c>
      <c r="C13128" s="3">
        <v>2021</v>
      </c>
      <c r="D13128" s="4">
        <v>10194</v>
      </c>
    </row>
    <row r="13129" spans="1:4" x14ac:dyDescent="0.3">
      <c r="A13129" s="5" t="s">
        <v>406</v>
      </c>
      <c r="B13129" s="5" t="s">
        <v>407</v>
      </c>
      <c r="C13129" s="6">
        <v>2022</v>
      </c>
      <c r="D13129" s="7">
        <v>9992</v>
      </c>
    </row>
    <row r="13130" spans="1:4" x14ac:dyDescent="0.3">
      <c r="A13130" s="2" t="s">
        <v>406</v>
      </c>
      <c r="B13130" s="2" t="s">
        <v>407</v>
      </c>
      <c r="C13130" s="3">
        <v>2023</v>
      </c>
      <c r="D13130" s="4">
        <v>9816</v>
      </c>
    </row>
    <row r="13131" spans="1:4" x14ac:dyDescent="0.3">
      <c r="A13131" s="5" t="s">
        <v>406</v>
      </c>
      <c r="B13131" s="5" t="s">
        <v>407</v>
      </c>
      <c r="C13131" s="6">
        <v>2024</v>
      </c>
      <c r="D13131" s="7">
        <v>9646</v>
      </c>
    </row>
    <row r="13132" spans="1:4" x14ac:dyDescent="0.3">
      <c r="A13132" s="2" t="s">
        <v>408</v>
      </c>
      <c r="B13132" s="2" t="s">
        <v>409</v>
      </c>
      <c r="C13132" s="3">
        <v>1960</v>
      </c>
      <c r="D13132" s="4">
        <v>7640973</v>
      </c>
    </row>
    <row r="13133" spans="1:4" x14ac:dyDescent="0.3">
      <c r="A13133" s="5" t="s">
        <v>408</v>
      </c>
      <c r="B13133" s="5" t="s">
        <v>409</v>
      </c>
      <c r="C13133" s="6">
        <v>1961</v>
      </c>
      <c r="D13133" s="7">
        <v>7862217</v>
      </c>
    </row>
    <row r="13134" spans="1:4" x14ac:dyDescent="0.3">
      <c r="A13134" s="2" t="s">
        <v>408</v>
      </c>
      <c r="B13134" s="2" t="s">
        <v>409</v>
      </c>
      <c r="C13134" s="3">
        <v>1962</v>
      </c>
      <c r="D13134" s="4">
        <v>8092231</v>
      </c>
    </row>
    <row r="13135" spans="1:4" x14ac:dyDescent="0.3">
      <c r="A13135" s="5" t="s">
        <v>408</v>
      </c>
      <c r="B13135" s="5" t="s">
        <v>409</v>
      </c>
      <c r="C13135" s="6">
        <v>1963</v>
      </c>
      <c r="D13135" s="7">
        <v>8333663</v>
      </c>
    </row>
    <row r="13136" spans="1:4" x14ac:dyDescent="0.3">
      <c r="A13136" s="2" t="s">
        <v>408</v>
      </c>
      <c r="B13136" s="2" t="s">
        <v>409</v>
      </c>
      <c r="C13136" s="3">
        <v>1964</v>
      </c>
      <c r="D13136" s="4">
        <v>8586363</v>
      </c>
    </row>
    <row r="13137" spans="1:4" x14ac:dyDescent="0.3">
      <c r="A13137" s="5" t="s">
        <v>408</v>
      </c>
      <c r="B13137" s="5" t="s">
        <v>409</v>
      </c>
      <c r="C13137" s="6">
        <v>1965</v>
      </c>
      <c r="D13137" s="7">
        <v>8849203</v>
      </c>
    </row>
    <row r="13138" spans="1:4" x14ac:dyDescent="0.3">
      <c r="A13138" s="2" t="s">
        <v>408</v>
      </c>
      <c r="B13138" s="2" t="s">
        <v>409</v>
      </c>
      <c r="C13138" s="3">
        <v>1966</v>
      </c>
      <c r="D13138" s="4">
        <v>9122864</v>
      </c>
    </row>
    <row r="13139" spans="1:4" x14ac:dyDescent="0.3">
      <c r="A13139" s="5" t="s">
        <v>408</v>
      </c>
      <c r="B13139" s="5" t="s">
        <v>409</v>
      </c>
      <c r="C13139" s="6">
        <v>1967</v>
      </c>
      <c r="D13139" s="7">
        <v>9408924</v>
      </c>
    </row>
    <row r="13140" spans="1:4" x14ac:dyDescent="0.3">
      <c r="A13140" s="2" t="s">
        <v>408</v>
      </c>
      <c r="B13140" s="2" t="s">
        <v>409</v>
      </c>
      <c r="C13140" s="3">
        <v>1968</v>
      </c>
      <c r="D13140" s="4">
        <v>9708632</v>
      </c>
    </row>
    <row r="13141" spans="1:4" x14ac:dyDescent="0.3">
      <c r="A13141" s="5" t="s">
        <v>408</v>
      </c>
      <c r="B13141" s="5" t="s">
        <v>409</v>
      </c>
      <c r="C13141" s="6">
        <v>1969</v>
      </c>
      <c r="D13141" s="7">
        <v>10014858</v>
      </c>
    </row>
    <row r="13142" spans="1:4" x14ac:dyDescent="0.3">
      <c r="A13142" s="2" t="s">
        <v>408</v>
      </c>
      <c r="B13142" s="2" t="s">
        <v>409</v>
      </c>
      <c r="C13142" s="3">
        <v>1970</v>
      </c>
      <c r="D13142" s="4">
        <v>10321603</v>
      </c>
    </row>
    <row r="13143" spans="1:4" x14ac:dyDescent="0.3">
      <c r="A13143" s="5" t="s">
        <v>408</v>
      </c>
      <c r="B13143" s="5" t="s">
        <v>409</v>
      </c>
      <c r="C13143" s="6">
        <v>1971</v>
      </c>
      <c r="D13143" s="7">
        <v>10618206</v>
      </c>
    </row>
    <row r="13144" spans="1:4" x14ac:dyDescent="0.3">
      <c r="A13144" s="2" t="s">
        <v>408</v>
      </c>
      <c r="B13144" s="2" t="s">
        <v>409</v>
      </c>
      <c r="C13144" s="3">
        <v>1972</v>
      </c>
      <c r="D13144" s="4">
        <v>10885796</v>
      </c>
    </row>
    <row r="13145" spans="1:4" x14ac:dyDescent="0.3">
      <c r="A13145" s="5" t="s">
        <v>408</v>
      </c>
      <c r="B13145" s="5" t="s">
        <v>409</v>
      </c>
      <c r="C13145" s="6">
        <v>1973</v>
      </c>
      <c r="D13145" s="7">
        <v>11144236</v>
      </c>
    </row>
    <row r="13146" spans="1:4" x14ac:dyDescent="0.3">
      <c r="A13146" s="2" t="s">
        <v>408</v>
      </c>
      <c r="B13146" s="2" t="s">
        <v>409</v>
      </c>
      <c r="C13146" s="3">
        <v>1974</v>
      </c>
      <c r="D13146" s="4">
        <v>11424846</v>
      </c>
    </row>
    <row r="13147" spans="1:4" x14ac:dyDescent="0.3">
      <c r="A13147" s="5" t="s">
        <v>408</v>
      </c>
      <c r="B13147" s="5" t="s">
        <v>409</v>
      </c>
      <c r="C13147" s="6">
        <v>1975</v>
      </c>
      <c r="D13147" s="7">
        <v>11725240</v>
      </c>
    </row>
    <row r="13148" spans="1:4" x14ac:dyDescent="0.3">
      <c r="A13148" s="2" t="s">
        <v>408</v>
      </c>
      <c r="B13148" s="2" t="s">
        <v>409</v>
      </c>
      <c r="C13148" s="3">
        <v>1976</v>
      </c>
      <c r="D13148" s="4">
        <v>12037294</v>
      </c>
    </row>
    <row r="13149" spans="1:4" x14ac:dyDescent="0.3">
      <c r="A13149" s="5" t="s">
        <v>408</v>
      </c>
      <c r="B13149" s="5" t="s">
        <v>409</v>
      </c>
      <c r="C13149" s="6">
        <v>1977</v>
      </c>
      <c r="D13149" s="7">
        <v>12359669</v>
      </c>
    </row>
    <row r="13150" spans="1:4" x14ac:dyDescent="0.3">
      <c r="A13150" s="2" t="s">
        <v>408</v>
      </c>
      <c r="B13150" s="2" t="s">
        <v>409</v>
      </c>
      <c r="C13150" s="3">
        <v>1978</v>
      </c>
      <c r="D13150" s="4">
        <v>12692113</v>
      </c>
    </row>
    <row r="13151" spans="1:4" x14ac:dyDescent="0.3">
      <c r="A13151" s="5" t="s">
        <v>408</v>
      </c>
      <c r="B13151" s="5" t="s">
        <v>409</v>
      </c>
      <c r="C13151" s="6">
        <v>1979</v>
      </c>
      <c r="D13151" s="7">
        <v>13002163</v>
      </c>
    </row>
    <row r="13152" spans="1:4" x14ac:dyDescent="0.3">
      <c r="A13152" s="2" t="s">
        <v>408</v>
      </c>
      <c r="B13152" s="2" t="s">
        <v>409</v>
      </c>
      <c r="C13152" s="3">
        <v>1980</v>
      </c>
      <c r="D13152" s="4">
        <v>13275741</v>
      </c>
    </row>
    <row r="13153" spans="1:4" x14ac:dyDescent="0.3">
      <c r="A13153" s="5" t="s">
        <v>408</v>
      </c>
      <c r="B13153" s="5" t="s">
        <v>409</v>
      </c>
      <c r="C13153" s="6">
        <v>1981</v>
      </c>
      <c r="D13153" s="7">
        <v>13556452</v>
      </c>
    </row>
    <row r="13154" spans="1:4" x14ac:dyDescent="0.3">
      <c r="A13154" s="2" t="s">
        <v>408</v>
      </c>
      <c r="B13154" s="2" t="s">
        <v>409</v>
      </c>
      <c r="C13154" s="3">
        <v>1982</v>
      </c>
      <c r="D13154" s="4">
        <v>13873631</v>
      </c>
    </row>
    <row r="13155" spans="1:4" x14ac:dyDescent="0.3">
      <c r="A13155" s="5" t="s">
        <v>408</v>
      </c>
      <c r="B13155" s="5" t="s">
        <v>409</v>
      </c>
      <c r="C13155" s="6">
        <v>1983</v>
      </c>
      <c r="D13155" s="7">
        <v>14221881</v>
      </c>
    </row>
    <row r="13156" spans="1:4" x14ac:dyDescent="0.3">
      <c r="A13156" s="2" t="s">
        <v>408</v>
      </c>
      <c r="B13156" s="2" t="s">
        <v>409</v>
      </c>
      <c r="C13156" s="3">
        <v>1984</v>
      </c>
      <c r="D13156" s="4">
        <v>14607677</v>
      </c>
    </row>
    <row r="13157" spans="1:4" x14ac:dyDescent="0.3">
      <c r="A13157" s="5" t="s">
        <v>408</v>
      </c>
      <c r="B13157" s="5" t="s">
        <v>409</v>
      </c>
      <c r="C13157" s="6">
        <v>1985</v>
      </c>
      <c r="D13157" s="7">
        <v>15023681</v>
      </c>
    </row>
    <row r="13158" spans="1:4" x14ac:dyDescent="0.3">
      <c r="A13158" s="2" t="s">
        <v>408</v>
      </c>
      <c r="B13158" s="2" t="s">
        <v>409</v>
      </c>
      <c r="C13158" s="3">
        <v>1986</v>
      </c>
      <c r="D13158" s="4">
        <v>15467579</v>
      </c>
    </row>
    <row r="13159" spans="1:4" x14ac:dyDescent="0.3">
      <c r="A13159" s="5" t="s">
        <v>408</v>
      </c>
      <c r="B13159" s="5" t="s">
        <v>409</v>
      </c>
      <c r="C13159" s="6">
        <v>1987</v>
      </c>
      <c r="D13159" s="7">
        <v>15954170</v>
      </c>
    </row>
    <row r="13160" spans="1:4" x14ac:dyDescent="0.3">
      <c r="A13160" s="2" t="s">
        <v>408</v>
      </c>
      <c r="B13160" s="2" t="s">
        <v>409</v>
      </c>
      <c r="C13160" s="3">
        <v>1988</v>
      </c>
      <c r="D13160" s="4">
        <v>16470483</v>
      </c>
    </row>
    <row r="13161" spans="1:4" x14ac:dyDescent="0.3">
      <c r="A13161" s="5" t="s">
        <v>408</v>
      </c>
      <c r="B13161" s="5" t="s">
        <v>409</v>
      </c>
      <c r="C13161" s="6">
        <v>1989</v>
      </c>
      <c r="D13161" s="7">
        <v>17010698</v>
      </c>
    </row>
    <row r="13162" spans="1:4" x14ac:dyDescent="0.3">
      <c r="A13162" s="2" t="s">
        <v>408</v>
      </c>
      <c r="B13162" s="2" t="s">
        <v>409</v>
      </c>
      <c r="C13162" s="3">
        <v>1990</v>
      </c>
      <c r="D13162" s="4">
        <v>17569897</v>
      </c>
    </row>
    <row r="13163" spans="1:4" x14ac:dyDescent="0.3">
      <c r="A13163" s="5" t="s">
        <v>408</v>
      </c>
      <c r="B13163" s="5" t="s">
        <v>409</v>
      </c>
      <c r="C13163" s="6">
        <v>1991</v>
      </c>
      <c r="D13163" s="7">
        <v>18155901</v>
      </c>
    </row>
    <row r="13164" spans="1:4" x14ac:dyDescent="0.3">
      <c r="A13164" s="2" t="s">
        <v>408</v>
      </c>
      <c r="B13164" s="2" t="s">
        <v>409</v>
      </c>
      <c r="C13164" s="3">
        <v>1992</v>
      </c>
      <c r="D13164" s="4">
        <v>18785032</v>
      </c>
    </row>
    <row r="13165" spans="1:4" x14ac:dyDescent="0.3">
      <c r="A13165" s="5" t="s">
        <v>408</v>
      </c>
      <c r="B13165" s="5" t="s">
        <v>409</v>
      </c>
      <c r="C13165" s="6">
        <v>1993</v>
      </c>
      <c r="D13165" s="7">
        <v>19445161</v>
      </c>
    </row>
    <row r="13166" spans="1:4" x14ac:dyDescent="0.3">
      <c r="A13166" s="2" t="s">
        <v>408</v>
      </c>
      <c r="B13166" s="2" t="s">
        <v>409</v>
      </c>
      <c r="C13166" s="3">
        <v>1994</v>
      </c>
      <c r="D13166" s="4">
        <v>20108801</v>
      </c>
    </row>
    <row r="13167" spans="1:4" x14ac:dyDescent="0.3">
      <c r="A13167" s="5" t="s">
        <v>408</v>
      </c>
      <c r="B13167" s="5" t="s">
        <v>409</v>
      </c>
      <c r="C13167" s="6">
        <v>1995</v>
      </c>
      <c r="D13167" s="7">
        <v>20665667</v>
      </c>
    </row>
    <row r="13168" spans="1:4" x14ac:dyDescent="0.3">
      <c r="A13168" s="2" t="s">
        <v>408</v>
      </c>
      <c r="B13168" s="2" t="s">
        <v>409</v>
      </c>
      <c r="C13168" s="3">
        <v>1996</v>
      </c>
      <c r="D13168" s="4">
        <v>21231550</v>
      </c>
    </row>
    <row r="13169" spans="1:4" x14ac:dyDescent="0.3">
      <c r="A13169" s="5" t="s">
        <v>408</v>
      </c>
      <c r="B13169" s="5" t="s">
        <v>409</v>
      </c>
      <c r="C13169" s="6">
        <v>1997</v>
      </c>
      <c r="D13169" s="7">
        <v>21856046</v>
      </c>
    </row>
    <row r="13170" spans="1:4" x14ac:dyDescent="0.3">
      <c r="A13170" s="2" t="s">
        <v>408</v>
      </c>
      <c r="B13170" s="2" t="s">
        <v>409</v>
      </c>
      <c r="C13170" s="3">
        <v>1998</v>
      </c>
      <c r="D13170" s="4">
        <v>22515806</v>
      </c>
    </row>
    <row r="13171" spans="1:4" x14ac:dyDescent="0.3">
      <c r="A13171" s="5" t="s">
        <v>408</v>
      </c>
      <c r="B13171" s="5" t="s">
        <v>409</v>
      </c>
      <c r="C13171" s="6">
        <v>1999</v>
      </c>
      <c r="D13171" s="7">
        <v>23257281</v>
      </c>
    </row>
    <row r="13172" spans="1:4" x14ac:dyDescent="0.3">
      <c r="A13172" s="2" t="s">
        <v>408</v>
      </c>
      <c r="B13172" s="2" t="s">
        <v>409</v>
      </c>
      <c r="C13172" s="3">
        <v>2000</v>
      </c>
      <c r="D13172" s="4">
        <v>24000150</v>
      </c>
    </row>
    <row r="13173" spans="1:4" x14ac:dyDescent="0.3">
      <c r="A13173" s="5" t="s">
        <v>408</v>
      </c>
      <c r="B13173" s="5" t="s">
        <v>409</v>
      </c>
      <c r="C13173" s="6">
        <v>2001</v>
      </c>
      <c r="D13173" s="7">
        <v>24745676</v>
      </c>
    </row>
    <row r="13174" spans="1:4" x14ac:dyDescent="0.3">
      <c r="A13174" s="2" t="s">
        <v>408</v>
      </c>
      <c r="B13174" s="2" t="s">
        <v>409</v>
      </c>
      <c r="C13174" s="3">
        <v>2002</v>
      </c>
      <c r="D13174" s="4">
        <v>25532870</v>
      </c>
    </row>
    <row r="13175" spans="1:4" x14ac:dyDescent="0.3">
      <c r="A13175" s="5" t="s">
        <v>408</v>
      </c>
      <c r="B13175" s="5" t="s">
        <v>409</v>
      </c>
      <c r="C13175" s="6">
        <v>2003</v>
      </c>
      <c r="D13175" s="7">
        <v>26352124</v>
      </c>
    </row>
    <row r="13176" spans="1:4" x14ac:dyDescent="0.3">
      <c r="A13176" s="2" t="s">
        <v>408</v>
      </c>
      <c r="B13176" s="2" t="s">
        <v>409</v>
      </c>
      <c r="C13176" s="3">
        <v>2004</v>
      </c>
      <c r="D13176" s="4">
        <v>27154515</v>
      </c>
    </row>
    <row r="13177" spans="1:4" x14ac:dyDescent="0.3">
      <c r="A13177" s="5" t="s">
        <v>408</v>
      </c>
      <c r="B13177" s="5" t="s">
        <v>409</v>
      </c>
      <c r="C13177" s="6">
        <v>2005</v>
      </c>
      <c r="D13177" s="7">
        <v>27963289</v>
      </c>
    </row>
    <row r="13178" spans="1:4" x14ac:dyDescent="0.3">
      <c r="A13178" s="2" t="s">
        <v>408</v>
      </c>
      <c r="B13178" s="2" t="s">
        <v>409</v>
      </c>
      <c r="C13178" s="3">
        <v>2006</v>
      </c>
      <c r="D13178" s="4">
        <v>28794003</v>
      </c>
    </row>
    <row r="13179" spans="1:4" x14ac:dyDescent="0.3">
      <c r="A13179" s="5" t="s">
        <v>408</v>
      </c>
      <c r="B13179" s="5" t="s">
        <v>409</v>
      </c>
      <c r="C13179" s="6">
        <v>2007</v>
      </c>
      <c r="D13179" s="7">
        <v>29653430</v>
      </c>
    </row>
    <row r="13180" spans="1:4" x14ac:dyDescent="0.3">
      <c r="A13180" s="2" t="s">
        <v>408</v>
      </c>
      <c r="B13180" s="2" t="s">
        <v>409</v>
      </c>
      <c r="C13180" s="3">
        <v>2008</v>
      </c>
      <c r="D13180" s="4">
        <v>30539553</v>
      </c>
    </row>
    <row r="13181" spans="1:4" x14ac:dyDescent="0.3">
      <c r="A13181" s="5" t="s">
        <v>408</v>
      </c>
      <c r="B13181" s="5" t="s">
        <v>409</v>
      </c>
      <c r="C13181" s="6">
        <v>2009</v>
      </c>
      <c r="D13181" s="7">
        <v>31451151</v>
      </c>
    </row>
    <row r="13182" spans="1:4" x14ac:dyDescent="0.3">
      <c r="A13182" s="2" t="s">
        <v>408</v>
      </c>
      <c r="B13182" s="2" t="s">
        <v>409</v>
      </c>
      <c r="C13182" s="3">
        <v>2010</v>
      </c>
      <c r="D13182" s="4">
        <v>32390802</v>
      </c>
    </row>
    <row r="13183" spans="1:4" x14ac:dyDescent="0.3">
      <c r="A13183" s="5" t="s">
        <v>408</v>
      </c>
      <c r="B13183" s="5" t="s">
        <v>409</v>
      </c>
      <c r="C13183" s="6">
        <v>2011</v>
      </c>
      <c r="D13183" s="7">
        <v>33354543</v>
      </c>
    </row>
    <row r="13184" spans="1:4" x14ac:dyDescent="0.3">
      <c r="A13184" s="2" t="s">
        <v>408</v>
      </c>
      <c r="B13184" s="2" t="s">
        <v>409</v>
      </c>
      <c r="C13184" s="3">
        <v>2012</v>
      </c>
      <c r="D13184" s="4">
        <v>34337438</v>
      </c>
    </row>
    <row r="13185" spans="1:4" x14ac:dyDescent="0.3">
      <c r="A13185" s="5" t="s">
        <v>408</v>
      </c>
      <c r="B13185" s="5" t="s">
        <v>409</v>
      </c>
      <c r="C13185" s="6">
        <v>2013</v>
      </c>
      <c r="D13185" s="7">
        <v>35337042</v>
      </c>
    </row>
    <row r="13186" spans="1:4" x14ac:dyDescent="0.3">
      <c r="A13186" s="2" t="s">
        <v>408</v>
      </c>
      <c r="B13186" s="2" t="s">
        <v>409</v>
      </c>
      <c r="C13186" s="3">
        <v>2014</v>
      </c>
      <c r="D13186" s="4">
        <v>36395539</v>
      </c>
    </row>
    <row r="13187" spans="1:4" x14ac:dyDescent="0.3">
      <c r="A13187" s="5" t="s">
        <v>408</v>
      </c>
      <c r="B13187" s="5" t="s">
        <v>409</v>
      </c>
      <c r="C13187" s="6">
        <v>2015</v>
      </c>
      <c r="D13187" s="7">
        <v>37531446</v>
      </c>
    </row>
    <row r="13188" spans="1:4" x14ac:dyDescent="0.3">
      <c r="A13188" s="2" t="s">
        <v>408</v>
      </c>
      <c r="B13188" s="2" t="s">
        <v>409</v>
      </c>
      <c r="C13188" s="3">
        <v>2016</v>
      </c>
      <c r="D13188" s="4">
        <v>38799152</v>
      </c>
    </row>
    <row r="13189" spans="1:4" x14ac:dyDescent="0.3">
      <c r="A13189" s="5" t="s">
        <v>408</v>
      </c>
      <c r="B13189" s="5" t="s">
        <v>409</v>
      </c>
      <c r="C13189" s="6">
        <v>2017</v>
      </c>
      <c r="D13189" s="7">
        <v>40177388</v>
      </c>
    </row>
    <row r="13190" spans="1:4" x14ac:dyDescent="0.3">
      <c r="A13190" s="2" t="s">
        <v>408</v>
      </c>
      <c r="B13190" s="2" t="s">
        <v>409</v>
      </c>
      <c r="C13190" s="3">
        <v>2018</v>
      </c>
      <c r="D13190" s="4">
        <v>41565831</v>
      </c>
    </row>
    <row r="13191" spans="1:4" x14ac:dyDescent="0.3">
      <c r="A13191" s="5" t="s">
        <v>408</v>
      </c>
      <c r="B13191" s="5" t="s">
        <v>409</v>
      </c>
      <c r="C13191" s="6">
        <v>2019</v>
      </c>
      <c r="D13191" s="7">
        <v>42999637</v>
      </c>
    </row>
    <row r="13192" spans="1:4" x14ac:dyDescent="0.3">
      <c r="A13192" s="2" t="s">
        <v>408</v>
      </c>
      <c r="B13192" s="2" t="s">
        <v>409</v>
      </c>
      <c r="C13192" s="3">
        <v>2020</v>
      </c>
      <c r="D13192" s="4">
        <v>44457152</v>
      </c>
    </row>
    <row r="13193" spans="1:4" x14ac:dyDescent="0.3">
      <c r="A13193" s="5" t="s">
        <v>408</v>
      </c>
      <c r="B13193" s="5" t="s">
        <v>409</v>
      </c>
      <c r="C13193" s="6">
        <v>2021</v>
      </c>
      <c r="D13193" s="7">
        <v>45910930</v>
      </c>
    </row>
    <row r="13194" spans="1:4" x14ac:dyDescent="0.3">
      <c r="A13194" s="2" t="s">
        <v>408</v>
      </c>
      <c r="B13194" s="2" t="s">
        <v>409</v>
      </c>
      <c r="C13194" s="3">
        <v>2022</v>
      </c>
      <c r="D13194" s="4">
        <v>47312719</v>
      </c>
    </row>
    <row r="13195" spans="1:4" x14ac:dyDescent="0.3">
      <c r="A13195" s="5" t="s">
        <v>408</v>
      </c>
      <c r="B13195" s="5" t="s">
        <v>409</v>
      </c>
      <c r="C13195" s="6">
        <v>2023</v>
      </c>
      <c r="D13195" s="7">
        <v>48656601</v>
      </c>
    </row>
    <row r="13196" spans="1:4" x14ac:dyDescent="0.3">
      <c r="A13196" s="2" t="s">
        <v>408</v>
      </c>
      <c r="B13196" s="2" t="s">
        <v>409</v>
      </c>
      <c r="C13196" s="3">
        <v>2024</v>
      </c>
      <c r="D13196" s="4">
        <v>50015092</v>
      </c>
    </row>
    <row r="13197" spans="1:4" x14ac:dyDescent="0.3">
      <c r="A13197" s="5" t="s">
        <v>410</v>
      </c>
      <c r="B13197" s="5" t="s">
        <v>411</v>
      </c>
      <c r="C13197" s="6">
        <v>1960</v>
      </c>
      <c r="D13197" s="7">
        <v>42824093</v>
      </c>
    </row>
    <row r="13198" spans="1:4" x14ac:dyDescent="0.3">
      <c r="A13198" s="2" t="s">
        <v>410</v>
      </c>
      <c r="B13198" s="2" t="s">
        <v>411</v>
      </c>
      <c r="C13198" s="3">
        <v>1961</v>
      </c>
      <c r="D13198" s="4">
        <v>43399766</v>
      </c>
    </row>
    <row r="13199" spans="1:4" x14ac:dyDescent="0.3">
      <c r="A13199" s="5" t="s">
        <v>410</v>
      </c>
      <c r="B13199" s="5" t="s">
        <v>411</v>
      </c>
      <c r="C13199" s="6">
        <v>1962</v>
      </c>
      <c r="D13199" s="7">
        <v>43943674</v>
      </c>
    </row>
    <row r="13200" spans="1:4" x14ac:dyDescent="0.3">
      <c r="A13200" s="2" t="s">
        <v>410</v>
      </c>
      <c r="B13200" s="2" t="s">
        <v>411</v>
      </c>
      <c r="C13200" s="3">
        <v>1963</v>
      </c>
      <c r="D13200" s="4">
        <v>44462372</v>
      </c>
    </row>
    <row r="13201" spans="1:4" x14ac:dyDescent="0.3">
      <c r="A13201" s="5" t="s">
        <v>410</v>
      </c>
      <c r="B13201" s="5" t="s">
        <v>411</v>
      </c>
      <c r="C13201" s="6">
        <v>1964</v>
      </c>
      <c r="D13201" s="7">
        <v>44951156</v>
      </c>
    </row>
    <row r="13202" spans="1:4" x14ac:dyDescent="0.3">
      <c r="A13202" s="2" t="s">
        <v>410</v>
      </c>
      <c r="B13202" s="2" t="s">
        <v>411</v>
      </c>
      <c r="C13202" s="3">
        <v>1965</v>
      </c>
      <c r="D13202" s="4">
        <v>45386892</v>
      </c>
    </row>
    <row r="13203" spans="1:4" x14ac:dyDescent="0.3">
      <c r="A13203" s="5" t="s">
        <v>410</v>
      </c>
      <c r="B13203" s="5" t="s">
        <v>411</v>
      </c>
      <c r="C13203" s="6">
        <v>1966</v>
      </c>
      <c r="D13203" s="7">
        <v>45802519</v>
      </c>
    </row>
    <row r="13204" spans="1:4" x14ac:dyDescent="0.3">
      <c r="A13204" s="2" t="s">
        <v>410</v>
      </c>
      <c r="B13204" s="2" t="s">
        <v>411</v>
      </c>
      <c r="C13204" s="3">
        <v>1967</v>
      </c>
      <c r="D13204" s="4">
        <v>46215988</v>
      </c>
    </row>
    <row r="13205" spans="1:4" x14ac:dyDescent="0.3">
      <c r="A13205" s="5" t="s">
        <v>410</v>
      </c>
      <c r="B13205" s="5" t="s">
        <v>411</v>
      </c>
      <c r="C13205" s="6">
        <v>1968</v>
      </c>
      <c r="D13205" s="7">
        <v>46614325</v>
      </c>
    </row>
    <row r="13206" spans="1:4" x14ac:dyDescent="0.3">
      <c r="A13206" s="2" t="s">
        <v>410</v>
      </c>
      <c r="B13206" s="2" t="s">
        <v>411</v>
      </c>
      <c r="C13206" s="3">
        <v>1969</v>
      </c>
      <c r="D13206" s="4">
        <v>46976256</v>
      </c>
    </row>
    <row r="13207" spans="1:4" x14ac:dyDescent="0.3">
      <c r="A13207" s="5" t="s">
        <v>410</v>
      </c>
      <c r="B13207" s="5" t="s">
        <v>411</v>
      </c>
      <c r="C13207" s="6">
        <v>1970</v>
      </c>
      <c r="D13207" s="7">
        <v>47261306</v>
      </c>
    </row>
    <row r="13208" spans="1:4" x14ac:dyDescent="0.3">
      <c r="A13208" s="2" t="s">
        <v>410</v>
      </c>
      <c r="B13208" s="2" t="s">
        <v>411</v>
      </c>
      <c r="C13208" s="3">
        <v>1971</v>
      </c>
      <c r="D13208" s="4">
        <v>47573287</v>
      </c>
    </row>
    <row r="13209" spans="1:4" x14ac:dyDescent="0.3">
      <c r="A13209" s="5" t="s">
        <v>410</v>
      </c>
      <c r="B13209" s="5" t="s">
        <v>411</v>
      </c>
      <c r="C13209" s="6">
        <v>1972</v>
      </c>
      <c r="D13209" s="7">
        <v>47946893</v>
      </c>
    </row>
    <row r="13210" spans="1:4" x14ac:dyDescent="0.3">
      <c r="A13210" s="2" t="s">
        <v>410</v>
      </c>
      <c r="B13210" s="2" t="s">
        <v>411</v>
      </c>
      <c r="C13210" s="3">
        <v>1973</v>
      </c>
      <c r="D13210" s="4">
        <v>48277121</v>
      </c>
    </row>
    <row r="13211" spans="1:4" x14ac:dyDescent="0.3">
      <c r="A13211" s="5" t="s">
        <v>410</v>
      </c>
      <c r="B13211" s="5" t="s">
        <v>411</v>
      </c>
      <c r="C13211" s="6">
        <v>1974</v>
      </c>
      <c r="D13211" s="7">
        <v>48576570</v>
      </c>
    </row>
    <row r="13212" spans="1:4" x14ac:dyDescent="0.3">
      <c r="A13212" s="2" t="s">
        <v>410</v>
      </c>
      <c r="B13212" s="2" t="s">
        <v>411</v>
      </c>
      <c r="C13212" s="3">
        <v>1975</v>
      </c>
      <c r="D13212" s="4">
        <v>48865229</v>
      </c>
    </row>
    <row r="13213" spans="1:4" x14ac:dyDescent="0.3">
      <c r="A13213" s="5" t="s">
        <v>410</v>
      </c>
      <c r="B13213" s="5" t="s">
        <v>411</v>
      </c>
      <c r="C13213" s="6">
        <v>1976</v>
      </c>
      <c r="D13213" s="7">
        <v>49120842</v>
      </c>
    </row>
    <row r="13214" spans="1:4" x14ac:dyDescent="0.3">
      <c r="A13214" s="2" t="s">
        <v>410</v>
      </c>
      <c r="B13214" s="2" t="s">
        <v>411</v>
      </c>
      <c r="C13214" s="3">
        <v>1977</v>
      </c>
      <c r="D13214" s="4">
        <v>49336481</v>
      </c>
    </row>
    <row r="13215" spans="1:4" x14ac:dyDescent="0.3">
      <c r="A13215" s="5" t="s">
        <v>410</v>
      </c>
      <c r="B13215" s="5" t="s">
        <v>411</v>
      </c>
      <c r="C13215" s="6">
        <v>1978</v>
      </c>
      <c r="D13215" s="7">
        <v>49521243</v>
      </c>
    </row>
    <row r="13216" spans="1:4" x14ac:dyDescent="0.3">
      <c r="A13216" s="2" t="s">
        <v>410</v>
      </c>
      <c r="B13216" s="2" t="s">
        <v>411</v>
      </c>
      <c r="C13216" s="3">
        <v>1979</v>
      </c>
      <c r="D13216" s="4">
        <v>49721381</v>
      </c>
    </row>
    <row r="13217" spans="1:4" x14ac:dyDescent="0.3">
      <c r="A13217" s="5" t="s">
        <v>410</v>
      </c>
      <c r="B13217" s="5" t="s">
        <v>411</v>
      </c>
      <c r="C13217" s="6">
        <v>1980</v>
      </c>
      <c r="D13217" s="7">
        <v>49955152</v>
      </c>
    </row>
    <row r="13218" spans="1:4" x14ac:dyDescent="0.3">
      <c r="A13218" s="2" t="s">
        <v>410</v>
      </c>
      <c r="B13218" s="2" t="s">
        <v>411</v>
      </c>
      <c r="C13218" s="3">
        <v>1981</v>
      </c>
      <c r="D13218" s="4">
        <v>50189281</v>
      </c>
    </row>
    <row r="13219" spans="1:4" x14ac:dyDescent="0.3">
      <c r="A13219" s="5" t="s">
        <v>410</v>
      </c>
      <c r="B13219" s="5" t="s">
        <v>411</v>
      </c>
      <c r="C13219" s="6">
        <v>1982</v>
      </c>
      <c r="D13219" s="7">
        <v>50402724</v>
      </c>
    </row>
    <row r="13220" spans="1:4" x14ac:dyDescent="0.3">
      <c r="A13220" s="2" t="s">
        <v>410</v>
      </c>
      <c r="B13220" s="2" t="s">
        <v>411</v>
      </c>
      <c r="C13220" s="3">
        <v>1983</v>
      </c>
      <c r="D13220" s="4">
        <v>50637029</v>
      </c>
    </row>
    <row r="13221" spans="1:4" x14ac:dyDescent="0.3">
      <c r="A13221" s="5" t="s">
        <v>410</v>
      </c>
      <c r="B13221" s="5" t="s">
        <v>411</v>
      </c>
      <c r="C13221" s="6">
        <v>1984</v>
      </c>
      <c r="D13221" s="7">
        <v>50887599</v>
      </c>
    </row>
    <row r="13222" spans="1:4" x14ac:dyDescent="0.3">
      <c r="A13222" s="2" t="s">
        <v>410</v>
      </c>
      <c r="B13222" s="2" t="s">
        <v>411</v>
      </c>
      <c r="C13222" s="3">
        <v>1985</v>
      </c>
      <c r="D13222" s="4">
        <v>51108770</v>
      </c>
    </row>
    <row r="13223" spans="1:4" x14ac:dyDescent="0.3">
      <c r="A13223" s="5" t="s">
        <v>410</v>
      </c>
      <c r="B13223" s="5" t="s">
        <v>411</v>
      </c>
      <c r="C13223" s="6">
        <v>1986</v>
      </c>
      <c r="D13223" s="7">
        <v>51318745</v>
      </c>
    </row>
    <row r="13224" spans="1:4" x14ac:dyDescent="0.3">
      <c r="A13224" s="2" t="s">
        <v>410</v>
      </c>
      <c r="B13224" s="2" t="s">
        <v>411</v>
      </c>
      <c r="C13224" s="3">
        <v>1987</v>
      </c>
      <c r="D13224" s="4">
        <v>51515732</v>
      </c>
    </row>
    <row r="13225" spans="1:4" x14ac:dyDescent="0.3">
      <c r="A13225" s="5" t="s">
        <v>410</v>
      </c>
      <c r="B13225" s="5" t="s">
        <v>411</v>
      </c>
      <c r="C13225" s="6">
        <v>1988</v>
      </c>
      <c r="D13225" s="7">
        <v>51724853</v>
      </c>
    </row>
    <row r="13226" spans="1:4" x14ac:dyDescent="0.3">
      <c r="A13226" s="2" t="s">
        <v>410</v>
      </c>
      <c r="B13226" s="2" t="s">
        <v>411</v>
      </c>
      <c r="C13226" s="3">
        <v>1989</v>
      </c>
      <c r="D13226" s="4">
        <v>51917817</v>
      </c>
    </row>
    <row r="13227" spans="1:4" x14ac:dyDescent="0.3">
      <c r="A13227" s="5" t="s">
        <v>410</v>
      </c>
      <c r="B13227" s="5" t="s">
        <v>411</v>
      </c>
      <c r="C13227" s="6">
        <v>1990</v>
      </c>
      <c r="D13227" s="7">
        <v>52054092</v>
      </c>
    </row>
    <row r="13228" spans="1:4" x14ac:dyDescent="0.3">
      <c r="A13228" s="2" t="s">
        <v>410</v>
      </c>
      <c r="B13228" s="2" t="s">
        <v>411</v>
      </c>
      <c r="C13228" s="3">
        <v>1991</v>
      </c>
      <c r="D13228" s="4">
        <v>52170961</v>
      </c>
    </row>
    <row r="13229" spans="1:4" x14ac:dyDescent="0.3">
      <c r="A13229" s="5" t="s">
        <v>410</v>
      </c>
      <c r="B13229" s="5" t="s">
        <v>411</v>
      </c>
      <c r="C13229" s="6">
        <v>1992</v>
      </c>
      <c r="D13229" s="7">
        <v>52323671</v>
      </c>
    </row>
    <row r="13230" spans="1:4" x14ac:dyDescent="0.3">
      <c r="A13230" s="2" t="s">
        <v>410</v>
      </c>
      <c r="B13230" s="2" t="s">
        <v>411</v>
      </c>
      <c r="C13230" s="3">
        <v>1993</v>
      </c>
      <c r="D13230" s="4">
        <v>52350126</v>
      </c>
    </row>
    <row r="13231" spans="1:4" x14ac:dyDescent="0.3">
      <c r="A13231" s="5" t="s">
        <v>410</v>
      </c>
      <c r="B13231" s="5" t="s">
        <v>411</v>
      </c>
      <c r="C13231" s="6">
        <v>1994</v>
      </c>
      <c r="D13231" s="7">
        <v>52075998</v>
      </c>
    </row>
    <row r="13232" spans="1:4" x14ac:dyDescent="0.3">
      <c r="A13232" s="2" t="s">
        <v>410</v>
      </c>
      <c r="B13232" s="2" t="s">
        <v>411</v>
      </c>
      <c r="C13232" s="3">
        <v>1995</v>
      </c>
      <c r="D13232" s="4">
        <v>51665539</v>
      </c>
    </row>
    <row r="13233" spans="1:4" x14ac:dyDescent="0.3">
      <c r="A13233" s="5" t="s">
        <v>410</v>
      </c>
      <c r="B13233" s="5" t="s">
        <v>411</v>
      </c>
      <c r="C13233" s="6">
        <v>1996</v>
      </c>
      <c r="D13233" s="7">
        <v>51226109</v>
      </c>
    </row>
    <row r="13234" spans="1:4" x14ac:dyDescent="0.3">
      <c r="A13234" s="2" t="s">
        <v>410</v>
      </c>
      <c r="B13234" s="2" t="s">
        <v>411</v>
      </c>
      <c r="C13234" s="3">
        <v>1997</v>
      </c>
      <c r="D13234" s="4">
        <v>50786885</v>
      </c>
    </row>
    <row r="13235" spans="1:4" x14ac:dyDescent="0.3">
      <c r="A13235" s="5" t="s">
        <v>410</v>
      </c>
      <c r="B13235" s="5" t="s">
        <v>411</v>
      </c>
      <c r="C13235" s="6">
        <v>1998</v>
      </c>
      <c r="D13235" s="7">
        <v>50379731</v>
      </c>
    </row>
    <row r="13236" spans="1:4" x14ac:dyDescent="0.3">
      <c r="A13236" s="2" t="s">
        <v>410</v>
      </c>
      <c r="B13236" s="2" t="s">
        <v>411</v>
      </c>
      <c r="C13236" s="3">
        <v>1999</v>
      </c>
      <c r="D13236" s="4">
        <v>49976446</v>
      </c>
    </row>
    <row r="13237" spans="1:4" x14ac:dyDescent="0.3">
      <c r="A13237" s="5" t="s">
        <v>410</v>
      </c>
      <c r="B13237" s="5" t="s">
        <v>411</v>
      </c>
      <c r="C13237" s="6">
        <v>2000</v>
      </c>
      <c r="D13237" s="7">
        <v>49556660</v>
      </c>
    </row>
    <row r="13238" spans="1:4" x14ac:dyDescent="0.3">
      <c r="A13238" s="2" t="s">
        <v>410</v>
      </c>
      <c r="B13238" s="2" t="s">
        <v>411</v>
      </c>
      <c r="C13238" s="3">
        <v>2001</v>
      </c>
      <c r="D13238" s="4">
        <v>49106855</v>
      </c>
    </row>
    <row r="13239" spans="1:4" x14ac:dyDescent="0.3">
      <c r="A13239" s="5" t="s">
        <v>410</v>
      </c>
      <c r="B13239" s="5" t="s">
        <v>411</v>
      </c>
      <c r="C13239" s="6">
        <v>2002</v>
      </c>
      <c r="D13239" s="7">
        <v>48677281</v>
      </c>
    </row>
    <row r="13240" spans="1:4" x14ac:dyDescent="0.3">
      <c r="A13240" s="2" t="s">
        <v>410</v>
      </c>
      <c r="B13240" s="2" t="s">
        <v>411</v>
      </c>
      <c r="C13240" s="3">
        <v>2003</v>
      </c>
      <c r="D13240" s="4">
        <v>48315136</v>
      </c>
    </row>
    <row r="13241" spans="1:4" x14ac:dyDescent="0.3">
      <c r="A13241" s="5" t="s">
        <v>410</v>
      </c>
      <c r="B13241" s="5" t="s">
        <v>411</v>
      </c>
      <c r="C13241" s="6">
        <v>2004</v>
      </c>
      <c r="D13241" s="7">
        <v>47979507</v>
      </c>
    </row>
    <row r="13242" spans="1:4" x14ac:dyDescent="0.3">
      <c r="A13242" s="2" t="s">
        <v>410</v>
      </c>
      <c r="B13242" s="2" t="s">
        <v>411</v>
      </c>
      <c r="C13242" s="3">
        <v>2005</v>
      </c>
      <c r="D13242" s="4">
        <v>47585556</v>
      </c>
    </row>
    <row r="13243" spans="1:4" x14ac:dyDescent="0.3">
      <c r="A13243" s="5" t="s">
        <v>410</v>
      </c>
      <c r="B13243" s="5" t="s">
        <v>411</v>
      </c>
      <c r="C13243" s="6">
        <v>2006</v>
      </c>
      <c r="D13243" s="7">
        <v>47278694</v>
      </c>
    </row>
    <row r="13244" spans="1:4" x14ac:dyDescent="0.3">
      <c r="A13244" s="2" t="s">
        <v>410</v>
      </c>
      <c r="B13244" s="2" t="s">
        <v>411</v>
      </c>
      <c r="C13244" s="3">
        <v>2007</v>
      </c>
      <c r="D13244" s="4">
        <v>47062798</v>
      </c>
    </row>
    <row r="13245" spans="1:4" x14ac:dyDescent="0.3">
      <c r="A13245" s="5" t="s">
        <v>410</v>
      </c>
      <c r="B13245" s="5" t="s">
        <v>411</v>
      </c>
      <c r="C13245" s="6">
        <v>2008</v>
      </c>
      <c r="D13245" s="7">
        <v>46819175</v>
      </c>
    </row>
    <row r="13246" spans="1:4" x14ac:dyDescent="0.3">
      <c r="A13246" s="2" t="s">
        <v>410</v>
      </c>
      <c r="B13246" s="2" t="s">
        <v>411</v>
      </c>
      <c r="C13246" s="3">
        <v>2009</v>
      </c>
      <c r="D13246" s="4">
        <v>46623731</v>
      </c>
    </row>
    <row r="13247" spans="1:4" x14ac:dyDescent="0.3">
      <c r="A13247" s="5" t="s">
        <v>410</v>
      </c>
      <c r="B13247" s="5" t="s">
        <v>411</v>
      </c>
      <c r="C13247" s="6">
        <v>2010</v>
      </c>
      <c r="D13247" s="7">
        <v>46456003</v>
      </c>
    </row>
    <row r="13248" spans="1:4" x14ac:dyDescent="0.3">
      <c r="A13248" s="2" t="s">
        <v>410</v>
      </c>
      <c r="B13248" s="2" t="s">
        <v>411</v>
      </c>
      <c r="C13248" s="3">
        <v>2011</v>
      </c>
      <c r="D13248" s="4">
        <v>46307853</v>
      </c>
    </row>
    <row r="13249" spans="1:4" x14ac:dyDescent="0.3">
      <c r="A13249" s="5" t="s">
        <v>410</v>
      </c>
      <c r="B13249" s="5" t="s">
        <v>411</v>
      </c>
      <c r="C13249" s="6">
        <v>2012</v>
      </c>
      <c r="D13249" s="7">
        <v>46210056</v>
      </c>
    </row>
    <row r="13250" spans="1:4" x14ac:dyDescent="0.3">
      <c r="A13250" s="2" t="s">
        <v>410</v>
      </c>
      <c r="B13250" s="2" t="s">
        <v>411</v>
      </c>
      <c r="C13250" s="3">
        <v>2013</v>
      </c>
      <c r="D13250" s="4">
        <v>46126770</v>
      </c>
    </row>
    <row r="13251" spans="1:4" x14ac:dyDescent="0.3">
      <c r="A13251" s="5" t="s">
        <v>410</v>
      </c>
      <c r="B13251" s="5" t="s">
        <v>411</v>
      </c>
      <c r="C13251" s="6">
        <v>2014</v>
      </c>
      <c r="D13251" s="7">
        <v>45972380</v>
      </c>
    </row>
    <row r="13252" spans="1:4" x14ac:dyDescent="0.3">
      <c r="A13252" s="2" t="s">
        <v>410</v>
      </c>
      <c r="B13252" s="2" t="s">
        <v>411</v>
      </c>
      <c r="C13252" s="3">
        <v>2015</v>
      </c>
      <c r="D13252" s="4">
        <v>45784896</v>
      </c>
    </row>
    <row r="13253" spans="1:4" x14ac:dyDescent="0.3">
      <c r="A13253" s="5" t="s">
        <v>410</v>
      </c>
      <c r="B13253" s="5" t="s">
        <v>411</v>
      </c>
      <c r="C13253" s="6">
        <v>2016</v>
      </c>
      <c r="D13253" s="7">
        <v>45616832</v>
      </c>
    </row>
    <row r="13254" spans="1:4" x14ac:dyDescent="0.3">
      <c r="A13254" s="2" t="s">
        <v>410</v>
      </c>
      <c r="B13254" s="2" t="s">
        <v>411</v>
      </c>
      <c r="C13254" s="3">
        <v>2017</v>
      </c>
      <c r="D13254" s="4">
        <v>45436041</v>
      </c>
    </row>
    <row r="13255" spans="1:4" x14ac:dyDescent="0.3">
      <c r="A13255" s="5" t="s">
        <v>410</v>
      </c>
      <c r="B13255" s="5" t="s">
        <v>411</v>
      </c>
      <c r="C13255" s="6">
        <v>2018</v>
      </c>
      <c r="D13255" s="7">
        <v>45208907</v>
      </c>
    </row>
    <row r="13256" spans="1:4" x14ac:dyDescent="0.3">
      <c r="A13256" s="2" t="s">
        <v>410</v>
      </c>
      <c r="B13256" s="2" t="s">
        <v>411</v>
      </c>
      <c r="C13256" s="3">
        <v>2019</v>
      </c>
      <c r="D13256" s="4">
        <v>44957458</v>
      </c>
    </row>
    <row r="13257" spans="1:4" x14ac:dyDescent="0.3">
      <c r="A13257" s="5" t="s">
        <v>410</v>
      </c>
      <c r="B13257" s="5" t="s">
        <v>411</v>
      </c>
      <c r="C13257" s="6">
        <v>2020</v>
      </c>
      <c r="D13257" s="7">
        <v>44680014</v>
      </c>
    </row>
    <row r="13258" spans="1:4" x14ac:dyDescent="0.3">
      <c r="A13258" s="2" t="s">
        <v>410</v>
      </c>
      <c r="B13258" s="2" t="s">
        <v>411</v>
      </c>
      <c r="C13258" s="3">
        <v>2021</v>
      </c>
      <c r="D13258" s="4">
        <v>44298640</v>
      </c>
    </row>
    <row r="13259" spans="1:4" x14ac:dyDescent="0.3">
      <c r="A13259" s="5" t="s">
        <v>410</v>
      </c>
      <c r="B13259" s="5" t="s">
        <v>411</v>
      </c>
      <c r="C13259" s="6">
        <v>2022</v>
      </c>
      <c r="D13259" s="7">
        <v>41048766</v>
      </c>
    </row>
    <row r="13260" spans="1:4" x14ac:dyDescent="0.3">
      <c r="A13260" s="2" t="s">
        <v>410</v>
      </c>
      <c r="B13260" s="2" t="s">
        <v>411</v>
      </c>
      <c r="C13260" s="3">
        <v>2023</v>
      </c>
      <c r="D13260" s="4">
        <v>37732836</v>
      </c>
    </row>
    <row r="13261" spans="1:4" x14ac:dyDescent="0.3">
      <c r="A13261" s="5" t="s">
        <v>410</v>
      </c>
      <c r="B13261" s="5" t="s">
        <v>411</v>
      </c>
      <c r="C13261" s="6">
        <v>2024</v>
      </c>
      <c r="D13261" s="7">
        <v>37860221</v>
      </c>
    </row>
    <row r="13262" spans="1:4" x14ac:dyDescent="0.3">
      <c r="A13262" s="2" t="s">
        <v>412</v>
      </c>
      <c r="B13262" s="2" t="s">
        <v>413</v>
      </c>
      <c r="C13262" s="3">
        <v>1960</v>
      </c>
      <c r="D13262" s="4">
        <v>131334</v>
      </c>
    </row>
    <row r="13263" spans="1:4" x14ac:dyDescent="0.3">
      <c r="A13263" s="5" t="s">
        <v>412</v>
      </c>
      <c r="B13263" s="5" t="s">
        <v>413</v>
      </c>
      <c r="C13263" s="6">
        <v>1961</v>
      </c>
      <c r="D13263" s="7">
        <v>137989</v>
      </c>
    </row>
    <row r="13264" spans="1:4" x14ac:dyDescent="0.3">
      <c r="A13264" s="2" t="s">
        <v>412</v>
      </c>
      <c r="B13264" s="2" t="s">
        <v>413</v>
      </c>
      <c r="C13264" s="3">
        <v>1962</v>
      </c>
      <c r="D13264" s="4">
        <v>144946</v>
      </c>
    </row>
    <row r="13265" spans="1:4" x14ac:dyDescent="0.3">
      <c r="A13265" s="5" t="s">
        <v>412</v>
      </c>
      <c r="B13265" s="5" t="s">
        <v>413</v>
      </c>
      <c r="C13265" s="6">
        <v>1963</v>
      </c>
      <c r="D13265" s="7">
        <v>152211</v>
      </c>
    </row>
    <row r="13266" spans="1:4" x14ac:dyDescent="0.3">
      <c r="A13266" s="2" t="s">
        <v>412</v>
      </c>
      <c r="B13266" s="2" t="s">
        <v>413</v>
      </c>
      <c r="C13266" s="3">
        <v>1964</v>
      </c>
      <c r="D13266" s="4">
        <v>159692</v>
      </c>
    </row>
    <row r="13267" spans="1:4" x14ac:dyDescent="0.3">
      <c r="A13267" s="5" t="s">
        <v>412</v>
      </c>
      <c r="B13267" s="5" t="s">
        <v>413</v>
      </c>
      <c r="C13267" s="6">
        <v>1965</v>
      </c>
      <c r="D13267" s="7">
        <v>167103</v>
      </c>
    </row>
    <row r="13268" spans="1:4" x14ac:dyDescent="0.3">
      <c r="A13268" s="2" t="s">
        <v>412</v>
      </c>
      <c r="B13268" s="2" t="s">
        <v>413</v>
      </c>
      <c r="C13268" s="3">
        <v>1966</v>
      </c>
      <c r="D13268" s="4">
        <v>173976</v>
      </c>
    </row>
    <row r="13269" spans="1:4" x14ac:dyDescent="0.3">
      <c r="A13269" s="5" t="s">
        <v>412</v>
      </c>
      <c r="B13269" s="5" t="s">
        <v>413</v>
      </c>
      <c r="C13269" s="6">
        <v>1967</v>
      </c>
      <c r="D13269" s="7">
        <v>179700</v>
      </c>
    </row>
    <row r="13270" spans="1:4" x14ac:dyDescent="0.3">
      <c r="A13270" s="2" t="s">
        <v>412</v>
      </c>
      <c r="B13270" s="2" t="s">
        <v>413</v>
      </c>
      <c r="C13270" s="3">
        <v>1968</v>
      </c>
      <c r="D13270" s="4">
        <v>199416</v>
      </c>
    </row>
    <row r="13271" spans="1:4" x14ac:dyDescent="0.3">
      <c r="A13271" s="5" t="s">
        <v>412</v>
      </c>
      <c r="B13271" s="5" t="s">
        <v>413</v>
      </c>
      <c r="C13271" s="6">
        <v>1969</v>
      </c>
      <c r="D13271" s="7">
        <v>239660</v>
      </c>
    </row>
    <row r="13272" spans="1:4" x14ac:dyDescent="0.3">
      <c r="A13272" s="2" t="s">
        <v>412</v>
      </c>
      <c r="B13272" s="2" t="s">
        <v>413</v>
      </c>
      <c r="C13272" s="3">
        <v>1970</v>
      </c>
      <c r="D13272" s="4">
        <v>286536</v>
      </c>
    </row>
    <row r="13273" spans="1:4" x14ac:dyDescent="0.3">
      <c r="A13273" s="5" t="s">
        <v>412</v>
      </c>
      <c r="B13273" s="5" t="s">
        <v>413</v>
      </c>
      <c r="C13273" s="6">
        <v>1971</v>
      </c>
      <c r="D13273" s="7">
        <v>335027</v>
      </c>
    </row>
    <row r="13274" spans="1:4" x14ac:dyDescent="0.3">
      <c r="A13274" s="2" t="s">
        <v>412</v>
      </c>
      <c r="B13274" s="2" t="s">
        <v>413</v>
      </c>
      <c r="C13274" s="3">
        <v>1972</v>
      </c>
      <c r="D13274" s="4">
        <v>385014</v>
      </c>
    </row>
    <row r="13275" spans="1:4" x14ac:dyDescent="0.3">
      <c r="A13275" s="5" t="s">
        <v>412</v>
      </c>
      <c r="B13275" s="5" t="s">
        <v>413</v>
      </c>
      <c r="C13275" s="6">
        <v>1973</v>
      </c>
      <c r="D13275" s="7">
        <v>436399</v>
      </c>
    </row>
    <row r="13276" spans="1:4" x14ac:dyDescent="0.3">
      <c r="A13276" s="2" t="s">
        <v>412</v>
      </c>
      <c r="B13276" s="2" t="s">
        <v>413</v>
      </c>
      <c r="C13276" s="3">
        <v>1974</v>
      </c>
      <c r="D13276" s="4">
        <v>489087</v>
      </c>
    </row>
    <row r="13277" spans="1:4" x14ac:dyDescent="0.3">
      <c r="A13277" s="5" t="s">
        <v>412</v>
      </c>
      <c r="B13277" s="5" t="s">
        <v>413</v>
      </c>
      <c r="C13277" s="6">
        <v>1975</v>
      </c>
      <c r="D13277" s="7">
        <v>542856</v>
      </c>
    </row>
    <row r="13278" spans="1:4" x14ac:dyDescent="0.3">
      <c r="A13278" s="2" t="s">
        <v>412</v>
      </c>
      <c r="B13278" s="2" t="s">
        <v>413</v>
      </c>
      <c r="C13278" s="3">
        <v>1976</v>
      </c>
      <c r="D13278" s="4">
        <v>615866</v>
      </c>
    </row>
    <row r="13279" spans="1:4" x14ac:dyDescent="0.3">
      <c r="A13279" s="5" t="s">
        <v>412</v>
      </c>
      <c r="B13279" s="5" t="s">
        <v>413</v>
      </c>
      <c r="C13279" s="6">
        <v>1977</v>
      </c>
      <c r="D13279" s="7">
        <v>710209</v>
      </c>
    </row>
    <row r="13280" spans="1:4" x14ac:dyDescent="0.3">
      <c r="A13280" s="2" t="s">
        <v>412</v>
      </c>
      <c r="B13280" s="2" t="s">
        <v>413</v>
      </c>
      <c r="C13280" s="3">
        <v>1978</v>
      </c>
      <c r="D13280" s="4">
        <v>809274</v>
      </c>
    </row>
    <row r="13281" spans="1:4" x14ac:dyDescent="0.3">
      <c r="A13281" s="5" t="s">
        <v>412</v>
      </c>
      <c r="B13281" s="5" t="s">
        <v>413</v>
      </c>
      <c r="C13281" s="6">
        <v>1979</v>
      </c>
      <c r="D13281" s="7">
        <v>912010</v>
      </c>
    </row>
    <row r="13282" spans="1:4" x14ac:dyDescent="0.3">
      <c r="A13282" s="2" t="s">
        <v>412</v>
      </c>
      <c r="B13282" s="2" t="s">
        <v>413</v>
      </c>
      <c r="C13282" s="3">
        <v>1980</v>
      </c>
      <c r="D13282" s="4">
        <v>1015700</v>
      </c>
    </row>
    <row r="13283" spans="1:4" x14ac:dyDescent="0.3">
      <c r="A13283" s="5" t="s">
        <v>412</v>
      </c>
      <c r="B13283" s="5" t="s">
        <v>413</v>
      </c>
      <c r="C13283" s="6">
        <v>1981</v>
      </c>
      <c r="D13283" s="7">
        <v>1099855</v>
      </c>
    </row>
    <row r="13284" spans="1:4" x14ac:dyDescent="0.3">
      <c r="A13284" s="2" t="s">
        <v>412</v>
      </c>
      <c r="B13284" s="2" t="s">
        <v>413</v>
      </c>
      <c r="C13284" s="3">
        <v>1982</v>
      </c>
      <c r="D13284" s="4">
        <v>1166370</v>
      </c>
    </row>
    <row r="13285" spans="1:4" x14ac:dyDescent="0.3">
      <c r="A13285" s="5" t="s">
        <v>412</v>
      </c>
      <c r="B13285" s="5" t="s">
        <v>413</v>
      </c>
      <c r="C13285" s="6">
        <v>1983</v>
      </c>
      <c r="D13285" s="7">
        <v>1235305</v>
      </c>
    </row>
    <row r="13286" spans="1:4" x14ac:dyDescent="0.3">
      <c r="A13286" s="2" t="s">
        <v>412</v>
      </c>
      <c r="B13286" s="2" t="s">
        <v>413</v>
      </c>
      <c r="C13286" s="3">
        <v>1984</v>
      </c>
      <c r="D13286" s="4">
        <v>1305996</v>
      </c>
    </row>
    <row r="13287" spans="1:4" x14ac:dyDescent="0.3">
      <c r="A13287" s="5" t="s">
        <v>412</v>
      </c>
      <c r="B13287" s="5" t="s">
        <v>413</v>
      </c>
      <c r="C13287" s="6">
        <v>1985</v>
      </c>
      <c r="D13287" s="7">
        <v>1377911</v>
      </c>
    </row>
    <row r="13288" spans="1:4" x14ac:dyDescent="0.3">
      <c r="A13288" s="2" t="s">
        <v>412</v>
      </c>
      <c r="B13288" s="2" t="s">
        <v>413</v>
      </c>
      <c r="C13288" s="3">
        <v>1986</v>
      </c>
      <c r="D13288" s="4">
        <v>1467383</v>
      </c>
    </row>
    <row r="13289" spans="1:4" x14ac:dyDescent="0.3">
      <c r="A13289" s="5" t="s">
        <v>412</v>
      </c>
      <c r="B13289" s="5" t="s">
        <v>413</v>
      </c>
      <c r="C13289" s="6">
        <v>1987</v>
      </c>
      <c r="D13289" s="7">
        <v>1574244</v>
      </c>
    </row>
    <row r="13290" spans="1:4" x14ac:dyDescent="0.3">
      <c r="A13290" s="2" t="s">
        <v>412</v>
      </c>
      <c r="B13290" s="2" t="s">
        <v>413</v>
      </c>
      <c r="C13290" s="3">
        <v>1988</v>
      </c>
      <c r="D13290" s="4">
        <v>1681788</v>
      </c>
    </row>
    <row r="13291" spans="1:4" x14ac:dyDescent="0.3">
      <c r="A13291" s="5" t="s">
        <v>412</v>
      </c>
      <c r="B13291" s="5" t="s">
        <v>413</v>
      </c>
      <c r="C13291" s="6">
        <v>1989</v>
      </c>
      <c r="D13291" s="7">
        <v>1789851</v>
      </c>
    </row>
    <row r="13292" spans="1:4" x14ac:dyDescent="0.3">
      <c r="A13292" s="2" t="s">
        <v>412</v>
      </c>
      <c r="B13292" s="2" t="s">
        <v>413</v>
      </c>
      <c r="C13292" s="3">
        <v>1990</v>
      </c>
      <c r="D13292" s="4">
        <v>1898220</v>
      </c>
    </row>
    <row r="13293" spans="1:4" x14ac:dyDescent="0.3">
      <c r="A13293" s="5" t="s">
        <v>412</v>
      </c>
      <c r="B13293" s="5" t="s">
        <v>413</v>
      </c>
      <c r="C13293" s="6">
        <v>1991</v>
      </c>
      <c r="D13293" s="7">
        <v>2006626</v>
      </c>
    </row>
    <row r="13294" spans="1:4" x14ac:dyDescent="0.3">
      <c r="A13294" s="2" t="s">
        <v>412</v>
      </c>
      <c r="B13294" s="2" t="s">
        <v>413</v>
      </c>
      <c r="C13294" s="3">
        <v>1992</v>
      </c>
      <c r="D13294" s="4">
        <v>2114730</v>
      </c>
    </row>
    <row r="13295" spans="1:4" x14ac:dyDescent="0.3">
      <c r="A13295" s="5" t="s">
        <v>412</v>
      </c>
      <c r="B13295" s="5" t="s">
        <v>413</v>
      </c>
      <c r="C13295" s="6">
        <v>1993</v>
      </c>
      <c r="D13295" s="7">
        <v>2222093</v>
      </c>
    </row>
    <row r="13296" spans="1:4" x14ac:dyDescent="0.3">
      <c r="A13296" s="2" t="s">
        <v>412</v>
      </c>
      <c r="B13296" s="2" t="s">
        <v>413</v>
      </c>
      <c r="C13296" s="3">
        <v>1994</v>
      </c>
      <c r="D13296" s="4">
        <v>2328188</v>
      </c>
    </row>
    <row r="13297" spans="1:4" x14ac:dyDescent="0.3">
      <c r="A13297" s="5" t="s">
        <v>412</v>
      </c>
      <c r="B13297" s="5" t="s">
        <v>413</v>
      </c>
      <c r="C13297" s="6">
        <v>1995</v>
      </c>
      <c r="D13297" s="7">
        <v>2434662</v>
      </c>
    </row>
    <row r="13298" spans="1:4" x14ac:dyDescent="0.3">
      <c r="A13298" s="2" t="s">
        <v>412</v>
      </c>
      <c r="B13298" s="2" t="s">
        <v>413</v>
      </c>
      <c r="C13298" s="3">
        <v>1996</v>
      </c>
      <c r="D13298" s="4">
        <v>2597564</v>
      </c>
    </row>
    <row r="13299" spans="1:4" x14ac:dyDescent="0.3">
      <c r="A13299" s="5" t="s">
        <v>412</v>
      </c>
      <c r="B13299" s="5" t="s">
        <v>413</v>
      </c>
      <c r="C13299" s="6">
        <v>1997</v>
      </c>
      <c r="D13299" s="7">
        <v>2817410</v>
      </c>
    </row>
    <row r="13300" spans="1:4" x14ac:dyDescent="0.3">
      <c r="A13300" s="2" t="s">
        <v>412</v>
      </c>
      <c r="B13300" s="2" t="s">
        <v>413</v>
      </c>
      <c r="C13300" s="3">
        <v>1998</v>
      </c>
      <c r="D13300" s="4">
        <v>3040421</v>
      </c>
    </row>
    <row r="13301" spans="1:4" x14ac:dyDescent="0.3">
      <c r="A13301" s="5" t="s">
        <v>412</v>
      </c>
      <c r="B13301" s="5" t="s">
        <v>413</v>
      </c>
      <c r="C13301" s="6">
        <v>1999</v>
      </c>
      <c r="D13301" s="7">
        <v>3266009</v>
      </c>
    </row>
    <row r="13302" spans="1:4" x14ac:dyDescent="0.3">
      <c r="A13302" s="2" t="s">
        <v>412</v>
      </c>
      <c r="B13302" s="2" t="s">
        <v>413</v>
      </c>
      <c r="C13302" s="3">
        <v>2000</v>
      </c>
      <c r="D13302" s="4">
        <v>3493575</v>
      </c>
    </row>
    <row r="13303" spans="1:4" x14ac:dyDescent="0.3">
      <c r="A13303" s="5" t="s">
        <v>412</v>
      </c>
      <c r="B13303" s="5" t="s">
        <v>413</v>
      </c>
      <c r="C13303" s="6">
        <v>2001</v>
      </c>
      <c r="D13303" s="7">
        <v>3723590</v>
      </c>
    </row>
    <row r="13304" spans="1:4" x14ac:dyDescent="0.3">
      <c r="A13304" s="2" t="s">
        <v>412</v>
      </c>
      <c r="B13304" s="2" t="s">
        <v>413</v>
      </c>
      <c r="C13304" s="3">
        <v>2002</v>
      </c>
      <c r="D13304" s="4">
        <v>3956826</v>
      </c>
    </row>
    <row r="13305" spans="1:4" x14ac:dyDescent="0.3">
      <c r="A13305" s="5" t="s">
        <v>412</v>
      </c>
      <c r="B13305" s="5" t="s">
        <v>413</v>
      </c>
      <c r="C13305" s="6">
        <v>2003</v>
      </c>
      <c r="D13305" s="7">
        <v>4192457</v>
      </c>
    </row>
    <row r="13306" spans="1:4" x14ac:dyDescent="0.3">
      <c r="A13306" s="2" t="s">
        <v>412</v>
      </c>
      <c r="B13306" s="2" t="s">
        <v>413</v>
      </c>
      <c r="C13306" s="3">
        <v>2004</v>
      </c>
      <c r="D13306" s="4">
        <v>4428967</v>
      </c>
    </row>
    <row r="13307" spans="1:4" x14ac:dyDescent="0.3">
      <c r="A13307" s="5" t="s">
        <v>412</v>
      </c>
      <c r="B13307" s="5" t="s">
        <v>413</v>
      </c>
      <c r="C13307" s="6">
        <v>2005</v>
      </c>
      <c r="D13307" s="7">
        <v>4664790</v>
      </c>
    </row>
    <row r="13308" spans="1:4" x14ac:dyDescent="0.3">
      <c r="A13308" s="2" t="s">
        <v>412</v>
      </c>
      <c r="B13308" s="2" t="s">
        <v>413</v>
      </c>
      <c r="C13308" s="3">
        <v>2006</v>
      </c>
      <c r="D13308" s="4">
        <v>5009100</v>
      </c>
    </row>
    <row r="13309" spans="1:4" x14ac:dyDescent="0.3">
      <c r="A13309" s="5" t="s">
        <v>412</v>
      </c>
      <c r="B13309" s="5" t="s">
        <v>413</v>
      </c>
      <c r="C13309" s="6">
        <v>2007</v>
      </c>
      <c r="D13309" s="7">
        <v>5624635</v>
      </c>
    </row>
    <row r="13310" spans="1:4" x14ac:dyDescent="0.3">
      <c r="A13310" s="2" t="s">
        <v>412</v>
      </c>
      <c r="B13310" s="2" t="s">
        <v>413</v>
      </c>
      <c r="C13310" s="3">
        <v>2008</v>
      </c>
      <c r="D13310" s="4">
        <v>6302664</v>
      </c>
    </row>
    <row r="13311" spans="1:4" x14ac:dyDescent="0.3">
      <c r="A13311" s="5" t="s">
        <v>412</v>
      </c>
      <c r="B13311" s="5" t="s">
        <v>413</v>
      </c>
      <c r="C13311" s="6">
        <v>2009</v>
      </c>
      <c r="D13311" s="7">
        <v>6707058</v>
      </c>
    </row>
    <row r="13312" spans="1:4" x14ac:dyDescent="0.3">
      <c r="A13312" s="2" t="s">
        <v>412</v>
      </c>
      <c r="B13312" s="2" t="s">
        <v>413</v>
      </c>
      <c r="C13312" s="3">
        <v>2010</v>
      </c>
      <c r="D13312" s="4">
        <v>6869838</v>
      </c>
    </row>
    <row r="13313" spans="1:4" x14ac:dyDescent="0.3">
      <c r="A13313" s="5" t="s">
        <v>412</v>
      </c>
      <c r="B13313" s="5" t="s">
        <v>413</v>
      </c>
      <c r="C13313" s="6">
        <v>2011</v>
      </c>
      <c r="D13313" s="7">
        <v>7104538</v>
      </c>
    </row>
    <row r="13314" spans="1:4" x14ac:dyDescent="0.3">
      <c r="A13314" s="2" t="s">
        <v>412</v>
      </c>
      <c r="B13314" s="2" t="s">
        <v>413</v>
      </c>
      <c r="C13314" s="3">
        <v>2012</v>
      </c>
      <c r="D13314" s="4">
        <v>7391448</v>
      </c>
    </row>
    <row r="13315" spans="1:4" x14ac:dyDescent="0.3">
      <c r="A13315" s="5" t="s">
        <v>412</v>
      </c>
      <c r="B13315" s="5" t="s">
        <v>413</v>
      </c>
      <c r="C13315" s="6">
        <v>2013</v>
      </c>
      <c r="D13315" s="7">
        <v>7693031</v>
      </c>
    </row>
    <row r="13316" spans="1:4" x14ac:dyDescent="0.3">
      <c r="A13316" s="2" t="s">
        <v>412</v>
      </c>
      <c r="B13316" s="2" t="s">
        <v>413</v>
      </c>
      <c r="C13316" s="3">
        <v>2014</v>
      </c>
      <c r="D13316" s="4">
        <v>8059440</v>
      </c>
    </row>
    <row r="13317" spans="1:4" x14ac:dyDescent="0.3">
      <c r="A13317" s="5" t="s">
        <v>412</v>
      </c>
      <c r="B13317" s="5" t="s">
        <v>413</v>
      </c>
      <c r="C13317" s="6">
        <v>2015</v>
      </c>
      <c r="D13317" s="7">
        <v>8505237</v>
      </c>
    </row>
    <row r="13318" spans="1:4" x14ac:dyDescent="0.3">
      <c r="A13318" s="2" t="s">
        <v>412</v>
      </c>
      <c r="B13318" s="2" t="s">
        <v>413</v>
      </c>
      <c r="C13318" s="3">
        <v>2016</v>
      </c>
      <c r="D13318" s="4">
        <v>8935095</v>
      </c>
    </row>
    <row r="13319" spans="1:4" x14ac:dyDescent="0.3">
      <c r="A13319" s="5" t="s">
        <v>412</v>
      </c>
      <c r="B13319" s="5" t="s">
        <v>413</v>
      </c>
      <c r="C13319" s="6">
        <v>2017</v>
      </c>
      <c r="D13319" s="7">
        <v>9223225</v>
      </c>
    </row>
    <row r="13320" spans="1:4" x14ac:dyDescent="0.3">
      <c r="A13320" s="2" t="s">
        <v>412</v>
      </c>
      <c r="B13320" s="2" t="s">
        <v>413</v>
      </c>
      <c r="C13320" s="3">
        <v>2018</v>
      </c>
      <c r="D13320" s="4">
        <v>9346701</v>
      </c>
    </row>
    <row r="13321" spans="1:4" x14ac:dyDescent="0.3">
      <c r="A13321" s="5" t="s">
        <v>412</v>
      </c>
      <c r="B13321" s="5" t="s">
        <v>413</v>
      </c>
      <c r="C13321" s="6">
        <v>2019</v>
      </c>
      <c r="D13321" s="7">
        <v>9445785</v>
      </c>
    </row>
    <row r="13322" spans="1:4" x14ac:dyDescent="0.3">
      <c r="A13322" s="2" t="s">
        <v>412</v>
      </c>
      <c r="B13322" s="2" t="s">
        <v>413</v>
      </c>
      <c r="C13322" s="3">
        <v>2020</v>
      </c>
      <c r="D13322" s="4">
        <v>9401038</v>
      </c>
    </row>
    <row r="13323" spans="1:4" x14ac:dyDescent="0.3">
      <c r="A13323" s="5" t="s">
        <v>412</v>
      </c>
      <c r="B13323" s="5" t="s">
        <v>413</v>
      </c>
      <c r="C13323" s="6">
        <v>2021</v>
      </c>
      <c r="D13323" s="7">
        <v>9575152</v>
      </c>
    </row>
    <row r="13324" spans="1:4" x14ac:dyDescent="0.3">
      <c r="A13324" s="2" t="s">
        <v>412</v>
      </c>
      <c r="B13324" s="2" t="s">
        <v>413</v>
      </c>
      <c r="C13324" s="3">
        <v>2022</v>
      </c>
      <c r="D13324" s="4">
        <v>10074977</v>
      </c>
    </row>
    <row r="13325" spans="1:4" x14ac:dyDescent="0.3">
      <c r="A13325" s="5" t="s">
        <v>412</v>
      </c>
      <c r="B13325" s="5" t="s">
        <v>413</v>
      </c>
      <c r="C13325" s="6">
        <v>2023</v>
      </c>
      <c r="D13325" s="7">
        <v>10483751</v>
      </c>
    </row>
    <row r="13326" spans="1:4" x14ac:dyDescent="0.3">
      <c r="A13326" s="2" t="s">
        <v>412</v>
      </c>
      <c r="B13326" s="2" t="s">
        <v>413</v>
      </c>
      <c r="C13326" s="3">
        <v>2024</v>
      </c>
      <c r="D13326" s="4">
        <v>10876981</v>
      </c>
    </row>
    <row r="13327" spans="1:4" x14ac:dyDescent="0.3">
      <c r="A13327" s="5" t="s">
        <v>414</v>
      </c>
      <c r="B13327" s="5" t="s">
        <v>415</v>
      </c>
      <c r="C13327" s="6">
        <v>1960</v>
      </c>
      <c r="D13327" s="7">
        <v>52400000</v>
      </c>
    </row>
    <row r="13328" spans="1:4" x14ac:dyDescent="0.3">
      <c r="A13328" s="2" t="s">
        <v>414</v>
      </c>
      <c r="B13328" s="2" t="s">
        <v>415</v>
      </c>
      <c r="C13328" s="3">
        <v>1961</v>
      </c>
      <c r="D13328" s="4">
        <v>52800000</v>
      </c>
    </row>
    <row r="13329" spans="1:4" x14ac:dyDescent="0.3">
      <c r="A13329" s="5" t="s">
        <v>414</v>
      </c>
      <c r="B13329" s="5" t="s">
        <v>415</v>
      </c>
      <c r="C13329" s="6">
        <v>1962</v>
      </c>
      <c r="D13329" s="7">
        <v>53250000</v>
      </c>
    </row>
    <row r="13330" spans="1:4" x14ac:dyDescent="0.3">
      <c r="A13330" s="2" t="s">
        <v>414</v>
      </c>
      <c r="B13330" s="2" t="s">
        <v>415</v>
      </c>
      <c r="C13330" s="3">
        <v>1963</v>
      </c>
      <c r="D13330" s="4">
        <v>53650000</v>
      </c>
    </row>
    <row r="13331" spans="1:4" x14ac:dyDescent="0.3">
      <c r="A13331" s="5" t="s">
        <v>414</v>
      </c>
      <c r="B13331" s="5" t="s">
        <v>415</v>
      </c>
      <c r="C13331" s="6">
        <v>1964</v>
      </c>
      <c r="D13331" s="7">
        <v>54000000</v>
      </c>
    </row>
    <row r="13332" spans="1:4" x14ac:dyDescent="0.3">
      <c r="A13332" s="2" t="s">
        <v>414</v>
      </c>
      <c r="B13332" s="2" t="s">
        <v>415</v>
      </c>
      <c r="C13332" s="3">
        <v>1965</v>
      </c>
      <c r="D13332" s="4">
        <v>54348050</v>
      </c>
    </row>
    <row r="13333" spans="1:4" x14ac:dyDescent="0.3">
      <c r="A13333" s="5" t="s">
        <v>414</v>
      </c>
      <c r="B13333" s="5" t="s">
        <v>415</v>
      </c>
      <c r="C13333" s="6">
        <v>1966</v>
      </c>
      <c r="D13333" s="7">
        <v>54648500</v>
      </c>
    </row>
    <row r="13334" spans="1:4" x14ac:dyDescent="0.3">
      <c r="A13334" s="2" t="s">
        <v>414</v>
      </c>
      <c r="B13334" s="2" t="s">
        <v>415</v>
      </c>
      <c r="C13334" s="3">
        <v>1967</v>
      </c>
      <c r="D13334" s="4">
        <v>54943600</v>
      </c>
    </row>
    <row r="13335" spans="1:4" x14ac:dyDescent="0.3">
      <c r="A13335" s="5" t="s">
        <v>414</v>
      </c>
      <c r="B13335" s="5" t="s">
        <v>415</v>
      </c>
      <c r="C13335" s="6">
        <v>1968</v>
      </c>
      <c r="D13335" s="7">
        <v>55211700</v>
      </c>
    </row>
    <row r="13336" spans="1:4" x14ac:dyDescent="0.3">
      <c r="A13336" s="2" t="s">
        <v>414</v>
      </c>
      <c r="B13336" s="2" t="s">
        <v>415</v>
      </c>
      <c r="C13336" s="3">
        <v>1969</v>
      </c>
      <c r="D13336" s="4">
        <v>55441750</v>
      </c>
    </row>
    <row r="13337" spans="1:4" x14ac:dyDescent="0.3">
      <c r="A13337" s="5" t="s">
        <v>414</v>
      </c>
      <c r="B13337" s="5" t="s">
        <v>415</v>
      </c>
      <c r="C13337" s="6">
        <v>1970</v>
      </c>
      <c r="D13337" s="7">
        <v>55663250</v>
      </c>
    </row>
    <row r="13338" spans="1:4" x14ac:dyDescent="0.3">
      <c r="A13338" s="2" t="s">
        <v>414</v>
      </c>
      <c r="B13338" s="2" t="s">
        <v>415</v>
      </c>
      <c r="C13338" s="3">
        <v>1971</v>
      </c>
      <c r="D13338" s="4">
        <v>55896223</v>
      </c>
    </row>
    <row r="13339" spans="1:4" x14ac:dyDescent="0.3">
      <c r="A13339" s="5" t="s">
        <v>414</v>
      </c>
      <c r="B13339" s="5" t="s">
        <v>415</v>
      </c>
      <c r="C13339" s="6">
        <v>1972</v>
      </c>
      <c r="D13339" s="7">
        <v>56086065</v>
      </c>
    </row>
    <row r="13340" spans="1:4" x14ac:dyDescent="0.3">
      <c r="A13340" s="2" t="s">
        <v>414</v>
      </c>
      <c r="B13340" s="2" t="s">
        <v>415</v>
      </c>
      <c r="C13340" s="3">
        <v>1973</v>
      </c>
      <c r="D13340" s="4">
        <v>56194527</v>
      </c>
    </row>
    <row r="13341" spans="1:4" x14ac:dyDescent="0.3">
      <c r="A13341" s="5" t="s">
        <v>414</v>
      </c>
      <c r="B13341" s="5" t="s">
        <v>415</v>
      </c>
      <c r="C13341" s="6">
        <v>1974</v>
      </c>
      <c r="D13341" s="7">
        <v>56229974</v>
      </c>
    </row>
    <row r="13342" spans="1:4" x14ac:dyDescent="0.3">
      <c r="A13342" s="2" t="s">
        <v>414</v>
      </c>
      <c r="B13342" s="2" t="s">
        <v>415</v>
      </c>
      <c r="C13342" s="3">
        <v>1975</v>
      </c>
      <c r="D13342" s="4">
        <v>56225800</v>
      </c>
    </row>
    <row r="13343" spans="1:4" x14ac:dyDescent="0.3">
      <c r="A13343" s="5" t="s">
        <v>414</v>
      </c>
      <c r="B13343" s="5" t="s">
        <v>415</v>
      </c>
      <c r="C13343" s="6">
        <v>1976</v>
      </c>
      <c r="D13343" s="7">
        <v>56211968</v>
      </c>
    </row>
    <row r="13344" spans="1:4" x14ac:dyDescent="0.3">
      <c r="A13344" s="2" t="s">
        <v>414</v>
      </c>
      <c r="B13344" s="2" t="s">
        <v>415</v>
      </c>
      <c r="C13344" s="3">
        <v>1977</v>
      </c>
      <c r="D13344" s="4">
        <v>56193492</v>
      </c>
    </row>
    <row r="13345" spans="1:4" x14ac:dyDescent="0.3">
      <c r="A13345" s="5" t="s">
        <v>414</v>
      </c>
      <c r="B13345" s="5" t="s">
        <v>415</v>
      </c>
      <c r="C13345" s="6">
        <v>1978</v>
      </c>
      <c r="D13345" s="7">
        <v>56196504</v>
      </c>
    </row>
    <row r="13346" spans="1:4" x14ac:dyDescent="0.3">
      <c r="A13346" s="2" t="s">
        <v>414</v>
      </c>
      <c r="B13346" s="2" t="s">
        <v>415</v>
      </c>
      <c r="C13346" s="3">
        <v>1979</v>
      </c>
      <c r="D13346" s="4">
        <v>56246951</v>
      </c>
    </row>
    <row r="13347" spans="1:4" x14ac:dyDescent="0.3">
      <c r="A13347" s="5" t="s">
        <v>414</v>
      </c>
      <c r="B13347" s="5" t="s">
        <v>415</v>
      </c>
      <c r="C13347" s="6">
        <v>1980</v>
      </c>
      <c r="D13347" s="7">
        <v>56314216</v>
      </c>
    </row>
    <row r="13348" spans="1:4" x14ac:dyDescent="0.3">
      <c r="A13348" s="2" t="s">
        <v>414</v>
      </c>
      <c r="B13348" s="2" t="s">
        <v>415</v>
      </c>
      <c r="C13348" s="3">
        <v>1981</v>
      </c>
      <c r="D13348" s="4">
        <v>56333829</v>
      </c>
    </row>
    <row r="13349" spans="1:4" x14ac:dyDescent="0.3">
      <c r="A13349" s="5" t="s">
        <v>414</v>
      </c>
      <c r="B13349" s="5" t="s">
        <v>415</v>
      </c>
      <c r="C13349" s="6">
        <v>1982</v>
      </c>
      <c r="D13349" s="7">
        <v>56313641</v>
      </c>
    </row>
    <row r="13350" spans="1:4" x14ac:dyDescent="0.3">
      <c r="A13350" s="2" t="s">
        <v>414</v>
      </c>
      <c r="B13350" s="2" t="s">
        <v>415</v>
      </c>
      <c r="C13350" s="3">
        <v>1983</v>
      </c>
      <c r="D13350" s="4">
        <v>56332848</v>
      </c>
    </row>
    <row r="13351" spans="1:4" x14ac:dyDescent="0.3">
      <c r="A13351" s="5" t="s">
        <v>414</v>
      </c>
      <c r="B13351" s="5" t="s">
        <v>415</v>
      </c>
      <c r="C13351" s="6">
        <v>1984</v>
      </c>
      <c r="D13351" s="7">
        <v>56422072</v>
      </c>
    </row>
    <row r="13352" spans="1:4" x14ac:dyDescent="0.3">
      <c r="A13352" s="2" t="s">
        <v>414</v>
      </c>
      <c r="B13352" s="2" t="s">
        <v>415</v>
      </c>
      <c r="C13352" s="3">
        <v>1985</v>
      </c>
      <c r="D13352" s="4">
        <v>56550268</v>
      </c>
    </row>
    <row r="13353" spans="1:4" x14ac:dyDescent="0.3">
      <c r="A13353" s="5" t="s">
        <v>414</v>
      </c>
      <c r="B13353" s="5" t="s">
        <v>415</v>
      </c>
      <c r="C13353" s="6">
        <v>1986</v>
      </c>
      <c r="D13353" s="7">
        <v>56681396</v>
      </c>
    </row>
    <row r="13354" spans="1:4" x14ac:dyDescent="0.3">
      <c r="A13354" s="2" t="s">
        <v>414</v>
      </c>
      <c r="B13354" s="2" t="s">
        <v>415</v>
      </c>
      <c r="C13354" s="3">
        <v>1987</v>
      </c>
      <c r="D13354" s="4">
        <v>56802050</v>
      </c>
    </row>
    <row r="13355" spans="1:4" x14ac:dyDescent="0.3">
      <c r="A13355" s="5" t="s">
        <v>414</v>
      </c>
      <c r="B13355" s="5" t="s">
        <v>415</v>
      </c>
      <c r="C13355" s="6">
        <v>1988</v>
      </c>
      <c r="D13355" s="7">
        <v>56928327</v>
      </c>
    </row>
    <row r="13356" spans="1:4" x14ac:dyDescent="0.3">
      <c r="A13356" s="2" t="s">
        <v>414</v>
      </c>
      <c r="B13356" s="2" t="s">
        <v>415</v>
      </c>
      <c r="C13356" s="3">
        <v>1989</v>
      </c>
      <c r="D13356" s="4">
        <v>57076711</v>
      </c>
    </row>
    <row r="13357" spans="1:4" x14ac:dyDescent="0.3">
      <c r="A13357" s="5" t="s">
        <v>414</v>
      </c>
      <c r="B13357" s="5" t="s">
        <v>415</v>
      </c>
      <c r="C13357" s="6">
        <v>1990</v>
      </c>
      <c r="D13357" s="7">
        <v>57247586</v>
      </c>
    </row>
    <row r="13358" spans="1:4" x14ac:dyDescent="0.3">
      <c r="A13358" s="2" t="s">
        <v>414</v>
      </c>
      <c r="B13358" s="2" t="s">
        <v>415</v>
      </c>
      <c r="C13358" s="3">
        <v>1991</v>
      </c>
      <c r="D13358" s="4">
        <v>57424897</v>
      </c>
    </row>
    <row r="13359" spans="1:4" x14ac:dyDescent="0.3">
      <c r="A13359" s="5" t="s">
        <v>414</v>
      </c>
      <c r="B13359" s="5" t="s">
        <v>415</v>
      </c>
      <c r="C13359" s="6">
        <v>1992</v>
      </c>
      <c r="D13359" s="7">
        <v>57580402</v>
      </c>
    </row>
    <row r="13360" spans="1:4" x14ac:dyDescent="0.3">
      <c r="A13360" s="2" t="s">
        <v>414</v>
      </c>
      <c r="B13360" s="2" t="s">
        <v>415</v>
      </c>
      <c r="C13360" s="3">
        <v>1993</v>
      </c>
      <c r="D13360" s="4">
        <v>57718614</v>
      </c>
    </row>
    <row r="13361" spans="1:4" x14ac:dyDescent="0.3">
      <c r="A13361" s="5" t="s">
        <v>414</v>
      </c>
      <c r="B13361" s="5" t="s">
        <v>415</v>
      </c>
      <c r="C13361" s="6">
        <v>1994</v>
      </c>
      <c r="D13361" s="7">
        <v>57865745</v>
      </c>
    </row>
    <row r="13362" spans="1:4" x14ac:dyDescent="0.3">
      <c r="A13362" s="2" t="s">
        <v>414</v>
      </c>
      <c r="B13362" s="2" t="s">
        <v>415</v>
      </c>
      <c r="C13362" s="3">
        <v>1995</v>
      </c>
      <c r="D13362" s="4">
        <v>58019030</v>
      </c>
    </row>
    <row r="13363" spans="1:4" x14ac:dyDescent="0.3">
      <c r="A13363" s="5" t="s">
        <v>414</v>
      </c>
      <c r="B13363" s="5" t="s">
        <v>415</v>
      </c>
      <c r="C13363" s="6">
        <v>1996</v>
      </c>
      <c r="D13363" s="7">
        <v>58166950</v>
      </c>
    </row>
    <row r="13364" spans="1:4" x14ac:dyDescent="0.3">
      <c r="A13364" s="2" t="s">
        <v>414</v>
      </c>
      <c r="B13364" s="2" t="s">
        <v>415</v>
      </c>
      <c r="C13364" s="3">
        <v>1997</v>
      </c>
      <c r="D13364" s="4">
        <v>58316954</v>
      </c>
    </row>
    <row r="13365" spans="1:4" x14ac:dyDescent="0.3">
      <c r="A13365" s="5" t="s">
        <v>414</v>
      </c>
      <c r="B13365" s="5" t="s">
        <v>415</v>
      </c>
      <c r="C13365" s="6">
        <v>1998</v>
      </c>
      <c r="D13365" s="7">
        <v>58487141</v>
      </c>
    </row>
    <row r="13366" spans="1:4" x14ac:dyDescent="0.3">
      <c r="A13366" s="2" t="s">
        <v>414</v>
      </c>
      <c r="B13366" s="2" t="s">
        <v>415</v>
      </c>
      <c r="C13366" s="3">
        <v>1999</v>
      </c>
      <c r="D13366" s="4">
        <v>58682466</v>
      </c>
    </row>
    <row r="13367" spans="1:4" x14ac:dyDescent="0.3">
      <c r="A13367" s="5" t="s">
        <v>414</v>
      </c>
      <c r="B13367" s="5" t="s">
        <v>415</v>
      </c>
      <c r="C13367" s="6">
        <v>2000</v>
      </c>
      <c r="D13367" s="7">
        <v>58892514</v>
      </c>
    </row>
    <row r="13368" spans="1:4" x14ac:dyDescent="0.3">
      <c r="A13368" s="2" t="s">
        <v>414</v>
      </c>
      <c r="B13368" s="2" t="s">
        <v>415</v>
      </c>
      <c r="C13368" s="3">
        <v>2001</v>
      </c>
      <c r="D13368" s="4">
        <v>59119673</v>
      </c>
    </row>
    <row r="13369" spans="1:4" x14ac:dyDescent="0.3">
      <c r="A13369" s="5" t="s">
        <v>414</v>
      </c>
      <c r="B13369" s="5" t="s">
        <v>415</v>
      </c>
      <c r="C13369" s="6">
        <v>2002</v>
      </c>
      <c r="D13369" s="7">
        <v>59370479</v>
      </c>
    </row>
    <row r="13370" spans="1:4" x14ac:dyDescent="0.3">
      <c r="A13370" s="2" t="s">
        <v>414</v>
      </c>
      <c r="B13370" s="2" t="s">
        <v>415</v>
      </c>
      <c r="C13370" s="3">
        <v>2003</v>
      </c>
      <c r="D13370" s="4">
        <v>59647577</v>
      </c>
    </row>
    <row r="13371" spans="1:4" x14ac:dyDescent="0.3">
      <c r="A13371" s="5" t="s">
        <v>414</v>
      </c>
      <c r="B13371" s="5" t="s">
        <v>415</v>
      </c>
      <c r="C13371" s="6">
        <v>2004</v>
      </c>
      <c r="D13371" s="7">
        <v>59987905</v>
      </c>
    </row>
    <row r="13372" spans="1:4" x14ac:dyDescent="0.3">
      <c r="A13372" s="2" t="s">
        <v>414</v>
      </c>
      <c r="B13372" s="2" t="s">
        <v>415</v>
      </c>
      <c r="C13372" s="3">
        <v>2005</v>
      </c>
      <c r="D13372" s="4">
        <v>60401206</v>
      </c>
    </row>
    <row r="13373" spans="1:4" x14ac:dyDescent="0.3">
      <c r="A13373" s="5" t="s">
        <v>414</v>
      </c>
      <c r="B13373" s="5" t="s">
        <v>415</v>
      </c>
      <c r="C13373" s="6">
        <v>2006</v>
      </c>
      <c r="D13373" s="7">
        <v>60846820</v>
      </c>
    </row>
    <row r="13374" spans="1:4" x14ac:dyDescent="0.3">
      <c r="A13374" s="2" t="s">
        <v>414</v>
      </c>
      <c r="B13374" s="2" t="s">
        <v>415</v>
      </c>
      <c r="C13374" s="3">
        <v>2007</v>
      </c>
      <c r="D13374" s="4">
        <v>61322463</v>
      </c>
    </row>
    <row r="13375" spans="1:4" x14ac:dyDescent="0.3">
      <c r="A13375" s="5" t="s">
        <v>414</v>
      </c>
      <c r="B13375" s="5" t="s">
        <v>415</v>
      </c>
      <c r="C13375" s="6">
        <v>2008</v>
      </c>
      <c r="D13375" s="7">
        <v>61806995</v>
      </c>
    </row>
    <row r="13376" spans="1:4" x14ac:dyDescent="0.3">
      <c r="A13376" s="2" t="s">
        <v>414</v>
      </c>
      <c r="B13376" s="2" t="s">
        <v>415</v>
      </c>
      <c r="C13376" s="3">
        <v>2009</v>
      </c>
      <c r="D13376" s="4">
        <v>62276270</v>
      </c>
    </row>
    <row r="13377" spans="1:4" x14ac:dyDescent="0.3">
      <c r="A13377" s="5" t="s">
        <v>414</v>
      </c>
      <c r="B13377" s="5" t="s">
        <v>415</v>
      </c>
      <c r="C13377" s="6">
        <v>2010</v>
      </c>
      <c r="D13377" s="7">
        <v>62766365</v>
      </c>
    </row>
    <row r="13378" spans="1:4" x14ac:dyDescent="0.3">
      <c r="A13378" s="2" t="s">
        <v>414</v>
      </c>
      <c r="B13378" s="2" t="s">
        <v>415</v>
      </c>
      <c r="C13378" s="3">
        <v>2011</v>
      </c>
      <c r="D13378" s="4">
        <v>63258810</v>
      </c>
    </row>
    <row r="13379" spans="1:4" x14ac:dyDescent="0.3">
      <c r="A13379" s="5" t="s">
        <v>414</v>
      </c>
      <c r="B13379" s="5" t="s">
        <v>415</v>
      </c>
      <c r="C13379" s="6">
        <v>2012</v>
      </c>
      <c r="D13379" s="7">
        <v>63711000</v>
      </c>
    </row>
    <row r="13380" spans="1:4" x14ac:dyDescent="0.3">
      <c r="A13380" s="2" t="s">
        <v>414</v>
      </c>
      <c r="B13380" s="2" t="s">
        <v>415</v>
      </c>
      <c r="C13380" s="3">
        <v>2013</v>
      </c>
      <c r="D13380" s="4">
        <v>64139000</v>
      </c>
    </row>
    <row r="13381" spans="1:4" x14ac:dyDescent="0.3">
      <c r="A13381" s="5" t="s">
        <v>414</v>
      </c>
      <c r="B13381" s="5" t="s">
        <v>415</v>
      </c>
      <c r="C13381" s="6">
        <v>2014</v>
      </c>
      <c r="D13381" s="7">
        <v>64620000</v>
      </c>
    </row>
    <row r="13382" spans="1:4" x14ac:dyDescent="0.3">
      <c r="A13382" s="2" t="s">
        <v>414</v>
      </c>
      <c r="B13382" s="2" t="s">
        <v>415</v>
      </c>
      <c r="C13382" s="3">
        <v>2015</v>
      </c>
      <c r="D13382" s="4">
        <v>65088000</v>
      </c>
    </row>
    <row r="13383" spans="1:4" x14ac:dyDescent="0.3">
      <c r="A13383" s="5" t="s">
        <v>414</v>
      </c>
      <c r="B13383" s="5" t="s">
        <v>415</v>
      </c>
      <c r="C13383" s="6">
        <v>2016</v>
      </c>
      <c r="D13383" s="7">
        <v>65607000</v>
      </c>
    </row>
    <row r="13384" spans="1:4" x14ac:dyDescent="0.3">
      <c r="A13384" s="2" t="s">
        <v>414</v>
      </c>
      <c r="B13384" s="2" t="s">
        <v>415</v>
      </c>
      <c r="C13384" s="3">
        <v>2017</v>
      </c>
      <c r="D13384" s="4">
        <v>65966000</v>
      </c>
    </row>
    <row r="13385" spans="1:4" x14ac:dyDescent="0.3">
      <c r="A13385" s="5" t="s">
        <v>414</v>
      </c>
      <c r="B13385" s="5" t="s">
        <v>415</v>
      </c>
      <c r="C13385" s="6">
        <v>2018</v>
      </c>
      <c r="D13385" s="7">
        <v>66289000</v>
      </c>
    </row>
    <row r="13386" spans="1:4" x14ac:dyDescent="0.3">
      <c r="A13386" s="2" t="s">
        <v>414</v>
      </c>
      <c r="B13386" s="2" t="s">
        <v>415</v>
      </c>
      <c r="C13386" s="3">
        <v>2019</v>
      </c>
      <c r="D13386" s="4">
        <v>66631000</v>
      </c>
    </row>
    <row r="13387" spans="1:4" x14ac:dyDescent="0.3">
      <c r="A13387" s="5" t="s">
        <v>414</v>
      </c>
      <c r="B13387" s="5" t="s">
        <v>415</v>
      </c>
      <c r="C13387" s="6">
        <v>2020</v>
      </c>
      <c r="D13387" s="7">
        <v>66744000</v>
      </c>
    </row>
    <row r="13388" spans="1:4" x14ac:dyDescent="0.3">
      <c r="A13388" s="2" t="s">
        <v>414</v>
      </c>
      <c r="B13388" s="2" t="s">
        <v>415</v>
      </c>
      <c r="C13388" s="3">
        <v>2021</v>
      </c>
      <c r="D13388" s="4">
        <v>66984000</v>
      </c>
    </row>
    <row r="13389" spans="1:4" x14ac:dyDescent="0.3">
      <c r="A13389" s="5" t="s">
        <v>414</v>
      </c>
      <c r="B13389" s="5" t="s">
        <v>415</v>
      </c>
      <c r="C13389" s="6">
        <v>2022</v>
      </c>
      <c r="D13389" s="7">
        <v>67604000</v>
      </c>
    </row>
    <row r="13390" spans="1:4" x14ac:dyDescent="0.3">
      <c r="A13390" s="2" t="s">
        <v>414</v>
      </c>
      <c r="B13390" s="2" t="s">
        <v>415</v>
      </c>
      <c r="C13390" s="3">
        <v>2023</v>
      </c>
      <c r="D13390" s="4">
        <v>68492000</v>
      </c>
    </row>
    <row r="13391" spans="1:4" x14ac:dyDescent="0.3">
      <c r="A13391" s="5" t="s">
        <v>414</v>
      </c>
      <c r="B13391" s="5" t="s">
        <v>415</v>
      </c>
      <c r="C13391" s="6">
        <v>2024</v>
      </c>
      <c r="D13391" s="7">
        <v>69226000</v>
      </c>
    </row>
    <row r="13392" spans="1:4" x14ac:dyDescent="0.3">
      <c r="A13392" s="2" t="s">
        <v>416</v>
      </c>
      <c r="B13392" s="2" t="s">
        <v>417</v>
      </c>
      <c r="C13392" s="3">
        <v>1960</v>
      </c>
      <c r="D13392" s="4">
        <v>180671000</v>
      </c>
    </row>
    <row r="13393" spans="1:4" x14ac:dyDescent="0.3">
      <c r="A13393" s="5" t="s">
        <v>416</v>
      </c>
      <c r="B13393" s="5" t="s">
        <v>417</v>
      </c>
      <c r="C13393" s="6">
        <v>1961</v>
      </c>
      <c r="D13393" s="7">
        <v>183691000</v>
      </c>
    </row>
    <row r="13394" spans="1:4" x14ac:dyDescent="0.3">
      <c r="A13394" s="2" t="s">
        <v>416</v>
      </c>
      <c r="B13394" s="2" t="s">
        <v>417</v>
      </c>
      <c r="C13394" s="3">
        <v>1962</v>
      </c>
      <c r="D13394" s="4">
        <v>186538000</v>
      </c>
    </row>
    <row r="13395" spans="1:4" x14ac:dyDescent="0.3">
      <c r="A13395" s="5" t="s">
        <v>416</v>
      </c>
      <c r="B13395" s="5" t="s">
        <v>417</v>
      </c>
      <c r="C13395" s="6">
        <v>1963</v>
      </c>
      <c r="D13395" s="7">
        <v>189242000</v>
      </c>
    </row>
    <row r="13396" spans="1:4" x14ac:dyDescent="0.3">
      <c r="A13396" s="2" t="s">
        <v>416</v>
      </c>
      <c r="B13396" s="2" t="s">
        <v>417</v>
      </c>
      <c r="C13396" s="3">
        <v>1964</v>
      </c>
      <c r="D13396" s="4">
        <v>191889000</v>
      </c>
    </row>
    <row r="13397" spans="1:4" x14ac:dyDescent="0.3">
      <c r="A13397" s="5" t="s">
        <v>416</v>
      </c>
      <c r="B13397" s="5" t="s">
        <v>417</v>
      </c>
      <c r="C13397" s="6">
        <v>1965</v>
      </c>
      <c r="D13397" s="7">
        <v>194303000</v>
      </c>
    </row>
    <row r="13398" spans="1:4" x14ac:dyDescent="0.3">
      <c r="A13398" s="2" t="s">
        <v>416</v>
      </c>
      <c r="B13398" s="2" t="s">
        <v>417</v>
      </c>
      <c r="C13398" s="3">
        <v>1966</v>
      </c>
      <c r="D13398" s="4">
        <v>196560000</v>
      </c>
    </row>
    <row r="13399" spans="1:4" x14ac:dyDescent="0.3">
      <c r="A13399" s="5" t="s">
        <v>416</v>
      </c>
      <c r="B13399" s="5" t="s">
        <v>417</v>
      </c>
      <c r="C13399" s="6">
        <v>1967</v>
      </c>
      <c r="D13399" s="7">
        <v>198712000</v>
      </c>
    </row>
    <row r="13400" spans="1:4" x14ac:dyDescent="0.3">
      <c r="A13400" s="2" t="s">
        <v>416</v>
      </c>
      <c r="B13400" s="2" t="s">
        <v>417</v>
      </c>
      <c r="C13400" s="3">
        <v>1968</v>
      </c>
      <c r="D13400" s="4">
        <v>200706000</v>
      </c>
    </row>
    <row r="13401" spans="1:4" x14ac:dyDescent="0.3">
      <c r="A13401" s="5" t="s">
        <v>416</v>
      </c>
      <c r="B13401" s="5" t="s">
        <v>417</v>
      </c>
      <c r="C13401" s="6">
        <v>1969</v>
      </c>
      <c r="D13401" s="7">
        <v>202677000</v>
      </c>
    </row>
    <row r="13402" spans="1:4" x14ac:dyDescent="0.3">
      <c r="A13402" s="2" t="s">
        <v>416</v>
      </c>
      <c r="B13402" s="2" t="s">
        <v>417</v>
      </c>
      <c r="C13402" s="3">
        <v>1970</v>
      </c>
      <c r="D13402" s="4">
        <v>205052000</v>
      </c>
    </row>
    <row r="13403" spans="1:4" x14ac:dyDescent="0.3">
      <c r="A13403" s="5" t="s">
        <v>416</v>
      </c>
      <c r="B13403" s="5" t="s">
        <v>417</v>
      </c>
      <c r="C13403" s="6">
        <v>1971</v>
      </c>
      <c r="D13403" s="7">
        <v>207661000</v>
      </c>
    </row>
    <row r="13404" spans="1:4" x14ac:dyDescent="0.3">
      <c r="A13404" s="2" t="s">
        <v>416</v>
      </c>
      <c r="B13404" s="2" t="s">
        <v>417</v>
      </c>
      <c r="C13404" s="3">
        <v>1972</v>
      </c>
      <c r="D13404" s="4">
        <v>209896000</v>
      </c>
    </row>
    <row r="13405" spans="1:4" x14ac:dyDescent="0.3">
      <c r="A13405" s="5" t="s">
        <v>416</v>
      </c>
      <c r="B13405" s="5" t="s">
        <v>417</v>
      </c>
      <c r="C13405" s="6">
        <v>1973</v>
      </c>
      <c r="D13405" s="7">
        <v>211909000</v>
      </c>
    </row>
    <row r="13406" spans="1:4" x14ac:dyDescent="0.3">
      <c r="A13406" s="2" t="s">
        <v>416</v>
      </c>
      <c r="B13406" s="2" t="s">
        <v>417</v>
      </c>
      <c r="C13406" s="3">
        <v>1974</v>
      </c>
      <c r="D13406" s="4">
        <v>213854000</v>
      </c>
    </row>
    <row r="13407" spans="1:4" x14ac:dyDescent="0.3">
      <c r="A13407" s="5" t="s">
        <v>416</v>
      </c>
      <c r="B13407" s="5" t="s">
        <v>417</v>
      </c>
      <c r="C13407" s="6">
        <v>1975</v>
      </c>
      <c r="D13407" s="7">
        <v>215973000</v>
      </c>
    </row>
    <row r="13408" spans="1:4" x14ac:dyDescent="0.3">
      <c r="A13408" s="2" t="s">
        <v>416</v>
      </c>
      <c r="B13408" s="2" t="s">
        <v>417</v>
      </c>
      <c r="C13408" s="3">
        <v>1976</v>
      </c>
      <c r="D13408" s="4">
        <v>218035000</v>
      </c>
    </row>
    <row r="13409" spans="1:4" x14ac:dyDescent="0.3">
      <c r="A13409" s="5" t="s">
        <v>416</v>
      </c>
      <c r="B13409" s="5" t="s">
        <v>417</v>
      </c>
      <c r="C13409" s="6">
        <v>1977</v>
      </c>
      <c r="D13409" s="7">
        <v>220239000</v>
      </c>
    </row>
    <row r="13410" spans="1:4" x14ac:dyDescent="0.3">
      <c r="A13410" s="2" t="s">
        <v>416</v>
      </c>
      <c r="B13410" s="2" t="s">
        <v>417</v>
      </c>
      <c r="C13410" s="3">
        <v>1978</v>
      </c>
      <c r="D13410" s="4">
        <v>222585000</v>
      </c>
    </row>
    <row r="13411" spans="1:4" x14ac:dyDescent="0.3">
      <c r="A13411" s="5" t="s">
        <v>416</v>
      </c>
      <c r="B13411" s="5" t="s">
        <v>417</v>
      </c>
      <c r="C13411" s="6">
        <v>1979</v>
      </c>
      <c r="D13411" s="7">
        <v>225055000</v>
      </c>
    </row>
    <row r="13412" spans="1:4" x14ac:dyDescent="0.3">
      <c r="A13412" s="2" t="s">
        <v>416</v>
      </c>
      <c r="B13412" s="2" t="s">
        <v>417</v>
      </c>
      <c r="C13412" s="3">
        <v>1980</v>
      </c>
      <c r="D13412" s="4">
        <v>227225000</v>
      </c>
    </row>
    <row r="13413" spans="1:4" x14ac:dyDescent="0.3">
      <c r="A13413" s="5" t="s">
        <v>416</v>
      </c>
      <c r="B13413" s="5" t="s">
        <v>417</v>
      </c>
      <c r="C13413" s="6">
        <v>1981</v>
      </c>
      <c r="D13413" s="7">
        <v>229466000</v>
      </c>
    </row>
    <row r="13414" spans="1:4" x14ac:dyDescent="0.3">
      <c r="A13414" s="2" t="s">
        <v>416</v>
      </c>
      <c r="B13414" s="2" t="s">
        <v>417</v>
      </c>
      <c r="C13414" s="3">
        <v>1982</v>
      </c>
      <c r="D13414" s="4">
        <v>231664000</v>
      </c>
    </row>
    <row r="13415" spans="1:4" x14ac:dyDescent="0.3">
      <c r="A13415" s="5" t="s">
        <v>416</v>
      </c>
      <c r="B13415" s="5" t="s">
        <v>417</v>
      </c>
      <c r="C13415" s="6">
        <v>1983</v>
      </c>
      <c r="D13415" s="7">
        <v>233792000</v>
      </c>
    </row>
    <row r="13416" spans="1:4" x14ac:dyDescent="0.3">
      <c r="A13416" s="2" t="s">
        <v>416</v>
      </c>
      <c r="B13416" s="2" t="s">
        <v>417</v>
      </c>
      <c r="C13416" s="3">
        <v>1984</v>
      </c>
      <c r="D13416" s="4">
        <v>235825000</v>
      </c>
    </row>
    <row r="13417" spans="1:4" x14ac:dyDescent="0.3">
      <c r="A13417" s="5" t="s">
        <v>416</v>
      </c>
      <c r="B13417" s="5" t="s">
        <v>417</v>
      </c>
      <c r="C13417" s="6">
        <v>1985</v>
      </c>
      <c r="D13417" s="7">
        <v>237924000</v>
      </c>
    </row>
    <row r="13418" spans="1:4" x14ac:dyDescent="0.3">
      <c r="A13418" s="2" t="s">
        <v>416</v>
      </c>
      <c r="B13418" s="2" t="s">
        <v>417</v>
      </c>
      <c r="C13418" s="3">
        <v>1986</v>
      </c>
      <c r="D13418" s="4">
        <v>240133000</v>
      </c>
    </row>
    <row r="13419" spans="1:4" x14ac:dyDescent="0.3">
      <c r="A13419" s="5" t="s">
        <v>416</v>
      </c>
      <c r="B13419" s="5" t="s">
        <v>417</v>
      </c>
      <c r="C13419" s="6">
        <v>1987</v>
      </c>
      <c r="D13419" s="7">
        <v>242289000</v>
      </c>
    </row>
    <row r="13420" spans="1:4" x14ac:dyDescent="0.3">
      <c r="A13420" s="2" t="s">
        <v>416</v>
      </c>
      <c r="B13420" s="2" t="s">
        <v>417</v>
      </c>
      <c r="C13420" s="3">
        <v>1988</v>
      </c>
      <c r="D13420" s="4">
        <v>244499000</v>
      </c>
    </row>
    <row r="13421" spans="1:4" x14ac:dyDescent="0.3">
      <c r="A13421" s="5" t="s">
        <v>416</v>
      </c>
      <c r="B13421" s="5" t="s">
        <v>417</v>
      </c>
      <c r="C13421" s="6">
        <v>1989</v>
      </c>
      <c r="D13421" s="7">
        <v>246819000</v>
      </c>
    </row>
    <row r="13422" spans="1:4" x14ac:dyDescent="0.3">
      <c r="A13422" s="2" t="s">
        <v>416</v>
      </c>
      <c r="B13422" s="2" t="s">
        <v>417</v>
      </c>
      <c r="C13422" s="3">
        <v>1990</v>
      </c>
      <c r="D13422" s="4">
        <v>249623000</v>
      </c>
    </row>
    <row r="13423" spans="1:4" x14ac:dyDescent="0.3">
      <c r="A13423" s="5" t="s">
        <v>416</v>
      </c>
      <c r="B13423" s="5" t="s">
        <v>417</v>
      </c>
      <c r="C13423" s="6">
        <v>1991</v>
      </c>
      <c r="D13423" s="7">
        <v>252981000</v>
      </c>
    </row>
    <row r="13424" spans="1:4" x14ac:dyDescent="0.3">
      <c r="A13424" s="2" t="s">
        <v>416</v>
      </c>
      <c r="B13424" s="2" t="s">
        <v>417</v>
      </c>
      <c r="C13424" s="3">
        <v>1992</v>
      </c>
      <c r="D13424" s="4">
        <v>256514000</v>
      </c>
    </row>
    <row r="13425" spans="1:4" x14ac:dyDescent="0.3">
      <c r="A13425" s="5" t="s">
        <v>416</v>
      </c>
      <c r="B13425" s="5" t="s">
        <v>417</v>
      </c>
      <c r="C13425" s="6">
        <v>1993</v>
      </c>
      <c r="D13425" s="7">
        <v>259919000</v>
      </c>
    </row>
    <row r="13426" spans="1:4" x14ac:dyDescent="0.3">
      <c r="A13426" s="2" t="s">
        <v>416</v>
      </c>
      <c r="B13426" s="2" t="s">
        <v>417</v>
      </c>
      <c r="C13426" s="3">
        <v>1994</v>
      </c>
      <c r="D13426" s="4">
        <v>263126000</v>
      </c>
    </row>
    <row r="13427" spans="1:4" x14ac:dyDescent="0.3">
      <c r="A13427" s="5" t="s">
        <v>416</v>
      </c>
      <c r="B13427" s="5" t="s">
        <v>417</v>
      </c>
      <c r="C13427" s="6">
        <v>1995</v>
      </c>
      <c r="D13427" s="7">
        <v>266278000</v>
      </c>
    </row>
    <row r="13428" spans="1:4" x14ac:dyDescent="0.3">
      <c r="A13428" s="2" t="s">
        <v>416</v>
      </c>
      <c r="B13428" s="2" t="s">
        <v>417</v>
      </c>
      <c r="C13428" s="3">
        <v>1996</v>
      </c>
      <c r="D13428" s="4">
        <v>269394000</v>
      </c>
    </row>
    <row r="13429" spans="1:4" x14ac:dyDescent="0.3">
      <c r="A13429" s="5" t="s">
        <v>416</v>
      </c>
      <c r="B13429" s="5" t="s">
        <v>417</v>
      </c>
      <c r="C13429" s="6">
        <v>1997</v>
      </c>
      <c r="D13429" s="7">
        <v>272657000</v>
      </c>
    </row>
    <row r="13430" spans="1:4" x14ac:dyDescent="0.3">
      <c r="A13430" s="2" t="s">
        <v>416</v>
      </c>
      <c r="B13430" s="2" t="s">
        <v>417</v>
      </c>
      <c r="C13430" s="3">
        <v>1998</v>
      </c>
      <c r="D13430" s="4">
        <v>275854000</v>
      </c>
    </row>
    <row r="13431" spans="1:4" x14ac:dyDescent="0.3">
      <c r="A13431" s="5" t="s">
        <v>416</v>
      </c>
      <c r="B13431" s="5" t="s">
        <v>417</v>
      </c>
      <c r="C13431" s="6">
        <v>1999</v>
      </c>
      <c r="D13431" s="7">
        <v>279040000</v>
      </c>
    </row>
    <row r="13432" spans="1:4" x14ac:dyDescent="0.3">
      <c r="A13432" s="2" t="s">
        <v>416</v>
      </c>
      <c r="B13432" s="2" t="s">
        <v>417</v>
      </c>
      <c r="C13432" s="3">
        <v>2000</v>
      </c>
      <c r="D13432" s="4">
        <v>282162411</v>
      </c>
    </row>
    <row r="13433" spans="1:4" x14ac:dyDescent="0.3">
      <c r="A13433" s="5" t="s">
        <v>416</v>
      </c>
      <c r="B13433" s="5" t="s">
        <v>417</v>
      </c>
      <c r="C13433" s="6">
        <v>2001</v>
      </c>
      <c r="D13433" s="7">
        <v>284968955</v>
      </c>
    </row>
    <row r="13434" spans="1:4" x14ac:dyDescent="0.3">
      <c r="A13434" s="2" t="s">
        <v>416</v>
      </c>
      <c r="B13434" s="2" t="s">
        <v>417</v>
      </c>
      <c r="C13434" s="3">
        <v>2002</v>
      </c>
      <c r="D13434" s="4">
        <v>287625193</v>
      </c>
    </row>
    <row r="13435" spans="1:4" x14ac:dyDescent="0.3">
      <c r="A13435" s="5" t="s">
        <v>416</v>
      </c>
      <c r="B13435" s="5" t="s">
        <v>417</v>
      </c>
      <c r="C13435" s="6">
        <v>2003</v>
      </c>
      <c r="D13435" s="7">
        <v>290107933</v>
      </c>
    </row>
    <row r="13436" spans="1:4" x14ac:dyDescent="0.3">
      <c r="A13436" s="2" t="s">
        <v>416</v>
      </c>
      <c r="B13436" s="2" t="s">
        <v>417</v>
      </c>
      <c r="C13436" s="3">
        <v>2004</v>
      </c>
      <c r="D13436" s="4">
        <v>292805298</v>
      </c>
    </row>
    <row r="13437" spans="1:4" x14ac:dyDescent="0.3">
      <c r="A13437" s="5" t="s">
        <v>416</v>
      </c>
      <c r="B13437" s="5" t="s">
        <v>417</v>
      </c>
      <c r="C13437" s="6">
        <v>2005</v>
      </c>
      <c r="D13437" s="7">
        <v>295516599</v>
      </c>
    </row>
    <row r="13438" spans="1:4" x14ac:dyDescent="0.3">
      <c r="A13438" s="2" t="s">
        <v>416</v>
      </c>
      <c r="B13438" s="2" t="s">
        <v>417</v>
      </c>
      <c r="C13438" s="3">
        <v>2006</v>
      </c>
      <c r="D13438" s="4">
        <v>298379912</v>
      </c>
    </row>
    <row r="13439" spans="1:4" x14ac:dyDescent="0.3">
      <c r="A13439" s="5" t="s">
        <v>416</v>
      </c>
      <c r="B13439" s="5" t="s">
        <v>417</v>
      </c>
      <c r="C13439" s="6">
        <v>2007</v>
      </c>
      <c r="D13439" s="7">
        <v>301231207</v>
      </c>
    </row>
    <row r="13440" spans="1:4" x14ac:dyDescent="0.3">
      <c r="A13440" s="2" t="s">
        <v>416</v>
      </c>
      <c r="B13440" s="2" t="s">
        <v>417</v>
      </c>
      <c r="C13440" s="3">
        <v>2008</v>
      </c>
      <c r="D13440" s="4">
        <v>304093966</v>
      </c>
    </row>
    <row r="13441" spans="1:4" x14ac:dyDescent="0.3">
      <c r="A13441" s="5" t="s">
        <v>416</v>
      </c>
      <c r="B13441" s="5" t="s">
        <v>417</v>
      </c>
      <c r="C13441" s="6">
        <v>2009</v>
      </c>
      <c r="D13441" s="7">
        <v>306771529</v>
      </c>
    </row>
    <row r="13442" spans="1:4" x14ac:dyDescent="0.3">
      <c r="A13442" s="2" t="s">
        <v>416</v>
      </c>
      <c r="B13442" s="2" t="s">
        <v>417</v>
      </c>
      <c r="C13442" s="3">
        <v>2010</v>
      </c>
      <c r="D13442" s="4">
        <v>309378227</v>
      </c>
    </row>
    <row r="13443" spans="1:4" x14ac:dyDescent="0.3">
      <c r="A13443" s="5" t="s">
        <v>416</v>
      </c>
      <c r="B13443" s="5" t="s">
        <v>417</v>
      </c>
      <c r="C13443" s="6">
        <v>2011</v>
      </c>
      <c r="D13443" s="7">
        <v>311839461</v>
      </c>
    </row>
    <row r="13444" spans="1:4" x14ac:dyDescent="0.3">
      <c r="A13444" s="2" t="s">
        <v>416</v>
      </c>
      <c r="B13444" s="2" t="s">
        <v>417</v>
      </c>
      <c r="C13444" s="3">
        <v>2012</v>
      </c>
      <c r="D13444" s="4">
        <v>314339099</v>
      </c>
    </row>
    <row r="13445" spans="1:4" x14ac:dyDescent="0.3">
      <c r="A13445" s="5" t="s">
        <v>416</v>
      </c>
      <c r="B13445" s="5" t="s">
        <v>417</v>
      </c>
      <c r="C13445" s="6">
        <v>2013</v>
      </c>
      <c r="D13445" s="7">
        <v>316726282</v>
      </c>
    </row>
    <row r="13446" spans="1:4" x14ac:dyDescent="0.3">
      <c r="A13446" s="2" t="s">
        <v>416</v>
      </c>
      <c r="B13446" s="2" t="s">
        <v>417</v>
      </c>
      <c r="C13446" s="3">
        <v>2014</v>
      </c>
      <c r="D13446" s="4">
        <v>319257560</v>
      </c>
    </row>
    <row r="13447" spans="1:4" x14ac:dyDescent="0.3">
      <c r="A13447" s="5" t="s">
        <v>416</v>
      </c>
      <c r="B13447" s="5" t="s">
        <v>417</v>
      </c>
      <c r="C13447" s="6">
        <v>2015</v>
      </c>
      <c r="D13447" s="7">
        <v>321815121</v>
      </c>
    </row>
    <row r="13448" spans="1:4" x14ac:dyDescent="0.3">
      <c r="A13448" s="2" t="s">
        <v>416</v>
      </c>
      <c r="B13448" s="2" t="s">
        <v>417</v>
      </c>
      <c r="C13448" s="3">
        <v>2016</v>
      </c>
      <c r="D13448" s="4">
        <v>324353340</v>
      </c>
    </row>
    <row r="13449" spans="1:4" x14ac:dyDescent="0.3">
      <c r="A13449" s="5" t="s">
        <v>416</v>
      </c>
      <c r="B13449" s="5" t="s">
        <v>417</v>
      </c>
      <c r="C13449" s="6">
        <v>2017</v>
      </c>
      <c r="D13449" s="7">
        <v>326608609</v>
      </c>
    </row>
    <row r="13450" spans="1:4" x14ac:dyDescent="0.3">
      <c r="A13450" s="2" t="s">
        <v>416</v>
      </c>
      <c r="B13450" s="2" t="s">
        <v>417</v>
      </c>
      <c r="C13450" s="3">
        <v>2018</v>
      </c>
      <c r="D13450" s="4">
        <v>328529577</v>
      </c>
    </row>
    <row r="13451" spans="1:4" x14ac:dyDescent="0.3">
      <c r="A13451" s="5" t="s">
        <v>416</v>
      </c>
      <c r="B13451" s="5" t="s">
        <v>417</v>
      </c>
      <c r="C13451" s="6">
        <v>2019</v>
      </c>
      <c r="D13451" s="7">
        <v>330226227</v>
      </c>
    </row>
    <row r="13452" spans="1:4" x14ac:dyDescent="0.3">
      <c r="A13452" s="2" t="s">
        <v>416</v>
      </c>
      <c r="B13452" s="2" t="s">
        <v>417</v>
      </c>
      <c r="C13452" s="3">
        <v>2020</v>
      </c>
      <c r="D13452" s="4">
        <v>331577720</v>
      </c>
    </row>
    <row r="13453" spans="1:4" x14ac:dyDescent="0.3">
      <c r="A13453" s="5" t="s">
        <v>416</v>
      </c>
      <c r="B13453" s="5" t="s">
        <v>417</v>
      </c>
      <c r="C13453" s="6">
        <v>2021</v>
      </c>
      <c r="D13453" s="7">
        <v>332099760</v>
      </c>
    </row>
    <row r="13454" spans="1:4" x14ac:dyDescent="0.3">
      <c r="A13454" s="2" t="s">
        <v>416</v>
      </c>
      <c r="B13454" s="2" t="s">
        <v>417</v>
      </c>
      <c r="C13454" s="3">
        <v>2022</v>
      </c>
      <c r="D13454" s="4">
        <v>334017321</v>
      </c>
    </row>
    <row r="13455" spans="1:4" x14ac:dyDescent="0.3">
      <c r="A13455" s="5" t="s">
        <v>416</v>
      </c>
      <c r="B13455" s="5" t="s">
        <v>417</v>
      </c>
      <c r="C13455" s="6">
        <v>2023</v>
      </c>
      <c r="D13455" s="7">
        <v>336806231</v>
      </c>
    </row>
    <row r="13456" spans="1:4" x14ac:dyDescent="0.3">
      <c r="A13456" s="2" t="s">
        <v>416</v>
      </c>
      <c r="B13456" s="2" t="s">
        <v>417</v>
      </c>
      <c r="C13456" s="3">
        <v>2024</v>
      </c>
      <c r="D13456" s="4">
        <v>340110988</v>
      </c>
    </row>
    <row r="13457" spans="1:4" x14ac:dyDescent="0.3">
      <c r="A13457" s="5" t="s">
        <v>418</v>
      </c>
      <c r="B13457" s="5" t="s">
        <v>419</v>
      </c>
      <c r="C13457" s="6">
        <v>1960</v>
      </c>
      <c r="D13457" s="7">
        <v>2529957</v>
      </c>
    </row>
    <row r="13458" spans="1:4" x14ac:dyDescent="0.3">
      <c r="A13458" s="2" t="s">
        <v>418</v>
      </c>
      <c r="B13458" s="2" t="s">
        <v>419</v>
      </c>
      <c r="C13458" s="3">
        <v>1961</v>
      </c>
      <c r="D13458" s="4">
        <v>2562044</v>
      </c>
    </row>
    <row r="13459" spans="1:4" x14ac:dyDescent="0.3">
      <c r="A13459" s="5" t="s">
        <v>418</v>
      </c>
      <c r="B13459" s="5" t="s">
        <v>419</v>
      </c>
      <c r="C13459" s="6">
        <v>1962</v>
      </c>
      <c r="D13459" s="7">
        <v>2593298</v>
      </c>
    </row>
    <row r="13460" spans="1:4" x14ac:dyDescent="0.3">
      <c r="A13460" s="2" t="s">
        <v>418</v>
      </c>
      <c r="B13460" s="2" t="s">
        <v>419</v>
      </c>
      <c r="C13460" s="3">
        <v>1963</v>
      </c>
      <c r="D13460" s="4">
        <v>2623766</v>
      </c>
    </row>
    <row r="13461" spans="1:4" x14ac:dyDescent="0.3">
      <c r="A13461" s="5" t="s">
        <v>418</v>
      </c>
      <c r="B13461" s="5" t="s">
        <v>419</v>
      </c>
      <c r="C13461" s="6">
        <v>1964</v>
      </c>
      <c r="D13461" s="7">
        <v>2653180</v>
      </c>
    </row>
    <row r="13462" spans="1:4" x14ac:dyDescent="0.3">
      <c r="A13462" s="2" t="s">
        <v>418</v>
      </c>
      <c r="B13462" s="2" t="s">
        <v>419</v>
      </c>
      <c r="C13462" s="3">
        <v>1965</v>
      </c>
      <c r="D13462" s="4">
        <v>2681169</v>
      </c>
    </row>
    <row r="13463" spans="1:4" x14ac:dyDescent="0.3">
      <c r="A13463" s="5" t="s">
        <v>418</v>
      </c>
      <c r="B13463" s="5" t="s">
        <v>419</v>
      </c>
      <c r="C13463" s="6">
        <v>1966</v>
      </c>
      <c r="D13463" s="7">
        <v>2707646</v>
      </c>
    </row>
    <row r="13464" spans="1:4" x14ac:dyDescent="0.3">
      <c r="A13464" s="2" t="s">
        <v>418</v>
      </c>
      <c r="B13464" s="2" t="s">
        <v>419</v>
      </c>
      <c r="C13464" s="3">
        <v>1967</v>
      </c>
      <c r="D13464" s="4">
        <v>2732277</v>
      </c>
    </row>
    <row r="13465" spans="1:4" x14ac:dyDescent="0.3">
      <c r="A13465" s="5" t="s">
        <v>418</v>
      </c>
      <c r="B13465" s="5" t="s">
        <v>419</v>
      </c>
      <c r="C13465" s="6">
        <v>1968</v>
      </c>
      <c r="D13465" s="7">
        <v>2754606</v>
      </c>
    </row>
    <row r="13466" spans="1:4" x14ac:dyDescent="0.3">
      <c r="A13466" s="2" t="s">
        <v>418</v>
      </c>
      <c r="B13466" s="2" t="s">
        <v>419</v>
      </c>
      <c r="C13466" s="3">
        <v>1969</v>
      </c>
      <c r="D13466" s="4">
        <v>2773974</v>
      </c>
    </row>
    <row r="13467" spans="1:4" x14ac:dyDescent="0.3">
      <c r="A13467" s="5" t="s">
        <v>418</v>
      </c>
      <c r="B13467" s="5" t="s">
        <v>419</v>
      </c>
      <c r="C13467" s="6">
        <v>1970</v>
      </c>
      <c r="D13467" s="7">
        <v>2790807</v>
      </c>
    </row>
    <row r="13468" spans="1:4" x14ac:dyDescent="0.3">
      <c r="A13468" s="2" t="s">
        <v>418</v>
      </c>
      <c r="B13468" s="2" t="s">
        <v>419</v>
      </c>
      <c r="C13468" s="3">
        <v>1971</v>
      </c>
      <c r="D13468" s="4">
        <v>2806462</v>
      </c>
    </row>
    <row r="13469" spans="1:4" x14ac:dyDescent="0.3">
      <c r="A13469" s="5" t="s">
        <v>418</v>
      </c>
      <c r="B13469" s="5" t="s">
        <v>419</v>
      </c>
      <c r="C13469" s="6">
        <v>1972</v>
      </c>
      <c r="D13469" s="7">
        <v>2821644</v>
      </c>
    </row>
    <row r="13470" spans="1:4" x14ac:dyDescent="0.3">
      <c r="A13470" s="2" t="s">
        <v>418</v>
      </c>
      <c r="B13470" s="2" t="s">
        <v>419</v>
      </c>
      <c r="C13470" s="3">
        <v>1973</v>
      </c>
      <c r="D13470" s="4">
        <v>2837133</v>
      </c>
    </row>
    <row r="13471" spans="1:4" x14ac:dyDescent="0.3">
      <c r="A13471" s="5" t="s">
        <v>418</v>
      </c>
      <c r="B13471" s="5" t="s">
        <v>419</v>
      </c>
      <c r="C13471" s="6">
        <v>1974</v>
      </c>
      <c r="D13471" s="7">
        <v>2853944</v>
      </c>
    </row>
    <row r="13472" spans="1:4" x14ac:dyDescent="0.3">
      <c r="A13472" s="2" t="s">
        <v>418</v>
      </c>
      <c r="B13472" s="2" t="s">
        <v>419</v>
      </c>
      <c r="C13472" s="3">
        <v>1975</v>
      </c>
      <c r="D13472" s="4">
        <v>2872320</v>
      </c>
    </row>
    <row r="13473" spans="1:4" x14ac:dyDescent="0.3">
      <c r="A13473" s="5" t="s">
        <v>418</v>
      </c>
      <c r="B13473" s="5" t="s">
        <v>419</v>
      </c>
      <c r="C13473" s="6">
        <v>1976</v>
      </c>
      <c r="D13473" s="7">
        <v>2891392</v>
      </c>
    </row>
    <row r="13474" spans="1:4" x14ac:dyDescent="0.3">
      <c r="A13474" s="2" t="s">
        <v>418</v>
      </c>
      <c r="B13474" s="2" t="s">
        <v>419</v>
      </c>
      <c r="C13474" s="3">
        <v>1977</v>
      </c>
      <c r="D13474" s="4">
        <v>2909461</v>
      </c>
    </row>
    <row r="13475" spans="1:4" x14ac:dyDescent="0.3">
      <c r="A13475" s="5" t="s">
        <v>418</v>
      </c>
      <c r="B13475" s="5" t="s">
        <v>419</v>
      </c>
      <c r="C13475" s="6">
        <v>1978</v>
      </c>
      <c r="D13475" s="7">
        <v>2925715</v>
      </c>
    </row>
    <row r="13476" spans="1:4" x14ac:dyDescent="0.3">
      <c r="A13476" s="2" t="s">
        <v>418</v>
      </c>
      <c r="B13476" s="2" t="s">
        <v>419</v>
      </c>
      <c r="C13476" s="3">
        <v>1979</v>
      </c>
      <c r="D13476" s="4">
        <v>2939903</v>
      </c>
    </row>
    <row r="13477" spans="1:4" x14ac:dyDescent="0.3">
      <c r="A13477" s="5" t="s">
        <v>418</v>
      </c>
      <c r="B13477" s="5" t="s">
        <v>419</v>
      </c>
      <c r="C13477" s="6">
        <v>1980</v>
      </c>
      <c r="D13477" s="7">
        <v>2951953</v>
      </c>
    </row>
    <row r="13478" spans="1:4" x14ac:dyDescent="0.3">
      <c r="A13478" s="2" t="s">
        <v>418</v>
      </c>
      <c r="B13478" s="2" t="s">
        <v>419</v>
      </c>
      <c r="C13478" s="3">
        <v>1981</v>
      </c>
      <c r="D13478" s="4">
        <v>2963246</v>
      </c>
    </row>
    <row r="13479" spans="1:4" x14ac:dyDescent="0.3">
      <c r="A13479" s="5" t="s">
        <v>418</v>
      </c>
      <c r="B13479" s="5" t="s">
        <v>419</v>
      </c>
      <c r="C13479" s="6">
        <v>1982</v>
      </c>
      <c r="D13479" s="7">
        <v>2975492</v>
      </c>
    </row>
    <row r="13480" spans="1:4" x14ac:dyDescent="0.3">
      <c r="A13480" s="2" t="s">
        <v>418</v>
      </c>
      <c r="B13480" s="2" t="s">
        <v>419</v>
      </c>
      <c r="C13480" s="3">
        <v>1983</v>
      </c>
      <c r="D13480" s="4">
        <v>2988778</v>
      </c>
    </row>
    <row r="13481" spans="1:4" x14ac:dyDescent="0.3">
      <c r="A13481" s="5" t="s">
        <v>418</v>
      </c>
      <c r="B13481" s="5" t="s">
        <v>419</v>
      </c>
      <c r="C13481" s="6">
        <v>1984</v>
      </c>
      <c r="D13481" s="7">
        <v>3002488</v>
      </c>
    </row>
    <row r="13482" spans="1:4" x14ac:dyDescent="0.3">
      <c r="A13482" s="2" t="s">
        <v>418</v>
      </c>
      <c r="B13482" s="2" t="s">
        <v>419</v>
      </c>
      <c r="C13482" s="3">
        <v>1985</v>
      </c>
      <c r="D13482" s="4">
        <v>3017037</v>
      </c>
    </row>
    <row r="13483" spans="1:4" x14ac:dyDescent="0.3">
      <c r="A13483" s="5" t="s">
        <v>418</v>
      </c>
      <c r="B13483" s="5" t="s">
        <v>419</v>
      </c>
      <c r="C13483" s="6">
        <v>1986</v>
      </c>
      <c r="D13483" s="7">
        <v>3032845</v>
      </c>
    </row>
    <row r="13484" spans="1:4" x14ac:dyDescent="0.3">
      <c r="A13484" s="2" t="s">
        <v>418</v>
      </c>
      <c r="B13484" s="2" t="s">
        <v>419</v>
      </c>
      <c r="C13484" s="3">
        <v>1987</v>
      </c>
      <c r="D13484" s="4">
        <v>3049896</v>
      </c>
    </row>
    <row r="13485" spans="1:4" x14ac:dyDescent="0.3">
      <c r="A13485" s="5" t="s">
        <v>418</v>
      </c>
      <c r="B13485" s="5" t="s">
        <v>419</v>
      </c>
      <c r="C13485" s="6">
        <v>1988</v>
      </c>
      <c r="D13485" s="7">
        <v>3067961</v>
      </c>
    </row>
    <row r="13486" spans="1:4" x14ac:dyDescent="0.3">
      <c r="A13486" s="2" t="s">
        <v>418</v>
      </c>
      <c r="B13486" s="2" t="s">
        <v>419</v>
      </c>
      <c r="C13486" s="3">
        <v>1989</v>
      </c>
      <c r="D13486" s="4">
        <v>3086255</v>
      </c>
    </row>
    <row r="13487" spans="1:4" x14ac:dyDescent="0.3">
      <c r="A13487" s="5" t="s">
        <v>418</v>
      </c>
      <c r="B13487" s="5" t="s">
        <v>419</v>
      </c>
      <c r="C13487" s="6">
        <v>1990</v>
      </c>
      <c r="D13487" s="7">
        <v>3104403</v>
      </c>
    </row>
    <row r="13488" spans="1:4" x14ac:dyDescent="0.3">
      <c r="A13488" s="2" t="s">
        <v>418</v>
      </c>
      <c r="B13488" s="2" t="s">
        <v>419</v>
      </c>
      <c r="C13488" s="3">
        <v>1991</v>
      </c>
      <c r="D13488" s="4">
        <v>3122354</v>
      </c>
    </row>
    <row r="13489" spans="1:4" x14ac:dyDescent="0.3">
      <c r="A13489" s="5" t="s">
        <v>418</v>
      </c>
      <c r="B13489" s="5" t="s">
        <v>419</v>
      </c>
      <c r="C13489" s="6">
        <v>1992</v>
      </c>
      <c r="D13489" s="7">
        <v>3139702</v>
      </c>
    </row>
    <row r="13490" spans="1:4" x14ac:dyDescent="0.3">
      <c r="A13490" s="2" t="s">
        <v>418</v>
      </c>
      <c r="B13490" s="2" t="s">
        <v>419</v>
      </c>
      <c r="C13490" s="3">
        <v>1993</v>
      </c>
      <c r="D13490" s="4">
        <v>3156345</v>
      </c>
    </row>
    <row r="13491" spans="1:4" x14ac:dyDescent="0.3">
      <c r="A13491" s="5" t="s">
        <v>418</v>
      </c>
      <c r="B13491" s="5" t="s">
        <v>419</v>
      </c>
      <c r="C13491" s="6">
        <v>1994</v>
      </c>
      <c r="D13491" s="7">
        <v>3172834</v>
      </c>
    </row>
    <row r="13492" spans="1:4" x14ac:dyDescent="0.3">
      <c r="A13492" s="2" t="s">
        <v>418</v>
      </c>
      <c r="B13492" s="2" t="s">
        <v>419</v>
      </c>
      <c r="C13492" s="3">
        <v>1995</v>
      </c>
      <c r="D13492" s="4">
        <v>3189440</v>
      </c>
    </row>
    <row r="13493" spans="1:4" x14ac:dyDescent="0.3">
      <c r="A13493" s="5" t="s">
        <v>418</v>
      </c>
      <c r="B13493" s="5" t="s">
        <v>419</v>
      </c>
      <c r="C13493" s="6">
        <v>1996</v>
      </c>
      <c r="D13493" s="7">
        <v>3206324</v>
      </c>
    </row>
    <row r="13494" spans="1:4" x14ac:dyDescent="0.3">
      <c r="A13494" s="2" t="s">
        <v>418</v>
      </c>
      <c r="B13494" s="2" t="s">
        <v>419</v>
      </c>
      <c r="C13494" s="3">
        <v>1997</v>
      </c>
      <c r="D13494" s="4">
        <v>3223345</v>
      </c>
    </row>
    <row r="13495" spans="1:4" x14ac:dyDescent="0.3">
      <c r="A13495" s="5" t="s">
        <v>418</v>
      </c>
      <c r="B13495" s="5" t="s">
        <v>419</v>
      </c>
      <c r="C13495" s="6">
        <v>1998</v>
      </c>
      <c r="D13495" s="7">
        <v>3239280</v>
      </c>
    </row>
    <row r="13496" spans="1:4" x14ac:dyDescent="0.3">
      <c r="A13496" s="2" t="s">
        <v>418</v>
      </c>
      <c r="B13496" s="2" t="s">
        <v>419</v>
      </c>
      <c r="C13496" s="3">
        <v>1999</v>
      </c>
      <c r="D13496" s="4">
        <v>3254015</v>
      </c>
    </row>
    <row r="13497" spans="1:4" x14ac:dyDescent="0.3">
      <c r="A13497" s="5" t="s">
        <v>418</v>
      </c>
      <c r="B13497" s="5" t="s">
        <v>419</v>
      </c>
      <c r="C13497" s="6">
        <v>2000</v>
      </c>
      <c r="D13497" s="7">
        <v>3266206</v>
      </c>
    </row>
    <row r="13498" spans="1:4" x14ac:dyDescent="0.3">
      <c r="A13498" s="2" t="s">
        <v>418</v>
      </c>
      <c r="B13498" s="2" t="s">
        <v>419</v>
      </c>
      <c r="C13498" s="3">
        <v>2001</v>
      </c>
      <c r="D13498" s="4">
        <v>3274251</v>
      </c>
    </row>
    <row r="13499" spans="1:4" x14ac:dyDescent="0.3">
      <c r="A13499" s="5" t="s">
        <v>418</v>
      </c>
      <c r="B13499" s="5" t="s">
        <v>419</v>
      </c>
      <c r="C13499" s="6">
        <v>2002</v>
      </c>
      <c r="D13499" s="7">
        <v>3278867</v>
      </c>
    </row>
    <row r="13500" spans="1:4" x14ac:dyDescent="0.3">
      <c r="A13500" s="2" t="s">
        <v>418</v>
      </c>
      <c r="B13500" s="2" t="s">
        <v>419</v>
      </c>
      <c r="C13500" s="3">
        <v>2003</v>
      </c>
      <c r="D13500" s="4">
        <v>3281186</v>
      </c>
    </row>
    <row r="13501" spans="1:4" x14ac:dyDescent="0.3">
      <c r="A13501" s="5" t="s">
        <v>418</v>
      </c>
      <c r="B13501" s="5" t="s">
        <v>419</v>
      </c>
      <c r="C13501" s="6">
        <v>2004</v>
      </c>
      <c r="D13501" s="7">
        <v>3283148</v>
      </c>
    </row>
    <row r="13502" spans="1:4" x14ac:dyDescent="0.3">
      <c r="A13502" s="2" t="s">
        <v>418</v>
      </c>
      <c r="B13502" s="2" t="s">
        <v>419</v>
      </c>
      <c r="C13502" s="3">
        <v>2005</v>
      </c>
      <c r="D13502" s="4">
        <v>3285771</v>
      </c>
    </row>
    <row r="13503" spans="1:4" x14ac:dyDescent="0.3">
      <c r="A13503" s="5" t="s">
        <v>418</v>
      </c>
      <c r="B13503" s="5" t="s">
        <v>419</v>
      </c>
      <c r="C13503" s="6">
        <v>2006</v>
      </c>
      <c r="D13503" s="7">
        <v>3289506</v>
      </c>
    </row>
    <row r="13504" spans="1:4" x14ac:dyDescent="0.3">
      <c r="A13504" s="2" t="s">
        <v>418</v>
      </c>
      <c r="B13504" s="2" t="s">
        <v>419</v>
      </c>
      <c r="C13504" s="3">
        <v>2007</v>
      </c>
      <c r="D13504" s="4">
        <v>3295153</v>
      </c>
    </row>
    <row r="13505" spans="1:4" x14ac:dyDescent="0.3">
      <c r="A13505" s="5" t="s">
        <v>418</v>
      </c>
      <c r="B13505" s="5" t="s">
        <v>419</v>
      </c>
      <c r="C13505" s="6">
        <v>2008</v>
      </c>
      <c r="D13505" s="7">
        <v>3302177</v>
      </c>
    </row>
    <row r="13506" spans="1:4" x14ac:dyDescent="0.3">
      <c r="A13506" s="2" t="s">
        <v>418</v>
      </c>
      <c r="B13506" s="2" t="s">
        <v>419</v>
      </c>
      <c r="C13506" s="3">
        <v>2009</v>
      </c>
      <c r="D13506" s="4">
        <v>3310091</v>
      </c>
    </row>
    <row r="13507" spans="1:4" x14ac:dyDescent="0.3">
      <c r="A13507" s="5" t="s">
        <v>418</v>
      </c>
      <c r="B13507" s="5" t="s">
        <v>419</v>
      </c>
      <c r="C13507" s="6">
        <v>2010</v>
      </c>
      <c r="D13507" s="7">
        <v>3318580</v>
      </c>
    </row>
    <row r="13508" spans="1:4" x14ac:dyDescent="0.3">
      <c r="A13508" s="2" t="s">
        <v>418</v>
      </c>
      <c r="B13508" s="2" t="s">
        <v>419</v>
      </c>
      <c r="C13508" s="3">
        <v>2011</v>
      </c>
      <c r="D13508" s="4">
        <v>3326825</v>
      </c>
    </row>
    <row r="13509" spans="1:4" x14ac:dyDescent="0.3">
      <c r="A13509" s="5" t="s">
        <v>418</v>
      </c>
      <c r="B13509" s="5" t="s">
        <v>419</v>
      </c>
      <c r="C13509" s="6">
        <v>2012</v>
      </c>
      <c r="D13509" s="7">
        <v>3335401</v>
      </c>
    </row>
    <row r="13510" spans="1:4" x14ac:dyDescent="0.3">
      <c r="A13510" s="2" t="s">
        <v>418</v>
      </c>
      <c r="B13510" s="2" t="s">
        <v>419</v>
      </c>
      <c r="C13510" s="3">
        <v>2013</v>
      </c>
      <c r="D13510" s="4">
        <v>3345337</v>
      </c>
    </row>
    <row r="13511" spans="1:4" x14ac:dyDescent="0.3">
      <c r="A13511" s="5" t="s">
        <v>418</v>
      </c>
      <c r="B13511" s="5" t="s">
        <v>419</v>
      </c>
      <c r="C13511" s="6">
        <v>2014</v>
      </c>
      <c r="D13511" s="7">
        <v>3356334</v>
      </c>
    </row>
    <row r="13512" spans="1:4" x14ac:dyDescent="0.3">
      <c r="A13512" s="2" t="s">
        <v>418</v>
      </c>
      <c r="B13512" s="2" t="s">
        <v>419</v>
      </c>
      <c r="C13512" s="3">
        <v>2015</v>
      </c>
      <c r="D13512" s="4">
        <v>3368017</v>
      </c>
    </row>
    <row r="13513" spans="1:4" x14ac:dyDescent="0.3">
      <c r="A13513" s="5" t="s">
        <v>418</v>
      </c>
      <c r="B13513" s="5" t="s">
        <v>419</v>
      </c>
      <c r="C13513" s="6">
        <v>2016</v>
      </c>
      <c r="D13513" s="7">
        <v>3379283</v>
      </c>
    </row>
    <row r="13514" spans="1:4" x14ac:dyDescent="0.3">
      <c r="A13514" s="2" t="s">
        <v>418</v>
      </c>
      <c r="B13514" s="2" t="s">
        <v>419</v>
      </c>
      <c r="C13514" s="3">
        <v>2017</v>
      </c>
      <c r="D13514" s="4">
        <v>3388438</v>
      </c>
    </row>
    <row r="13515" spans="1:4" x14ac:dyDescent="0.3">
      <c r="A13515" s="5" t="s">
        <v>418</v>
      </c>
      <c r="B13515" s="5" t="s">
        <v>419</v>
      </c>
      <c r="C13515" s="6">
        <v>2018</v>
      </c>
      <c r="D13515" s="7">
        <v>3394534</v>
      </c>
    </row>
    <row r="13516" spans="1:4" x14ac:dyDescent="0.3">
      <c r="A13516" s="2" t="s">
        <v>418</v>
      </c>
      <c r="B13516" s="2" t="s">
        <v>419</v>
      </c>
      <c r="C13516" s="3">
        <v>2019</v>
      </c>
      <c r="D13516" s="4">
        <v>3397206</v>
      </c>
    </row>
    <row r="13517" spans="1:4" x14ac:dyDescent="0.3">
      <c r="A13517" s="5" t="s">
        <v>418</v>
      </c>
      <c r="B13517" s="5" t="s">
        <v>419</v>
      </c>
      <c r="C13517" s="6">
        <v>2020</v>
      </c>
      <c r="D13517" s="7">
        <v>3398968</v>
      </c>
    </row>
    <row r="13518" spans="1:4" x14ac:dyDescent="0.3">
      <c r="A13518" s="2" t="s">
        <v>418</v>
      </c>
      <c r="B13518" s="2" t="s">
        <v>419</v>
      </c>
      <c r="C13518" s="3">
        <v>2021</v>
      </c>
      <c r="D13518" s="4">
        <v>3396695</v>
      </c>
    </row>
    <row r="13519" spans="1:4" x14ac:dyDescent="0.3">
      <c r="A13519" s="5" t="s">
        <v>418</v>
      </c>
      <c r="B13519" s="5" t="s">
        <v>419</v>
      </c>
      <c r="C13519" s="6">
        <v>2022</v>
      </c>
      <c r="D13519" s="7">
        <v>3390913</v>
      </c>
    </row>
    <row r="13520" spans="1:4" x14ac:dyDescent="0.3">
      <c r="A13520" s="2" t="s">
        <v>418</v>
      </c>
      <c r="B13520" s="2" t="s">
        <v>419</v>
      </c>
      <c r="C13520" s="3">
        <v>2023</v>
      </c>
      <c r="D13520" s="4">
        <v>3388081</v>
      </c>
    </row>
    <row r="13521" spans="1:4" x14ac:dyDescent="0.3">
      <c r="A13521" s="5" t="s">
        <v>418</v>
      </c>
      <c r="B13521" s="5" t="s">
        <v>419</v>
      </c>
      <c r="C13521" s="6">
        <v>2024</v>
      </c>
      <c r="D13521" s="7">
        <v>3386588</v>
      </c>
    </row>
    <row r="13522" spans="1:4" x14ac:dyDescent="0.3">
      <c r="A13522" s="2" t="s">
        <v>420</v>
      </c>
      <c r="B13522" s="2" t="s">
        <v>421</v>
      </c>
      <c r="C13522" s="3">
        <v>1960</v>
      </c>
      <c r="D13522" s="4">
        <v>8209109</v>
      </c>
    </row>
    <row r="13523" spans="1:4" x14ac:dyDescent="0.3">
      <c r="A13523" s="5" t="s">
        <v>420</v>
      </c>
      <c r="B13523" s="5" t="s">
        <v>421</v>
      </c>
      <c r="C13523" s="6">
        <v>1961</v>
      </c>
      <c r="D13523" s="7">
        <v>8517711</v>
      </c>
    </row>
    <row r="13524" spans="1:4" x14ac:dyDescent="0.3">
      <c r="A13524" s="2" t="s">
        <v>420</v>
      </c>
      <c r="B13524" s="2" t="s">
        <v>421</v>
      </c>
      <c r="C13524" s="3">
        <v>1962</v>
      </c>
      <c r="D13524" s="4">
        <v>8854368</v>
      </c>
    </row>
    <row r="13525" spans="1:4" x14ac:dyDescent="0.3">
      <c r="A13525" s="5" t="s">
        <v>420</v>
      </c>
      <c r="B13525" s="5" t="s">
        <v>421</v>
      </c>
      <c r="C13525" s="6">
        <v>1963</v>
      </c>
      <c r="D13525" s="7">
        <v>9202246</v>
      </c>
    </row>
    <row r="13526" spans="1:4" x14ac:dyDescent="0.3">
      <c r="A13526" s="2" t="s">
        <v>420</v>
      </c>
      <c r="B13526" s="2" t="s">
        <v>421</v>
      </c>
      <c r="C13526" s="3">
        <v>1964</v>
      </c>
      <c r="D13526" s="4">
        <v>9557611</v>
      </c>
    </row>
    <row r="13527" spans="1:4" x14ac:dyDescent="0.3">
      <c r="A13527" s="5" t="s">
        <v>420</v>
      </c>
      <c r="B13527" s="5" t="s">
        <v>421</v>
      </c>
      <c r="C13527" s="6">
        <v>1965</v>
      </c>
      <c r="D13527" s="7">
        <v>9921681</v>
      </c>
    </row>
    <row r="13528" spans="1:4" x14ac:dyDescent="0.3">
      <c r="A13528" s="2" t="s">
        <v>420</v>
      </c>
      <c r="B13528" s="2" t="s">
        <v>421</v>
      </c>
      <c r="C13528" s="3">
        <v>1966</v>
      </c>
      <c r="D13528" s="4">
        <v>10289294</v>
      </c>
    </row>
    <row r="13529" spans="1:4" x14ac:dyDescent="0.3">
      <c r="A13529" s="5" t="s">
        <v>420</v>
      </c>
      <c r="B13529" s="5" t="s">
        <v>421</v>
      </c>
      <c r="C13529" s="6">
        <v>1967</v>
      </c>
      <c r="D13529" s="7">
        <v>10659180</v>
      </c>
    </row>
    <row r="13530" spans="1:4" x14ac:dyDescent="0.3">
      <c r="A13530" s="2" t="s">
        <v>420</v>
      </c>
      <c r="B13530" s="2" t="s">
        <v>421</v>
      </c>
      <c r="C13530" s="3">
        <v>1968</v>
      </c>
      <c r="D13530" s="4">
        <v>11032155</v>
      </c>
    </row>
    <row r="13531" spans="1:4" x14ac:dyDescent="0.3">
      <c r="A13531" s="5" t="s">
        <v>420</v>
      </c>
      <c r="B13531" s="5" t="s">
        <v>421</v>
      </c>
      <c r="C13531" s="6">
        <v>1969</v>
      </c>
      <c r="D13531" s="7">
        <v>11403150</v>
      </c>
    </row>
    <row r="13532" spans="1:4" x14ac:dyDescent="0.3">
      <c r="A13532" s="2" t="s">
        <v>420</v>
      </c>
      <c r="B13532" s="2" t="s">
        <v>421</v>
      </c>
      <c r="C13532" s="3">
        <v>1970</v>
      </c>
      <c r="D13532" s="4">
        <v>11762638</v>
      </c>
    </row>
    <row r="13533" spans="1:4" x14ac:dyDescent="0.3">
      <c r="A13533" s="5" t="s">
        <v>420</v>
      </c>
      <c r="B13533" s="5" t="s">
        <v>421</v>
      </c>
      <c r="C13533" s="6">
        <v>1971</v>
      </c>
      <c r="D13533" s="7">
        <v>12111511</v>
      </c>
    </row>
    <row r="13534" spans="1:4" x14ac:dyDescent="0.3">
      <c r="A13534" s="2" t="s">
        <v>420</v>
      </c>
      <c r="B13534" s="2" t="s">
        <v>421</v>
      </c>
      <c r="C13534" s="3">
        <v>1972</v>
      </c>
      <c r="D13534" s="4">
        <v>12465106</v>
      </c>
    </row>
    <row r="13535" spans="1:4" x14ac:dyDescent="0.3">
      <c r="A13535" s="5" t="s">
        <v>420</v>
      </c>
      <c r="B13535" s="5" t="s">
        <v>421</v>
      </c>
      <c r="C13535" s="6">
        <v>1973</v>
      </c>
      <c r="D13535" s="7">
        <v>12831047</v>
      </c>
    </row>
    <row r="13536" spans="1:4" x14ac:dyDescent="0.3">
      <c r="A13536" s="2" t="s">
        <v>420</v>
      </c>
      <c r="B13536" s="2" t="s">
        <v>421</v>
      </c>
      <c r="C13536" s="3">
        <v>1974</v>
      </c>
      <c r="D13536" s="4">
        <v>13209011</v>
      </c>
    </row>
    <row r="13537" spans="1:4" x14ac:dyDescent="0.3">
      <c r="A13537" s="5" t="s">
        <v>420</v>
      </c>
      <c r="B13537" s="5" t="s">
        <v>421</v>
      </c>
      <c r="C13537" s="6">
        <v>1975</v>
      </c>
      <c r="D13537" s="7">
        <v>13598521</v>
      </c>
    </row>
    <row r="13538" spans="1:4" x14ac:dyDescent="0.3">
      <c r="A13538" s="2" t="s">
        <v>420</v>
      </c>
      <c r="B13538" s="2" t="s">
        <v>421</v>
      </c>
      <c r="C13538" s="3">
        <v>1976</v>
      </c>
      <c r="D13538" s="4">
        <v>13998620</v>
      </c>
    </row>
    <row r="13539" spans="1:4" x14ac:dyDescent="0.3">
      <c r="A13539" s="5" t="s">
        <v>420</v>
      </c>
      <c r="B13539" s="5" t="s">
        <v>421</v>
      </c>
      <c r="C13539" s="6">
        <v>1977</v>
      </c>
      <c r="D13539" s="7">
        <v>14408822</v>
      </c>
    </row>
    <row r="13540" spans="1:4" x14ac:dyDescent="0.3">
      <c r="A13540" s="2" t="s">
        <v>420</v>
      </c>
      <c r="B13540" s="2" t="s">
        <v>421</v>
      </c>
      <c r="C13540" s="3">
        <v>1978</v>
      </c>
      <c r="D13540" s="4">
        <v>14816349</v>
      </c>
    </row>
    <row r="13541" spans="1:4" x14ac:dyDescent="0.3">
      <c r="A13541" s="5" t="s">
        <v>420</v>
      </c>
      <c r="B13541" s="5" t="s">
        <v>421</v>
      </c>
      <c r="C13541" s="6">
        <v>1979</v>
      </c>
      <c r="D13541" s="7">
        <v>15215587</v>
      </c>
    </row>
    <row r="13542" spans="1:4" x14ac:dyDescent="0.3">
      <c r="A13542" s="2" t="s">
        <v>420</v>
      </c>
      <c r="B13542" s="2" t="s">
        <v>421</v>
      </c>
      <c r="C13542" s="3">
        <v>1980</v>
      </c>
      <c r="D13542" s="4">
        <v>15619936</v>
      </c>
    </row>
    <row r="13543" spans="1:4" x14ac:dyDescent="0.3">
      <c r="A13543" s="5" t="s">
        <v>420</v>
      </c>
      <c r="B13543" s="5" t="s">
        <v>421</v>
      </c>
      <c r="C13543" s="6">
        <v>1981</v>
      </c>
      <c r="D13543" s="7">
        <v>16035032</v>
      </c>
    </row>
    <row r="13544" spans="1:4" x14ac:dyDescent="0.3">
      <c r="A13544" s="2" t="s">
        <v>420</v>
      </c>
      <c r="B13544" s="2" t="s">
        <v>421</v>
      </c>
      <c r="C13544" s="3">
        <v>1982</v>
      </c>
      <c r="D13544" s="4">
        <v>16462736</v>
      </c>
    </row>
    <row r="13545" spans="1:4" x14ac:dyDescent="0.3">
      <c r="A13545" s="5" t="s">
        <v>420</v>
      </c>
      <c r="B13545" s="5" t="s">
        <v>421</v>
      </c>
      <c r="C13545" s="6">
        <v>1983</v>
      </c>
      <c r="D13545" s="7">
        <v>16908400</v>
      </c>
    </row>
    <row r="13546" spans="1:4" x14ac:dyDescent="0.3">
      <c r="A13546" s="2" t="s">
        <v>420</v>
      </c>
      <c r="B13546" s="2" t="s">
        <v>421</v>
      </c>
      <c r="C13546" s="3">
        <v>1984</v>
      </c>
      <c r="D13546" s="4">
        <v>17378846</v>
      </c>
    </row>
    <row r="13547" spans="1:4" x14ac:dyDescent="0.3">
      <c r="A13547" s="5" t="s">
        <v>420</v>
      </c>
      <c r="B13547" s="5" t="s">
        <v>421</v>
      </c>
      <c r="C13547" s="6">
        <v>1985</v>
      </c>
      <c r="D13547" s="7">
        <v>17875339</v>
      </c>
    </row>
    <row r="13548" spans="1:4" x14ac:dyDescent="0.3">
      <c r="A13548" s="2" t="s">
        <v>420</v>
      </c>
      <c r="B13548" s="2" t="s">
        <v>421</v>
      </c>
      <c r="C13548" s="3">
        <v>1986</v>
      </c>
      <c r="D13548" s="4">
        <v>18395621</v>
      </c>
    </row>
    <row r="13549" spans="1:4" x14ac:dyDescent="0.3">
      <c r="A13549" s="5" t="s">
        <v>420</v>
      </c>
      <c r="B13549" s="5" t="s">
        <v>421</v>
      </c>
      <c r="C13549" s="6">
        <v>1987</v>
      </c>
      <c r="D13549" s="7">
        <v>18930070</v>
      </c>
    </row>
    <row r="13550" spans="1:4" x14ac:dyDescent="0.3">
      <c r="A13550" s="2" t="s">
        <v>420</v>
      </c>
      <c r="B13550" s="2" t="s">
        <v>421</v>
      </c>
      <c r="C13550" s="3">
        <v>1988</v>
      </c>
      <c r="D13550" s="4">
        <v>19460630</v>
      </c>
    </row>
    <row r="13551" spans="1:4" x14ac:dyDescent="0.3">
      <c r="A13551" s="5" t="s">
        <v>420</v>
      </c>
      <c r="B13551" s="5" t="s">
        <v>421</v>
      </c>
      <c r="C13551" s="6">
        <v>1989</v>
      </c>
      <c r="D13551" s="7">
        <v>19977183</v>
      </c>
    </row>
    <row r="13552" spans="1:4" x14ac:dyDescent="0.3">
      <c r="A13552" s="2" t="s">
        <v>420</v>
      </c>
      <c r="B13552" s="2" t="s">
        <v>421</v>
      </c>
      <c r="C13552" s="3">
        <v>1990</v>
      </c>
      <c r="D13552" s="4">
        <v>20464956</v>
      </c>
    </row>
    <row r="13553" spans="1:4" x14ac:dyDescent="0.3">
      <c r="A13553" s="5" t="s">
        <v>420</v>
      </c>
      <c r="B13553" s="5" t="s">
        <v>421</v>
      </c>
      <c r="C13553" s="6">
        <v>1991</v>
      </c>
      <c r="D13553" s="7">
        <v>20962910</v>
      </c>
    </row>
    <row r="13554" spans="1:4" x14ac:dyDescent="0.3">
      <c r="A13554" s="2" t="s">
        <v>420</v>
      </c>
      <c r="B13554" s="2" t="s">
        <v>421</v>
      </c>
      <c r="C13554" s="3">
        <v>1992</v>
      </c>
      <c r="D13554" s="4">
        <v>21485090</v>
      </c>
    </row>
    <row r="13555" spans="1:4" x14ac:dyDescent="0.3">
      <c r="A13555" s="5" t="s">
        <v>420</v>
      </c>
      <c r="B13555" s="5" t="s">
        <v>421</v>
      </c>
      <c r="C13555" s="6">
        <v>1993</v>
      </c>
      <c r="D13555" s="7">
        <v>21987955</v>
      </c>
    </row>
    <row r="13556" spans="1:4" x14ac:dyDescent="0.3">
      <c r="A13556" s="2" t="s">
        <v>420</v>
      </c>
      <c r="B13556" s="2" t="s">
        <v>421</v>
      </c>
      <c r="C13556" s="3">
        <v>1994</v>
      </c>
      <c r="D13556" s="4">
        <v>22463291</v>
      </c>
    </row>
    <row r="13557" spans="1:4" x14ac:dyDescent="0.3">
      <c r="A13557" s="5" t="s">
        <v>420</v>
      </c>
      <c r="B13557" s="5" t="s">
        <v>421</v>
      </c>
      <c r="C13557" s="6">
        <v>1995</v>
      </c>
      <c r="D13557" s="7">
        <v>22917589</v>
      </c>
    </row>
    <row r="13558" spans="1:4" x14ac:dyDescent="0.3">
      <c r="A13558" s="2" t="s">
        <v>420</v>
      </c>
      <c r="B13558" s="2" t="s">
        <v>421</v>
      </c>
      <c r="C13558" s="3">
        <v>1996</v>
      </c>
      <c r="D13558" s="4">
        <v>23351981</v>
      </c>
    </row>
    <row r="13559" spans="1:4" x14ac:dyDescent="0.3">
      <c r="A13559" s="5" t="s">
        <v>420</v>
      </c>
      <c r="B13559" s="5" t="s">
        <v>421</v>
      </c>
      <c r="C13559" s="6">
        <v>1997</v>
      </c>
      <c r="D13559" s="7">
        <v>23758960</v>
      </c>
    </row>
    <row r="13560" spans="1:4" x14ac:dyDescent="0.3">
      <c r="A13560" s="2" t="s">
        <v>420</v>
      </c>
      <c r="B13560" s="2" t="s">
        <v>421</v>
      </c>
      <c r="C13560" s="3">
        <v>1998</v>
      </c>
      <c r="D13560" s="4">
        <v>24134929</v>
      </c>
    </row>
    <row r="13561" spans="1:4" x14ac:dyDescent="0.3">
      <c r="A13561" s="5" t="s">
        <v>420</v>
      </c>
      <c r="B13561" s="5" t="s">
        <v>421</v>
      </c>
      <c r="C13561" s="6">
        <v>1999</v>
      </c>
      <c r="D13561" s="7">
        <v>24476008</v>
      </c>
    </row>
    <row r="13562" spans="1:4" x14ac:dyDescent="0.3">
      <c r="A13562" s="2" t="s">
        <v>420</v>
      </c>
      <c r="B13562" s="2" t="s">
        <v>421</v>
      </c>
      <c r="C13562" s="3">
        <v>2000</v>
      </c>
      <c r="D13562" s="4">
        <v>24787054</v>
      </c>
    </row>
    <row r="13563" spans="1:4" x14ac:dyDescent="0.3">
      <c r="A13563" s="5" t="s">
        <v>420</v>
      </c>
      <c r="B13563" s="5" t="s">
        <v>421</v>
      </c>
      <c r="C13563" s="6">
        <v>2001</v>
      </c>
      <c r="D13563" s="7">
        <v>25090283</v>
      </c>
    </row>
    <row r="13564" spans="1:4" x14ac:dyDescent="0.3">
      <c r="A13564" s="2" t="s">
        <v>420</v>
      </c>
      <c r="B13564" s="2" t="s">
        <v>421</v>
      </c>
      <c r="C13564" s="3">
        <v>2002</v>
      </c>
      <c r="D13564" s="4">
        <v>25399980</v>
      </c>
    </row>
    <row r="13565" spans="1:4" x14ac:dyDescent="0.3">
      <c r="A13565" s="5" t="s">
        <v>420</v>
      </c>
      <c r="B13565" s="5" t="s">
        <v>421</v>
      </c>
      <c r="C13565" s="6">
        <v>2003</v>
      </c>
      <c r="D13565" s="7">
        <v>25711259</v>
      </c>
    </row>
    <row r="13566" spans="1:4" x14ac:dyDescent="0.3">
      <c r="A13566" s="2" t="s">
        <v>420</v>
      </c>
      <c r="B13566" s="2" t="s">
        <v>421</v>
      </c>
      <c r="C13566" s="3">
        <v>2004</v>
      </c>
      <c r="D13566" s="4">
        <v>26029350</v>
      </c>
    </row>
    <row r="13567" spans="1:4" x14ac:dyDescent="0.3">
      <c r="A13567" s="5" t="s">
        <v>420</v>
      </c>
      <c r="B13567" s="5" t="s">
        <v>421</v>
      </c>
      <c r="C13567" s="6">
        <v>2005</v>
      </c>
      <c r="D13567" s="7">
        <v>26356975</v>
      </c>
    </row>
    <row r="13568" spans="1:4" x14ac:dyDescent="0.3">
      <c r="A13568" s="2" t="s">
        <v>420</v>
      </c>
      <c r="B13568" s="2" t="s">
        <v>421</v>
      </c>
      <c r="C13568" s="3">
        <v>2006</v>
      </c>
      <c r="D13568" s="4">
        <v>26699043</v>
      </c>
    </row>
    <row r="13569" spans="1:4" x14ac:dyDescent="0.3">
      <c r="A13569" s="5" t="s">
        <v>420</v>
      </c>
      <c r="B13569" s="5" t="s">
        <v>421</v>
      </c>
      <c r="C13569" s="6">
        <v>2007</v>
      </c>
      <c r="D13569" s="7">
        <v>27076008</v>
      </c>
    </row>
    <row r="13570" spans="1:4" x14ac:dyDescent="0.3">
      <c r="A13570" s="2" t="s">
        <v>420</v>
      </c>
      <c r="B13570" s="2" t="s">
        <v>421</v>
      </c>
      <c r="C13570" s="3">
        <v>2008</v>
      </c>
      <c r="D13570" s="4">
        <v>27494774</v>
      </c>
    </row>
    <row r="13571" spans="1:4" x14ac:dyDescent="0.3">
      <c r="A13571" s="5" t="s">
        <v>420</v>
      </c>
      <c r="B13571" s="5" t="s">
        <v>421</v>
      </c>
      <c r="C13571" s="6">
        <v>2009</v>
      </c>
      <c r="D13571" s="7">
        <v>27939328</v>
      </c>
    </row>
    <row r="13572" spans="1:4" x14ac:dyDescent="0.3">
      <c r="A13572" s="2" t="s">
        <v>420</v>
      </c>
      <c r="B13572" s="2" t="s">
        <v>421</v>
      </c>
      <c r="C13572" s="3">
        <v>2010</v>
      </c>
      <c r="D13572" s="4">
        <v>28385506</v>
      </c>
    </row>
    <row r="13573" spans="1:4" x14ac:dyDescent="0.3">
      <c r="A13573" s="5" t="s">
        <v>420</v>
      </c>
      <c r="B13573" s="5" t="s">
        <v>421</v>
      </c>
      <c r="C13573" s="6">
        <v>2011</v>
      </c>
      <c r="D13573" s="7">
        <v>28823196</v>
      </c>
    </row>
    <row r="13574" spans="1:4" x14ac:dyDescent="0.3">
      <c r="A13574" s="2" t="s">
        <v>420</v>
      </c>
      <c r="B13574" s="2" t="s">
        <v>421</v>
      </c>
      <c r="C13574" s="3">
        <v>2012</v>
      </c>
      <c r="D13574" s="4">
        <v>29261903</v>
      </c>
    </row>
    <row r="13575" spans="1:4" x14ac:dyDescent="0.3">
      <c r="A13575" s="5" t="s">
        <v>420</v>
      </c>
      <c r="B13575" s="5" t="s">
        <v>421</v>
      </c>
      <c r="C13575" s="6">
        <v>2013</v>
      </c>
      <c r="D13575" s="7">
        <v>29724065</v>
      </c>
    </row>
    <row r="13576" spans="1:4" x14ac:dyDescent="0.3">
      <c r="A13576" s="2" t="s">
        <v>420</v>
      </c>
      <c r="B13576" s="2" t="s">
        <v>421</v>
      </c>
      <c r="C13576" s="3">
        <v>2014</v>
      </c>
      <c r="D13576" s="4">
        <v>30222994</v>
      </c>
    </row>
    <row r="13577" spans="1:4" x14ac:dyDescent="0.3">
      <c r="A13577" s="5" t="s">
        <v>420</v>
      </c>
      <c r="B13577" s="5" t="s">
        <v>421</v>
      </c>
      <c r="C13577" s="6">
        <v>2015</v>
      </c>
      <c r="D13577" s="7">
        <v>30749346</v>
      </c>
    </row>
    <row r="13578" spans="1:4" x14ac:dyDescent="0.3">
      <c r="A13578" s="2" t="s">
        <v>420</v>
      </c>
      <c r="B13578" s="2" t="s">
        <v>421</v>
      </c>
      <c r="C13578" s="3">
        <v>2016</v>
      </c>
      <c r="D13578" s="4">
        <v>31284568</v>
      </c>
    </row>
    <row r="13579" spans="1:4" x14ac:dyDescent="0.3">
      <c r="A13579" s="5" t="s">
        <v>420</v>
      </c>
      <c r="B13579" s="5" t="s">
        <v>421</v>
      </c>
      <c r="C13579" s="6">
        <v>2017</v>
      </c>
      <c r="D13579" s="7">
        <v>31819178</v>
      </c>
    </row>
    <row r="13580" spans="1:4" x14ac:dyDescent="0.3">
      <c r="A13580" s="2" t="s">
        <v>420</v>
      </c>
      <c r="B13580" s="2" t="s">
        <v>421</v>
      </c>
      <c r="C13580" s="3">
        <v>2018</v>
      </c>
      <c r="D13580" s="4">
        <v>32373490</v>
      </c>
    </row>
    <row r="13581" spans="1:4" x14ac:dyDescent="0.3">
      <c r="A13581" s="5" t="s">
        <v>420</v>
      </c>
      <c r="B13581" s="5" t="s">
        <v>421</v>
      </c>
      <c r="C13581" s="6">
        <v>2019</v>
      </c>
      <c r="D13581" s="7">
        <v>32964701</v>
      </c>
    </row>
    <row r="13582" spans="1:4" x14ac:dyDescent="0.3">
      <c r="A13582" s="2" t="s">
        <v>420</v>
      </c>
      <c r="B13582" s="2" t="s">
        <v>421</v>
      </c>
      <c r="C13582" s="3">
        <v>2020</v>
      </c>
      <c r="D13582" s="4">
        <v>33586372</v>
      </c>
    </row>
    <row r="13583" spans="1:4" x14ac:dyDescent="0.3">
      <c r="A13583" s="5" t="s">
        <v>420</v>
      </c>
      <c r="B13583" s="5" t="s">
        <v>421</v>
      </c>
      <c r="C13583" s="6">
        <v>2021</v>
      </c>
      <c r="D13583" s="7">
        <v>34243696</v>
      </c>
    </row>
    <row r="13584" spans="1:4" x14ac:dyDescent="0.3">
      <c r="A13584" s="2" t="s">
        <v>420</v>
      </c>
      <c r="B13584" s="2" t="s">
        <v>421</v>
      </c>
      <c r="C13584" s="3">
        <v>2022</v>
      </c>
      <c r="D13584" s="4">
        <v>34938955</v>
      </c>
    </row>
    <row r="13585" spans="1:4" x14ac:dyDescent="0.3">
      <c r="A13585" s="5" t="s">
        <v>420</v>
      </c>
      <c r="B13585" s="5" t="s">
        <v>421</v>
      </c>
      <c r="C13585" s="6">
        <v>2023</v>
      </c>
      <c r="D13585" s="7">
        <v>35652307</v>
      </c>
    </row>
    <row r="13586" spans="1:4" x14ac:dyDescent="0.3">
      <c r="A13586" s="2" t="s">
        <v>420</v>
      </c>
      <c r="B13586" s="2" t="s">
        <v>421</v>
      </c>
      <c r="C13586" s="3">
        <v>2024</v>
      </c>
      <c r="D13586" s="4">
        <v>36361859</v>
      </c>
    </row>
    <row r="13587" spans="1:4" x14ac:dyDescent="0.3">
      <c r="A13587" s="5" t="s">
        <v>422</v>
      </c>
      <c r="B13587" s="5" t="s">
        <v>423</v>
      </c>
      <c r="C13587" s="6">
        <v>1960</v>
      </c>
      <c r="D13587" s="7">
        <v>64431</v>
      </c>
    </row>
    <row r="13588" spans="1:4" x14ac:dyDescent="0.3">
      <c r="A13588" s="2" t="s">
        <v>422</v>
      </c>
      <c r="B13588" s="2" t="s">
        <v>423</v>
      </c>
      <c r="C13588" s="3">
        <v>1961</v>
      </c>
      <c r="D13588" s="4">
        <v>66264</v>
      </c>
    </row>
    <row r="13589" spans="1:4" x14ac:dyDescent="0.3">
      <c r="A13589" s="5" t="s">
        <v>422</v>
      </c>
      <c r="B13589" s="5" t="s">
        <v>423</v>
      </c>
      <c r="C13589" s="6">
        <v>1962</v>
      </c>
      <c r="D13589" s="7">
        <v>68174</v>
      </c>
    </row>
    <row r="13590" spans="1:4" x14ac:dyDescent="0.3">
      <c r="A13590" s="2" t="s">
        <v>422</v>
      </c>
      <c r="B13590" s="2" t="s">
        <v>423</v>
      </c>
      <c r="C13590" s="3">
        <v>1963</v>
      </c>
      <c r="D13590" s="4">
        <v>70159</v>
      </c>
    </row>
    <row r="13591" spans="1:4" x14ac:dyDescent="0.3">
      <c r="A13591" s="5" t="s">
        <v>422</v>
      </c>
      <c r="B13591" s="5" t="s">
        <v>423</v>
      </c>
      <c r="C13591" s="6">
        <v>1964</v>
      </c>
      <c r="D13591" s="7">
        <v>72219</v>
      </c>
    </row>
    <row r="13592" spans="1:4" x14ac:dyDescent="0.3">
      <c r="A13592" s="2" t="s">
        <v>422</v>
      </c>
      <c r="B13592" s="2" t="s">
        <v>423</v>
      </c>
      <c r="C13592" s="3">
        <v>1965</v>
      </c>
      <c r="D13592" s="4">
        <v>74358</v>
      </c>
    </row>
    <row r="13593" spans="1:4" x14ac:dyDescent="0.3">
      <c r="A13593" s="5" t="s">
        <v>422</v>
      </c>
      <c r="B13593" s="5" t="s">
        <v>423</v>
      </c>
      <c r="C13593" s="6">
        <v>1966</v>
      </c>
      <c r="D13593" s="7">
        <v>76590</v>
      </c>
    </row>
    <row r="13594" spans="1:4" x14ac:dyDescent="0.3">
      <c r="A13594" s="2" t="s">
        <v>422</v>
      </c>
      <c r="B13594" s="2" t="s">
        <v>423</v>
      </c>
      <c r="C13594" s="3">
        <v>1967</v>
      </c>
      <c r="D13594" s="4">
        <v>78921</v>
      </c>
    </row>
    <row r="13595" spans="1:4" x14ac:dyDescent="0.3">
      <c r="A13595" s="5" t="s">
        <v>422</v>
      </c>
      <c r="B13595" s="5" t="s">
        <v>423</v>
      </c>
      <c r="C13595" s="6">
        <v>1968</v>
      </c>
      <c r="D13595" s="7">
        <v>81314</v>
      </c>
    </row>
    <row r="13596" spans="1:4" x14ac:dyDescent="0.3">
      <c r="A13596" s="2" t="s">
        <v>422</v>
      </c>
      <c r="B13596" s="2" t="s">
        <v>423</v>
      </c>
      <c r="C13596" s="3">
        <v>1969</v>
      </c>
      <c r="D13596" s="4">
        <v>83755</v>
      </c>
    </row>
    <row r="13597" spans="1:4" x14ac:dyDescent="0.3">
      <c r="A13597" s="5" t="s">
        <v>422</v>
      </c>
      <c r="B13597" s="5" t="s">
        <v>423</v>
      </c>
      <c r="C13597" s="6">
        <v>1970</v>
      </c>
      <c r="D13597" s="7">
        <v>86266</v>
      </c>
    </row>
    <row r="13598" spans="1:4" x14ac:dyDescent="0.3">
      <c r="A13598" s="2" t="s">
        <v>422</v>
      </c>
      <c r="B13598" s="2" t="s">
        <v>423</v>
      </c>
      <c r="C13598" s="3">
        <v>1971</v>
      </c>
      <c r="D13598" s="4">
        <v>88862</v>
      </c>
    </row>
    <row r="13599" spans="1:4" x14ac:dyDescent="0.3">
      <c r="A13599" s="5" t="s">
        <v>422</v>
      </c>
      <c r="B13599" s="5" t="s">
        <v>423</v>
      </c>
      <c r="C13599" s="6">
        <v>1972</v>
      </c>
      <c r="D13599" s="7">
        <v>91562</v>
      </c>
    </row>
    <row r="13600" spans="1:4" x14ac:dyDescent="0.3">
      <c r="A13600" s="2" t="s">
        <v>422</v>
      </c>
      <c r="B13600" s="2" t="s">
        <v>423</v>
      </c>
      <c r="C13600" s="3">
        <v>1973</v>
      </c>
      <c r="D13600" s="4">
        <v>94362</v>
      </c>
    </row>
    <row r="13601" spans="1:4" x14ac:dyDescent="0.3">
      <c r="A13601" s="5" t="s">
        <v>422</v>
      </c>
      <c r="B13601" s="5" t="s">
        <v>423</v>
      </c>
      <c r="C13601" s="6">
        <v>1974</v>
      </c>
      <c r="D13601" s="7">
        <v>97260</v>
      </c>
    </row>
    <row r="13602" spans="1:4" x14ac:dyDescent="0.3">
      <c r="A13602" s="2" t="s">
        <v>422</v>
      </c>
      <c r="B13602" s="2" t="s">
        <v>423</v>
      </c>
      <c r="C13602" s="3">
        <v>1975</v>
      </c>
      <c r="D13602" s="4">
        <v>100269</v>
      </c>
    </row>
    <row r="13603" spans="1:4" x14ac:dyDescent="0.3">
      <c r="A13603" s="5" t="s">
        <v>422</v>
      </c>
      <c r="B13603" s="5" t="s">
        <v>423</v>
      </c>
      <c r="C13603" s="6">
        <v>1976</v>
      </c>
      <c r="D13603" s="7">
        <v>103388</v>
      </c>
    </row>
    <row r="13604" spans="1:4" x14ac:dyDescent="0.3">
      <c r="A13604" s="2" t="s">
        <v>422</v>
      </c>
      <c r="B13604" s="2" t="s">
        <v>423</v>
      </c>
      <c r="C13604" s="3">
        <v>1977</v>
      </c>
      <c r="D13604" s="4">
        <v>106618</v>
      </c>
    </row>
    <row r="13605" spans="1:4" x14ac:dyDescent="0.3">
      <c r="A13605" s="5" t="s">
        <v>422</v>
      </c>
      <c r="B13605" s="5" t="s">
        <v>423</v>
      </c>
      <c r="C13605" s="6">
        <v>1978</v>
      </c>
      <c r="D13605" s="7">
        <v>109963</v>
      </c>
    </row>
    <row r="13606" spans="1:4" x14ac:dyDescent="0.3">
      <c r="A13606" s="2" t="s">
        <v>422</v>
      </c>
      <c r="B13606" s="2" t="s">
        <v>423</v>
      </c>
      <c r="C13606" s="3">
        <v>1979</v>
      </c>
      <c r="D13606" s="4">
        <v>113040</v>
      </c>
    </row>
    <row r="13607" spans="1:4" x14ac:dyDescent="0.3">
      <c r="A13607" s="5" t="s">
        <v>422</v>
      </c>
      <c r="B13607" s="5" t="s">
        <v>423</v>
      </c>
      <c r="C13607" s="6">
        <v>1980</v>
      </c>
      <c r="D13607" s="7">
        <v>115660</v>
      </c>
    </row>
    <row r="13608" spans="1:4" x14ac:dyDescent="0.3">
      <c r="A13608" s="2" t="s">
        <v>422</v>
      </c>
      <c r="B13608" s="2" t="s">
        <v>423</v>
      </c>
      <c r="C13608" s="3">
        <v>1981</v>
      </c>
      <c r="D13608" s="4">
        <v>118249</v>
      </c>
    </row>
    <row r="13609" spans="1:4" x14ac:dyDescent="0.3">
      <c r="A13609" s="5" t="s">
        <v>422</v>
      </c>
      <c r="B13609" s="5" t="s">
        <v>423</v>
      </c>
      <c r="C13609" s="6">
        <v>1982</v>
      </c>
      <c r="D13609" s="7">
        <v>121035</v>
      </c>
    </row>
    <row r="13610" spans="1:4" x14ac:dyDescent="0.3">
      <c r="A13610" s="2" t="s">
        <v>422</v>
      </c>
      <c r="B13610" s="2" t="s">
        <v>423</v>
      </c>
      <c r="C13610" s="3">
        <v>1983</v>
      </c>
      <c r="D13610" s="4">
        <v>123998</v>
      </c>
    </row>
    <row r="13611" spans="1:4" x14ac:dyDescent="0.3">
      <c r="A13611" s="5" t="s">
        <v>422</v>
      </c>
      <c r="B13611" s="5" t="s">
        <v>423</v>
      </c>
      <c r="C13611" s="6">
        <v>1984</v>
      </c>
      <c r="D13611" s="7">
        <v>127109</v>
      </c>
    </row>
    <row r="13612" spans="1:4" x14ac:dyDescent="0.3">
      <c r="A13612" s="2" t="s">
        <v>422</v>
      </c>
      <c r="B13612" s="2" t="s">
        <v>423</v>
      </c>
      <c r="C13612" s="3">
        <v>1985</v>
      </c>
      <c r="D13612" s="4">
        <v>130356</v>
      </c>
    </row>
    <row r="13613" spans="1:4" x14ac:dyDescent="0.3">
      <c r="A13613" s="5" t="s">
        <v>422</v>
      </c>
      <c r="B13613" s="5" t="s">
        <v>423</v>
      </c>
      <c r="C13613" s="6">
        <v>1986</v>
      </c>
      <c r="D13613" s="7">
        <v>133720</v>
      </c>
    </row>
    <row r="13614" spans="1:4" x14ac:dyDescent="0.3">
      <c r="A13614" s="2" t="s">
        <v>422</v>
      </c>
      <c r="B13614" s="2" t="s">
        <v>423</v>
      </c>
      <c r="C13614" s="3">
        <v>1987</v>
      </c>
      <c r="D13614" s="4">
        <v>137187</v>
      </c>
    </row>
    <row r="13615" spans="1:4" x14ac:dyDescent="0.3">
      <c r="A13615" s="5" t="s">
        <v>422</v>
      </c>
      <c r="B13615" s="5" t="s">
        <v>423</v>
      </c>
      <c r="C13615" s="6">
        <v>1988</v>
      </c>
      <c r="D13615" s="7">
        <v>140756</v>
      </c>
    </row>
    <row r="13616" spans="1:4" x14ac:dyDescent="0.3">
      <c r="A13616" s="2" t="s">
        <v>422</v>
      </c>
      <c r="B13616" s="2" t="s">
        <v>423</v>
      </c>
      <c r="C13616" s="3">
        <v>1989</v>
      </c>
      <c r="D13616" s="4">
        <v>144393</v>
      </c>
    </row>
    <row r="13617" spans="1:4" x14ac:dyDescent="0.3">
      <c r="A13617" s="5" t="s">
        <v>422</v>
      </c>
      <c r="B13617" s="5" t="s">
        <v>423</v>
      </c>
      <c r="C13617" s="6">
        <v>1990</v>
      </c>
      <c r="D13617" s="7">
        <v>148063</v>
      </c>
    </row>
    <row r="13618" spans="1:4" x14ac:dyDescent="0.3">
      <c r="A13618" s="2" t="s">
        <v>422</v>
      </c>
      <c r="B13618" s="2" t="s">
        <v>423</v>
      </c>
      <c r="C13618" s="3">
        <v>1991</v>
      </c>
      <c r="D13618" s="4">
        <v>151793</v>
      </c>
    </row>
    <row r="13619" spans="1:4" x14ac:dyDescent="0.3">
      <c r="A13619" s="5" t="s">
        <v>422</v>
      </c>
      <c r="B13619" s="5" t="s">
        <v>423</v>
      </c>
      <c r="C13619" s="6">
        <v>1992</v>
      </c>
      <c r="D13619" s="7">
        <v>155608</v>
      </c>
    </row>
    <row r="13620" spans="1:4" x14ac:dyDescent="0.3">
      <c r="A13620" s="2" t="s">
        <v>422</v>
      </c>
      <c r="B13620" s="2" t="s">
        <v>423</v>
      </c>
      <c r="C13620" s="3">
        <v>1993</v>
      </c>
      <c r="D13620" s="4">
        <v>159463</v>
      </c>
    </row>
    <row r="13621" spans="1:4" x14ac:dyDescent="0.3">
      <c r="A13621" s="5" t="s">
        <v>422</v>
      </c>
      <c r="B13621" s="5" t="s">
        <v>423</v>
      </c>
      <c r="C13621" s="6">
        <v>1994</v>
      </c>
      <c r="D13621" s="7">
        <v>163314</v>
      </c>
    </row>
    <row r="13622" spans="1:4" x14ac:dyDescent="0.3">
      <c r="A13622" s="2" t="s">
        <v>422</v>
      </c>
      <c r="B13622" s="2" t="s">
        <v>423</v>
      </c>
      <c r="C13622" s="3">
        <v>1995</v>
      </c>
      <c r="D13622" s="4">
        <v>167137</v>
      </c>
    </row>
    <row r="13623" spans="1:4" x14ac:dyDescent="0.3">
      <c r="A13623" s="5" t="s">
        <v>422</v>
      </c>
      <c r="B13623" s="5" t="s">
        <v>423</v>
      </c>
      <c r="C13623" s="6">
        <v>1996</v>
      </c>
      <c r="D13623" s="7">
        <v>170911</v>
      </c>
    </row>
    <row r="13624" spans="1:4" x14ac:dyDescent="0.3">
      <c r="A13624" s="2" t="s">
        <v>422</v>
      </c>
      <c r="B13624" s="2" t="s">
        <v>423</v>
      </c>
      <c r="C13624" s="3">
        <v>1997</v>
      </c>
      <c r="D13624" s="4">
        <v>174626</v>
      </c>
    </row>
    <row r="13625" spans="1:4" x14ac:dyDescent="0.3">
      <c r="A13625" s="5" t="s">
        <v>422</v>
      </c>
      <c r="B13625" s="5" t="s">
        <v>423</v>
      </c>
      <c r="C13625" s="6">
        <v>1998</v>
      </c>
      <c r="D13625" s="7">
        <v>178313</v>
      </c>
    </row>
    <row r="13626" spans="1:4" x14ac:dyDescent="0.3">
      <c r="A13626" s="2" t="s">
        <v>422</v>
      </c>
      <c r="B13626" s="2" t="s">
        <v>423</v>
      </c>
      <c r="C13626" s="3">
        <v>1999</v>
      </c>
      <c r="D13626" s="4">
        <v>182048</v>
      </c>
    </row>
    <row r="13627" spans="1:4" x14ac:dyDescent="0.3">
      <c r="A13627" s="5" t="s">
        <v>422</v>
      </c>
      <c r="B13627" s="5" t="s">
        <v>423</v>
      </c>
      <c r="C13627" s="6">
        <v>2000</v>
      </c>
      <c r="D13627" s="7">
        <v>186281</v>
      </c>
    </row>
    <row r="13628" spans="1:4" x14ac:dyDescent="0.3">
      <c r="A13628" s="2" t="s">
        <v>422</v>
      </c>
      <c r="B13628" s="2" t="s">
        <v>423</v>
      </c>
      <c r="C13628" s="3">
        <v>2001</v>
      </c>
      <c r="D13628" s="4">
        <v>191031</v>
      </c>
    </row>
    <row r="13629" spans="1:4" x14ac:dyDescent="0.3">
      <c r="A13629" s="5" t="s">
        <v>422</v>
      </c>
      <c r="B13629" s="5" t="s">
        <v>423</v>
      </c>
      <c r="C13629" s="6">
        <v>2002</v>
      </c>
      <c r="D13629" s="7">
        <v>195863</v>
      </c>
    </row>
    <row r="13630" spans="1:4" x14ac:dyDescent="0.3">
      <c r="A13630" s="2" t="s">
        <v>422</v>
      </c>
      <c r="B13630" s="2" t="s">
        <v>423</v>
      </c>
      <c r="C13630" s="3">
        <v>2003</v>
      </c>
      <c r="D13630" s="4">
        <v>200746</v>
      </c>
    </row>
    <row r="13631" spans="1:4" x14ac:dyDescent="0.3">
      <c r="A13631" s="5" t="s">
        <v>422</v>
      </c>
      <c r="B13631" s="5" t="s">
        <v>423</v>
      </c>
      <c r="C13631" s="6">
        <v>2004</v>
      </c>
      <c r="D13631" s="7">
        <v>205711</v>
      </c>
    </row>
    <row r="13632" spans="1:4" x14ac:dyDescent="0.3">
      <c r="A13632" s="2" t="s">
        <v>422</v>
      </c>
      <c r="B13632" s="2" t="s">
        <v>423</v>
      </c>
      <c r="C13632" s="3">
        <v>2005</v>
      </c>
      <c r="D13632" s="4">
        <v>210760</v>
      </c>
    </row>
    <row r="13633" spans="1:4" x14ac:dyDescent="0.3">
      <c r="A13633" s="5" t="s">
        <v>422</v>
      </c>
      <c r="B13633" s="5" t="s">
        <v>423</v>
      </c>
      <c r="C13633" s="6">
        <v>2006</v>
      </c>
      <c r="D13633" s="7">
        <v>215923</v>
      </c>
    </row>
    <row r="13634" spans="1:4" x14ac:dyDescent="0.3">
      <c r="A13634" s="2" t="s">
        <v>422</v>
      </c>
      <c r="B13634" s="2" t="s">
        <v>423</v>
      </c>
      <c r="C13634" s="3">
        <v>2007</v>
      </c>
      <c r="D13634" s="4">
        <v>221276</v>
      </c>
    </row>
    <row r="13635" spans="1:4" x14ac:dyDescent="0.3">
      <c r="A13635" s="5" t="s">
        <v>422</v>
      </c>
      <c r="B13635" s="5" t="s">
        <v>423</v>
      </c>
      <c r="C13635" s="6">
        <v>2008</v>
      </c>
      <c r="D13635" s="7">
        <v>226896</v>
      </c>
    </row>
    <row r="13636" spans="1:4" x14ac:dyDescent="0.3">
      <c r="A13636" s="2" t="s">
        <v>422</v>
      </c>
      <c r="B13636" s="2" t="s">
        <v>423</v>
      </c>
      <c r="C13636" s="3">
        <v>2009</v>
      </c>
      <c r="D13636" s="4">
        <v>232731</v>
      </c>
    </row>
    <row r="13637" spans="1:4" x14ac:dyDescent="0.3">
      <c r="A13637" s="5" t="s">
        <v>422</v>
      </c>
      <c r="B13637" s="5" t="s">
        <v>423</v>
      </c>
      <c r="C13637" s="6">
        <v>2010</v>
      </c>
      <c r="D13637" s="7">
        <v>238248</v>
      </c>
    </row>
    <row r="13638" spans="1:4" x14ac:dyDescent="0.3">
      <c r="A13638" s="2" t="s">
        <v>422</v>
      </c>
      <c r="B13638" s="2" t="s">
        <v>423</v>
      </c>
      <c r="C13638" s="3">
        <v>2011</v>
      </c>
      <c r="D13638" s="4">
        <v>243474</v>
      </c>
    </row>
    <row r="13639" spans="1:4" x14ac:dyDescent="0.3">
      <c r="A13639" s="5" t="s">
        <v>422</v>
      </c>
      <c r="B13639" s="5" t="s">
        <v>423</v>
      </c>
      <c r="C13639" s="6">
        <v>2012</v>
      </c>
      <c r="D13639" s="7">
        <v>248883</v>
      </c>
    </row>
    <row r="13640" spans="1:4" x14ac:dyDescent="0.3">
      <c r="A13640" s="2" t="s">
        <v>422</v>
      </c>
      <c r="B13640" s="2" t="s">
        <v>423</v>
      </c>
      <c r="C13640" s="3">
        <v>2013</v>
      </c>
      <c r="D13640" s="4">
        <v>254482</v>
      </c>
    </row>
    <row r="13641" spans="1:4" x14ac:dyDescent="0.3">
      <c r="A13641" s="5" t="s">
        <v>422</v>
      </c>
      <c r="B13641" s="5" t="s">
        <v>423</v>
      </c>
      <c r="C13641" s="6">
        <v>2014</v>
      </c>
      <c r="D13641" s="7">
        <v>260240</v>
      </c>
    </row>
    <row r="13642" spans="1:4" x14ac:dyDescent="0.3">
      <c r="A13642" s="2" t="s">
        <v>422</v>
      </c>
      <c r="B13642" s="2" t="s">
        <v>423</v>
      </c>
      <c r="C13642" s="3">
        <v>2015</v>
      </c>
      <c r="D13642" s="4">
        <v>266101</v>
      </c>
    </row>
    <row r="13643" spans="1:4" x14ac:dyDescent="0.3">
      <c r="A13643" s="5" t="s">
        <v>422</v>
      </c>
      <c r="B13643" s="5" t="s">
        <v>423</v>
      </c>
      <c r="C13643" s="6">
        <v>2016</v>
      </c>
      <c r="D13643" s="7">
        <v>272087</v>
      </c>
    </row>
    <row r="13644" spans="1:4" x14ac:dyDescent="0.3">
      <c r="A13644" s="2" t="s">
        <v>422</v>
      </c>
      <c r="B13644" s="2" t="s">
        <v>423</v>
      </c>
      <c r="C13644" s="3">
        <v>2017</v>
      </c>
      <c r="D13644" s="4">
        <v>278507</v>
      </c>
    </row>
    <row r="13645" spans="1:4" x14ac:dyDescent="0.3">
      <c r="A13645" s="5" t="s">
        <v>422</v>
      </c>
      <c r="B13645" s="5" t="s">
        <v>423</v>
      </c>
      <c r="C13645" s="6">
        <v>2018</v>
      </c>
      <c r="D13645" s="7">
        <v>285259</v>
      </c>
    </row>
    <row r="13646" spans="1:4" x14ac:dyDescent="0.3">
      <c r="A13646" s="2" t="s">
        <v>422</v>
      </c>
      <c r="B13646" s="2" t="s">
        <v>423</v>
      </c>
      <c r="C13646" s="3">
        <v>2019</v>
      </c>
      <c r="D13646" s="4">
        <v>291985</v>
      </c>
    </row>
    <row r="13647" spans="1:4" x14ac:dyDescent="0.3">
      <c r="A13647" s="5" t="s">
        <v>422</v>
      </c>
      <c r="B13647" s="5" t="s">
        <v>423</v>
      </c>
      <c r="C13647" s="6">
        <v>2020</v>
      </c>
      <c r="D13647" s="7">
        <v>298858</v>
      </c>
    </row>
    <row r="13648" spans="1:4" x14ac:dyDescent="0.3">
      <c r="A13648" s="2" t="s">
        <v>422</v>
      </c>
      <c r="B13648" s="2" t="s">
        <v>423</v>
      </c>
      <c r="C13648" s="3">
        <v>2021</v>
      </c>
      <c r="D13648" s="4">
        <v>305868</v>
      </c>
    </row>
    <row r="13649" spans="1:4" x14ac:dyDescent="0.3">
      <c r="A13649" s="5" t="s">
        <v>422</v>
      </c>
      <c r="B13649" s="5" t="s">
        <v>423</v>
      </c>
      <c r="C13649" s="6">
        <v>2022</v>
      </c>
      <c r="D13649" s="7">
        <v>313046</v>
      </c>
    </row>
    <row r="13650" spans="1:4" x14ac:dyDescent="0.3">
      <c r="A13650" s="2" t="s">
        <v>422</v>
      </c>
      <c r="B13650" s="2" t="s">
        <v>423</v>
      </c>
      <c r="C13650" s="3">
        <v>2023</v>
      </c>
      <c r="D13650" s="4">
        <v>320409</v>
      </c>
    </row>
    <row r="13651" spans="1:4" x14ac:dyDescent="0.3">
      <c r="A13651" s="5" t="s">
        <v>422</v>
      </c>
      <c r="B13651" s="5" t="s">
        <v>423</v>
      </c>
      <c r="C13651" s="6">
        <v>2024</v>
      </c>
      <c r="D13651" s="7">
        <v>327777</v>
      </c>
    </row>
    <row r="13652" spans="1:4" x14ac:dyDescent="0.3">
      <c r="A13652" s="2" t="s">
        <v>424</v>
      </c>
      <c r="B13652" s="2" t="s">
        <v>425</v>
      </c>
      <c r="C13652" s="3">
        <v>1960</v>
      </c>
      <c r="D13652" s="4">
        <v>8160090</v>
      </c>
    </row>
    <row r="13653" spans="1:4" x14ac:dyDescent="0.3">
      <c r="A13653" s="5" t="s">
        <v>424</v>
      </c>
      <c r="B13653" s="5" t="s">
        <v>425</v>
      </c>
      <c r="C13653" s="6">
        <v>1961</v>
      </c>
      <c r="D13653" s="7">
        <v>8455915</v>
      </c>
    </row>
    <row r="13654" spans="1:4" x14ac:dyDescent="0.3">
      <c r="A13654" s="2" t="s">
        <v>424</v>
      </c>
      <c r="B13654" s="2" t="s">
        <v>425</v>
      </c>
      <c r="C13654" s="3">
        <v>1962</v>
      </c>
      <c r="D13654" s="4">
        <v>8756870</v>
      </c>
    </row>
    <row r="13655" spans="1:4" x14ac:dyDescent="0.3">
      <c r="A13655" s="5" t="s">
        <v>424</v>
      </c>
      <c r="B13655" s="5" t="s">
        <v>425</v>
      </c>
      <c r="C13655" s="6">
        <v>1963</v>
      </c>
      <c r="D13655" s="7">
        <v>9064021</v>
      </c>
    </row>
    <row r="13656" spans="1:4" x14ac:dyDescent="0.3">
      <c r="A13656" s="2" t="s">
        <v>424</v>
      </c>
      <c r="B13656" s="2" t="s">
        <v>425</v>
      </c>
      <c r="C13656" s="3">
        <v>1964</v>
      </c>
      <c r="D13656" s="4">
        <v>9377712</v>
      </c>
    </row>
    <row r="13657" spans="1:4" x14ac:dyDescent="0.3">
      <c r="A13657" s="5" t="s">
        <v>424</v>
      </c>
      <c r="B13657" s="5" t="s">
        <v>425</v>
      </c>
      <c r="C13657" s="6">
        <v>1965</v>
      </c>
      <c r="D13657" s="7">
        <v>9697790</v>
      </c>
    </row>
    <row r="13658" spans="1:4" x14ac:dyDescent="0.3">
      <c r="A13658" s="2" t="s">
        <v>424</v>
      </c>
      <c r="B13658" s="2" t="s">
        <v>425</v>
      </c>
      <c r="C13658" s="3">
        <v>1966</v>
      </c>
      <c r="D13658" s="4">
        <v>10024854</v>
      </c>
    </row>
    <row r="13659" spans="1:4" x14ac:dyDescent="0.3">
      <c r="A13659" s="5" t="s">
        <v>424</v>
      </c>
      <c r="B13659" s="5" t="s">
        <v>425</v>
      </c>
      <c r="C13659" s="6">
        <v>1967</v>
      </c>
      <c r="D13659" s="7">
        <v>10358513</v>
      </c>
    </row>
    <row r="13660" spans="1:4" x14ac:dyDescent="0.3">
      <c r="A13660" s="2" t="s">
        <v>424</v>
      </c>
      <c r="B13660" s="2" t="s">
        <v>425</v>
      </c>
      <c r="C13660" s="3">
        <v>1968</v>
      </c>
      <c r="D13660" s="4">
        <v>10697530</v>
      </c>
    </row>
    <row r="13661" spans="1:4" x14ac:dyDescent="0.3">
      <c r="A13661" s="5" t="s">
        <v>424</v>
      </c>
      <c r="B13661" s="5" t="s">
        <v>425</v>
      </c>
      <c r="C13661" s="6">
        <v>1969</v>
      </c>
      <c r="D13661" s="7">
        <v>11040280</v>
      </c>
    </row>
    <row r="13662" spans="1:4" x14ac:dyDescent="0.3">
      <c r="A13662" s="2" t="s">
        <v>424</v>
      </c>
      <c r="B13662" s="2" t="s">
        <v>425</v>
      </c>
      <c r="C13662" s="3">
        <v>1970</v>
      </c>
      <c r="D13662" s="4">
        <v>11387790</v>
      </c>
    </row>
    <row r="13663" spans="1:4" x14ac:dyDescent="0.3">
      <c r="A13663" s="5" t="s">
        <v>424</v>
      </c>
      <c r="B13663" s="5" t="s">
        <v>425</v>
      </c>
      <c r="C13663" s="6">
        <v>1971</v>
      </c>
      <c r="D13663" s="7">
        <v>11741008</v>
      </c>
    </row>
    <row r="13664" spans="1:4" x14ac:dyDescent="0.3">
      <c r="A13664" s="2" t="s">
        <v>424</v>
      </c>
      <c r="B13664" s="2" t="s">
        <v>425</v>
      </c>
      <c r="C13664" s="3">
        <v>1972</v>
      </c>
      <c r="D13664" s="4">
        <v>12099180</v>
      </c>
    </row>
    <row r="13665" spans="1:4" x14ac:dyDescent="0.3">
      <c r="A13665" s="5" t="s">
        <v>424</v>
      </c>
      <c r="B13665" s="5" t="s">
        <v>425</v>
      </c>
      <c r="C13665" s="6">
        <v>1973</v>
      </c>
      <c r="D13665" s="7">
        <v>12463537</v>
      </c>
    </row>
    <row r="13666" spans="1:4" x14ac:dyDescent="0.3">
      <c r="A13666" s="2" t="s">
        <v>424</v>
      </c>
      <c r="B13666" s="2" t="s">
        <v>425</v>
      </c>
      <c r="C13666" s="3">
        <v>1974</v>
      </c>
      <c r="D13666" s="4">
        <v>12835351</v>
      </c>
    </row>
    <row r="13667" spans="1:4" x14ac:dyDescent="0.3">
      <c r="A13667" s="5" t="s">
        <v>424</v>
      </c>
      <c r="B13667" s="5" t="s">
        <v>425</v>
      </c>
      <c r="C13667" s="6">
        <v>1975</v>
      </c>
      <c r="D13667" s="7">
        <v>13215892</v>
      </c>
    </row>
    <row r="13668" spans="1:4" x14ac:dyDescent="0.3">
      <c r="A13668" s="2" t="s">
        <v>424</v>
      </c>
      <c r="B13668" s="2" t="s">
        <v>425</v>
      </c>
      <c r="C13668" s="3">
        <v>1976</v>
      </c>
      <c r="D13668" s="4">
        <v>13606284</v>
      </c>
    </row>
    <row r="13669" spans="1:4" x14ac:dyDescent="0.3">
      <c r="A13669" s="5" t="s">
        <v>424</v>
      </c>
      <c r="B13669" s="5" t="s">
        <v>425</v>
      </c>
      <c r="C13669" s="6">
        <v>1977</v>
      </c>
      <c r="D13669" s="7">
        <v>14006812</v>
      </c>
    </row>
    <row r="13670" spans="1:4" x14ac:dyDescent="0.3">
      <c r="A13670" s="2" t="s">
        <v>424</v>
      </c>
      <c r="B13670" s="2" t="s">
        <v>425</v>
      </c>
      <c r="C13670" s="3">
        <v>1978</v>
      </c>
      <c r="D13670" s="4">
        <v>14416684</v>
      </c>
    </row>
    <row r="13671" spans="1:4" x14ac:dyDescent="0.3">
      <c r="A13671" s="5" t="s">
        <v>424</v>
      </c>
      <c r="B13671" s="5" t="s">
        <v>425</v>
      </c>
      <c r="C13671" s="6">
        <v>1979</v>
      </c>
      <c r="D13671" s="7">
        <v>14834552</v>
      </c>
    </row>
    <row r="13672" spans="1:4" x14ac:dyDescent="0.3">
      <c r="A13672" s="2" t="s">
        <v>424</v>
      </c>
      <c r="B13672" s="2" t="s">
        <v>425</v>
      </c>
      <c r="C13672" s="3">
        <v>1980</v>
      </c>
      <c r="D13672" s="4">
        <v>15258218</v>
      </c>
    </row>
    <row r="13673" spans="1:4" x14ac:dyDescent="0.3">
      <c r="A13673" s="5" t="s">
        <v>424</v>
      </c>
      <c r="B13673" s="5" t="s">
        <v>425</v>
      </c>
      <c r="C13673" s="6">
        <v>1981</v>
      </c>
      <c r="D13673" s="7">
        <v>15687297</v>
      </c>
    </row>
    <row r="13674" spans="1:4" x14ac:dyDescent="0.3">
      <c r="A13674" s="2" t="s">
        <v>424</v>
      </c>
      <c r="B13674" s="2" t="s">
        <v>425</v>
      </c>
      <c r="C13674" s="3">
        <v>1982</v>
      </c>
      <c r="D13674" s="4">
        <v>16121874</v>
      </c>
    </row>
    <row r="13675" spans="1:4" x14ac:dyDescent="0.3">
      <c r="A13675" s="5" t="s">
        <v>424</v>
      </c>
      <c r="B13675" s="5" t="s">
        <v>425</v>
      </c>
      <c r="C13675" s="6">
        <v>1983</v>
      </c>
      <c r="D13675" s="7">
        <v>16562205</v>
      </c>
    </row>
    <row r="13676" spans="1:4" x14ac:dyDescent="0.3">
      <c r="A13676" s="2" t="s">
        <v>424</v>
      </c>
      <c r="B13676" s="2" t="s">
        <v>425</v>
      </c>
      <c r="C13676" s="3">
        <v>1984</v>
      </c>
      <c r="D13676" s="4">
        <v>17008841</v>
      </c>
    </row>
    <row r="13677" spans="1:4" x14ac:dyDescent="0.3">
      <c r="A13677" s="5" t="s">
        <v>424</v>
      </c>
      <c r="B13677" s="5" t="s">
        <v>425</v>
      </c>
      <c r="C13677" s="6">
        <v>1985</v>
      </c>
      <c r="D13677" s="7">
        <v>17461434</v>
      </c>
    </row>
    <row r="13678" spans="1:4" x14ac:dyDescent="0.3">
      <c r="A13678" s="2" t="s">
        <v>424</v>
      </c>
      <c r="B13678" s="2" t="s">
        <v>425</v>
      </c>
      <c r="C13678" s="3">
        <v>1986</v>
      </c>
      <c r="D13678" s="4">
        <v>17923536</v>
      </c>
    </row>
    <row r="13679" spans="1:4" x14ac:dyDescent="0.3">
      <c r="A13679" s="5" t="s">
        <v>424</v>
      </c>
      <c r="B13679" s="5" t="s">
        <v>425</v>
      </c>
      <c r="C13679" s="6">
        <v>1987</v>
      </c>
      <c r="D13679" s="7">
        <v>18394963</v>
      </c>
    </row>
    <row r="13680" spans="1:4" x14ac:dyDescent="0.3">
      <c r="A13680" s="2" t="s">
        <v>424</v>
      </c>
      <c r="B13680" s="2" t="s">
        <v>425</v>
      </c>
      <c r="C13680" s="3">
        <v>1988</v>
      </c>
      <c r="D13680" s="4">
        <v>18871020</v>
      </c>
    </row>
    <row r="13681" spans="1:4" x14ac:dyDescent="0.3">
      <c r="A13681" s="5" t="s">
        <v>424</v>
      </c>
      <c r="B13681" s="5" t="s">
        <v>425</v>
      </c>
      <c r="C13681" s="6">
        <v>1989</v>
      </c>
      <c r="D13681" s="7">
        <v>19348921</v>
      </c>
    </row>
    <row r="13682" spans="1:4" x14ac:dyDescent="0.3">
      <c r="A13682" s="2" t="s">
        <v>424</v>
      </c>
      <c r="B13682" s="2" t="s">
        <v>425</v>
      </c>
      <c r="C13682" s="3">
        <v>1990</v>
      </c>
      <c r="D13682" s="4">
        <v>19827010</v>
      </c>
    </row>
    <row r="13683" spans="1:4" x14ac:dyDescent="0.3">
      <c r="A13683" s="5" t="s">
        <v>424</v>
      </c>
      <c r="B13683" s="5" t="s">
        <v>425</v>
      </c>
      <c r="C13683" s="6">
        <v>1991</v>
      </c>
      <c r="D13683" s="7">
        <v>20304896</v>
      </c>
    </row>
    <row r="13684" spans="1:4" x14ac:dyDescent="0.3">
      <c r="A13684" s="2" t="s">
        <v>424</v>
      </c>
      <c r="B13684" s="2" t="s">
        <v>425</v>
      </c>
      <c r="C13684" s="3">
        <v>1992</v>
      </c>
      <c r="D13684" s="4">
        <v>20780948</v>
      </c>
    </row>
    <row r="13685" spans="1:4" x14ac:dyDescent="0.3">
      <c r="A13685" s="5" t="s">
        <v>424</v>
      </c>
      <c r="B13685" s="5" t="s">
        <v>425</v>
      </c>
      <c r="C13685" s="6">
        <v>1993</v>
      </c>
      <c r="D13685" s="7">
        <v>21254520</v>
      </c>
    </row>
    <row r="13686" spans="1:4" x14ac:dyDescent="0.3">
      <c r="A13686" s="2" t="s">
        <v>424</v>
      </c>
      <c r="B13686" s="2" t="s">
        <v>425</v>
      </c>
      <c r="C13686" s="3">
        <v>1994</v>
      </c>
      <c r="D13686" s="4">
        <v>21725188</v>
      </c>
    </row>
    <row r="13687" spans="1:4" x14ac:dyDescent="0.3">
      <c r="A13687" s="5" t="s">
        <v>424</v>
      </c>
      <c r="B13687" s="5" t="s">
        <v>425</v>
      </c>
      <c r="C13687" s="6">
        <v>1995</v>
      </c>
      <c r="D13687" s="7">
        <v>22193821</v>
      </c>
    </row>
    <row r="13688" spans="1:4" x14ac:dyDescent="0.3">
      <c r="A13688" s="2" t="s">
        <v>424</v>
      </c>
      <c r="B13688" s="2" t="s">
        <v>425</v>
      </c>
      <c r="C13688" s="3">
        <v>1996</v>
      </c>
      <c r="D13688" s="4">
        <v>22662113</v>
      </c>
    </row>
    <row r="13689" spans="1:4" x14ac:dyDescent="0.3">
      <c r="A13689" s="5" t="s">
        <v>424</v>
      </c>
      <c r="B13689" s="5" t="s">
        <v>425</v>
      </c>
      <c r="C13689" s="6">
        <v>1997</v>
      </c>
      <c r="D13689" s="7">
        <v>23131685</v>
      </c>
    </row>
    <row r="13690" spans="1:4" x14ac:dyDescent="0.3">
      <c r="A13690" s="2" t="s">
        <v>424</v>
      </c>
      <c r="B13690" s="2" t="s">
        <v>425</v>
      </c>
      <c r="C13690" s="3">
        <v>1998</v>
      </c>
      <c r="D13690" s="4">
        <v>23601337</v>
      </c>
    </row>
    <row r="13691" spans="1:4" x14ac:dyDescent="0.3">
      <c r="A13691" s="5" t="s">
        <v>424</v>
      </c>
      <c r="B13691" s="5" t="s">
        <v>425</v>
      </c>
      <c r="C13691" s="6">
        <v>1999</v>
      </c>
      <c r="D13691" s="7">
        <v>24066593</v>
      </c>
    </row>
    <row r="13692" spans="1:4" x14ac:dyDescent="0.3">
      <c r="A13692" s="2" t="s">
        <v>424</v>
      </c>
      <c r="B13692" s="2" t="s">
        <v>425</v>
      </c>
      <c r="C13692" s="3">
        <v>2000</v>
      </c>
      <c r="D13692" s="4">
        <v>24526708</v>
      </c>
    </row>
    <row r="13693" spans="1:4" x14ac:dyDescent="0.3">
      <c r="A13693" s="5" t="s">
        <v>424</v>
      </c>
      <c r="B13693" s="5" t="s">
        <v>425</v>
      </c>
      <c r="C13693" s="6">
        <v>2001</v>
      </c>
      <c r="D13693" s="7">
        <v>24979922</v>
      </c>
    </row>
    <row r="13694" spans="1:4" x14ac:dyDescent="0.3">
      <c r="A13694" s="2" t="s">
        <v>424</v>
      </c>
      <c r="B13694" s="2" t="s">
        <v>425</v>
      </c>
      <c r="C13694" s="3">
        <v>2002</v>
      </c>
      <c r="D13694" s="4">
        <v>25435671</v>
      </c>
    </row>
    <row r="13695" spans="1:4" x14ac:dyDescent="0.3">
      <c r="A13695" s="5" t="s">
        <v>424</v>
      </c>
      <c r="B13695" s="5" t="s">
        <v>425</v>
      </c>
      <c r="C13695" s="6">
        <v>2003</v>
      </c>
      <c r="D13695" s="7">
        <v>25892703</v>
      </c>
    </row>
    <row r="13696" spans="1:4" x14ac:dyDescent="0.3">
      <c r="A13696" s="2" t="s">
        <v>424</v>
      </c>
      <c r="B13696" s="2" t="s">
        <v>425</v>
      </c>
      <c r="C13696" s="3">
        <v>2004</v>
      </c>
      <c r="D13696" s="4">
        <v>26340838</v>
      </c>
    </row>
    <row r="13697" spans="1:4" x14ac:dyDescent="0.3">
      <c r="A13697" s="5" t="s">
        <v>424</v>
      </c>
      <c r="B13697" s="5" t="s">
        <v>425</v>
      </c>
      <c r="C13697" s="6">
        <v>2005</v>
      </c>
      <c r="D13697" s="7">
        <v>26785804</v>
      </c>
    </row>
    <row r="13698" spans="1:4" x14ac:dyDescent="0.3">
      <c r="A13698" s="2" t="s">
        <v>424</v>
      </c>
      <c r="B13698" s="2" t="s">
        <v>425</v>
      </c>
      <c r="C13698" s="3">
        <v>2006</v>
      </c>
      <c r="D13698" s="4">
        <v>27224686</v>
      </c>
    </row>
    <row r="13699" spans="1:4" x14ac:dyDescent="0.3">
      <c r="A13699" s="5" t="s">
        <v>424</v>
      </c>
      <c r="B13699" s="5" t="s">
        <v>425</v>
      </c>
      <c r="C13699" s="6">
        <v>2007</v>
      </c>
      <c r="D13699" s="7">
        <v>27649363</v>
      </c>
    </row>
    <row r="13700" spans="1:4" x14ac:dyDescent="0.3">
      <c r="A13700" s="2" t="s">
        <v>424</v>
      </c>
      <c r="B13700" s="2" t="s">
        <v>425</v>
      </c>
      <c r="C13700" s="3">
        <v>2008</v>
      </c>
      <c r="D13700" s="4">
        <v>28053696</v>
      </c>
    </row>
    <row r="13701" spans="1:4" x14ac:dyDescent="0.3">
      <c r="A13701" s="5" t="s">
        <v>424</v>
      </c>
      <c r="B13701" s="5" t="s">
        <v>425</v>
      </c>
      <c r="C13701" s="6">
        <v>2009</v>
      </c>
      <c r="D13701" s="7">
        <v>28438298</v>
      </c>
    </row>
    <row r="13702" spans="1:4" x14ac:dyDescent="0.3">
      <c r="A13702" s="2" t="s">
        <v>424</v>
      </c>
      <c r="B13702" s="2" t="s">
        <v>425</v>
      </c>
      <c r="C13702" s="3">
        <v>2010</v>
      </c>
      <c r="D13702" s="4">
        <v>28813101</v>
      </c>
    </row>
    <row r="13703" spans="1:4" x14ac:dyDescent="0.3">
      <c r="A13703" s="5" t="s">
        <v>424</v>
      </c>
      <c r="B13703" s="5" t="s">
        <v>425</v>
      </c>
      <c r="C13703" s="6">
        <v>2011</v>
      </c>
      <c r="D13703" s="7">
        <v>29185212</v>
      </c>
    </row>
    <row r="13704" spans="1:4" x14ac:dyDescent="0.3">
      <c r="A13704" s="2" t="s">
        <v>424</v>
      </c>
      <c r="B13704" s="2" t="s">
        <v>425</v>
      </c>
      <c r="C13704" s="3">
        <v>2012</v>
      </c>
      <c r="D13704" s="4">
        <v>29553826</v>
      </c>
    </row>
    <row r="13705" spans="1:4" x14ac:dyDescent="0.3">
      <c r="A13705" s="5" t="s">
        <v>424</v>
      </c>
      <c r="B13705" s="5" t="s">
        <v>425</v>
      </c>
      <c r="C13705" s="6">
        <v>2013</v>
      </c>
      <c r="D13705" s="7">
        <v>29912198</v>
      </c>
    </row>
    <row r="13706" spans="1:4" x14ac:dyDescent="0.3">
      <c r="A13706" s="2" t="s">
        <v>424</v>
      </c>
      <c r="B13706" s="2" t="s">
        <v>425</v>
      </c>
      <c r="C13706" s="3">
        <v>2014</v>
      </c>
      <c r="D13706" s="4">
        <v>30254079</v>
      </c>
    </row>
    <row r="13707" spans="1:4" x14ac:dyDescent="0.3">
      <c r="A13707" s="5" t="s">
        <v>424</v>
      </c>
      <c r="B13707" s="5" t="s">
        <v>425</v>
      </c>
      <c r="C13707" s="6">
        <v>2015</v>
      </c>
      <c r="D13707" s="7">
        <v>30573972</v>
      </c>
    </row>
    <row r="13708" spans="1:4" x14ac:dyDescent="0.3">
      <c r="A13708" s="2" t="s">
        <v>424</v>
      </c>
      <c r="B13708" s="2" t="s">
        <v>425</v>
      </c>
      <c r="C13708" s="3">
        <v>2016</v>
      </c>
      <c r="D13708" s="4">
        <v>30765720</v>
      </c>
    </row>
    <row r="13709" spans="1:4" x14ac:dyDescent="0.3">
      <c r="A13709" s="5" t="s">
        <v>424</v>
      </c>
      <c r="B13709" s="5" t="s">
        <v>425</v>
      </c>
      <c r="C13709" s="6">
        <v>2017</v>
      </c>
      <c r="D13709" s="7">
        <v>30565323</v>
      </c>
    </row>
    <row r="13710" spans="1:4" x14ac:dyDescent="0.3">
      <c r="A13710" s="2" t="s">
        <v>424</v>
      </c>
      <c r="B13710" s="2" t="s">
        <v>425</v>
      </c>
      <c r="C13710" s="3">
        <v>2018</v>
      </c>
      <c r="D13710" s="4">
        <v>29807592</v>
      </c>
    </row>
    <row r="13711" spans="1:4" x14ac:dyDescent="0.3">
      <c r="A13711" s="5" t="s">
        <v>424</v>
      </c>
      <c r="B13711" s="5" t="s">
        <v>425</v>
      </c>
      <c r="C13711" s="6">
        <v>2019</v>
      </c>
      <c r="D13711" s="7">
        <v>28938098</v>
      </c>
    </row>
    <row r="13712" spans="1:4" x14ac:dyDescent="0.3">
      <c r="A13712" s="2" t="s">
        <v>424</v>
      </c>
      <c r="B13712" s="2" t="s">
        <v>425</v>
      </c>
      <c r="C13712" s="3">
        <v>2020</v>
      </c>
      <c r="D13712" s="4">
        <v>28444077</v>
      </c>
    </row>
    <row r="13713" spans="1:4" x14ac:dyDescent="0.3">
      <c r="A13713" s="5" t="s">
        <v>424</v>
      </c>
      <c r="B13713" s="5" t="s">
        <v>425</v>
      </c>
      <c r="C13713" s="6">
        <v>2021</v>
      </c>
      <c r="D13713" s="7">
        <v>28237826</v>
      </c>
    </row>
    <row r="13714" spans="1:4" x14ac:dyDescent="0.3">
      <c r="A13714" s="2" t="s">
        <v>424</v>
      </c>
      <c r="B13714" s="2" t="s">
        <v>425</v>
      </c>
      <c r="C13714" s="3">
        <v>2022</v>
      </c>
      <c r="D13714" s="4">
        <v>28213017</v>
      </c>
    </row>
    <row r="13715" spans="1:4" x14ac:dyDescent="0.3">
      <c r="A13715" s="5" t="s">
        <v>424</v>
      </c>
      <c r="B13715" s="5" t="s">
        <v>425</v>
      </c>
      <c r="C13715" s="6">
        <v>2023</v>
      </c>
      <c r="D13715" s="7">
        <v>28300854</v>
      </c>
    </row>
    <row r="13716" spans="1:4" x14ac:dyDescent="0.3">
      <c r="A13716" s="2" t="s">
        <v>424</v>
      </c>
      <c r="B13716" s="2" t="s">
        <v>425</v>
      </c>
      <c r="C13716" s="3">
        <v>2024</v>
      </c>
      <c r="D13716" s="4">
        <v>28405543</v>
      </c>
    </row>
    <row r="13717" spans="1:4" x14ac:dyDescent="0.3">
      <c r="A13717" s="5" t="s">
        <v>426</v>
      </c>
      <c r="B13717" s="5" t="s">
        <v>427</v>
      </c>
      <c r="C13717" s="6">
        <v>1960</v>
      </c>
      <c r="D13717" s="7">
        <v>32531933</v>
      </c>
    </row>
    <row r="13718" spans="1:4" x14ac:dyDescent="0.3">
      <c r="A13718" s="2" t="s">
        <v>426</v>
      </c>
      <c r="B13718" s="2" t="s">
        <v>427</v>
      </c>
      <c r="C13718" s="3">
        <v>1961</v>
      </c>
      <c r="D13718" s="4">
        <v>33409059</v>
      </c>
    </row>
    <row r="13719" spans="1:4" x14ac:dyDescent="0.3">
      <c r="A13719" s="5" t="s">
        <v>426</v>
      </c>
      <c r="B13719" s="5" t="s">
        <v>427</v>
      </c>
      <c r="C13719" s="6">
        <v>1962</v>
      </c>
      <c r="D13719" s="7">
        <v>34288560</v>
      </c>
    </row>
    <row r="13720" spans="1:4" x14ac:dyDescent="0.3">
      <c r="A13720" s="2" t="s">
        <v>426</v>
      </c>
      <c r="B13720" s="2" t="s">
        <v>427</v>
      </c>
      <c r="C13720" s="3">
        <v>1963</v>
      </c>
      <c r="D13720" s="4">
        <v>35249101</v>
      </c>
    </row>
    <row r="13721" spans="1:4" x14ac:dyDescent="0.3">
      <c r="A13721" s="5" t="s">
        <v>426</v>
      </c>
      <c r="B13721" s="5" t="s">
        <v>427</v>
      </c>
      <c r="C13721" s="6">
        <v>1964</v>
      </c>
      <c r="D13721" s="7">
        <v>36201563</v>
      </c>
    </row>
    <row r="13722" spans="1:4" x14ac:dyDescent="0.3">
      <c r="A13722" s="2" t="s">
        <v>426</v>
      </c>
      <c r="B13722" s="2" t="s">
        <v>427</v>
      </c>
      <c r="C13722" s="3">
        <v>1965</v>
      </c>
      <c r="D13722" s="4">
        <v>37129656</v>
      </c>
    </row>
    <row r="13723" spans="1:4" x14ac:dyDescent="0.3">
      <c r="A13723" s="5" t="s">
        <v>426</v>
      </c>
      <c r="B13723" s="5" t="s">
        <v>427</v>
      </c>
      <c r="C13723" s="6">
        <v>1966</v>
      </c>
      <c r="D13723" s="7">
        <v>38024836</v>
      </c>
    </row>
    <row r="13724" spans="1:4" x14ac:dyDescent="0.3">
      <c r="A13724" s="2" t="s">
        <v>426</v>
      </c>
      <c r="B13724" s="2" t="s">
        <v>427</v>
      </c>
      <c r="C13724" s="3">
        <v>1967</v>
      </c>
      <c r="D13724" s="4">
        <v>38895080</v>
      </c>
    </row>
    <row r="13725" spans="1:4" x14ac:dyDescent="0.3">
      <c r="A13725" s="5" t="s">
        <v>426</v>
      </c>
      <c r="B13725" s="5" t="s">
        <v>427</v>
      </c>
      <c r="C13725" s="6">
        <v>1968</v>
      </c>
      <c r="D13725" s="7">
        <v>39734609</v>
      </c>
    </row>
    <row r="13726" spans="1:4" x14ac:dyDescent="0.3">
      <c r="A13726" s="2" t="s">
        <v>426</v>
      </c>
      <c r="B13726" s="2" t="s">
        <v>427</v>
      </c>
      <c r="C13726" s="3">
        <v>1969</v>
      </c>
      <c r="D13726" s="4">
        <v>40582096</v>
      </c>
    </row>
    <row r="13727" spans="1:4" x14ac:dyDescent="0.3">
      <c r="A13727" s="5" t="s">
        <v>426</v>
      </c>
      <c r="B13727" s="5" t="s">
        <v>427</v>
      </c>
      <c r="C13727" s="6">
        <v>1970</v>
      </c>
      <c r="D13727" s="7">
        <v>41475230</v>
      </c>
    </row>
    <row r="13728" spans="1:4" x14ac:dyDescent="0.3">
      <c r="A13728" s="2" t="s">
        <v>426</v>
      </c>
      <c r="B13728" s="2" t="s">
        <v>427</v>
      </c>
      <c r="C13728" s="3">
        <v>1971</v>
      </c>
      <c r="D13728" s="4">
        <v>42449276</v>
      </c>
    </row>
    <row r="13729" spans="1:4" x14ac:dyDescent="0.3">
      <c r="A13729" s="5" t="s">
        <v>426</v>
      </c>
      <c r="B13729" s="5" t="s">
        <v>427</v>
      </c>
      <c r="C13729" s="6">
        <v>1972</v>
      </c>
      <c r="D13729" s="7">
        <v>43429168</v>
      </c>
    </row>
    <row r="13730" spans="1:4" x14ac:dyDescent="0.3">
      <c r="A13730" s="2" t="s">
        <v>426</v>
      </c>
      <c r="B13730" s="2" t="s">
        <v>427</v>
      </c>
      <c r="C13730" s="3">
        <v>1973</v>
      </c>
      <c r="D13730" s="4">
        <v>44409861</v>
      </c>
    </row>
    <row r="13731" spans="1:4" x14ac:dyDescent="0.3">
      <c r="A13731" s="5" t="s">
        <v>426</v>
      </c>
      <c r="B13731" s="5" t="s">
        <v>427</v>
      </c>
      <c r="C13731" s="6">
        <v>1974</v>
      </c>
      <c r="D13731" s="7">
        <v>45413537</v>
      </c>
    </row>
    <row r="13732" spans="1:4" x14ac:dyDescent="0.3">
      <c r="A13732" s="2" t="s">
        <v>426</v>
      </c>
      <c r="B13732" s="2" t="s">
        <v>427</v>
      </c>
      <c r="C13732" s="3">
        <v>1975</v>
      </c>
      <c r="D13732" s="4">
        <v>46482903</v>
      </c>
    </row>
    <row r="13733" spans="1:4" x14ac:dyDescent="0.3">
      <c r="A13733" s="5" t="s">
        <v>426</v>
      </c>
      <c r="B13733" s="5" t="s">
        <v>427</v>
      </c>
      <c r="C13733" s="6">
        <v>1976</v>
      </c>
      <c r="D13733" s="7">
        <v>47684931</v>
      </c>
    </row>
    <row r="13734" spans="1:4" x14ac:dyDescent="0.3">
      <c r="A13734" s="2" t="s">
        <v>426</v>
      </c>
      <c r="B13734" s="2" t="s">
        <v>427</v>
      </c>
      <c r="C13734" s="3">
        <v>1977</v>
      </c>
      <c r="D13734" s="4">
        <v>48954872</v>
      </c>
    </row>
    <row r="13735" spans="1:4" x14ac:dyDescent="0.3">
      <c r="A13735" s="5" t="s">
        <v>426</v>
      </c>
      <c r="B13735" s="5" t="s">
        <v>427</v>
      </c>
      <c r="C13735" s="6">
        <v>1978</v>
      </c>
      <c r="D13735" s="7">
        <v>50249552</v>
      </c>
    </row>
    <row r="13736" spans="1:4" x14ac:dyDescent="0.3">
      <c r="A13736" s="2" t="s">
        <v>426</v>
      </c>
      <c r="B13736" s="2" t="s">
        <v>427</v>
      </c>
      <c r="C13736" s="3">
        <v>1979</v>
      </c>
      <c r="D13736" s="4">
        <v>51378211</v>
      </c>
    </row>
    <row r="13737" spans="1:4" x14ac:dyDescent="0.3">
      <c r="A13737" s="5" t="s">
        <v>426</v>
      </c>
      <c r="B13737" s="5" t="s">
        <v>427</v>
      </c>
      <c r="C13737" s="6">
        <v>1980</v>
      </c>
      <c r="D13737" s="7">
        <v>52490101</v>
      </c>
    </row>
    <row r="13738" spans="1:4" x14ac:dyDescent="0.3">
      <c r="A13738" s="2" t="s">
        <v>426</v>
      </c>
      <c r="B13738" s="2" t="s">
        <v>427</v>
      </c>
      <c r="C13738" s="3">
        <v>1981</v>
      </c>
      <c r="D13738" s="4">
        <v>53738141</v>
      </c>
    </row>
    <row r="13739" spans="1:4" x14ac:dyDescent="0.3">
      <c r="A13739" s="5" t="s">
        <v>426</v>
      </c>
      <c r="B13739" s="5" t="s">
        <v>427</v>
      </c>
      <c r="C13739" s="6">
        <v>1982</v>
      </c>
      <c r="D13739" s="7">
        <v>55011289</v>
      </c>
    </row>
    <row r="13740" spans="1:4" x14ac:dyDescent="0.3">
      <c r="A13740" s="2" t="s">
        <v>426</v>
      </c>
      <c r="B13740" s="2" t="s">
        <v>427</v>
      </c>
      <c r="C13740" s="3">
        <v>1983</v>
      </c>
      <c r="D13740" s="4">
        <v>56337921</v>
      </c>
    </row>
    <row r="13741" spans="1:4" x14ac:dyDescent="0.3">
      <c r="A13741" s="5" t="s">
        <v>426</v>
      </c>
      <c r="B13741" s="5" t="s">
        <v>427</v>
      </c>
      <c r="C13741" s="6">
        <v>1984</v>
      </c>
      <c r="D13741" s="7">
        <v>57706067</v>
      </c>
    </row>
    <row r="13742" spans="1:4" x14ac:dyDescent="0.3">
      <c r="A13742" s="2" t="s">
        <v>426</v>
      </c>
      <c r="B13742" s="2" t="s">
        <v>427</v>
      </c>
      <c r="C13742" s="3">
        <v>1985</v>
      </c>
      <c r="D13742" s="4">
        <v>59060622</v>
      </c>
    </row>
    <row r="13743" spans="1:4" x14ac:dyDescent="0.3">
      <c r="A13743" s="5" t="s">
        <v>426</v>
      </c>
      <c r="B13743" s="5" t="s">
        <v>427</v>
      </c>
      <c r="C13743" s="6">
        <v>1986</v>
      </c>
      <c r="D13743" s="7">
        <v>60347048</v>
      </c>
    </row>
    <row r="13744" spans="1:4" x14ac:dyDescent="0.3">
      <c r="A13744" s="2" t="s">
        <v>426</v>
      </c>
      <c r="B13744" s="2" t="s">
        <v>427</v>
      </c>
      <c r="C13744" s="3">
        <v>1987</v>
      </c>
      <c r="D13744" s="4">
        <v>61584651</v>
      </c>
    </row>
    <row r="13745" spans="1:4" x14ac:dyDescent="0.3">
      <c r="A13745" s="5" t="s">
        <v>426</v>
      </c>
      <c r="B13745" s="5" t="s">
        <v>427</v>
      </c>
      <c r="C13745" s="6">
        <v>1988</v>
      </c>
      <c r="D13745" s="7">
        <v>62843228</v>
      </c>
    </row>
    <row r="13746" spans="1:4" x14ac:dyDescent="0.3">
      <c r="A13746" s="2" t="s">
        <v>426</v>
      </c>
      <c r="B13746" s="2" t="s">
        <v>427</v>
      </c>
      <c r="C13746" s="3">
        <v>1989</v>
      </c>
      <c r="D13746" s="4">
        <v>64147348</v>
      </c>
    </row>
    <row r="13747" spans="1:4" x14ac:dyDescent="0.3">
      <c r="A13747" s="5" t="s">
        <v>426</v>
      </c>
      <c r="B13747" s="5" t="s">
        <v>427</v>
      </c>
      <c r="C13747" s="6">
        <v>1990</v>
      </c>
      <c r="D13747" s="7">
        <v>65504552</v>
      </c>
    </row>
    <row r="13748" spans="1:4" x14ac:dyDescent="0.3">
      <c r="A13748" s="2" t="s">
        <v>426</v>
      </c>
      <c r="B13748" s="2" t="s">
        <v>427</v>
      </c>
      <c r="C13748" s="3">
        <v>1991</v>
      </c>
      <c r="D13748" s="4">
        <v>66891775</v>
      </c>
    </row>
    <row r="13749" spans="1:4" x14ac:dyDescent="0.3">
      <c r="A13749" s="5" t="s">
        <v>426</v>
      </c>
      <c r="B13749" s="5" t="s">
        <v>427</v>
      </c>
      <c r="C13749" s="6">
        <v>1992</v>
      </c>
      <c r="D13749" s="7">
        <v>68260337</v>
      </c>
    </row>
    <row r="13750" spans="1:4" x14ac:dyDescent="0.3">
      <c r="A13750" s="2" t="s">
        <v>426</v>
      </c>
      <c r="B13750" s="2" t="s">
        <v>427</v>
      </c>
      <c r="C13750" s="3">
        <v>1993</v>
      </c>
      <c r="D13750" s="4">
        <v>69586384</v>
      </c>
    </row>
    <row r="13751" spans="1:4" x14ac:dyDescent="0.3">
      <c r="A13751" s="5" t="s">
        <v>426</v>
      </c>
      <c r="B13751" s="5" t="s">
        <v>427</v>
      </c>
      <c r="C13751" s="6">
        <v>1994</v>
      </c>
      <c r="D13751" s="7">
        <v>70854391</v>
      </c>
    </row>
    <row r="13752" spans="1:4" x14ac:dyDescent="0.3">
      <c r="A13752" s="2" t="s">
        <v>426</v>
      </c>
      <c r="B13752" s="2" t="s">
        <v>427</v>
      </c>
      <c r="C13752" s="3">
        <v>1995</v>
      </c>
      <c r="D13752" s="4">
        <v>72049940</v>
      </c>
    </row>
    <row r="13753" spans="1:4" x14ac:dyDescent="0.3">
      <c r="A13753" s="5" t="s">
        <v>426</v>
      </c>
      <c r="B13753" s="5" t="s">
        <v>427</v>
      </c>
      <c r="C13753" s="6">
        <v>1996</v>
      </c>
      <c r="D13753" s="7">
        <v>73156447</v>
      </c>
    </row>
    <row r="13754" spans="1:4" x14ac:dyDescent="0.3">
      <c r="A13754" s="2" t="s">
        <v>426</v>
      </c>
      <c r="B13754" s="2" t="s">
        <v>427</v>
      </c>
      <c r="C13754" s="3">
        <v>1997</v>
      </c>
      <c r="D13754" s="4">
        <v>74226889</v>
      </c>
    </row>
    <row r="13755" spans="1:4" x14ac:dyDescent="0.3">
      <c r="A13755" s="5" t="s">
        <v>426</v>
      </c>
      <c r="B13755" s="5" t="s">
        <v>427</v>
      </c>
      <c r="C13755" s="6">
        <v>1998</v>
      </c>
      <c r="D13755" s="7">
        <v>75299660</v>
      </c>
    </row>
    <row r="13756" spans="1:4" x14ac:dyDescent="0.3">
      <c r="A13756" s="2" t="s">
        <v>426</v>
      </c>
      <c r="B13756" s="2" t="s">
        <v>427</v>
      </c>
      <c r="C13756" s="3">
        <v>1999</v>
      </c>
      <c r="D13756" s="4">
        <v>76287452</v>
      </c>
    </row>
    <row r="13757" spans="1:4" x14ac:dyDescent="0.3">
      <c r="A13757" s="5" t="s">
        <v>426</v>
      </c>
      <c r="B13757" s="5" t="s">
        <v>427</v>
      </c>
      <c r="C13757" s="6">
        <v>2000</v>
      </c>
      <c r="D13757" s="7">
        <v>77154011</v>
      </c>
    </row>
    <row r="13758" spans="1:4" x14ac:dyDescent="0.3">
      <c r="A13758" s="2" t="s">
        <v>426</v>
      </c>
      <c r="B13758" s="2" t="s">
        <v>427</v>
      </c>
      <c r="C13758" s="3">
        <v>2001</v>
      </c>
      <c r="D13758" s="4">
        <v>77969361</v>
      </c>
    </row>
    <row r="13759" spans="1:4" x14ac:dyDescent="0.3">
      <c r="A13759" s="5" t="s">
        <v>426</v>
      </c>
      <c r="B13759" s="5" t="s">
        <v>427</v>
      </c>
      <c r="C13759" s="6">
        <v>2002</v>
      </c>
      <c r="D13759" s="7">
        <v>78772224</v>
      </c>
    </row>
    <row r="13760" spans="1:4" x14ac:dyDescent="0.3">
      <c r="A13760" s="2" t="s">
        <v>426</v>
      </c>
      <c r="B13760" s="2" t="s">
        <v>427</v>
      </c>
      <c r="C13760" s="3">
        <v>2003</v>
      </c>
      <c r="D13760" s="4">
        <v>79563777</v>
      </c>
    </row>
    <row r="13761" spans="1:4" x14ac:dyDescent="0.3">
      <c r="A13761" s="5" t="s">
        <v>426</v>
      </c>
      <c r="B13761" s="5" t="s">
        <v>427</v>
      </c>
      <c r="C13761" s="6">
        <v>2004</v>
      </c>
      <c r="D13761" s="7">
        <v>80338971</v>
      </c>
    </row>
    <row r="13762" spans="1:4" x14ac:dyDescent="0.3">
      <c r="A13762" s="2" t="s">
        <v>426</v>
      </c>
      <c r="B13762" s="2" t="s">
        <v>427</v>
      </c>
      <c r="C13762" s="3">
        <v>2005</v>
      </c>
      <c r="D13762" s="4">
        <v>81088313</v>
      </c>
    </row>
    <row r="13763" spans="1:4" x14ac:dyDescent="0.3">
      <c r="A13763" s="5" t="s">
        <v>426</v>
      </c>
      <c r="B13763" s="5" t="s">
        <v>427</v>
      </c>
      <c r="C13763" s="6">
        <v>2006</v>
      </c>
      <c r="D13763" s="7">
        <v>82167897</v>
      </c>
    </row>
    <row r="13764" spans="1:4" x14ac:dyDescent="0.3">
      <c r="A13764" s="2" t="s">
        <v>426</v>
      </c>
      <c r="B13764" s="2" t="s">
        <v>427</v>
      </c>
      <c r="C13764" s="3">
        <v>2007</v>
      </c>
      <c r="D13764" s="4">
        <v>83633375</v>
      </c>
    </row>
    <row r="13765" spans="1:4" x14ac:dyDescent="0.3">
      <c r="A13765" s="5" t="s">
        <v>426</v>
      </c>
      <c r="B13765" s="5" t="s">
        <v>427</v>
      </c>
      <c r="C13765" s="6">
        <v>2008</v>
      </c>
      <c r="D13765" s="7">
        <v>85175788</v>
      </c>
    </row>
    <row r="13766" spans="1:4" x14ac:dyDescent="0.3">
      <c r="A13766" s="2" t="s">
        <v>426</v>
      </c>
      <c r="B13766" s="2" t="s">
        <v>427</v>
      </c>
      <c r="C13766" s="3">
        <v>2009</v>
      </c>
      <c r="D13766" s="4">
        <v>86460018</v>
      </c>
    </row>
    <row r="13767" spans="1:4" x14ac:dyDescent="0.3">
      <c r="A13767" s="5" t="s">
        <v>426</v>
      </c>
      <c r="B13767" s="5" t="s">
        <v>427</v>
      </c>
      <c r="C13767" s="6">
        <v>2010</v>
      </c>
      <c r="D13767" s="7">
        <v>87455152</v>
      </c>
    </row>
    <row r="13768" spans="1:4" x14ac:dyDescent="0.3">
      <c r="A13768" s="2" t="s">
        <v>426</v>
      </c>
      <c r="B13768" s="2" t="s">
        <v>427</v>
      </c>
      <c r="C13768" s="3">
        <v>2011</v>
      </c>
      <c r="D13768" s="4">
        <v>88468314</v>
      </c>
    </row>
    <row r="13769" spans="1:4" x14ac:dyDescent="0.3">
      <c r="A13769" s="5" t="s">
        <v>426</v>
      </c>
      <c r="B13769" s="5" t="s">
        <v>427</v>
      </c>
      <c r="C13769" s="6">
        <v>2012</v>
      </c>
      <c r="D13769" s="7">
        <v>89510356</v>
      </c>
    </row>
    <row r="13770" spans="1:4" x14ac:dyDescent="0.3">
      <c r="A13770" s="2" t="s">
        <v>426</v>
      </c>
      <c r="B13770" s="2" t="s">
        <v>427</v>
      </c>
      <c r="C13770" s="3">
        <v>2013</v>
      </c>
      <c r="D13770" s="4">
        <v>90573104</v>
      </c>
    </row>
    <row r="13771" spans="1:4" x14ac:dyDescent="0.3">
      <c r="A13771" s="5" t="s">
        <v>426</v>
      </c>
      <c r="B13771" s="5" t="s">
        <v>427</v>
      </c>
      <c r="C13771" s="6">
        <v>2014</v>
      </c>
      <c r="D13771" s="7">
        <v>91679578</v>
      </c>
    </row>
    <row r="13772" spans="1:4" x14ac:dyDescent="0.3">
      <c r="A13772" s="2" t="s">
        <v>426</v>
      </c>
      <c r="B13772" s="2" t="s">
        <v>427</v>
      </c>
      <c r="C13772" s="3">
        <v>2015</v>
      </c>
      <c r="D13772" s="4">
        <v>92823254</v>
      </c>
    </row>
    <row r="13773" spans="1:4" x14ac:dyDescent="0.3">
      <c r="A13773" s="5" t="s">
        <v>426</v>
      </c>
      <c r="B13773" s="5" t="s">
        <v>427</v>
      </c>
      <c r="C13773" s="6">
        <v>2016</v>
      </c>
      <c r="D13773" s="7">
        <v>94000117</v>
      </c>
    </row>
    <row r="13774" spans="1:4" x14ac:dyDescent="0.3">
      <c r="A13774" s="2" t="s">
        <v>426</v>
      </c>
      <c r="B13774" s="2" t="s">
        <v>427</v>
      </c>
      <c r="C13774" s="3">
        <v>2017</v>
      </c>
      <c r="D13774" s="4">
        <v>95176977</v>
      </c>
    </row>
    <row r="13775" spans="1:4" x14ac:dyDescent="0.3">
      <c r="A13775" s="5" t="s">
        <v>426</v>
      </c>
      <c r="B13775" s="5" t="s">
        <v>427</v>
      </c>
      <c r="C13775" s="6">
        <v>2018</v>
      </c>
      <c r="D13775" s="7">
        <v>96237319</v>
      </c>
    </row>
    <row r="13776" spans="1:4" x14ac:dyDescent="0.3">
      <c r="A13776" s="2" t="s">
        <v>426</v>
      </c>
      <c r="B13776" s="2" t="s">
        <v>427</v>
      </c>
      <c r="C13776" s="3">
        <v>2019</v>
      </c>
      <c r="D13776" s="4">
        <v>97173776</v>
      </c>
    </row>
    <row r="13777" spans="1:4" x14ac:dyDescent="0.3">
      <c r="A13777" s="5" t="s">
        <v>426</v>
      </c>
      <c r="B13777" s="5" t="s">
        <v>427</v>
      </c>
      <c r="C13777" s="6">
        <v>2020</v>
      </c>
      <c r="D13777" s="7">
        <v>98079191</v>
      </c>
    </row>
    <row r="13778" spans="1:4" x14ac:dyDescent="0.3">
      <c r="A13778" s="2" t="s">
        <v>426</v>
      </c>
      <c r="B13778" s="2" t="s">
        <v>427</v>
      </c>
      <c r="C13778" s="3">
        <v>2021</v>
      </c>
      <c r="D13778" s="4">
        <v>98935098</v>
      </c>
    </row>
    <row r="13779" spans="1:4" x14ac:dyDescent="0.3">
      <c r="A13779" s="5" t="s">
        <v>426</v>
      </c>
      <c r="B13779" s="5" t="s">
        <v>427</v>
      </c>
      <c r="C13779" s="6">
        <v>2022</v>
      </c>
      <c r="D13779" s="7">
        <v>99680655</v>
      </c>
    </row>
    <row r="13780" spans="1:4" x14ac:dyDescent="0.3">
      <c r="A13780" s="2" t="s">
        <v>426</v>
      </c>
      <c r="B13780" s="2" t="s">
        <v>427</v>
      </c>
      <c r="C13780" s="3">
        <v>2023</v>
      </c>
      <c r="D13780" s="4">
        <v>100352192</v>
      </c>
    </row>
    <row r="13781" spans="1:4" x14ac:dyDescent="0.3">
      <c r="A13781" s="5" t="s">
        <v>426</v>
      </c>
      <c r="B13781" s="5" t="s">
        <v>427</v>
      </c>
      <c r="C13781" s="6">
        <v>2024</v>
      </c>
      <c r="D13781" s="7">
        <v>100987686</v>
      </c>
    </row>
    <row r="13782" spans="1:4" x14ac:dyDescent="0.3">
      <c r="A13782" s="2" t="s">
        <v>428</v>
      </c>
      <c r="B13782" s="2" t="s">
        <v>429</v>
      </c>
      <c r="C13782" s="3">
        <v>1960</v>
      </c>
      <c r="D13782" s="4">
        <v>32500</v>
      </c>
    </row>
    <row r="13783" spans="1:4" x14ac:dyDescent="0.3">
      <c r="A13783" s="5" t="s">
        <v>428</v>
      </c>
      <c r="B13783" s="5" t="s">
        <v>429</v>
      </c>
      <c r="C13783" s="6">
        <v>1961</v>
      </c>
      <c r="D13783" s="7">
        <v>34300</v>
      </c>
    </row>
    <row r="13784" spans="1:4" x14ac:dyDescent="0.3">
      <c r="A13784" s="2" t="s">
        <v>428</v>
      </c>
      <c r="B13784" s="2" t="s">
        <v>429</v>
      </c>
      <c r="C13784" s="3">
        <v>1962</v>
      </c>
      <c r="D13784" s="4">
        <v>35000</v>
      </c>
    </row>
    <row r="13785" spans="1:4" x14ac:dyDescent="0.3">
      <c r="A13785" s="5" t="s">
        <v>428</v>
      </c>
      <c r="B13785" s="5" t="s">
        <v>429</v>
      </c>
      <c r="C13785" s="6">
        <v>1963</v>
      </c>
      <c r="D13785" s="7">
        <v>39800</v>
      </c>
    </row>
    <row r="13786" spans="1:4" x14ac:dyDescent="0.3">
      <c r="A13786" s="2" t="s">
        <v>428</v>
      </c>
      <c r="B13786" s="2" t="s">
        <v>429</v>
      </c>
      <c r="C13786" s="3">
        <v>1964</v>
      </c>
      <c r="D13786" s="4">
        <v>40800</v>
      </c>
    </row>
    <row r="13787" spans="1:4" x14ac:dyDescent="0.3">
      <c r="A13787" s="5" t="s">
        <v>428</v>
      </c>
      <c r="B13787" s="5" t="s">
        <v>429</v>
      </c>
      <c r="C13787" s="6">
        <v>1965</v>
      </c>
      <c r="D13787" s="7">
        <v>43500</v>
      </c>
    </row>
    <row r="13788" spans="1:4" x14ac:dyDescent="0.3">
      <c r="A13788" s="2" t="s">
        <v>428</v>
      </c>
      <c r="B13788" s="2" t="s">
        <v>429</v>
      </c>
      <c r="C13788" s="3">
        <v>1966</v>
      </c>
      <c r="D13788" s="4">
        <v>46200</v>
      </c>
    </row>
    <row r="13789" spans="1:4" x14ac:dyDescent="0.3">
      <c r="A13789" s="5" t="s">
        <v>428</v>
      </c>
      <c r="B13789" s="5" t="s">
        <v>429</v>
      </c>
      <c r="C13789" s="6">
        <v>1967</v>
      </c>
      <c r="D13789" s="7">
        <v>49100</v>
      </c>
    </row>
    <row r="13790" spans="1:4" x14ac:dyDescent="0.3">
      <c r="A13790" s="2" t="s">
        <v>428</v>
      </c>
      <c r="B13790" s="2" t="s">
        <v>429</v>
      </c>
      <c r="C13790" s="3">
        <v>1968</v>
      </c>
      <c r="D13790" s="4">
        <v>55700</v>
      </c>
    </row>
    <row r="13791" spans="1:4" x14ac:dyDescent="0.3">
      <c r="A13791" s="5" t="s">
        <v>428</v>
      </c>
      <c r="B13791" s="5" t="s">
        <v>429</v>
      </c>
      <c r="C13791" s="6">
        <v>1969</v>
      </c>
      <c r="D13791" s="7">
        <v>60300</v>
      </c>
    </row>
    <row r="13792" spans="1:4" x14ac:dyDescent="0.3">
      <c r="A13792" s="2" t="s">
        <v>428</v>
      </c>
      <c r="B13792" s="2" t="s">
        <v>429</v>
      </c>
      <c r="C13792" s="3">
        <v>1970</v>
      </c>
      <c r="D13792" s="4">
        <v>63476</v>
      </c>
    </row>
    <row r="13793" spans="1:4" x14ac:dyDescent="0.3">
      <c r="A13793" s="5" t="s">
        <v>428</v>
      </c>
      <c r="B13793" s="5" t="s">
        <v>429</v>
      </c>
      <c r="C13793" s="6">
        <v>1971</v>
      </c>
      <c r="D13793" s="7">
        <v>70937</v>
      </c>
    </row>
    <row r="13794" spans="1:4" x14ac:dyDescent="0.3">
      <c r="A13794" s="2" t="s">
        <v>428</v>
      </c>
      <c r="B13794" s="2" t="s">
        <v>429</v>
      </c>
      <c r="C13794" s="3">
        <v>1972</v>
      </c>
      <c r="D13794" s="4">
        <v>76319</v>
      </c>
    </row>
    <row r="13795" spans="1:4" x14ac:dyDescent="0.3">
      <c r="A13795" s="5" t="s">
        <v>428</v>
      </c>
      <c r="B13795" s="5" t="s">
        <v>429</v>
      </c>
      <c r="C13795" s="6">
        <v>1973</v>
      </c>
      <c r="D13795" s="7">
        <v>84121</v>
      </c>
    </row>
    <row r="13796" spans="1:4" x14ac:dyDescent="0.3">
      <c r="A13796" s="2" t="s">
        <v>428</v>
      </c>
      <c r="B13796" s="2" t="s">
        <v>429</v>
      </c>
      <c r="C13796" s="3">
        <v>1974</v>
      </c>
      <c r="D13796" s="4">
        <v>89941</v>
      </c>
    </row>
    <row r="13797" spans="1:4" x14ac:dyDescent="0.3">
      <c r="A13797" s="5" t="s">
        <v>428</v>
      </c>
      <c r="B13797" s="5" t="s">
        <v>429</v>
      </c>
      <c r="C13797" s="6">
        <v>1975</v>
      </c>
      <c r="D13797" s="7">
        <v>94484</v>
      </c>
    </row>
    <row r="13798" spans="1:4" x14ac:dyDescent="0.3">
      <c r="A13798" s="2" t="s">
        <v>428</v>
      </c>
      <c r="B13798" s="2" t="s">
        <v>429</v>
      </c>
      <c r="C13798" s="3">
        <v>1976</v>
      </c>
      <c r="D13798" s="4">
        <v>96166</v>
      </c>
    </row>
    <row r="13799" spans="1:4" x14ac:dyDescent="0.3">
      <c r="A13799" s="5" t="s">
        <v>428</v>
      </c>
      <c r="B13799" s="5" t="s">
        <v>429</v>
      </c>
      <c r="C13799" s="6">
        <v>1977</v>
      </c>
      <c r="D13799" s="7">
        <v>93203</v>
      </c>
    </row>
    <row r="13800" spans="1:4" x14ac:dyDescent="0.3">
      <c r="A13800" s="2" t="s">
        <v>428</v>
      </c>
      <c r="B13800" s="2" t="s">
        <v>429</v>
      </c>
      <c r="C13800" s="3">
        <v>1978</v>
      </c>
      <c r="D13800" s="4">
        <v>95929</v>
      </c>
    </row>
    <row r="13801" spans="1:4" x14ac:dyDescent="0.3">
      <c r="A13801" s="5" t="s">
        <v>428</v>
      </c>
      <c r="B13801" s="5" t="s">
        <v>429</v>
      </c>
      <c r="C13801" s="6">
        <v>1979</v>
      </c>
      <c r="D13801" s="7">
        <v>96183</v>
      </c>
    </row>
    <row r="13802" spans="1:4" x14ac:dyDescent="0.3">
      <c r="A13802" s="2" t="s">
        <v>428</v>
      </c>
      <c r="B13802" s="2" t="s">
        <v>429</v>
      </c>
      <c r="C13802" s="3">
        <v>1980</v>
      </c>
      <c r="D13802" s="4">
        <v>99636</v>
      </c>
    </row>
    <row r="13803" spans="1:4" x14ac:dyDescent="0.3">
      <c r="A13803" s="5" t="s">
        <v>428</v>
      </c>
      <c r="B13803" s="5" t="s">
        <v>429</v>
      </c>
      <c r="C13803" s="6">
        <v>1981</v>
      </c>
      <c r="D13803" s="7">
        <v>99853</v>
      </c>
    </row>
    <row r="13804" spans="1:4" x14ac:dyDescent="0.3">
      <c r="A13804" s="2" t="s">
        <v>428</v>
      </c>
      <c r="B13804" s="2" t="s">
        <v>429</v>
      </c>
      <c r="C13804" s="3">
        <v>1982</v>
      </c>
      <c r="D13804" s="4">
        <v>100068</v>
      </c>
    </row>
    <row r="13805" spans="1:4" x14ac:dyDescent="0.3">
      <c r="A13805" s="5" t="s">
        <v>428</v>
      </c>
      <c r="B13805" s="5" t="s">
        <v>429</v>
      </c>
      <c r="C13805" s="6">
        <v>1983</v>
      </c>
      <c r="D13805" s="7">
        <v>100348</v>
      </c>
    </row>
    <row r="13806" spans="1:4" x14ac:dyDescent="0.3">
      <c r="A13806" s="2" t="s">
        <v>428</v>
      </c>
      <c r="B13806" s="2" t="s">
        <v>429</v>
      </c>
      <c r="C13806" s="3">
        <v>1984</v>
      </c>
      <c r="D13806" s="4">
        <v>100600</v>
      </c>
    </row>
    <row r="13807" spans="1:4" x14ac:dyDescent="0.3">
      <c r="A13807" s="5" t="s">
        <v>428</v>
      </c>
      <c r="B13807" s="5" t="s">
        <v>429</v>
      </c>
      <c r="C13807" s="6">
        <v>1985</v>
      </c>
      <c r="D13807" s="7">
        <v>100760</v>
      </c>
    </row>
    <row r="13808" spans="1:4" x14ac:dyDescent="0.3">
      <c r="A13808" s="2" t="s">
        <v>428</v>
      </c>
      <c r="B13808" s="2" t="s">
        <v>429</v>
      </c>
      <c r="C13808" s="3">
        <v>1986</v>
      </c>
      <c r="D13808" s="4">
        <v>100842</v>
      </c>
    </row>
    <row r="13809" spans="1:4" x14ac:dyDescent="0.3">
      <c r="A13809" s="5" t="s">
        <v>428</v>
      </c>
      <c r="B13809" s="5" t="s">
        <v>429</v>
      </c>
      <c r="C13809" s="6">
        <v>1987</v>
      </c>
      <c r="D13809" s="7">
        <v>100901</v>
      </c>
    </row>
    <row r="13810" spans="1:4" x14ac:dyDescent="0.3">
      <c r="A13810" s="2" t="s">
        <v>428</v>
      </c>
      <c r="B13810" s="2" t="s">
        <v>429</v>
      </c>
      <c r="C13810" s="3">
        <v>1988</v>
      </c>
      <c r="D13810" s="4">
        <v>100952</v>
      </c>
    </row>
    <row r="13811" spans="1:4" x14ac:dyDescent="0.3">
      <c r="A13811" s="5" t="s">
        <v>428</v>
      </c>
      <c r="B13811" s="5" t="s">
        <v>429</v>
      </c>
      <c r="C13811" s="6">
        <v>1989</v>
      </c>
      <c r="D13811" s="7">
        <v>101041</v>
      </c>
    </row>
    <row r="13812" spans="1:4" x14ac:dyDescent="0.3">
      <c r="A13812" s="2" t="s">
        <v>428</v>
      </c>
      <c r="B13812" s="2" t="s">
        <v>429</v>
      </c>
      <c r="C13812" s="3">
        <v>1990</v>
      </c>
      <c r="D13812" s="4">
        <v>103963</v>
      </c>
    </row>
    <row r="13813" spans="1:4" x14ac:dyDescent="0.3">
      <c r="A13813" s="5" t="s">
        <v>428</v>
      </c>
      <c r="B13813" s="5" t="s">
        <v>429</v>
      </c>
      <c r="C13813" s="6">
        <v>1991</v>
      </c>
      <c r="D13813" s="7">
        <v>104807</v>
      </c>
    </row>
    <row r="13814" spans="1:4" x14ac:dyDescent="0.3">
      <c r="A13814" s="2" t="s">
        <v>428</v>
      </c>
      <c r="B13814" s="2" t="s">
        <v>429</v>
      </c>
      <c r="C13814" s="3">
        <v>1992</v>
      </c>
      <c r="D13814" s="4">
        <v>105712</v>
      </c>
    </row>
    <row r="13815" spans="1:4" x14ac:dyDescent="0.3">
      <c r="A13815" s="5" t="s">
        <v>428</v>
      </c>
      <c r="B13815" s="5" t="s">
        <v>429</v>
      </c>
      <c r="C13815" s="6">
        <v>1993</v>
      </c>
      <c r="D13815" s="7">
        <v>106578</v>
      </c>
    </row>
    <row r="13816" spans="1:4" x14ac:dyDescent="0.3">
      <c r="A13816" s="2" t="s">
        <v>428</v>
      </c>
      <c r="B13816" s="2" t="s">
        <v>429</v>
      </c>
      <c r="C13816" s="3">
        <v>1994</v>
      </c>
      <c r="D13816" s="4">
        <v>107318</v>
      </c>
    </row>
    <row r="13817" spans="1:4" x14ac:dyDescent="0.3">
      <c r="A13817" s="5" t="s">
        <v>428</v>
      </c>
      <c r="B13817" s="5" t="s">
        <v>429</v>
      </c>
      <c r="C13817" s="6">
        <v>1995</v>
      </c>
      <c r="D13817" s="7">
        <v>107818</v>
      </c>
    </row>
    <row r="13818" spans="1:4" x14ac:dyDescent="0.3">
      <c r="A13818" s="2" t="s">
        <v>428</v>
      </c>
      <c r="B13818" s="2" t="s">
        <v>429</v>
      </c>
      <c r="C13818" s="3">
        <v>1996</v>
      </c>
      <c r="D13818" s="4">
        <v>108095</v>
      </c>
    </row>
    <row r="13819" spans="1:4" x14ac:dyDescent="0.3">
      <c r="A13819" s="5" t="s">
        <v>428</v>
      </c>
      <c r="B13819" s="5" t="s">
        <v>429</v>
      </c>
      <c r="C13819" s="6">
        <v>1997</v>
      </c>
      <c r="D13819" s="7">
        <v>108357</v>
      </c>
    </row>
    <row r="13820" spans="1:4" x14ac:dyDescent="0.3">
      <c r="A13820" s="2" t="s">
        <v>428</v>
      </c>
      <c r="B13820" s="2" t="s">
        <v>429</v>
      </c>
      <c r="C13820" s="3">
        <v>1998</v>
      </c>
      <c r="D13820" s="4">
        <v>108537</v>
      </c>
    </row>
    <row r="13821" spans="1:4" x14ac:dyDescent="0.3">
      <c r="A13821" s="5" t="s">
        <v>428</v>
      </c>
      <c r="B13821" s="5" t="s">
        <v>429</v>
      </c>
      <c r="C13821" s="6">
        <v>1999</v>
      </c>
      <c r="D13821" s="7">
        <v>108599</v>
      </c>
    </row>
    <row r="13822" spans="1:4" x14ac:dyDescent="0.3">
      <c r="A13822" s="2" t="s">
        <v>428</v>
      </c>
      <c r="B13822" s="2" t="s">
        <v>429</v>
      </c>
      <c r="C13822" s="3">
        <v>2000</v>
      </c>
      <c r="D13822" s="4">
        <v>108642</v>
      </c>
    </row>
    <row r="13823" spans="1:4" x14ac:dyDescent="0.3">
      <c r="A13823" s="5" t="s">
        <v>428</v>
      </c>
      <c r="B13823" s="5" t="s">
        <v>429</v>
      </c>
      <c r="C13823" s="6">
        <v>2001</v>
      </c>
      <c r="D13823" s="7">
        <v>108549</v>
      </c>
    </row>
    <row r="13824" spans="1:4" x14ac:dyDescent="0.3">
      <c r="A13824" s="2" t="s">
        <v>428</v>
      </c>
      <c r="B13824" s="2" t="s">
        <v>429</v>
      </c>
      <c r="C13824" s="3">
        <v>2002</v>
      </c>
      <c r="D13824" s="4">
        <v>108509</v>
      </c>
    </row>
    <row r="13825" spans="1:4" x14ac:dyDescent="0.3">
      <c r="A13825" s="5" t="s">
        <v>428</v>
      </c>
      <c r="B13825" s="5" t="s">
        <v>429</v>
      </c>
      <c r="C13825" s="6">
        <v>2003</v>
      </c>
      <c r="D13825" s="7">
        <v>108505</v>
      </c>
    </row>
    <row r="13826" spans="1:4" x14ac:dyDescent="0.3">
      <c r="A13826" s="2" t="s">
        <v>428</v>
      </c>
      <c r="B13826" s="2" t="s">
        <v>429</v>
      </c>
      <c r="C13826" s="3">
        <v>2004</v>
      </c>
      <c r="D13826" s="4">
        <v>108466</v>
      </c>
    </row>
    <row r="13827" spans="1:4" x14ac:dyDescent="0.3">
      <c r="A13827" s="5" t="s">
        <v>428</v>
      </c>
      <c r="B13827" s="5" t="s">
        <v>429</v>
      </c>
      <c r="C13827" s="6">
        <v>2005</v>
      </c>
      <c r="D13827" s="7">
        <v>108453</v>
      </c>
    </row>
    <row r="13828" spans="1:4" x14ac:dyDescent="0.3">
      <c r="A13828" s="2" t="s">
        <v>428</v>
      </c>
      <c r="B13828" s="2" t="s">
        <v>429</v>
      </c>
      <c r="C13828" s="3">
        <v>2006</v>
      </c>
      <c r="D13828" s="4">
        <v>108369</v>
      </c>
    </row>
    <row r="13829" spans="1:4" x14ac:dyDescent="0.3">
      <c r="A13829" s="5" t="s">
        <v>428</v>
      </c>
      <c r="B13829" s="5" t="s">
        <v>429</v>
      </c>
      <c r="C13829" s="6">
        <v>2007</v>
      </c>
      <c r="D13829" s="7">
        <v>108337</v>
      </c>
    </row>
    <row r="13830" spans="1:4" x14ac:dyDescent="0.3">
      <c r="A13830" s="2" t="s">
        <v>428</v>
      </c>
      <c r="B13830" s="2" t="s">
        <v>429</v>
      </c>
      <c r="C13830" s="3">
        <v>2008</v>
      </c>
      <c r="D13830" s="4">
        <v>108397</v>
      </c>
    </row>
    <row r="13831" spans="1:4" x14ac:dyDescent="0.3">
      <c r="A13831" s="5" t="s">
        <v>428</v>
      </c>
      <c r="B13831" s="5" t="s">
        <v>429</v>
      </c>
      <c r="C13831" s="6">
        <v>2009</v>
      </c>
      <c r="D13831" s="7">
        <v>108404</v>
      </c>
    </row>
    <row r="13832" spans="1:4" x14ac:dyDescent="0.3">
      <c r="A13832" s="2" t="s">
        <v>428</v>
      </c>
      <c r="B13832" s="2" t="s">
        <v>429</v>
      </c>
      <c r="C13832" s="3">
        <v>2010</v>
      </c>
      <c r="D13832" s="4">
        <v>108357</v>
      </c>
    </row>
    <row r="13833" spans="1:4" x14ac:dyDescent="0.3">
      <c r="A13833" s="5" t="s">
        <v>428</v>
      </c>
      <c r="B13833" s="5" t="s">
        <v>429</v>
      </c>
      <c r="C13833" s="6">
        <v>2011</v>
      </c>
      <c r="D13833" s="7">
        <v>108290</v>
      </c>
    </row>
    <row r="13834" spans="1:4" x14ac:dyDescent="0.3">
      <c r="A13834" s="2" t="s">
        <v>428</v>
      </c>
      <c r="B13834" s="2" t="s">
        <v>429</v>
      </c>
      <c r="C13834" s="3">
        <v>2012</v>
      </c>
      <c r="D13834" s="4">
        <v>108188</v>
      </c>
    </row>
    <row r="13835" spans="1:4" x14ac:dyDescent="0.3">
      <c r="A13835" s="5" t="s">
        <v>428</v>
      </c>
      <c r="B13835" s="5" t="s">
        <v>429</v>
      </c>
      <c r="C13835" s="6">
        <v>2013</v>
      </c>
      <c r="D13835" s="7">
        <v>108041</v>
      </c>
    </row>
    <row r="13836" spans="1:4" x14ac:dyDescent="0.3">
      <c r="A13836" s="2" t="s">
        <v>428</v>
      </c>
      <c r="B13836" s="2" t="s">
        <v>429</v>
      </c>
      <c r="C13836" s="3">
        <v>2014</v>
      </c>
      <c r="D13836" s="4">
        <v>107882</v>
      </c>
    </row>
    <row r="13837" spans="1:4" x14ac:dyDescent="0.3">
      <c r="A13837" s="5" t="s">
        <v>428</v>
      </c>
      <c r="B13837" s="5" t="s">
        <v>429</v>
      </c>
      <c r="C13837" s="6">
        <v>2015</v>
      </c>
      <c r="D13837" s="7">
        <v>107712</v>
      </c>
    </row>
    <row r="13838" spans="1:4" x14ac:dyDescent="0.3">
      <c r="A13838" s="2" t="s">
        <v>428</v>
      </c>
      <c r="B13838" s="2" t="s">
        <v>429</v>
      </c>
      <c r="C13838" s="3">
        <v>2016</v>
      </c>
      <c r="D13838" s="4">
        <v>107516</v>
      </c>
    </row>
    <row r="13839" spans="1:4" x14ac:dyDescent="0.3">
      <c r="A13839" s="5" t="s">
        <v>428</v>
      </c>
      <c r="B13839" s="5" t="s">
        <v>429</v>
      </c>
      <c r="C13839" s="6">
        <v>2017</v>
      </c>
      <c r="D13839" s="7">
        <v>107281</v>
      </c>
    </row>
    <row r="13840" spans="1:4" x14ac:dyDescent="0.3">
      <c r="A13840" s="2" t="s">
        <v>428</v>
      </c>
      <c r="B13840" s="2" t="s">
        <v>429</v>
      </c>
      <c r="C13840" s="3">
        <v>2018</v>
      </c>
      <c r="D13840" s="4">
        <v>107001</v>
      </c>
    </row>
    <row r="13841" spans="1:4" x14ac:dyDescent="0.3">
      <c r="A13841" s="5" t="s">
        <v>428</v>
      </c>
      <c r="B13841" s="5" t="s">
        <v>429</v>
      </c>
      <c r="C13841" s="6">
        <v>2019</v>
      </c>
      <c r="D13841" s="7">
        <v>106669</v>
      </c>
    </row>
    <row r="13842" spans="1:4" x14ac:dyDescent="0.3">
      <c r="A13842" s="2" t="s">
        <v>428</v>
      </c>
      <c r="B13842" s="2" t="s">
        <v>429</v>
      </c>
      <c r="C13842" s="3">
        <v>2020</v>
      </c>
      <c r="D13842" s="4">
        <v>106290</v>
      </c>
    </row>
    <row r="13843" spans="1:4" x14ac:dyDescent="0.3">
      <c r="A13843" s="5" t="s">
        <v>428</v>
      </c>
      <c r="B13843" s="5" t="s">
        <v>429</v>
      </c>
      <c r="C13843" s="6">
        <v>2021</v>
      </c>
      <c r="D13843" s="7">
        <v>105870</v>
      </c>
    </row>
    <row r="13844" spans="1:4" x14ac:dyDescent="0.3">
      <c r="A13844" s="2" t="s">
        <v>428</v>
      </c>
      <c r="B13844" s="2" t="s">
        <v>429</v>
      </c>
      <c r="C13844" s="3">
        <v>2022</v>
      </c>
      <c r="D13844" s="4">
        <v>105413</v>
      </c>
    </row>
    <row r="13845" spans="1:4" x14ac:dyDescent="0.3">
      <c r="A13845" s="5" t="s">
        <v>428</v>
      </c>
      <c r="B13845" s="5" t="s">
        <v>429</v>
      </c>
      <c r="C13845" s="6">
        <v>2023</v>
      </c>
      <c r="D13845" s="7">
        <v>104917</v>
      </c>
    </row>
    <row r="13846" spans="1:4" x14ac:dyDescent="0.3">
      <c r="A13846" s="2" t="s">
        <v>428</v>
      </c>
      <c r="B13846" s="2" t="s">
        <v>429</v>
      </c>
      <c r="C13846" s="3">
        <v>2024</v>
      </c>
      <c r="D13846" s="4">
        <v>104377</v>
      </c>
    </row>
    <row r="13847" spans="1:4" x14ac:dyDescent="0.3">
      <c r="A13847" s="5" t="s">
        <v>430</v>
      </c>
      <c r="B13847" s="5" t="s">
        <v>431</v>
      </c>
      <c r="C13847" s="6">
        <v>1990</v>
      </c>
      <c r="D13847" s="7">
        <v>1978248</v>
      </c>
    </row>
    <row r="13848" spans="1:4" x14ac:dyDescent="0.3">
      <c r="A13848" s="2" t="s">
        <v>430</v>
      </c>
      <c r="B13848" s="2" t="s">
        <v>431</v>
      </c>
      <c r="C13848" s="3">
        <v>1991</v>
      </c>
      <c r="D13848" s="4">
        <v>2068845</v>
      </c>
    </row>
    <row r="13849" spans="1:4" x14ac:dyDescent="0.3">
      <c r="A13849" s="5" t="s">
        <v>430</v>
      </c>
      <c r="B13849" s="5" t="s">
        <v>431</v>
      </c>
      <c r="C13849" s="6">
        <v>1992</v>
      </c>
      <c r="D13849" s="7">
        <v>2163591</v>
      </c>
    </row>
    <row r="13850" spans="1:4" x14ac:dyDescent="0.3">
      <c r="A13850" s="2" t="s">
        <v>430</v>
      </c>
      <c r="B13850" s="2" t="s">
        <v>431</v>
      </c>
      <c r="C13850" s="3">
        <v>1993</v>
      </c>
      <c r="D13850" s="4">
        <v>2262676</v>
      </c>
    </row>
    <row r="13851" spans="1:4" x14ac:dyDescent="0.3">
      <c r="A13851" s="5" t="s">
        <v>430</v>
      </c>
      <c r="B13851" s="5" t="s">
        <v>431</v>
      </c>
      <c r="C13851" s="6">
        <v>1994</v>
      </c>
      <c r="D13851" s="7">
        <v>2366298</v>
      </c>
    </row>
    <row r="13852" spans="1:4" x14ac:dyDescent="0.3">
      <c r="A13852" s="2" t="s">
        <v>430</v>
      </c>
      <c r="B13852" s="2" t="s">
        <v>431</v>
      </c>
      <c r="C13852" s="3">
        <v>1995</v>
      </c>
      <c r="D13852" s="4">
        <v>2474666</v>
      </c>
    </row>
    <row r="13853" spans="1:4" x14ac:dyDescent="0.3">
      <c r="A13853" s="5" t="s">
        <v>430</v>
      </c>
      <c r="B13853" s="5" t="s">
        <v>431</v>
      </c>
      <c r="C13853" s="6">
        <v>1996</v>
      </c>
      <c r="D13853" s="7">
        <v>2587997</v>
      </c>
    </row>
    <row r="13854" spans="1:4" x14ac:dyDescent="0.3">
      <c r="A13854" s="2" t="s">
        <v>430</v>
      </c>
      <c r="B13854" s="2" t="s">
        <v>431</v>
      </c>
      <c r="C13854" s="3">
        <v>1997</v>
      </c>
      <c r="D13854" s="4">
        <v>2706518</v>
      </c>
    </row>
    <row r="13855" spans="1:4" x14ac:dyDescent="0.3">
      <c r="A13855" s="5" t="s">
        <v>430</v>
      </c>
      <c r="B13855" s="5" t="s">
        <v>431</v>
      </c>
      <c r="C13855" s="6">
        <v>1998</v>
      </c>
      <c r="D13855" s="7">
        <v>2776568</v>
      </c>
    </row>
    <row r="13856" spans="1:4" x14ac:dyDescent="0.3">
      <c r="A13856" s="2" t="s">
        <v>430</v>
      </c>
      <c r="B13856" s="2" t="s">
        <v>431</v>
      </c>
      <c r="C13856" s="3">
        <v>1999</v>
      </c>
      <c r="D13856" s="4">
        <v>2848431</v>
      </c>
    </row>
    <row r="13857" spans="1:4" x14ac:dyDescent="0.3">
      <c r="A13857" s="5" t="s">
        <v>430</v>
      </c>
      <c r="B13857" s="5" t="s">
        <v>431</v>
      </c>
      <c r="C13857" s="6">
        <v>2000</v>
      </c>
      <c r="D13857" s="7">
        <v>2922153</v>
      </c>
    </row>
    <row r="13858" spans="1:4" x14ac:dyDescent="0.3">
      <c r="A13858" s="2" t="s">
        <v>430</v>
      </c>
      <c r="B13858" s="2" t="s">
        <v>431</v>
      </c>
      <c r="C13858" s="3">
        <v>2001</v>
      </c>
      <c r="D13858" s="4">
        <v>2997784</v>
      </c>
    </row>
    <row r="13859" spans="1:4" x14ac:dyDescent="0.3">
      <c r="A13859" s="5" t="s">
        <v>430</v>
      </c>
      <c r="B13859" s="5" t="s">
        <v>431</v>
      </c>
      <c r="C13859" s="6">
        <v>2002</v>
      </c>
      <c r="D13859" s="7">
        <v>3075373</v>
      </c>
    </row>
    <row r="13860" spans="1:4" x14ac:dyDescent="0.3">
      <c r="A13860" s="2" t="s">
        <v>430</v>
      </c>
      <c r="B13860" s="2" t="s">
        <v>431</v>
      </c>
      <c r="C13860" s="3">
        <v>2003</v>
      </c>
      <c r="D13860" s="4">
        <v>3154969</v>
      </c>
    </row>
    <row r="13861" spans="1:4" x14ac:dyDescent="0.3">
      <c r="A13861" s="5" t="s">
        <v>430</v>
      </c>
      <c r="B13861" s="5" t="s">
        <v>431</v>
      </c>
      <c r="C13861" s="6">
        <v>2004</v>
      </c>
      <c r="D13861" s="7">
        <v>3236626</v>
      </c>
    </row>
    <row r="13862" spans="1:4" x14ac:dyDescent="0.3">
      <c r="A13862" s="2" t="s">
        <v>430</v>
      </c>
      <c r="B13862" s="2" t="s">
        <v>431</v>
      </c>
      <c r="C13862" s="3">
        <v>2005</v>
      </c>
      <c r="D13862" s="4">
        <v>3320396</v>
      </c>
    </row>
    <row r="13863" spans="1:4" x14ac:dyDescent="0.3">
      <c r="A13863" s="5" t="s">
        <v>430</v>
      </c>
      <c r="B13863" s="5" t="s">
        <v>431</v>
      </c>
      <c r="C13863" s="6">
        <v>2006</v>
      </c>
      <c r="D13863" s="7">
        <v>3406334</v>
      </c>
    </row>
    <row r="13864" spans="1:4" x14ac:dyDescent="0.3">
      <c r="A13864" s="2" t="s">
        <v>430</v>
      </c>
      <c r="B13864" s="2" t="s">
        <v>431</v>
      </c>
      <c r="C13864" s="3">
        <v>2007</v>
      </c>
      <c r="D13864" s="4">
        <v>3494496</v>
      </c>
    </row>
    <row r="13865" spans="1:4" x14ac:dyDescent="0.3">
      <c r="A13865" s="5" t="s">
        <v>430</v>
      </c>
      <c r="B13865" s="5" t="s">
        <v>431</v>
      </c>
      <c r="C13865" s="6">
        <v>2008</v>
      </c>
      <c r="D13865" s="7">
        <v>3591977</v>
      </c>
    </row>
    <row r="13866" spans="1:4" x14ac:dyDescent="0.3">
      <c r="A13866" s="2" t="s">
        <v>430</v>
      </c>
      <c r="B13866" s="2" t="s">
        <v>431</v>
      </c>
      <c r="C13866" s="3">
        <v>2009</v>
      </c>
      <c r="D13866" s="4">
        <v>3689099</v>
      </c>
    </row>
    <row r="13867" spans="1:4" x14ac:dyDescent="0.3">
      <c r="A13867" s="5" t="s">
        <v>430</v>
      </c>
      <c r="B13867" s="5" t="s">
        <v>431</v>
      </c>
      <c r="C13867" s="6">
        <v>2010</v>
      </c>
      <c r="D13867" s="7">
        <v>3786161</v>
      </c>
    </row>
    <row r="13868" spans="1:4" x14ac:dyDescent="0.3">
      <c r="A13868" s="2" t="s">
        <v>430</v>
      </c>
      <c r="B13868" s="2" t="s">
        <v>431</v>
      </c>
      <c r="C13868" s="3">
        <v>2011</v>
      </c>
      <c r="D13868" s="4">
        <v>3882986</v>
      </c>
    </row>
    <row r="13869" spans="1:4" x14ac:dyDescent="0.3">
      <c r="A13869" s="5" t="s">
        <v>430</v>
      </c>
      <c r="B13869" s="5" t="s">
        <v>431</v>
      </c>
      <c r="C13869" s="6">
        <v>2012</v>
      </c>
      <c r="D13869" s="7">
        <v>3979998</v>
      </c>
    </row>
    <row r="13870" spans="1:4" x14ac:dyDescent="0.3">
      <c r="A13870" s="2" t="s">
        <v>430</v>
      </c>
      <c r="B13870" s="2" t="s">
        <v>431</v>
      </c>
      <c r="C13870" s="3">
        <v>2013</v>
      </c>
      <c r="D13870" s="4">
        <v>4076708</v>
      </c>
    </row>
    <row r="13871" spans="1:4" x14ac:dyDescent="0.3">
      <c r="A13871" s="5" t="s">
        <v>430</v>
      </c>
      <c r="B13871" s="5" t="s">
        <v>431</v>
      </c>
      <c r="C13871" s="6">
        <v>2014</v>
      </c>
      <c r="D13871" s="7">
        <v>4173398</v>
      </c>
    </row>
    <row r="13872" spans="1:4" x14ac:dyDescent="0.3">
      <c r="A13872" s="2" t="s">
        <v>430</v>
      </c>
      <c r="B13872" s="2" t="s">
        <v>431</v>
      </c>
      <c r="C13872" s="3">
        <v>2015</v>
      </c>
      <c r="D13872" s="4">
        <v>4270092</v>
      </c>
    </row>
    <row r="13873" spans="1:4" x14ac:dyDescent="0.3">
      <c r="A13873" s="5" t="s">
        <v>430</v>
      </c>
      <c r="B13873" s="5" t="s">
        <v>431</v>
      </c>
      <c r="C13873" s="6">
        <v>2016</v>
      </c>
      <c r="D13873" s="7">
        <v>4367088</v>
      </c>
    </row>
    <row r="13874" spans="1:4" x14ac:dyDescent="0.3">
      <c r="A13874" s="2" t="s">
        <v>430</v>
      </c>
      <c r="B13874" s="2" t="s">
        <v>431</v>
      </c>
      <c r="C13874" s="3">
        <v>2017</v>
      </c>
      <c r="D13874" s="4">
        <v>4454805</v>
      </c>
    </row>
    <row r="13875" spans="1:4" x14ac:dyDescent="0.3">
      <c r="A13875" s="5" t="s">
        <v>430</v>
      </c>
      <c r="B13875" s="5" t="s">
        <v>431</v>
      </c>
      <c r="C13875" s="6">
        <v>2018</v>
      </c>
      <c r="D13875" s="7">
        <v>4569087</v>
      </c>
    </row>
    <row r="13876" spans="1:4" x14ac:dyDescent="0.3">
      <c r="A13876" s="2" t="s">
        <v>430</v>
      </c>
      <c r="B13876" s="2" t="s">
        <v>431</v>
      </c>
      <c r="C13876" s="3">
        <v>2019</v>
      </c>
      <c r="D13876" s="4">
        <v>4685306</v>
      </c>
    </row>
    <row r="13877" spans="1:4" x14ac:dyDescent="0.3">
      <c r="A13877" s="5" t="s">
        <v>430</v>
      </c>
      <c r="B13877" s="5" t="s">
        <v>431</v>
      </c>
      <c r="C13877" s="6">
        <v>2020</v>
      </c>
      <c r="D13877" s="7">
        <v>4803269</v>
      </c>
    </row>
    <row r="13878" spans="1:4" x14ac:dyDescent="0.3">
      <c r="A13878" s="2" t="s">
        <v>430</v>
      </c>
      <c r="B13878" s="2" t="s">
        <v>431</v>
      </c>
      <c r="C13878" s="3">
        <v>2021</v>
      </c>
      <c r="D13878" s="4">
        <v>4922749</v>
      </c>
    </row>
    <row r="13879" spans="1:4" x14ac:dyDescent="0.3">
      <c r="A13879" s="5" t="s">
        <v>430</v>
      </c>
      <c r="B13879" s="5" t="s">
        <v>431</v>
      </c>
      <c r="C13879" s="6">
        <v>2022</v>
      </c>
      <c r="D13879" s="7">
        <v>5043612</v>
      </c>
    </row>
    <row r="13880" spans="1:4" x14ac:dyDescent="0.3">
      <c r="A13880" s="2" t="s">
        <v>430</v>
      </c>
      <c r="B13880" s="2" t="s">
        <v>431</v>
      </c>
      <c r="C13880" s="3">
        <v>2023</v>
      </c>
      <c r="D13880" s="4">
        <v>5165775</v>
      </c>
    </row>
    <row r="13881" spans="1:4" x14ac:dyDescent="0.3">
      <c r="A13881" s="5" t="s">
        <v>430</v>
      </c>
      <c r="B13881" s="5" t="s">
        <v>431</v>
      </c>
      <c r="C13881" s="6">
        <v>2024</v>
      </c>
      <c r="D13881" s="7">
        <v>5289152</v>
      </c>
    </row>
    <row r="13882" spans="1:4" x14ac:dyDescent="0.3">
      <c r="A13882" s="2" t="s">
        <v>432</v>
      </c>
      <c r="B13882" s="2" t="s">
        <v>433</v>
      </c>
      <c r="C13882" s="3">
        <v>1960</v>
      </c>
      <c r="D13882" s="4">
        <v>5532301</v>
      </c>
    </row>
    <row r="13883" spans="1:4" x14ac:dyDescent="0.3">
      <c r="A13883" s="5" t="s">
        <v>432</v>
      </c>
      <c r="B13883" s="5" t="s">
        <v>433</v>
      </c>
      <c r="C13883" s="6">
        <v>1961</v>
      </c>
      <c r="D13883" s="7">
        <v>5655232</v>
      </c>
    </row>
    <row r="13884" spans="1:4" x14ac:dyDescent="0.3">
      <c r="A13884" s="2" t="s">
        <v>432</v>
      </c>
      <c r="B13884" s="2" t="s">
        <v>433</v>
      </c>
      <c r="C13884" s="3">
        <v>1962</v>
      </c>
      <c r="D13884" s="4">
        <v>5782221</v>
      </c>
    </row>
    <row r="13885" spans="1:4" x14ac:dyDescent="0.3">
      <c r="A13885" s="5" t="s">
        <v>432</v>
      </c>
      <c r="B13885" s="5" t="s">
        <v>433</v>
      </c>
      <c r="C13885" s="6">
        <v>1963</v>
      </c>
      <c r="D13885" s="7">
        <v>5911135</v>
      </c>
    </row>
    <row r="13886" spans="1:4" x14ac:dyDescent="0.3">
      <c r="A13886" s="2" t="s">
        <v>432</v>
      </c>
      <c r="B13886" s="2" t="s">
        <v>433</v>
      </c>
      <c r="C13886" s="3">
        <v>1964</v>
      </c>
      <c r="D13886" s="4">
        <v>6048006</v>
      </c>
    </row>
    <row r="13887" spans="1:4" x14ac:dyDescent="0.3">
      <c r="A13887" s="5" t="s">
        <v>432</v>
      </c>
      <c r="B13887" s="5" t="s">
        <v>433</v>
      </c>
      <c r="C13887" s="6">
        <v>1965</v>
      </c>
      <c r="D13887" s="7">
        <v>6195593</v>
      </c>
    </row>
    <row r="13888" spans="1:4" x14ac:dyDescent="0.3">
      <c r="A13888" s="2" t="s">
        <v>432</v>
      </c>
      <c r="B13888" s="2" t="s">
        <v>433</v>
      </c>
      <c r="C13888" s="3">
        <v>1966</v>
      </c>
      <c r="D13888" s="4">
        <v>6351494</v>
      </c>
    </row>
    <row r="13889" spans="1:4" x14ac:dyDescent="0.3">
      <c r="A13889" s="5" t="s">
        <v>432</v>
      </c>
      <c r="B13889" s="5" t="s">
        <v>433</v>
      </c>
      <c r="C13889" s="6">
        <v>1967</v>
      </c>
      <c r="D13889" s="7">
        <v>6516444</v>
      </c>
    </row>
    <row r="13890" spans="1:4" x14ac:dyDescent="0.3">
      <c r="A13890" s="2" t="s">
        <v>432</v>
      </c>
      <c r="B13890" s="2" t="s">
        <v>433</v>
      </c>
      <c r="C13890" s="3">
        <v>1968</v>
      </c>
      <c r="D13890" s="4">
        <v>6690524</v>
      </c>
    </row>
    <row r="13891" spans="1:4" x14ac:dyDescent="0.3">
      <c r="A13891" s="5" t="s">
        <v>432</v>
      </c>
      <c r="B13891" s="5" t="s">
        <v>433</v>
      </c>
      <c r="C13891" s="6">
        <v>1969</v>
      </c>
      <c r="D13891" s="7">
        <v>6875859</v>
      </c>
    </row>
    <row r="13892" spans="1:4" x14ac:dyDescent="0.3">
      <c r="A13892" s="2" t="s">
        <v>432</v>
      </c>
      <c r="B13892" s="2" t="s">
        <v>433</v>
      </c>
      <c r="C13892" s="3">
        <v>1970</v>
      </c>
      <c r="D13892" s="4">
        <v>7065279</v>
      </c>
    </row>
    <row r="13893" spans="1:4" x14ac:dyDescent="0.3">
      <c r="A13893" s="5" t="s">
        <v>432</v>
      </c>
      <c r="B13893" s="5" t="s">
        <v>433</v>
      </c>
      <c r="C13893" s="6">
        <v>1971</v>
      </c>
      <c r="D13893" s="7">
        <v>7257462</v>
      </c>
    </row>
    <row r="13894" spans="1:4" x14ac:dyDescent="0.3">
      <c r="A13894" s="2" t="s">
        <v>432</v>
      </c>
      <c r="B13894" s="2" t="s">
        <v>433</v>
      </c>
      <c r="C13894" s="3">
        <v>1972</v>
      </c>
      <c r="D13894" s="4">
        <v>7460068</v>
      </c>
    </row>
    <row r="13895" spans="1:4" x14ac:dyDescent="0.3">
      <c r="A13895" s="5" t="s">
        <v>432</v>
      </c>
      <c r="B13895" s="5" t="s">
        <v>433</v>
      </c>
      <c r="C13895" s="6">
        <v>1973</v>
      </c>
      <c r="D13895" s="7">
        <v>7672796</v>
      </c>
    </row>
    <row r="13896" spans="1:4" x14ac:dyDescent="0.3">
      <c r="A13896" s="2" t="s">
        <v>432</v>
      </c>
      <c r="B13896" s="2" t="s">
        <v>433</v>
      </c>
      <c r="C13896" s="3">
        <v>1974</v>
      </c>
      <c r="D13896" s="4">
        <v>7896783</v>
      </c>
    </row>
    <row r="13897" spans="1:4" x14ac:dyDescent="0.3">
      <c r="A13897" s="5" t="s">
        <v>432</v>
      </c>
      <c r="B13897" s="5" t="s">
        <v>433</v>
      </c>
      <c r="C13897" s="6">
        <v>1975</v>
      </c>
      <c r="D13897" s="7">
        <v>8133598</v>
      </c>
    </row>
    <row r="13898" spans="1:4" x14ac:dyDescent="0.3">
      <c r="A13898" s="2" t="s">
        <v>432</v>
      </c>
      <c r="B13898" s="2" t="s">
        <v>433</v>
      </c>
      <c r="C13898" s="3">
        <v>1976</v>
      </c>
      <c r="D13898" s="4">
        <v>8384113</v>
      </c>
    </row>
    <row r="13899" spans="1:4" x14ac:dyDescent="0.3">
      <c r="A13899" s="5" t="s">
        <v>432</v>
      </c>
      <c r="B13899" s="5" t="s">
        <v>433</v>
      </c>
      <c r="C13899" s="6">
        <v>1977</v>
      </c>
      <c r="D13899" s="7">
        <v>8648222</v>
      </c>
    </row>
    <row r="13900" spans="1:4" x14ac:dyDescent="0.3">
      <c r="A13900" s="2" t="s">
        <v>432</v>
      </c>
      <c r="B13900" s="2" t="s">
        <v>433</v>
      </c>
      <c r="C13900" s="3">
        <v>1978</v>
      </c>
      <c r="D13900" s="4">
        <v>8926586</v>
      </c>
    </row>
    <row r="13901" spans="1:4" x14ac:dyDescent="0.3">
      <c r="A13901" s="5" t="s">
        <v>432</v>
      </c>
      <c r="B13901" s="5" t="s">
        <v>433</v>
      </c>
      <c r="C13901" s="6">
        <v>1979</v>
      </c>
      <c r="D13901" s="7">
        <v>9224194</v>
      </c>
    </row>
    <row r="13902" spans="1:4" x14ac:dyDescent="0.3">
      <c r="A13902" s="2" t="s">
        <v>432</v>
      </c>
      <c r="B13902" s="2" t="s">
        <v>433</v>
      </c>
      <c r="C13902" s="3">
        <v>1980</v>
      </c>
      <c r="D13902" s="4">
        <v>9543358</v>
      </c>
    </row>
    <row r="13903" spans="1:4" x14ac:dyDescent="0.3">
      <c r="A13903" s="5" t="s">
        <v>432</v>
      </c>
      <c r="B13903" s="5" t="s">
        <v>433</v>
      </c>
      <c r="C13903" s="6">
        <v>1981</v>
      </c>
      <c r="D13903" s="7">
        <v>9882362</v>
      </c>
    </row>
    <row r="13904" spans="1:4" x14ac:dyDescent="0.3">
      <c r="A13904" s="2" t="s">
        <v>432</v>
      </c>
      <c r="B13904" s="2" t="s">
        <v>433</v>
      </c>
      <c r="C13904" s="3">
        <v>1982</v>
      </c>
      <c r="D13904" s="4">
        <v>10241006</v>
      </c>
    </row>
    <row r="13905" spans="1:4" x14ac:dyDescent="0.3">
      <c r="A13905" s="5" t="s">
        <v>432</v>
      </c>
      <c r="B13905" s="5" t="s">
        <v>433</v>
      </c>
      <c r="C13905" s="6">
        <v>1983</v>
      </c>
      <c r="D13905" s="7">
        <v>10621499</v>
      </c>
    </row>
    <row r="13906" spans="1:4" x14ac:dyDescent="0.3">
      <c r="A13906" s="2" t="s">
        <v>432</v>
      </c>
      <c r="B13906" s="2" t="s">
        <v>433</v>
      </c>
      <c r="C13906" s="3">
        <v>1984</v>
      </c>
      <c r="D13906" s="4">
        <v>11025597</v>
      </c>
    </row>
    <row r="13907" spans="1:4" x14ac:dyDescent="0.3">
      <c r="A13907" s="5" t="s">
        <v>432</v>
      </c>
      <c r="B13907" s="5" t="s">
        <v>433</v>
      </c>
      <c r="C13907" s="6">
        <v>1985</v>
      </c>
      <c r="D13907" s="7">
        <v>11453825</v>
      </c>
    </row>
    <row r="13908" spans="1:4" x14ac:dyDescent="0.3">
      <c r="A13908" s="2" t="s">
        <v>432</v>
      </c>
      <c r="B13908" s="2" t="s">
        <v>433</v>
      </c>
      <c r="C13908" s="3">
        <v>1986</v>
      </c>
      <c r="D13908" s="4">
        <v>11901040</v>
      </c>
    </row>
    <row r="13909" spans="1:4" x14ac:dyDescent="0.3">
      <c r="A13909" s="5" t="s">
        <v>432</v>
      </c>
      <c r="B13909" s="5" t="s">
        <v>433</v>
      </c>
      <c r="C13909" s="6">
        <v>1987</v>
      </c>
      <c r="D13909" s="7">
        <v>12369912</v>
      </c>
    </row>
    <row r="13910" spans="1:4" x14ac:dyDescent="0.3">
      <c r="A13910" s="2" t="s">
        <v>432</v>
      </c>
      <c r="B13910" s="2" t="s">
        <v>433</v>
      </c>
      <c r="C13910" s="3">
        <v>1988</v>
      </c>
      <c r="D13910" s="4">
        <v>12859708</v>
      </c>
    </row>
    <row r="13911" spans="1:4" x14ac:dyDescent="0.3">
      <c r="A13911" s="5" t="s">
        <v>432</v>
      </c>
      <c r="B13911" s="5" t="s">
        <v>433</v>
      </c>
      <c r="C13911" s="6">
        <v>1989</v>
      </c>
      <c r="D13911" s="7">
        <v>13364174</v>
      </c>
    </row>
    <row r="13912" spans="1:4" x14ac:dyDescent="0.3">
      <c r="A13912" s="2" t="s">
        <v>432</v>
      </c>
      <c r="B13912" s="2" t="s">
        <v>433</v>
      </c>
      <c r="C13912" s="3">
        <v>1990</v>
      </c>
      <c r="D13912" s="4">
        <v>13887862</v>
      </c>
    </row>
    <row r="13913" spans="1:4" x14ac:dyDescent="0.3">
      <c r="A13913" s="5" t="s">
        <v>432</v>
      </c>
      <c r="B13913" s="5" t="s">
        <v>433</v>
      </c>
      <c r="C13913" s="6">
        <v>1991</v>
      </c>
      <c r="D13913" s="7">
        <v>14430201</v>
      </c>
    </row>
    <row r="13914" spans="1:4" x14ac:dyDescent="0.3">
      <c r="A13914" s="2" t="s">
        <v>432</v>
      </c>
      <c r="B13914" s="2" t="s">
        <v>433</v>
      </c>
      <c r="C13914" s="3">
        <v>1992</v>
      </c>
      <c r="D13914" s="4">
        <v>14989494</v>
      </c>
    </row>
    <row r="13915" spans="1:4" x14ac:dyDescent="0.3">
      <c r="A13915" s="5" t="s">
        <v>432</v>
      </c>
      <c r="B13915" s="5" t="s">
        <v>433</v>
      </c>
      <c r="C13915" s="6">
        <v>1993</v>
      </c>
      <c r="D13915" s="7">
        <v>15563914</v>
      </c>
    </row>
    <row r="13916" spans="1:4" x14ac:dyDescent="0.3">
      <c r="A13916" s="2" t="s">
        <v>432</v>
      </c>
      <c r="B13916" s="2" t="s">
        <v>433</v>
      </c>
      <c r="C13916" s="3">
        <v>1994</v>
      </c>
      <c r="D13916" s="4">
        <v>16149147</v>
      </c>
    </row>
    <row r="13917" spans="1:4" x14ac:dyDescent="0.3">
      <c r="A13917" s="5" t="s">
        <v>432</v>
      </c>
      <c r="B13917" s="5" t="s">
        <v>433</v>
      </c>
      <c r="C13917" s="6">
        <v>1995</v>
      </c>
      <c r="D13917" s="7">
        <v>16740058</v>
      </c>
    </row>
    <row r="13918" spans="1:4" x14ac:dyDescent="0.3">
      <c r="A13918" s="2" t="s">
        <v>432</v>
      </c>
      <c r="B13918" s="2" t="s">
        <v>433</v>
      </c>
      <c r="C13918" s="3">
        <v>1996</v>
      </c>
      <c r="D13918" s="4">
        <v>17313177</v>
      </c>
    </row>
    <row r="13919" spans="1:4" x14ac:dyDescent="0.3">
      <c r="A13919" s="5" t="s">
        <v>432</v>
      </c>
      <c r="B13919" s="5" t="s">
        <v>433</v>
      </c>
      <c r="C13919" s="6">
        <v>1997</v>
      </c>
      <c r="D13919" s="7">
        <v>17873936</v>
      </c>
    </row>
    <row r="13920" spans="1:4" x14ac:dyDescent="0.3">
      <c r="A13920" s="2" t="s">
        <v>432</v>
      </c>
      <c r="B13920" s="2" t="s">
        <v>433</v>
      </c>
      <c r="C13920" s="3">
        <v>1998</v>
      </c>
      <c r="D13920" s="4">
        <v>18446013</v>
      </c>
    </row>
    <row r="13921" spans="1:4" x14ac:dyDescent="0.3">
      <c r="A13921" s="5" t="s">
        <v>432</v>
      </c>
      <c r="B13921" s="5" t="s">
        <v>433</v>
      </c>
      <c r="C13921" s="6">
        <v>1999</v>
      </c>
      <c r="D13921" s="7">
        <v>19029420</v>
      </c>
    </row>
    <row r="13922" spans="1:4" x14ac:dyDescent="0.3">
      <c r="A13922" s="2" t="s">
        <v>432</v>
      </c>
      <c r="B13922" s="2" t="s">
        <v>433</v>
      </c>
      <c r="C13922" s="3">
        <v>2000</v>
      </c>
      <c r="D13922" s="4">
        <v>19624141</v>
      </c>
    </row>
    <row r="13923" spans="1:4" x14ac:dyDescent="0.3">
      <c r="A13923" s="5" t="s">
        <v>432</v>
      </c>
      <c r="B13923" s="5" t="s">
        <v>433</v>
      </c>
      <c r="C13923" s="6">
        <v>2001</v>
      </c>
      <c r="D13923" s="7">
        <v>20226147</v>
      </c>
    </row>
    <row r="13924" spans="1:4" x14ac:dyDescent="0.3">
      <c r="A13924" s="2" t="s">
        <v>432</v>
      </c>
      <c r="B13924" s="2" t="s">
        <v>433</v>
      </c>
      <c r="C13924" s="3">
        <v>2002</v>
      </c>
      <c r="D13924" s="4">
        <v>20835086</v>
      </c>
    </row>
    <row r="13925" spans="1:4" x14ac:dyDescent="0.3">
      <c r="A13925" s="5" t="s">
        <v>432</v>
      </c>
      <c r="B13925" s="5" t="s">
        <v>433</v>
      </c>
      <c r="C13925" s="6">
        <v>2003</v>
      </c>
      <c r="D13925" s="7">
        <v>21456379</v>
      </c>
    </row>
    <row r="13926" spans="1:4" x14ac:dyDescent="0.3">
      <c r="A13926" s="2" t="s">
        <v>432</v>
      </c>
      <c r="B13926" s="2" t="s">
        <v>433</v>
      </c>
      <c r="C13926" s="3">
        <v>2004</v>
      </c>
      <c r="D13926" s="4">
        <v>22095167</v>
      </c>
    </row>
    <row r="13927" spans="1:4" x14ac:dyDescent="0.3">
      <c r="A13927" s="5" t="s">
        <v>432</v>
      </c>
      <c r="B13927" s="5" t="s">
        <v>433</v>
      </c>
      <c r="C13927" s="6">
        <v>2005</v>
      </c>
      <c r="D13927" s="7">
        <v>22790085</v>
      </c>
    </row>
    <row r="13928" spans="1:4" x14ac:dyDescent="0.3">
      <c r="A13928" s="2" t="s">
        <v>432</v>
      </c>
      <c r="B13928" s="2" t="s">
        <v>433</v>
      </c>
      <c r="C13928" s="3">
        <v>2006</v>
      </c>
      <c r="D13928" s="4">
        <v>23543083</v>
      </c>
    </row>
    <row r="13929" spans="1:4" x14ac:dyDescent="0.3">
      <c r="A13929" s="5" t="s">
        <v>432</v>
      </c>
      <c r="B13929" s="5" t="s">
        <v>433</v>
      </c>
      <c r="C13929" s="6">
        <v>2007</v>
      </c>
      <c r="D13929" s="7">
        <v>24318082</v>
      </c>
    </row>
    <row r="13930" spans="1:4" x14ac:dyDescent="0.3">
      <c r="A13930" s="2" t="s">
        <v>432</v>
      </c>
      <c r="B13930" s="2" t="s">
        <v>433</v>
      </c>
      <c r="C13930" s="3">
        <v>2008</v>
      </c>
      <c r="D13930" s="4">
        <v>25111941</v>
      </c>
    </row>
    <row r="13931" spans="1:4" x14ac:dyDescent="0.3">
      <c r="A13931" s="5" t="s">
        <v>432</v>
      </c>
      <c r="B13931" s="5" t="s">
        <v>433</v>
      </c>
      <c r="C13931" s="6">
        <v>2009</v>
      </c>
      <c r="D13931" s="7">
        <v>25927724</v>
      </c>
    </row>
    <row r="13932" spans="1:4" x14ac:dyDescent="0.3">
      <c r="A13932" s="2" t="s">
        <v>432</v>
      </c>
      <c r="B13932" s="2" t="s">
        <v>433</v>
      </c>
      <c r="C13932" s="3">
        <v>2010</v>
      </c>
      <c r="D13932" s="4">
        <v>26754387</v>
      </c>
    </row>
    <row r="13933" spans="1:4" x14ac:dyDescent="0.3">
      <c r="A13933" s="5" t="s">
        <v>432</v>
      </c>
      <c r="B13933" s="5" t="s">
        <v>433</v>
      </c>
      <c r="C13933" s="6">
        <v>2011</v>
      </c>
      <c r="D13933" s="7">
        <v>27582897</v>
      </c>
    </row>
    <row r="13934" spans="1:4" x14ac:dyDescent="0.3">
      <c r="A13934" s="2" t="s">
        <v>432</v>
      </c>
      <c r="B13934" s="2" t="s">
        <v>433</v>
      </c>
      <c r="C13934" s="3">
        <v>2012</v>
      </c>
      <c r="D13934" s="4">
        <v>28433647</v>
      </c>
    </row>
    <row r="13935" spans="1:4" x14ac:dyDescent="0.3">
      <c r="A13935" s="5" t="s">
        <v>432</v>
      </c>
      <c r="B13935" s="5" t="s">
        <v>433</v>
      </c>
      <c r="C13935" s="6">
        <v>2013</v>
      </c>
      <c r="D13935" s="7">
        <v>29312952</v>
      </c>
    </row>
    <row r="13936" spans="1:4" x14ac:dyDescent="0.3">
      <c r="A13936" s="2" t="s">
        <v>432</v>
      </c>
      <c r="B13936" s="2" t="s">
        <v>433</v>
      </c>
      <c r="C13936" s="3">
        <v>2014</v>
      </c>
      <c r="D13936" s="4">
        <v>30226309</v>
      </c>
    </row>
    <row r="13937" spans="1:4" x14ac:dyDescent="0.3">
      <c r="A13937" s="5" t="s">
        <v>432</v>
      </c>
      <c r="B13937" s="5" t="s">
        <v>433</v>
      </c>
      <c r="C13937" s="6">
        <v>2015</v>
      </c>
      <c r="D13937" s="7">
        <v>31159379</v>
      </c>
    </row>
    <row r="13938" spans="1:4" x14ac:dyDescent="0.3">
      <c r="A13938" s="2" t="s">
        <v>432</v>
      </c>
      <c r="B13938" s="2" t="s">
        <v>433</v>
      </c>
      <c r="C13938" s="3">
        <v>2016</v>
      </c>
      <c r="D13938" s="4">
        <v>32109010</v>
      </c>
    </row>
    <row r="13939" spans="1:4" x14ac:dyDescent="0.3">
      <c r="A13939" s="5" t="s">
        <v>432</v>
      </c>
      <c r="B13939" s="5" t="s">
        <v>433</v>
      </c>
      <c r="C13939" s="6">
        <v>2017</v>
      </c>
      <c r="D13939" s="7">
        <v>33090921</v>
      </c>
    </row>
    <row r="13940" spans="1:4" x14ac:dyDescent="0.3">
      <c r="A13940" s="2" t="s">
        <v>432</v>
      </c>
      <c r="B13940" s="2" t="s">
        <v>433</v>
      </c>
      <c r="C13940" s="3">
        <v>2018</v>
      </c>
      <c r="D13940" s="4">
        <v>34085182</v>
      </c>
    </row>
    <row r="13941" spans="1:4" x14ac:dyDescent="0.3">
      <c r="A13941" s="5" t="s">
        <v>432</v>
      </c>
      <c r="B13941" s="5" t="s">
        <v>433</v>
      </c>
      <c r="C13941" s="6">
        <v>2019</v>
      </c>
      <c r="D13941" s="7">
        <v>35111408</v>
      </c>
    </row>
    <row r="13942" spans="1:4" x14ac:dyDescent="0.3">
      <c r="A13942" s="2" t="s">
        <v>432</v>
      </c>
      <c r="B13942" s="2" t="s">
        <v>433</v>
      </c>
      <c r="C13942" s="3">
        <v>2020</v>
      </c>
      <c r="D13942" s="4">
        <v>36134863</v>
      </c>
    </row>
    <row r="13943" spans="1:4" x14ac:dyDescent="0.3">
      <c r="A13943" s="5" t="s">
        <v>432</v>
      </c>
      <c r="B13943" s="5" t="s">
        <v>433</v>
      </c>
      <c r="C13943" s="6">
        <v>2021</v>
      </c>
      <c r="D13943" s="7">
        <v>37140230</v>
      </c>
    </row>
    <row r="13944" spans="1:4" x14ac:dyDescent="0.3">
      <c r="A13944" s="2" t="s">
        <v>432</v>
      </c>
      <c r="B13944" s="2" t="s">
        <v>433</v>
      </c>
      <c r="C13944" s="3">
        <v>2022</v>
      </c>
      <c r="D13944" s="4">
        <v>38222876</v>
      </c>
    </row>
    <row r="13945" spans="1:4" x14ac:dyDescent="0.3">
      <c r="A13945" s="5" t="s">
        <v>432</v>
      </c>
      <c r="B13945" s="5" t="s">
        <v>433</v>
      </c>
      <c r="C13945" s="6">
        <v>2023</v>
      </c>
      <c r="D13945" s="7">
        <v>39390799</v>
      </c>
    </row>
    <row r="13946" spans="1:4" x14ac:dyDescent="0.3">
      <c r="A13946" s="2" t="s">
        <v>432</v>
      </c>
      <c r="B13946" s="2" t="s">
        <v>433</v>
      </c>
      <c r="C13946" s="3">
        <v>2024</v>
      </c>
      <c r="D13946" s="4">
        <v>40583164</v>
      </c>
    </row>
    <row r="13947" spans="1:4" x14ac:dyDescent="0.3">
      <c r="A13947" s="5" t="s">
        <v>434</v>
      </c>
      <c r="B13947" s="5" t="s">
        <v>435</v>
      </c>
      <c r="C13947" s="6">
        <v>1960</v>
      </c>
      <c r="D13947" s="7">
        <v>3153729</v>
      </c>
    </row>
    <row r="13948" spans="1:4" x14ac:dyDescent="0.3">
      <c r="A13948" s="2" t="s">
        <v>434</v>
      </c>
      <c r="B13948" s="2" t="s">
        <v>435</v>
      </c>
      <c r="C13948" s="3">
        <v>1961</v>
      </c>
      <c r="D13948" s="4">
        <v>3254086</v>
      </c>
    </row>
    <row r="13949" spans="1:4" x14ac:dyDescent="0.3">
      <c r="A13949" s="5" t="s">
        <v>434</v>
      </c>
      <c r="B13949" s="5" t="s">
        <v>435</v>
      </c>
      <c r="C13949" s="6">
        <v>1962</v>
      </c>
      <c r="D13949" s="7">
        <v>3358099</v>
      </c>
    </row>
    <row r="13950" spans="1:4" x14ac:dyDescent="0.3">
      <c r="A13950" s="2" t="s">
        <v>434</v>
      </c>
      <c r="B13950" s="2" t="s">
        <v>435</v>
      </c>
      <c r="C13950" s="3">
        <v>1963</v>
      </c>
      <c r="D13950" s="4">
        <v>3465907</v>
      </c>
    </row>
    <row r="13951" spans="1:4" x14ac:dyDescent="0.3">
      <c r="A13951" s="5" t="s">
        <v>434</v>
      </c>
      <c r="B13951" s="5" t="s">
        <v>435</v>
      </c>
      <c r="C13951" s="6">
        <v>1964</v>
      </c>
      <c r="D13951" s="7">
        <v>3577017</v>
      </c>
    </row>
    <row r="13952" spans="1:4" x14ac:dyDescent="0.3">
      <c r="A13952" s="2" t="s">
        <v>434</v>
      </c>
      <c r="B13952" s="2" t="s">
        <v>435</v>
      </c>
      <c r="C13952" s="3">
        <v>1965</v>
      </c>
      <c r="D13952" s="4">
        <v>3692086</v>
      </c>
    </row>
    <row r="13953" spans="1:4" x14ac:dyDescent="0.3">
      <c r="A13953" s="5" t="s">
        <v>434</v>
      </c>
      <c r="B13953" s="5" t="s">
        <v>435</v>
      </c>
      <c r="C13953" s="6">
        <v>1966</v>
      </c>
      <c r="D13953" s="7">
        <v>3812003</v>
      </c>
    </row>
    <row r="13954" spans="1:4" x14ac:dyDescent="0.3">
      <c r="A13954" s="2" t="s">
        <v>434</v>
      </c>
      <c r="B13954" s="2" t="s">
        <v>435</v>
      </c>
      <c r="C13954" s="3">
        <v>1967</v>
      </c>
      <c r="D13954" s="4">
        <v>3936343</v>
      </c>
    </row>
    <row r="13955" spans="1:4" x14ac:dyDescent="0.3">
      <c r="A13955" s="5" t="s">
        <v>434</v>
      </c>
      <c r="B13955" s="5" t="s">
        <v>435</v>
      </c>
      <c r="C13955" s="6">
        <v>1968</v>
      </c>
      <c r="D13955" s="7">
        <v>4065593</v>
      </c>
    </row>
    <row r="13956" spans="1:4" x14ac:dyDescent="0.3">
      <c r="A13956" s="2" t="s">
        <v>434</v>
      </c>
      <c r="B13956" s="2" t="s">
        <v>435</v>
      </c>
      <c r="C13956" s="3">
        <v>1969</v>
      </c>
      <c r="D13956" s="4">
        <v>4197116</v>
      </c>
    </row>
    <row r="13957" spans="1:4" x14ac:dyDescent="0.3">
      <c r="A13957" s="5" t="s">
        <v>434</v>
      </c>
      <c r="B13957" s="5" t="s">
        <v>435</v>
      </c>
      <c r="C13957" s="6">
        <v>1970</v>
      </c>
      <c r="D13957" s="7">
        <v>4321718</v>
      </c>
    </row>
    <row r="13958" spans="1:4" x14ac:dyDescent="0.3">
      <c r="A13958" s="2" t="s">
        <v>434</v>
      </c>
      <c r="B13958" s="2" t="s">
        <v>435</v>
      </c>
      <c r="C13958" s="3">
        <v>1971</v>
      </c>
      <c r="D13958" s="4">
        <v>4442525</v>
      </c>
    </row>
    <row r="13959" spans="1:4" x14ac:dyDescent="0.3">
      <c r="A13959" s="5" t="s">
        <v>434</v>
      </c>
      <c r="B13959" s="5" t="s">
        <v>435</v>
      </c>
      <c r="C13959" s="6">
        <v>1972</v>
      </c>
      <c r="D13959" s="7">
        <v>4569309</v>
      </c>
    </row>
    <row r="13960" spans="1:4" x14ac:dyDescent="0.3">
      <c r="A13960" s="2" t="s">
        <v>434</v>
      </c>
      <c r="B13960" s="2" t="s">
        <v>435</v>
      </c>
      <c r="C13960" s="3">
        <v>1973</v>
      </c>
      <c r="D13960" s="4">
        <v>4702693</v>
      </c>
    </row>
    <row r="13961" spans="1:4" x14ac:dyDescent="0.3">
      <c r="A13961" s="5" t="s">
        <v>434</v>
      </c>
      <c r="B13961" s="5" t="s">
        <v>435</v>
      </c>
      <c r="C13961" s="6">
        <v>1974</v>
      </c>
      <c r="D13961" s="7">
        <v>4842746</v>
      </c>
    </row>
    <row r="13962" spans="1:4" x14ac:dyDescent="0.3">
      <c r="A13962" s="2" t="s">
        <v>434</v>
      </c>
      <c r="B13962" s="2" t="s">
        <v>435</v>
      </c>
      <c r="C13962" s="3">
        <v>1975</v>
      </c>
      <c r="D13962" s="4">
        <v>4990086</v>
      </c>
    </row>
    <row r="13963" spans="1:4" x14ac:dyDescent="0.3">
      <c r="A13963" s="5" t="s">
        <v>434</v>
      </c>
      <c r="B13963" s="5" t="s">
        <v>435</v>
      </c>
      <c r="C13963" s="6">
        <v>1976</v>
      </c>
      <c r="D13963" s="7">
        <v>5143842</v>
      </c>
    </row>
    <row r="13964" spans="1:4" x14ac:dyDescent="0.3">
      <c r="A13964" s="2" t="s">
        <v>434</v>
      </c>
      <c r="B13964" s="2" t="s">
        <v>435</v>
      </c>
      <c r="C13964" s="3">
        <v>1977</v>
      </c>
      <c r="D13964" s="4">
        <v>5302480</v>
      </c>
    </row>
    <row r="13965" spans="1:4" x14ac:dyDescent="0.3">
      <c r="A13965" s="5" t="s">
        <v>434</v>
      </c>
      <c r="B13965" s="5" t="s">
        <v>435</v>
      </c>
      <c r="C13965" s="6">
        <v>1978</v>
      </c>
      <c r="D13965" s="7">
        <v>5465374</v>
      </c>
    </row>
    <row r="13966" spans="1:4" x14ac:dyDescent="0.3">
      <c r="A13966" s="2" t="s">
        <v>434</v>
      </c>
      <c r="B13966" s="2" t="s">
        <v>435</v>
      </c>
      <c r="C13966" s="3">
        <v>1979</v>
      </c>
      <c r="D13966" s="4">
        <v>5631728</v>
      </c>
    </row>
    <row r="13967" spans="1:4" x14ac:dyDescent="0.3">
      <c r="A13967" s="5" t="s">
        <v>434</v>
      </c>
      <c r="B13967" s="5" t="s">
        <v>435</v>
      </c>
      <c r="C13967" s="6">
        <v>1980</v>
      </c>
      <c r="D13967" s="7">
        <v>5802833</v>
      </c>
    </row>
    <row r="13968" spans="1:4" x14ac:dyDescent="0.3">
      <c r="A13968" s="2" t="s">
        <v>434</v>
      </c>
      <c r="B13968" s="2" t="s">
        <v>435</v>
      </c>
      <c r="C13968" s="3">
        <v>1981</v>
      </c>
      <c r="D13968" s="4">
        <v>5983289</v>
      </c>
    </row>
    <row r="13969" spans="1:4" x14ac:dyDescent="0.3">
      <c r="A13969" s="5" t="s">
        <v>434</v>
      </c>
      <c r="B13969" s="5" t="s">
        <v>435</v>
      </c>
      <c r="C13969" s="6">
        <v>1982</v>
      </c>
      <c r="D13969" s="7">
        <v>6178637</v>
      </c>
    </row>
    <row r="13970" spans="1:4" x14ac:dyDescent="0.3">
      <c r="A13970" s="2" t="s">
        <v>434</v>
      </c>
      <c r="B13970" s="2" t="s">
        <v>435</v>
      </c>
      <c r="C13970" s="3">
        <v>1983</v>
      </c>
      <c r="D13970" s="4">
        <v>6381038</v>
      </c>
    </row>
    <row r="13971" spans="1:4" x14ac:dyDescent="0.3">
      <c r="A13971" s="5" t="s">
        <v>434</v>
      </c>
      <c r="B13971" s="5" t="s">
        <v>435</v>
      </c>
      <c r="C13971" s="6">
        <v>1984</v>
      </c>
      <c r="D13971" s="7">
        <v>6580490</v>
      </c>
    </row>
    <row r="13972" spans="1:4" x14ac:dyDescent="0.3">
      <c r="A13972" s="2" t="s">
        <v>434</v>
      </c>
      <c r="B13972" s="2" t="s">
        <v>435</v>
      </c>
      <c r="C13972" s="3">
        <v>1985</v>
      </c>
      <c r="D13972" s="4">
        <v>6780953</v>
      </c>
    </row>
    <row r="13973" spans="1:4" x14ac:dyDescent="0.3">
      <c r="A13973" s="5" t="s">
        <v>434</v>
      </c>
      <c r="B13973" s="5" t="s">
        <v>435</v>
      </c>
      <c r="C13973" s="6">
        <v>1986</v>
      </c>
      <c r="D13973" s="7">
        <v>6986471</v>
      </c>
    </row>
    <row r="13974" spans="1:4" x14ac:dyDescent="0.3">
      <c r="A13974" s="2" t="s">
        <v>434</v>
      </c>
      <c r="B13974" s="2" t="s">
        <v>435</v>
      </c>
      <c r="C13974" s="3">
        <v>1987</v>
      </c>
      <c r="D13974" s="4">
        <v>7191282</v>
      </c>
    </row>
    <row r="13975" spans="1:4" x14ac:dyDescent="0.3">
      <c r="A13975" s="5" t="s">
        <v>434</v>
      </c>
      <c r="B13975" s="5" t="s">
        <v>435</v>
      </c>
      <c r="C13975" s="6">
        <v>1988</v>
      </c>
      <c r="D13975" s="7">
        <v>7391440</v>
      </c>
    </row>
    <row r="13976" spans="1:4" x14ac:dyDescent="0.3">
      <c r="A13976" s="2" t="s">
        <v>434</v>
      </c>
      <c r="B13976" s="2" t="s">
        <v>435</v>
      </c>
      <c r="C13976" s="3">
        <v>1989</v>
      </c>
      <c r="D13976" s="4">
        <v>7589216</v>
      </c>
    </row>
    <row r="13977" spans="1:4" x14ac:dyDescent="0.3">
      <c r="A13977" s="5" t="s">
        <v>434</v>
      </c>
      <c r="B13977" s="5" t="s">
        <v>435</v>
      </c>
      <c r="C13977" s="6">
        <v>1990</v>
      </c>
      <c r="D13977" s="7">
        <v>7786169</v>
      </c>
    </row>
    <row r="13978" spans="1:4" x14ac:dyDescent="0.3">
      <c r="A13978" s="2" t="s">
        <v>434</v>
      </c>
      <c r="B13978" s="2" t="s">
        <v>435</v>
      </c>
      <c r="C13978" s="3">
        <v>1991</v>
      </c>
      <c r="D13978" s="4">
        <v>7981650</v>
      </c>
    </row>
    <row r="13979" spans="1:4" x14ac:dyDescent="0.3">
      <c r="A13979" s="5" t="s">
        <v>434</v>
      </c>
      <c r="B13979" s="5" t="s">
        <v>435</v>
      </c>
      <c r="C13979" s="6">
        <v>1992</v>
      </c>
      <c r="D13979" s="7">
        <v>8176680</v>
      </c>
    </row>
    <row r="13980" spans="1:4" x14ac:dyDescent="0.3">
      <c r="A13980" s="2" t="s">
        <v>434</v>
      </c>
      <c r="B13980" s="2" t="s">
        <v>435</v>
      </c>
      <c r="C13980" s="3">
        <v>1993</v>
      </c>
      <c r="D13980" s="4">
        <v>8373921</v>
      </c>
    </row>
    <row r="13981" spans="1:4" x14ac:dyDescent="0.3">
      <c r="A13981" s="5" t="s">
        <v>434</v>
      </c>
      <c r="B13981" s="5" t="s">
        <v>435</v>
      </c>
      <c r="C13981" s="6">
        <v>1994</v>
      </c>
      <c r="D13981" s="7">
        <v>8576269</v>
      </c>
    </row>
    <row r="13982" spans="1:4" x14ac:dyDescent="0.3">
      <c r="A13982" s="2" t="s">
        <v>434</v>
      </c>
      <c r="B13982" s="2" t="s">
        <v>435</v>
      </c>
      <c r="C13982" s="3">
        <v>1995</v>
      </c>
      <c r="D13982" s="4">
        <v>8785763</v>
      </c>
    </row>
    <row r="13983" spans="1:4" x14ac:dyDescent="0.3">
      <c r="A13983" s="5" t="s">
        <v>434</v>
      </c>
      <c r="B13983" s="5" t="s">
        <v>435</v>
      </c>
      <c r="C13983" s="6">
        <v>1996</v>
      </c>
      <c r="D13983" s="7">
        <v>9004053</v>
      </c>
    </row>
    <row r="13984" spans="1:4" x14ac:dyDescent="0.3">
      <c r="A13984" s="2" t="s">
        <v>434</v>
      </c>
      <c r="B13984" s="2" t="s">
        <v>435</v>
      </c>
      <c r="C13984" s="3">
        <v>1997</v>
      </c>
      <c r="D13984" s="4">
        <v>9237063</v>
      </c>
    </row>
    <row r="13985" spans="1:4" x14ac:dyDescent="0.3">
      <c r="A13985" s="5" t="s">
        <v>434</v>
      </c>
      <c r="B13985" s="5" t="s">
        <v>435</v>
      </c>
      <c r="C13985" s="6">
        <v>1998</v>
      </c>
      <c r="D13985" s="7">
        <v>9482408</v>
      </c>
    </row>
    <row r="13986" spans="1:4" x14ac:dyDescent="0.3">
      <c r="A13986" s="2" t="s">
        <v>434</v>
      </c>
      <c r="B13986" s="2" t="s">
        <v>435</v>
      </c>
      <c r="C13986" s="3">
        <v>1999</v>
      </c>
      <c r="D13986" s="4">
        <v>9740005</v>
      </c>
    </row>
    <row r="13987" spans="1:4" x14ac:dyDescent="0.3">
      <c r="A13987" s="5" t="s">
        <v>434</v>
      </c>
      <c r="B13987" s="5" t="s">
        <v>435</v>
      </c>
      <c r="C13987" s="6">
        <v>2000</v>
      </c>
      <c r="D13987" s="7">
        <v>10017631</v>
      </c>
    </row>
    <row r="13988" spans="1:4" x14ac:dyDescent="0.3">
      <c r="A13988" s="2" t="s">
        <v>434</v>
      </c>
      <c r="B13988" s="2" t="s">
        <v>435</v>
      </c>
      <c r="C13988" s="3">
        <v>2001</v>
      </c>
      <c r="D13988" s="4">
        <v>10325185</v>
      </c>
    </row>
    <row r="13989" spans="1:4" x14ac:dyDescent="0.3">
      <c r="A13989" s="5" t="s">
        <v>434</v>
      </c>
      <c r="B13989" s="5" t="s">
        <v>435</v>
      </c>
      <c r="C13989" s="6">
        <v>2002</v>
      </c>
      <c r="D13989" s="7">
        <v>10647949</v>
      </c>
    </row>
    <row r="13990" spans="1:4" x14ac:dyDescent="0.3">
      <c r="A13990" s="2" t="s">
        <v>434</v>
      </c>
      <c r="B13990" s="2" t="s">
        <v>435</v>
      </c>
      <c r="C13990" s="3">
        <v>2003</v>
      </c>
      <c r="D13990" s="4">
        <v>10983595</v>
      </c>
    </row>
    <row r="13991" spans="1:4" x14ac:dyDescent="0.3">
      <c r="A13991" s="5" t="s">
        <v>434</v>
      </c>
      <c r="B13991" s="5" t="s">
        <v>435</v>
      </c>
      <c r="C13991" s="6">
        <v>2004</v>
      </c>
      <c r="D13991" s="7">
        <v>11338198</v>
      </c>
    </row>
    <row r="13992" spans="1:4" x14ac:dyDescent="0.3">
      <c r="A13992" s="2" t="s">
        <v>434</v>
      </c>
      <c r="B13992" s="2" t="s">
        <v>435</v>
      </c>
      <c r="C13992" s="3">
        <v>2005</v>
      </c>
      <c r="D13992" s="4">
        <v>11718819</v>
      </c>
    </row>
    <row r="13993" spans="1:4" x14ac:dyDescent="0.3">
      <c r="A13993" s="5" t="s">
        <v>434</v>
      </c>
      <c r="B13993" s="5" t="s">
        <v>435</v>
      </c>
      <c r="C13993" s="6">
        <v>2006</v>
      </c>
      <c r="D13993" s="7">
        <v>12129553</v>
      </c>
    </row>
    <row r="13994" spans="1:4" x14ac:dyDescent="0.3">
      <c r="A13994" s="2" t="s">
        <v>434</v>
      </c>
      <c r="B13994" s="2" t="s">
        <v>435</v>
      </c>
      <c r="C13994" s="3">
        <v>2007</v>
      </c>
      <c r="D13994" s="4">
        <v>12565085</v>
      </c>
    </row>
    <row r="13995" spans="1:4" x14ac:dyDescent="0.3">
      <c r="A13995" s="5" t="s">
        <v>434</v>
      </c>
      <c r="B13995" s="5" t="s">
        <v>435</v>
      </c>
      <c r="C13995" s="6">
        <v>2008</v>
      </c>
      <c r="D13995" s="7">
        <v>13021324</v>
      </c>
    </row>
    <row r="13996" spans="1:4" x14ac:dyDescent="0.3">
      <c r="A13996" s="2" t="s">
        <v>434</v>
      </c>
      <c r="B13996" s="2" t="s">
        <v>435</v>
      </c>
      <c r="C13996" s="3">
        <v>2009</v>
      </c>
      <c r="D13996" s="4">
        <v>13490389</v>
      </c>
    </row>
    <row r="13997" spans="1:4" x14ac:dyDescent="0.3">
      <c r="A13997" s="5" t="s">
        <v>434</v>
      </c>
      <c r="B13997" s="5" t="s">
        <v>435</v>
      </c>
      <c r="C13997" s="6">
        <v>2010</v>
      </c>
      <c r="D13997" s="7">
        <v>13965594</v>
      </c>
    </row>
    <row r="13998" spans="1:4" x14ac:dyDescent="0.3">
      <c r="A13998" s="2" t="s">
        <v>434</v>
      </c>
      <c r="B13998" s="2" t="s">
        <v>435</v>
      </c>
      <c r="C13998" s="3">
        <v>2011</v>
      </c>
      <c r="D13998" s="4">
        <v>14437796</v>
      </c>
    </row>
    <row r="13999" spans="1:4" x14ac:dyDescent="0.3">
      <c r="A13999" s="5" t="s">
        <v>434</v>
      </c>
      <c r="B13999" s="5" t="s">
        <v>435</v>
      </c>
      <c r="C13999" s="6">
        <v>2012</v>
      </c>
      <c r="D13999" s="7">
        <v>14913629</v>
      </c>
    </row>
    <row r="14000" spans="1:4" x14ac:dyDescent="0.3">
      <c r="A14000" s="2" t="s">
        <v>434</v>
      </c>
      <c r="B14000" s="2" t="s">
        <v>435</v>
      </c>
      <c r="C14000" s="3">
        <v>2013</v>
      </c>
      <c r="D14000" s="4">
        <v>15398997</v>
      </c>
    </row>
    <row r="14001" spans="1:4" x14ac:dyDescent="0.3">
      <c r="A14001" s="5" t="s">
        <v>434</v>
      </c>
      <c r="B14001" s="5" t="s">
        <v>435</v>
      </c>
      <c r="C14001" s="6">
        <v>2014</v>
      </c>
      <c r="D14001" s="7">
        <v>15895315</v>
      </c>
    </row>
    <row r="14002" spans="1:4" x14ac:dyDescent="0.3">
      <c r="A14002" s="2" t="s">
        <v>434</v>
      </c>
      <c r="B14002" s="2" t="s">
        <v>435</v>
      </c>
      <c r="C14002" s="3">
        <v>2015</v>
      </c>
      <c r="D14002" s="4">
        <v>16399089</v>
      </c>
    </row>
    <row r="14003" spans="1:4" x14ac:dyDescent="0.3">
      <c r="A14003" s="5" t="s">
        <v>434</v>
      </c>
      <c r="B14003" s="5" t="s">
        <v>435</v>
      </c>
      <c r="C14003" s="6">
        <v>2016</v>
      </c>
      <c r="D14003" s="7">
        <v>16914423</v>
      </c>
    </row>
    <row r="14004" spans="1:4" x14ac:dyDescent="0.3">
      <c r="A14004" s="2" t="s">
        <v>434</v>
      </c>
      <c r="B14004" s="2" t="s">
        <v>435</v>
      </c>
      <c r="C14004" s="3">
        <v>2017</v>
      </c>
      <c r="D14004" s="4">
        <v>17441320</v>
      </c>
    </row>
    <row r="14005" spans="1:4" x14ac:dyDescent="0.3">
      <c r="A14005" s="5" t="s">
        <v>434</v>
      </c>
      <c r="B14005" s="5" t="s">
        <v>435</v>
      </c>
      <c r="C14005" s="6">
        <v>2018</v>
      </c>
      <c r="D14005" s="7">
        <v>17973569</v>
      </c>
    </row>
    <row r="14006" spans="1:4" x14ac:dyDescent="0.3">
      <c r="A14006" s="2" t="s">
        <v>434</v>
      </c>
      <c r="B14006" s="2" t="s">
        <v>435</v>
      </c>
      <c r="C14006" s="3">
        <v>2019</v>
      </c>
      <c r="D14006" s="4">
        <v>18513839</v>
      </c>
    </row>
    <row r="14007" spans="1:4" x14ac:dyDescent="0.3">
      <c r="A14007" s="5" t="s">
        <v>434</v>
      </c>
      <c r="B14007" s="5" t="s">
        <v>435</v>
      </c>
      <c r="C14007" s="6">
        <v>2020</v>
      </c>
      <c r="D14007" s="7">
        <v>19059395</v>
      </c>
    </row>
    <row r="14008" spans="1:4" x14ac:dyDescent="0.3">
      <c r="A14008" s="2" t="s">
        <v>434</v>
      </c>
      <c r="B14008" s="2" t="s">
        <v>435</v>
      </c>
      <c r="C14008" s="3">
        <v>2021</v>
      </c>
      <c r="D14008" s="4">
        <v>19603607</v>
      </c>
    </row>
    <row r="14009" spans="1:4" x14ac:dyDescent="0.3">
      <c r="A14009" s="5" t="s">
        <v>434</v>
      </c>
      <c r="B14009" s="5" t="s">
        <v>435</v>
      </c>
      <c r="C14009" s="6">
        <v>2022</v>
      </c>
      <c r="D14009" s="7">
        <v>20152938</v>
      </c>
    </row>
    <row r="14010" spans="1:4" x14ac:dyDescent="0.3">
      <c r="A14010" s="2" t="s">
        <v>434</v>
      </c>
      <c r="B14010" s="2" t="s">
        <v>435</v>
      </c>
      <c r="C14010" s="3">
        <v>2023</v>
      </c>
      <c r="D14010" s="4">
        <v>20723965</v>
      </c>
    </row>
    <row r="14011" spans="1:4" x14ac:dyDescent="0.3">
      <c r="A14011" s="5" t="s">
        <v>434</v>
      </c>
      <c r="B14011" s="5" t="s">
        <v>435</v>
      </c>
      <c r="C14011" s="6">
        <v>2024</v>
      </c>
      <c r="D14011" s="7">
        <v>21314956</v>
      </c>
    </row>
    <row r="14012" spans="1:4" x14ac:dyDescent="0.3">
      <c r="A14012" s="2" t="s">
        <v>436</v>
      </c>
      <c r="B14012" s="2" t="s">
        <v>437</v>
      </c>
      <c r="C14012" s="3">
        <v>1960</v>
      </c>
      <c r="D14012" s="4">
        <v>3809389</v>
      </c>
    </row>
    <row r="14013" spans="1:4" x14ac:dyDescent="0.3">
      <c r="A14013" s="5" t="s">
        <v>436</v>
      </c>
      <c r="B14013" s="5" t="s">
        <v>437</v>
      </c>
      <c r="C14013" s="6">
        <v>1961</v>
      </c>
      <c r="D14013" s="7">
        <v>3930401</v>
      </c>
    </row>
    <row r="14014" spans="1:4" x14ac:dyDescent="0.3">
      <c r="A14014" s="2" t="s">
        <v>436</v>
      </c>
      <c r="B14014" s="2" t="s">
        <v>437</v>
      </c>
      <c r="C14014" s="3">
        <v>1962</v>
      </c>
      <c r="D14014" s="4">
        <v>4055959</v>
      </c>
    </row>
    <row r="14015" spans="1:4" x14ac:dyDescent="0.3">
      <c r="A14015" s="5" t="s">
        <v>436</v>
      </c>
      <c r="B14015" s="5" t="s">
        <v>437</v>
      </c>
      <c r="C14015" s="6">
        <v>1963</v>
      </c>
      <c r="D14015" s="7">
        <v>4185877</v>
      </c>
    </row>
    <row r="14016" spans="1:4" x14ac:dyDescent="0.3">
      <c r="A14016" s="2" t="s">
        <v>436</v>
      </c>
      <c r="B14016" s="2" t="s">
        <v>437</v>
      </c>
      <c r="C14016" s="3">
        <v>1964</v>
      </c>
      <c r="D14016" s="4">
        <v>4320006</v>
      </c>
    </row>
    <row r="14017" spans="1:4" x14ac:dyDescent="0.3">
      <c r="A14017" s="5" t="s">
        <v>436</v>
      </c>
      <c r="B14017" s="5" t="s">
        <v>437</v>
      </c>
      <c r="C14017" s="6">
        <v>1965</v>
      </c>
      <c r="D14017" s="7">
        <v>4458462</v>
      </c>
    </row>
    <row r="14018" spans="1:4" x14ac:dyDescent="0.3">
      <c r="A14018" s="2" t="s">
        <v>436</v>
      </c>
      <c r="B14018" s="2" t="s">
        <v>437</v>
      </c>
      <c r="C14018" s="3">
        <v>1966</v>
      </c>
      <c r="D14018" s="4">
        <v>4601217</v>
      </c>
    </row>
    <row r="14019" spans="1:4" x14ac:dyDescent="0.3">
      <c r="A14019" s="5" t="s">
        <v>436</v>
      </c>
      <c r="B14019" s="5" t="s">
        <v>437</v>
      </c>
      <c r="C14019" s="6">
        <v>1967</v>
      </c>
      <c r="D14019" s="7">
        <v>4748307</v>
      </c>
    </row>
    <row r="14020" spans="1:4" x14ac:dyDescent="0.3">
      <c r="A14020" s="2" t="s">
        <v>436</v>
      </c>
      <c r="B14020" s="2" t="s">
        <v>437</v>
      </c>
      <c r="C14020" s="3">
        <v>1968</v>
      </c>
      <c r="D14020" s="4">
        <v>4900440</v>
      </c>
    </row>
    <row r="14021" spans="1:4" x14ac:dyDescent="0.3">
      <c r="A14021" s="5" t="s">
        <v>436</v>
      </c>
      <c r="B14021" s="5" t="s">
        <v>437</v>
      </c>
      <c r="C14021" s="6">
        <v>1969</v>
      </c>
      <c r="D14021" s="7">
        <v>5058181</v>
      </c>
    </row>
    <row r="14022" spans="1:4" x14ac:dyDescent="0.3">
      <c r="A14022" s="2" t="s">
        <v>436</v>
      </c>
      <c r="B14022" s="2" t="s">
        <v>437</v>
      </c>
      <c r="C14022" s="3">
        <v>1970</v>
      </c>
      <c r="D14022" s="4">
        <v>5215918</v>
      </c>
    </row>
    <row r="14023" spans="1:4" x14ac:dyDescent="0.3">
      <c r="A14023" s="5" t="s">
        <v>436</v>
      </c>
      <c r="B14023" s="5" t="s">
        <v>437</v>
      </c>
      <c r="C14023" s="6">
        <v>1971</v>
      </c>
      <c r="D14023" s="7">
        <v>5374712</v>
      </c>
    </row>
    <row r="14024" spans="1:4" x14ac:dyDescent="0.3">
      <c r="A14024" s="2" t="s">
        <v>436</v>
      </c>
      <c r="B14024" s="2" t="s">
        <v>437</v>
      </c>
      <c r="C14024" s="3">
        <v>1972</v>
      </c>
      <c r="D14024" s="4">
        <v>5542445</v>
      </c>
    </row>
    <row r="14025" spans="1:4" x14ac:dyDescent="0.3">
      <c r="A14025" s="5" t="s">
        <v>436</v>
      </c>
      <c r="B14025" s="5" t="s">
        <v>437</v>
      </c>
      <c r="C14025" s="6">
        <v>1973</v>
      </c>
      <c r="D14025" s="7">
        <v>5720404</v>
      </c>
    </row>
    <row r="14026" spans="1:4" x14ac:dyDescent="0.3">
      <c r="A14026" s="2" t="s">
        <v>436</v>
      </c>
      <c r="B14026" s="2" t="s">
        <v>437</v>
      </c>
      <c r="C14026" s="3">
        <v>1974</v>
      </c>
      <c r="D14026" s="4">
        <v>5908328</v>
      </c>
    </row>
    <row r="14027" spans="1:4" x14ac:dyDescent="0.3">
      <c r="A14027" s="5" t="s">
        <v>436</v>
      </c>
      <c r="B14027" s="5" t="s">
        <v>437</v>
      </c>
      <c r="C14027" s="6">
        <v>1975</v>
      </c>
      <c r="D14027" s="7">
        <v>6098658</v>
      </c>
    </row>
    <row r="14028" spans="1:4" x14ac:dyDescent="0.3">
      <c r="A14028" s="2" t="s">
        <v>436</v>
      </c>
      <c r="B14028" s="2" t="s">
        <v>437</v>
      </c>
      <c r="C14028" s="3">
        <v>1976</v>
      </c>
      <c r="D14028" s="4">
        <v>6287105</v>
      </c>
    </row>
    <row r="14029" spans="1:4" x14ac:dyDescent="0.3">
      <c r="A14029" s="5" t="s">
        <v>436</v>
      </c>
      <c r="B14029" s="5" t="s">
        <v>437</v>
      </c>
      <c r="C14029" s="6">
        <v>1977</v>
      </c>
      <c r="D14029" s="7">
        <v>6449512</v>
      </c>
    </row>
    <row r="14030" spans="1:4" x14ac:dyDescent="0.3">
      <c r="A14030" s="2" t="s">
        <v>436</v>
      </c>
      <c r="B14030" s="2" t="s">
        <v>437</v>
      </c>
      <c r="C14030" s="3">
        <v>1978</v>
      </c>
      <c r="D14030" s="4">
        <v>6543575</v>
      </c>
    </row>
    <row r="14031" spans="1:4" x14ac:dyDescent="0.3">
      <c r="A14031" s="5" t="s">
        <v>436</v>
      </c>
      <c r="B14031" s="5" t="s">
        <v>437</v>
      </c>
      <c r="C14031" s="6">
        <v>1979</v>
      </c>
      <c r="D14031" s="7">
        <v>6647556</v>
      </c>
    </row>
    <row r="14032" spans="1:4" x14ac:dyDescent="0.3">
      <c r="A14032" s="2" t="s">
        <v>436</v>
      </c>
      <c r="B14032" s="2" t="s">
        <v>437</v>
      </c>
      <c r="C14032" s="3">
        <v>1980</v>
      </c>
      <c r="D14032" s="4">
        <v>7041303</v>
      </c>
    </row>
    <row r="14033" spans="1:4" x14ac:dyDescent="0.3">
      <c r="A14033" s="5" t="s">
        <v>436</v>
      </c>
      <c r="B14033" s="5" t="s">
        <v>437</v>
      </c>
      <c r="C14033" s="6">
        <v>1981</v>
      </c>
      <c r="D14033" s="7">
        <v>7498635</v>
      </c>
    </row>
    <row r="14034" spans="1:4" x14ac:dyDescent="0.3">
      <c r="A14034" s="2" t="s">
        <v>436</v>
      </c>
      <c r="B14034" s="2" t="s">
        <v>437</v>
      </c>
      <c r="C14034" s="3">
        <v>1982</v>
      </c>
      <c r="D14034" s="4">
        <v>7796496</v>
      </c>
    </row>
    <row r="14035" spans="1:4" x14ac:dyDescent="0.3">
      <c r="A14035" s="5" t="s">
        <v>436</v>
      </c>
      <c r="B14035" s="5" t="s">
        <v>437</v>
      </c>
      <c r="C14035" s="6">
        <v>1983</v>
      </c>
      <c r="D14035" s="7">
        <v>8098404</v>
      </c>
    </row>
    <row r="14036" spans="1:4" x14ac:dyDescent="0.3">
      <c r="A14036" s="2" t="s">
        <v>436</v>
      </c>
      <c r="B14036" s="2" t="s">
        <v>437</v>
      </c>
      <c r="C14036" s="3">
        <v>1984</v>
      </c>
      <c r="D14036" s="4">
        <v>8391488</v>
      </c>
    </row>
    <row r="14037" spans="1:4" x14ac:dyDescent="0.3">
      <c r="A14037" s="5" t="s">
        <v>436</v>
      </c>
      <c r="B14037" s="5" t="s">
        <v>437</v>
      </c>
      <c r="C14037" s="6">
        <v>1985</v>
      </c>
      <c r="D14037" s="7">
        <v>8686813</v>
      </c>
    </row>
    <row r="14038" spans="1:4" x14ac:dyDescent="0.3">
      <c r="A14038" s="2" t="s">
        <v>436</v>
      </c>
      <c r="B14038" s="2" t="s">
        <v>437</v>
      </c>
      <c r="C14038" s="3">
        <v>1986</v>
      </c>
      <c r="D14038" s="4">
        <v>8982578</v>
      </c>
    </row>
    <row r="14039" spans="1:4" x14ac:dyDescent="0.3">
      <c r="A14039" s="5" t="s">
        <v>436</v>
      </c>
      <c r="B14039" s="5" t="s">
        <v>437</v>
      </c>
      <c r="C14039" s="6">
        <v>1987</v>
      </c>
      <c r="D14039" s="7">
        <v>9284644</v>
      </c>
    </row>
    <row r="14040" spans="1:4" x14ac:dyDescent="0.3">
      <c r="A14040" s="2" t="s">
        <v>436</v>
      </c>
      <c r="B14040" s="2" t="s">
        <v>437</v>
      </c>
      <c r="C14040" s="3">
        <v>1988</v>
      </c>
      <c r="D14040" s="4">
        <v>9583094</v>
      </c>
    </row>
    <row r="14041" spans="1:4" x14ac:dyDescent="0.3">
      <c r="A14041" s="5" t="s">
        <v>436</v>
      </c>
      <c r="B14041" s="5" t="s">
        <v>437</v>
      </c>
      <c r="C14041" s="6">
        <v>1989</v>
      </c>
      <c r="D14041" s="7">
        <v>9864798</v>
      </c>
    </row>
    <row r="14042" spans="1:4" x14ac:dyDescent="0.3">
      <c r="A14042" s="2" t="s">
        <v>436</v>
      </c>
      <c r="B14042" s="2" t="s">
        <v>437</v>
      </c>
      <c r="C14042" s="3">
        <v>1990</v>
      </c>
      <c r="D14042" s="4">
        <v>10137281</v>
      </c>
    </row>
    <row r="14043" spans="1:4" x14ac:dyDescent="0.3">
      <c r="A14043" s="5" t="s">
        <v>436</v>
      </c>
      <c r="B14043" s="5" t="s">
        <v>437</v>
      </c>
      <c r="C14043" s="6">
        <v>1991</v>
      </c>
      <c r="D14043" s="7">
        <v>10404816</v>
      </c>
    </row>
    <row r="14044" spans="1:4" x14ac:dyDescent="0.3">
      <c r="A14044" s="2" t="s">
        <v>436</v>
      </c>
      <c r="B14044" s="2" t="s">
        <v>437</v>
      </c>
      <c r="C14044" s="3">
        <v>1992</v>
      </c>
      <c r="D14044" s="4">
        <v>10702700</v>
      </c>
    </row>
    <row r="14045" spans="1:4" x14ac:dyDescent="0.3">
      <c r="A14045" s="5" t="s">
        <v>436</v>
      </c>
      <c r="B14045" s="5" t="s">
        <v>437</v>
      </c>
      <c r="C14045" s="6">
        <v>1993</v>
      </c>
      <c r="D14045" s="7">
        <v>10860288</v>
      </c>
    </row>
    <row r="14046" spans="1:4" x14ac:dyDescent="0.3">
      <c r="A14046" s="2" t="s">
        <v>436</v>
      </c>
      <c r="B14046" s="2" t="s">
        <v>437</v>
      </c>
      <c r="C14046" s="3">
        <v>1994</v>
      </c>
      <c r="D14046" s="4">
        <v>10873148</v>
      </c>
    </row>
    <row r="14047" spans="1:4" x14ac:dyDescent="0.3">
      <c r="A14047" s="5" t="s">
        <v>436</v>
      </c>
      <c r="B14047" s="5" t="s">
        <v>437</v>
      </c>
      <c r="C14047" s="6">
        <v>1995</v>
      </c>
      <c r="D14047" s="7">
        <v>10974599</v>
      </c>
    </row>
    <row r="14048" spans="1:4" x14ac:dyDescent="0.3">
      <c r="A14048" s="2" t="s">
        <v>436</v>
      </c>
      <c r="B14048" s="2" t="s">
        <v>437</v>
      </c>
      <c r="C14048" s="3">
        <v>1996</v>
      </c>
      <c r="D14048" s="4">
        <v>11158360</v>
      </c>
    </row>
    <row r="14049" spans="1:4" x14ac:dyDescent="0.3">
      <c r="A14049" s="5" t="s">
        <v>436</v>
      </c>
      <c r="B14049" s="5" t="s">
        <v>437</v>
      </c>
      <c r="C14049" s="6">
        <v>1997</v>
      </c>
      <c r="D14049" s="7">
        <v>11369827</v>
      </c>
    </row>
    <row r="14050" spans="1:4" x14ac:dyDescent="0.3">
      <c r="A14050" s="2" t="s">
        <v>436</v>
      </c>
      <c r="B14050" s="2" t="s">
        <v>437</v>
      </c>
      <c r="C14050" s="3">
        <v>1998</v>
      </c>
      <c r="D14050" s="4">
        <v>11594297</v>
      </c>
    </row>
    <row r="14051" spans="1:4" x14ac:dyDescent="0.3">
      <c r="A14051" s="5" t="s">
        <v>436</v>
      </c>
      <c r="B14051" s="5" t="s">
        <v>437</v>
      </c>
      <c r="C14051" s="6">
        <v>1999</v>
      </c>
      <c r="D14051" s="7">
        <v>11783458</v>
      </c>
    </row>
    <row r="14052" spans="1:4" x14ac:dyDescent="0.3">
      <c r="A14052" s="2" t="s">
        <v>436</v>
      </c>
      <c r="B14052" s="2" t="s">
        <v>437</v>
      </c>
      <c r="C14052" s="3">
        <v>2000</v>
      </c>
      <c r="D14052" s="4">
        <v>11892055</v>
      </c>
    </row>
    <row r="14053" spans="1:4" x14ac:dyDescent="0.3">
      <c r="A14053" s="5" t="s">
        <v>436</v>
      </c>
      <c r="B14053" s="5" t="s">
        <v>437</v>
      </c>
      <c r="C14053" s="6">
        <v>2001</v>
      </c>
      <c r="D14053" s="7">
        <v>11971901</v>
      </c>
    </row>
    <row r="14054" spans="1:4" x14ac:dyDescent="0.3">
      <c r="A14054" s="2" t="s">
        <v>436</v>
      </c>
      <c r="B14054" s="2" t="s">
        <v>437</v>
      </c>
      <c r="C14054" s="3">
        <v>2002</v>
      </c>
      <c r="D14054" s="4">
        <v>12087653</v>
      </c>
    </row>
    <row r="14055" spans="1:4" x14ac:dyDescent="0.3">
      <c r="A14055" s="5" t="s">
        <v>436</v>
      </c>
      <c r="B14055" s="5" t="s">
        <v>437</v>
      </c>
      <c r="C14055" s="6">
        <v>2003</v>
      </c>
      <c r="D14055" s="7">
        <v>12232323</v>
      </c>
    </row>
    <row r="14056" spans="1:4" x14ac:dyDescent="0.3">
      <c r="A14056" s="2" t="s">
        <v>436</v>
      </c>
      <c r="B14056" s="2" t="s">
        <v>437</v>
      </c>
      <c r="C14056" s="3">
        <v>2004</v>
      </c>
      <c r="D14056" s="4">
        <v>12365896</v>
      </c>
    </row>
    <row r="14057" spans="1:4" x14ac:dyDescent="0.3">
      <c r="A14057" s="5" t="s">
        <v>436</v>
      </c>
      <c r="B14057" s="5" t="s">
        <v>437</v>
      </c>
      <c r="C14057" s="6">
        <v>2005</v>
      </c>
      <c r="D14057" s="7">
        <v>12483432</v>
      </c>
    </row>
    <row r="14058" spans="1:4" x14ac:dyDescent="0.3">
      <c r="A14058" s="2" t="s">
        <v>436</v>
      </c>
      <c r="B14058" s="2" t="s">
        <v>437</v>
      </c>
      <c r="C14058" s="3">
        <v>2006</v>
      </c>
      <c r="D14058" s="4">
        <v>12636445</v>
      </c>
    </row>
    <row r="14059" spans="1:4" x14ac:dyDescent="0.3">
      <c r="A14059" s="5" t="s">
        <v>436</v>
      </c>
      <c r="B14059" s="5" t="s">
        <v>437</v>
      </c>
      <c r="C14059" s="6">
        <v>2007</v>
      </c>
      <c r="D14059" s="7">
        <v>12804058</v>
      </c>
    </row>
    <row r="14060" spans="1:4" x14ac:dyDescent="0.3">
      <c r="A14060" s="2" t="s">
        <v>436</v>
      </c>
      <c r="B14060" s="2" t="s">
        <v>437</v>
      </c>
      <c r="C14060" s="3">
        <v>2008</v>
      </c>
      <c r="D14060" s="4">
        <v>12959149</v>
      </c>
    </row>
    <row r="14061" spans="1:4" x14ac:dyDescent="0.3">
      <c r="A14061" s="5" t="s">
        <v>436</v>
      </c>
      <c r="B14061" s="5" t="s">
        <v>437</v>
      </c>
      <c r="C14061" s="6">
        <v>2009</v>
      </c>
      <c r="D14061" s="7">
        <v>13142790</v>
      </c>
    </row>
    <row r="14062" spans="1:4" x14ac:dyDescent="0.3">
      <c r="A14062" s="2" t="s">
        <v>436</v>
      </c>
      <c r="B14062" s="2" t="s">
        <v>437</v>
      </c>
      <c r="C14062" s="3">
        <v>2010</v>
      </c>
      <c r="D14062" s="4">
        <v>13356548</v>
      </c>
    </row>
    <row r="14063" spans="1:4" x14ac:dyDescent="0.3">
      <c r="A14063" s="5" t="s">
        <v>436</v>
      </c>
      <c r="B14063" s="5" t="s">
        <v>437</v>
      </c>
      <c r="C14063" s="6">
        <v>2011</v>
      </c>
      <c r="D14063" s="7">
        <v>13595424</v>
      </c>
    </row>
    <row r="14064" spans="1:4" x14ac:dyDescent="0.3">
      <c r="A14064" s="2" t="s">
        <v>436</v>
      </c>
      <c r="B14064" s="2" t="s">
        <v>437</v>
      </c>
      <c r="C14064" s="3">
        <v>2012</v>
      </c>
      <c r="D14064" s="4">
        <v>13817887</v>
      </c>
    </row>
    <row r="14065" spans="1:4" x14ac:dyDescent="0.3">
      <c r="A14065" s="5" t="s">
        <v>436</v>
      </c>
      <c r="B14065" s="5" t="s">
        <v>437</v>
      </c>
      <c r="C14065" s="6">
        <v>2013</v>
      </c>
      <c r="D14065" s="7">
        <v>14013808</v>
      </c>
    </row>
    <row r="14066" spans="1:4" x14ac:dyDescent="0.3">
      <c r="A14066" s="2" t="s">
        <v>436</v>
      </c>
      <c r="B14066" s="2" t="s">
        <v>437</v>
      </c>
      <c r="C14066" s="3">
        <v>2014</v>
      </c>
      <c r="D14066" s="4">
        <v>14207359</v>
      </c>
    </row>
    <row r="14067" spans="1:4" x14ac:dyDescent="0.3">
      <c r="A14067" s="5" t="s">
        <v>436</v>
      </c>
      <c r="B14067" s="5" t="s">
        <v>437</v>
      </c>
      <c r="C14067" s="6">
        <v>2015</v>
      </c>
      <c r="D14067" s="7">
        <v>14399013</v>
      </c>
    </row>
    <row r="14068" spans="1:4" x14ac:dyDescent="0.3">
      <c r="A14068" s="2" t="s">
        <v>436</v>
      </c>
      <c r="B14068" s="2" t="s">
        <v>437</v>
      </c>
      <c r="C14068" s="3">
        <v>2016</v>
      </c>
      <c r="D14068" s="4">
        <v>14600294</v>
      </c>
    </row>
    <row r="14069" spans="1:4" x14ac:dyDescent="0.3">
      <c r="A14069" s="5" t="s">
        <v>436</v>
      </c>
      <c r="B14069" s="5" t="s">
        <v>437</v>
      </c>
      <c r="C14069" s="6">
        <v>2017</v>
      </c>
      <c r="D14069" s="7">
        <v>14812482</v>
      </c>
    </row>
    <row r="14070" spans="1:4" x14ac:dyDescent="0.3">
      <c r="A14070" s="2" t="s">
        <v>436</v>
      </c>
      <c r="B14070" s="2" t="s">
        <v>437</v>
      </c>
      <c r="C14070" s="3">
        <v>2018</v>
      </c>
      <c r="D14070" s="4">
        <v>15034452</v>
      </c>
    </row>
    <row r="14071" spans="1:4" x14ac:dyDescent="0.3">
      <c r="A14071" s="5" t="s">
        <v>436</v>
      </c>
      <c r="B14071" s="5" t="s">
        <v>437</v>
      </c>
      <c r="C14071" s="6">
        <v>2019</v>
      </c>
      <c r="D14071" s="7">
        <v>15271368</v>
      </c>
    </row>
    <row r="14072" spans="1:4" x14ac:dyDescent="0.3">
      <c r="A14072" s="2" t="s">
        <v>436</v>
      </c>
      <c r="B14072" s="2" t="s">
        <v>437</v>
      </c>
      <c r="C14072" s="3">
        <v>2020</v>
      </c>
      <c r="D14072" s="4">
        <v>15526888</v>
      </c>
    </row>
    <row r="14073" spans="1:4" x14ac:dyDescent="0.3">
      <c r="A14073" s="5" t="s">
        <v>436</v>
      </c>
      <c r="B14073" s="5" t="s">
        <v>437</v>
      </c>
      <c r="C14073" s="6">
        <v>2021</v>
      </c>
      <c r="D14073" s="7">
        <v>15797210</v>
      </c>
    </row>
    <row r="14074" spans="1:4" x14ac:dyDescent="0.3">
      <c r="A14074" s="2" t="s">
        <v>436</v>
      </c>
      <c r="B14074" s="2" t="s">
        <v>437</v>
      </c>
      <c r="C14074" s="3">
        <v>2022</v>
      </c>
      <c r="D14074" s="4">
        <v>16069056</v>
      </c>
    </row>
    <row r="14075" spans="1:4" x14ac:dyDescent="0.3">
      <c r="A14075" s="5" t="s">
        <v>436</v>
      </c>
      <c r="B14075" s="5" t="s">
        <v>437</v>
      </c>
      <c r="C14075" s="6">
        <v>2023</v>
      </c>
      <c r="D14075" s="7">
        <v>16340822</v>
      </c>
    </row>
    <row r="14076" spans="1:4" x14ac:dyDescent="0.3">
      <c r="A14076" s="2" t="s">
        <v>436</v>
      </c>
      <c r="B14076" s="2" t="s">
        <v>437</v>
      </c>
      <c r="C14076" s="3">
        <v>2024</v>
      </c>
      <c r="D14076" s="4">
        <v>16634373</v>
      </c>
    </row>
  </sheetData>
  <autoFilter ref="A1:D14076" xr:uid="{00000000-0001-0000-0000-000000000000}"/>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0869A-3816-4009-AB93-711B4385B0D7}">
  <dimension ref="A1:F14"/>
  <sheetViews>
    <sheetView workbookViewId="0">
      <selection activeCell="U24" sqref="U24"/>
    </sheetView>
  </sheetViews>
  <sheetFormatPr defaultRowHeight="14.4" x14ac:dyDescent="0.3"/>
  <cols>
    <col min="1" max="1" width="16.44140625" bestFit="1" customWidth="1"/>
    <col min="2" max="2" width="16.77734375" bestFit="1" customWidth="1"/>
  </cols>
  <sheetData>
    <row r="1" spans="1:6" x14ac:dyDescent="0.3">
      <c r="A1" s="11" t="s">
        <v>2</v>
      </c>
      <c r="B1" s="12">
        <v>1960</v>
      </c>
      <c r="F1" t="str">
        <f>"Top 10 Most Populated Countries - "&amp;B1</f>
        <v>Top 10 Most Populated Countries - 1960</v>
      </c>
    </row>
    <row r="3" spans="1:6" x14ac:dyDescent="0.3">
      <c r="A3" s="11" t="s">
        <v>450</v>
      </c>
      <c r="B3" t="s">
        <v>452</v>
      </c>
    </row>
    <row r="4" spans="1:6" x14ac:dyDescent="0.3">
      <c r="A4" s="12" t="s">
        <v>86</v>
      </c>
      <c r="B4" s="13">
        <v>667070000</v>
      </c>
    </row>
    <row r="5" spans="1:6" x14ac:dyDescent="0.3">
      <c r="A5" s="12" t="s">
        <v>182</v>
      </c>
      <c r="B5" s="13">
        <v>435990338</v>
      </c>
    </row>
    <row r="6" spans="1:6" x14ac:dyDescent="0.3">
      <c r="A6" s="12" t="s">
        <v>416</v>
      </c>
      <c r="B6" s="13">
        <v>180671000</v>
      </c>
    </row>
    <row r="7" spans="1:6" x14ac:dyDescent="0.3">
      <c r="A7" s="12" t="s">
        <v>326</v>
      </c>
      <c r="B7" s="13">
        <v>119897000</v>
      </c>
    </row>
    <row r="8" spans="1:6" x14ac:dyDescent="0.3">
      <c r="A8" s="12" t="s">
        <v>200</v>
      </c>
      <c r="B8" s="13">
        <v>93216000</v>
      </c>
    </row>
    <row r="9" spans="1:6" x14ac:dyDescent="0.3">
      <c r="A9" s="12" t="s">
        <v>184</v>
      </c>
      <c r="B9" s="13">
        <v>88296070</v>
      </c>
    </row>
    <row r="10" spans="1:6" x14ac:dyDescent="0.3">
      <c r="A10" s="12" t="s">
        <v>150</v>
      </c>
      <c r="B10" s="13">
        <v>72814900</v>
      </c>
    </row>
    <row r="11" spans="1:6" x14ac:dyDescent="0.3">
      <c r="A11" s="12" t="s">
        <v>56</v>
      </c>
      <c r="B11" s="13">
        <v>72388126</v>
      </c>
    </row>
    <row r="12" spans="1:6" x14ac:dyDescent="0.3">
      <c r="A12" s="12" t="s">
        <v>414</v>
      </c>
      <c r="B12" s="13">
        <v>52400000</v>
      </c>
    </row>
    <row r="13" spans="1:6" x14ac:dyDescent="0.3">
      <c r="A13" s="12" t="s">
        <v>34</v>
      </c>
      <c r="B13" s="13">
        <v>51828660</v>
      </c>
    </row>
    <row r="14" spans="1:6" x14ac:dyDescent="0.3">
      <c r="A14" s="12" t="s">
        <v>451</v>
      </c>
      <c r="B14" s="13">
        <v>1834572094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084C3-32C2-4FF1-A772-EB70F2E2AD1E}">
  <dimension ref="A1:E14"/>
  <sheetViews>
    <sheetView workbookViewId="0">
      <selection activeCell="B28" sqref="B27:B28"/>
    </sheetView>
  </sheetViews>
  <sheetFormatPr defaultRowHeight="14.4" x14ac:dyDescent="0.3"/>
  <cols>
    <col min="1" max="1" width="22" bestFit="1" customWidth="1"/>
    <col min="2" max="2" width="16.77734375" bestFit="1" customWidth="1"/>
  </cols>
  <sheetData>
    <row r="1" spans="1:5" x14ac:dyDescent="0.3">
      <c r="A1" s="11" t="s">
        <v>2</v>
      </c>
      <c r="B1" s="12">
        <v>1960</v>
      </c>
    </row>
    <row r="2" spans="1:5" x14ac:dyDescent="0.3">
      <c r="E2" t="str">
        <f>"Top 10 Least populated Countries - "&amp;B1</f>
        <v>Top 10 Least populated Countries - 1960</v>
      </c>
    </row>
    <row r="3" spans="1:5" x14ac:dyDescent="0.3">
      <c r="A3" s="11" t="s">
        <v>450</v>
      </c>
      <c r="B3" t="s">
        <v>452</v>
      </c>
    </row>
    <row r="4" spans="1:5" x14ac:dyDescent="0.3">
      <c r="A4" s="12" t="s">
        <v>348</v>
      </c>
      <c r="B4" s="13">
        <v>2715</v>
      </c>
    </row>
    <row r="5" spans="1:5" x14ac:dyDescent="0.3">
      <c r="A5" s="12" t="s">
        <v>370</v>
      </c>
      <c r="B5" s="13">
        <v>4250</v>
      </c>
    </row>
    <row r="6" spans="1:5" x14ac:dyDescent="0.3">
      <c r="A6" s="12" t="s">
        <v>278</v>
      </c>
      <c r="B6" s="13">
        <v>4607</v>
      </c>
    </row>
    <row r="7" spans="1:5" x14ac:dyDescent="0.3">
      <c r="A7" s="12" t="s">
        <v>406</v>
      </c>
      <c r="B7" s="13">
        <v>5598</v>
      </c>
    </row>
    <row r="8" spans="1:5" x14ac:dyDescent="0.3">
      <c r="A8" s="12" t="s">
        <v>404</v>
      </c>
      <c r="B8" s="13">
        <v>5599</v>
      </c>
    </row>
    <row r="9" spans="1:5" x14ac:dyDescent="0.3">
      <c r="A9" s="12" t="s">
        <v>58</v>
      </c>
      <c r="B9" s="13">
        <v>7950</v>
      </c>
    </row>
    <row r="10" spans="1:5" x14ac:dyDescent="0.3">
      <c r="A10" s="12" t="s">
        <v>76</v>
      </c>
      <c r="B10" s="13">
        <v>8428</v>
      </c>
    </row>
    <row r="11" spans="1:5" x14ac:dyDescent="0.3">
      <c r="A11" s="12" t="s">
        <v>296</v>
      </c>
      <c r="B11" s="13">
        <v>8736</v>
      </c>
    </row>
    <row r="12" spans="1:5" x14ac:dyDescent="0.3">
      <c r="A12" s="12" t="s">
        <v>304</v>
      </c>
      <c r="B12" s="13">
        <v>9328</v>
      </c>
    </row>
    <row r="13" spans="1:5" x14ac:dyDescent="0.3">
      <c r="A13" s="12" t="s">
        <v>12</v>
      </c>
      <c r="B13" s="13">
        <v>9510</v>
      </c>
    </row>
    <row r="14" spans="1:5" x14ac:dyDescent="0.3">
      <c r="A14" s="12" t="s">
        <v>451</v>
      </c>
      <c r="B14" s="13">
        <v>66721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013ED-B956-4A26-87EF-BFB01DC4341F}">
  <dimension ref="I1:O66"/>
  <sheetViews>
    <sheetView topLeftCell="F1" workbookViewId="0">
      <selection activeCell="O2" sqref="O2"/>
    </sheetView>
  </sheetViews>
  <sheetFormatPr defaultRowHeight="14.4" x14ac:dyDescent="0.3"/>
  <cols>
    <col min="9" max="9" width="14.33203125" customWidth="1"/>
    <col min="10" max="10" width="14.88671875" bestFit="1" customWidth="1"/>
    <col min="11" max="11" width="8.109375" customWidth="1"/>
    <col min="12" max="12" width="28.88671875" customWidth="1"/>
  </cols>
  <sheetData>
    <row r="1" spans="9:15" ht="15" thickBot="1" x14ac:dyDescent="0.35">
      <c r="I1" s="10" t="s">
        <v>456</v>
      </c>
      <c r="J1" s="10" t="s">
        <v>442</v>
      </c>
      <c r="K1" s="20" t="s">
        <v>466</v>
      </c>
      <c r="M1" s="19" t="s">
        <v>457</v>
      </c>
      <c r="O1" t="str">
        <f>"Population Distribution - "&amp;'dash board'!G4</f>
        <v>Population Distribution - 1973</v>
      </c>
    </row>
    <row r="2" spans="9:15" ht="15" thickTop="1" x14ac:dyDescent="0.3">
      <c r="J2" s="14" t="s">
        <v>446</v>
      </c>
      <c r="K2" s="14">
        <f>COUNTIFS('data table'!C:C,'dash board'!$G$4,'data table'!D:D,"&lt;5000000")</f>
        <v>133</v>
      </c>
      <c r="M2" s="3">
        <v>1960</v>
      </c>
    </row>
    <row r="3" spans="9:15" x14ac:dyDescent="0.3">
      <c r="J3" t="s">
        <v>447</v>
      </c>
      <c r="K3" s="14">
        <f>COUNTIFS('data table'!C:C,'dash board'!$G$4,'data table'!D:D,"&gt;=5000000",'data table'!D:D,"&lt;20000000")</f>
        <v>50</v>
      </c>
      <c r="M3" s="6">
        <v>1961</v>
      </c>
    </row>
    <row r="4" spans="9:15" x14ac:dyDescent="0.3">
      <c r="J4" s="14" t="s">
        <v>448</v>
      </c>
      <c r="K4" s="14">
        <f>COUNTIFS('data table'!C:C,'dash board'!$G$4,'data table'!D:D,"&gt;=20000000",'data table'!D:D,"&lt;50000000")</f>
        <v>18</v>
      </c>
      <c r="M4" s="3">
        <v>1962</v>
      </c>
    </row>
    <row r="5" spans="9:15" x14ac:dyDescent="0.3">
      <c r="J5" s="14" t="s">
        <v>443</v>
      </c>
      <c r="K5" s="14">
        <f>COUNTIFS('data table'!C:C,'dash board'!$G$4,'data table'!D:D,"&gt;=50000000",'data table'!D:D,"&lt;100000000")</f>
        <v>8</v>
      </c>
      <c r="M5" s="6">
        <v>1963</v>
      </c>
    </row>
    <row r="6" spans="9:15" x14ac:dyDescent="0.3">
      <c r="J6" s="14" t="s">
        <v>445</v>
      </c>
      <c r="K6" s="14">
        <f>COUNTIFS('data table'!C:C,'dash board'!$G$4,'data table'!D:D,"&gt;=100000000",'data table'!D:D,"&lt;200000000")</f>
        <v>4</v>
      </c>
      <c r="M6" s="3">
        <v>1964</v>
      </c>
    </row>
    <row r="7" spans="9:15" x14ac:dyDescent="0.3">
      <c r="J7" s="14" t="s">
        <v>449</v>
      </c>
      <c r="K7" s="14">
        <f>COUNTIFS('data table'!C:C,'dash board'!$G$4,'data table'!D:D,"&gt;=200000000",'data table'!D:D,"&lt;500000000")</f>
        <v>1</v>
      </c>
      <c r="M7" s="6">
        <v>1965</v>
      </c>
    </row>
    <row r="8" spans="9:15" x14ac:dyDescent="0.3">
      <c r="J8" s="14" t="s">
        <v>454</v>
      </c>
      <c r="K8" s="14">
        <f>COUNTIFS('data table'!C:C,'dash board'!$G$4,'data table'!D:D,"&gt;=500000000",'data table'!D:D,"&lt;1000000000")</f>
        <v>2</v>
      </c>
      <c r="M8" s="3">
        <v>1966</v>
      </c>
    </row>
    <row r="9" spans="9:15" x14ac:dyDescent="0.3">
      <c r="J9" s="14" t="s">
        <v>455</v>
      </c>
      <c r="K9">
        <f>COUNTIFS('data table'!C:C,'dash board'!$G$4,'data table'!D:D,"&gt;=1000000000")</f>
        <v>0</v>
      </c>
      <c r="M9" s="6">
        <v>1967</v>
      </c>
    </row>
    <row r="10" spans="9:15" x14ac:dyDescent="0.3">
      <c r="M10" s="3">
        <v>1968</v>
      </c>
    </row>
    <row r="11" spans="9:15" x14ac:dyDescent="0.3">
      <c r="M11" s="6">
        <v>1969</v>
      </c>
    </row>
    <row r="12" spans="9:15" x14ac:dyDescent="0.3">
      <c r="M12" s="3">
        <v>1970</v>
      </c>
    </row>
    <row r="13" spans="9:15" x14ac:dyDescent="0.3">
      <c r="M13" s="6">
        <v>1971</v>
      </c>
    </row>
    <row r="14" spans="9:15" x14ac:dyDescent="0.3">
      <c r="M14" s="3">
        <v>1972</v>
      </c>
    </row>
    <row r="15" spans="9:15" x14ac:dyDescent="0.3">
      <c r="M15" s="6">
        <v>1973</v>
      </c>
    </row>
    <row r="16" spans="9:15" x14ac:dyDescent="0.3">
      <c r="M16" s="3">
        <v>1974</v>
      </c>
    </row>
    <row r="17" spans="13:13" x14ac:dyDescent="0.3">
      <c r="M17" s="6">
        <v>1975</v>
      </c>
    </row>
    <row r="18" spans="13:13" x14ac:dyDescent="0.3">
      <c r="M18" s="3">
        <v>1976</v>
      </c>
    </row>
    <row r="19" spans="13:13" x14ac:dyDescent="0.3">
      <c r="M19" s="6">
        <v>1977</v>
      </c>
    </row>
    <row r="20" spans="13:13" x14ac:dyDescent="0.3">
      <c r="M20" s="3">
        <v>1978</v>
      </c>
    </row>
    <row r="21" spans="13:13" x14ac:dyDescent="0.3">
      <c r="M21" s="6">
        <v>1979</v>
      </c>
    </row>
    <row r="22" spans="13:13" x14ac:dyDescent="0.3">
      <c r="M22" s="3">
        <v>1980</v>
      </c>
    </row>
    <row r="23" spans="13:13" x14ac:dyDescent="0.3">
      <c r="M23" s="6">
        <v>1981</v>
      </c>
    </row>
    <row r="24" spans="13:13" x14ac:dyDescent="0.3">
      <c r="M24" s="3">
        <v>1982</v>
      </c>
    </row>
    <row r="25" spans="13:13" x14ac:dyDescent="0.3">
      <c r="M25" s="6">
        <v>1983</v>
      </c>
    </row>
    <row r="26" spans="13:13" x14ac:dyDescent="0.3">
      <c r="M26" s="3">
        <v>1984</v>
      </c>
    </row>
    <row r="27" spans="13:13" x14ac:dyDescent="0.3">
      <c r="M27" s="6">
        <v>1985</v>
      </c>
    </row>
    <row r="28" spans="13:13" x14ac:dyDescent="0.3">
      <c r="M28" s="3">
        <v>1986</v>
      </c>
    </row>
    <row r="29" spans="13:13" x14ac:dyDescent="0.3">
      <c r="M29" s="6">
        <v>1987</v>
      </c>
    </row>
    <row r="30" spans="13:13" x14ac:dyDescent="0.3">
      <c r="M30" s="3">
        <v>1988</v>
      </c>
    </row>
    <row r="31" spans="13:13" x14ac:dyDescent="0.3">
      <c r="M31" s="6">
        <v>1989</v>
      </c>
    </row>
    <row r="32" spans="13:13" x14ac:dyDescent="0.3">
      <c r="M32" s="3">
        <v>1990</v>
      </c>
    </row>
    <row r="33" spans="13:13" x14ac:dyDescent="0.3">
      <c r="M33" s="6">
        <v>1991</v>
      </c>
    </row>
    <row r="34" spans="13:13" x14ac:dyDescent="0.3">
      <c r="M34" s="3">
        <v>1992</v>
      </c>
    </row>
    <row r="35" spans="13:13" x14ac:dyDescent="0.3">
      <c r="M35" s="6">
        <v>1993</v>
      </c>
    </row>
    <row r="36" spans="13:13" x14ac:dyDescent="0.3">
      <c r="M36" s="3">
        <v>1994</v>
      </c>
    </row>
    <row r="37" spans="13:13" x14ac:dyDescent="0.3">
      <c r="M37" s="6">
        <v>1995</v>
      </c>
    </row>
    <row r="38" spans="13:13" x14ac:dyDescent="0.3">
      <c r="M38" s="3">
        <v>1996</v>
      </c>
    </row>
    <row r="39" spans="13:13" x14ac:dyDescent="0.3">
      <c r="M39" s="6">
        <v>1997</v>
      </c>
    </row>
    <row r="40" spans="13:13" x14ac:dyDescent="0.3">
      <c r="M40" s="3">
        <v>1998</v>
      </c>
    </row>
    <row r="41" spans="13:13" x14ac:dyDescent="0.3">
      <c r="M41" s="6">
        <v>1999</v>
      </c>
    </row>
    <row r="42" spans="13:13" x14ac:dyDescent="0.3">
      <c r="M42" s="3">
        <v>2000</v>
      </c>
    </row>
    <row r="43" spans="13:13" x14ac:dyDescent="0.3">
      <c r="M43" s="6">
        <v>2001</v>
      </c>
    </row>
    <row r="44" spans="13:13" x14ac:dyDescent="0.3">
      <c r="M44" s="3">
        <v>2002</v>
      </c>
    </row>
    <row r="45" spans="13:13" x14ac:dyDescent="0.3">
      <c r="M45" s="6">
        <v>2003</v>
      </c>
    </row>
    <row r="46" spans="13:13" x14ac:dyDescent="0.3">
      <c r="M46" s="3">
        <v>2004</v>
      </c>
    </row>
    <row r="47" spans="13:13" x14ac:dyDescent="0.3">
      <c r="M47" s="6">
        <v>2005</v>
      </c>
    </row>
    <row r="48" spans="13:13" x14ac:dyDescent="0.3">
      <c r="M48" s="3">
        <v>2006</v>
      </c>
    </row>
    <row r="49" spans="13:13" x14ac:dyDescent="0.3">
      <c r="M49" s="6">
        <v>2007</v>
      </c>
    </row>
    <row r="50" spans="13:13" x14ac:dyDescent="0.3">
      <c r="M50" s="3">
        <v>2008</v>
      </c>
    </row>
    <row r="51" spans="13:13" x14ac:dyDescent="0.3">
      <c r="M51" s="6">
        <v>2009</v>
      </c>
    </row>
    <row r="52" spans="13:13" x14ac:dyDescent="0.3">
      <c r="M52" s="3">
        <v>2010</v>
      </c>
    </row>
    <row r="53" spans="13:13" x14ac:dyDescent="0.3">
      <c r="M53" s="6">
        <v>2011</v>
      </c>
    </row>
    <row r="54" spans="13:13" x14ac:dyDescent="0.3">
      <c r="M54" s="3">
        <v>2012</v>
      </c>
    </row>
    <row r="55" spans="13:13" x14ac:dyDescent="0.3">
      <c r="M55" s="6">
        <v>2013</v>
      </c>
    </row>
    <row r="56" spans="13:13" x14ac:dyDescent="0.3">
      <c r="M56" s="3">
        <v>2014</v>
      </c>
    </row>
    <row r="57" spans="13:13" x14ac:dyDescent="0.3">
      <c r="M57" s="6">
        <v>2015</v>
      </c>
    </row>
    <row r="58" spans="13:13" x14ac:dyDescent="0.3">
      <c r="M58" s="3">
        <v>2016</v>
      </c>
    </row>
    <row r="59" spans="13:13" x14ac:dyDescent="0.3">
      <c r="M59" s="6">
        <v>2017</v>
      </c>
    </row>
    <row r="60" spans="13:13" x14ac:dyDescent="0.3">
      <c r="M60" s="3">
        <v>2018</v>
      </c>
    </row>
    <row r="61" spans="13:13" x14ac:dyDescent="0.3">
      <c r="M61" s="6">
        <v>2019</v>
      </c>
    </row>
    <row r="62" spans="13:13" x14ac:dyDescent="0.3">
      <c r="M62" s="3">
        <v>2020</v>
      </c>
    </row>
    <row r="63" spans="13:13" x14ac:dyDescent="0.3">
      <c r="M63" s="6">
        <v>2021</v>
      </c>
    </row>
    <row r="64" spans="13:13" x14ac:dyDescent="0.3">
      <c r="M64" s="3">
        <v>2022</v>
      </c>
    </row>
    <row r="65" spans="13:13" x14ac:dyDescent="0.3">
      <c r="M65" s="6">
        <v>2023</v>
      </c>
    </row>
    <row r="66" spans="13:13" x14ac:dyDescent="0.3">
      <c r="M66" s="3">
        <v>2024</v>
      </c>
    </row>
  </sheetData>
  <dataValidations count="1">
    <dataValidation type="list" allowBlank="1" showInputMessage="1" showErrorMessage="1" sqref="K1" xr:uid="{5985CC2F-6692-4CFC-9E29-0A38FBF02526}">
      <formula1>$M$2:$M$66</formula1>
    </dataValidation>
  </dataValidation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03E40-E1C0-456D-8CD1-C54A29DE183B}">
  <dimension ref="A1:Q218"/>
  <sheetViews>
    <sheetView zoomScale="85" zoomScaleNormal="28" workbookViewId="0">
      <selection activeCell="G25" sqref="G25"/>
    </sheetView>
  </sheetViews>
  <sheetFormatPr defaultRowHeight="14.4" x14ac:dyDescent="0.3"/>
  <cols>
    <col min="1" max="1" width="18.21875" customWidth="1"/>
    <col min="2" max="2" width="17.88671875" customWidth="1"/>
    <col min="3" max="3" width="16.5546875" customWidth="1"/>
    <col min="4" max="4" width="18.109375" customWidth="1"/>
    <col min="13" max="13" width="8.88671875" customWidth="1"/>
    <col min="14" max="14" width="24.21875" customWidth="1"/>
    <col min="15" max="15" width="11.5546875" customWidth="1"/>
    <col min="16" max="16" width="11" customWidth="1"/>
    <col min="17" max="17" width="13.33203125" customWidth="1"/>
  </cols>
  <sheetData>
    <row r="1" spans="1:17" x14ac:dyDescent="0.3">
      <c r="A1" s="15" t="s">
        <v>0</v>
      </c>
      <c r="B1" s="15" t="s">
        <v>460</v>
      </c>
      <c r="C1" s="15" t="s">
        <v>458</v>
      </c>
      <c r="D1" s="15" t="s">
        <v>459</v>
      </c>
      <c r="N1" s="15" t="s">
        <v>0</v>
      </c>
      <c r="O1" s="15" t="s">
        <v>460</v>
      </c>
      <c r="P1" s="15" t="s">
        <v>458</v>
      </c>
      <c r="Q1" s="15" t="s">
        <v>459</v>
      </c>
    </row>
    <row r="2" spans="1:17" x14ac:dyDescent="0.3">
      <c r="A2" s="5" t="s">
        <v>430</v>
      </c>
      <c r="B2" t="str">
        <f t="shared" ref="B2:B65" si="0">IFERROR(D2/C2,"No Data")</f>
        <v>No Data</v>
      </c>
      <c r="C2" s="16"/>
      <c r="D2" s="7">
        <v>5289152</v>
      </c>
      <c r="N2" s="5" t="s">
        <v>62</v>
      </c>
      <c r="O2">
        <f t="shared" ref="O2:O65" si="1">IFERROR(Q2/P2,"No Data")</f>
        <v>0.81912541592658494</v>
      </c>
      <c r="P2" s="7">
        <v>7867374</v>
      </c>
      <c r="Q2" s="7">
        <v>6444366</v>
      </c>
    </row>
    <row r="3" spans="1:17" x14ac:dyDescent="0.3">
      <c r="A3" s="2" t="s">
        <v>412</v>
      </c>
      <c r="B3">
        <f t="shared" si="0"/>
        <v>82.819231882071662</v>
      </c>
      <c r="C3" s="4">
        <v>131334</v>
      </c>
      <c r="D3" s="4">
        <v>10876981</v>
      </c>
      <c r="N3" s="5" t="s">
        <v>366</v>
      </c>
      <c r="O3">
        <f t="shared" si="1"/>
        <v>0.83932986919906827</v>
      </c>
      <c r="P3" s="7">
        <v>55810</v>
      </c>
      <c r="Q3" s="7">
        <v>46843</v>
      </c>
    </row>
    <row r="4" spans="1:17" x14ac:dyDescent="0.3">
      <c r="A4" s="5" t="s">
        <v>322</v>
      </c>
      <c r="B4">
        <f t="shared" si="0"/>
        <v>79.36189947236879</v>
      </c>
      <c r="C4" s="7">
        <v>36010</v>
      </c>
      <c r="D4" s="7">
        <v>2857822</v>
      </c>
      <c r="N4" s="5" t="s">
        <v>222</v>
      </c>
      <c r="O4">
        <f t="shared" si="1"/>
        <v>0.87810440367396381</v>
      </c>
      <c r="P4" s="7">
        <v>2120979</v>
      </c>
      <c r="Q4" s="7">
        <v>1862441</v>
      </c>
    </row>
    <row r="5" spans="1:17" x14ac:dyDescent="0.3">
      <c r="A5" s="2" t="s">
        <v>216</v>
      </c>
      <c r="B5">
        <f t="shared" si="0"/>
        <v>15.990037291840803</v>
      </c>
      <c r="C5" s="4">
        <v>311060</v>
      </c>
      <c r="D5" s="4">
        <v>4973861</v>
      </c>
      <c r="N5" s="5" t="s">
        <v>410</v>
      </c>
      <c r="O5">
        <f t="shared" si="1"/>
        <v>0.88408693209217526</v>
      </c>
      <c r="P5" s="7">
        <v>42824093</v>
      </c>
      <c r="Q5" s="7">
        <v>37860221</v>
      </c>
    </row>
    <row r="6" spans="1:17" x14ac:dyDescent="0.3">
      <c r="A6" s="2" t="s">
        <v>348</v>
      </c>
      <c r="B6">
        <f t="shared" si="0"/>
        <v>15.966850828729282</v>
      </c>
      <c r="C6" s="4">
        <v>2715</v>
      </c>
      <c r="D6" s="4">
        <v>43350</v>
      </c>
      <c r="N6" s="2" t="s">
        <v>100</v>
      </c>
      <c r="O6">
        <f t="shared" si="1"/>
        <v>0.93384806123210551</v>
      </c>
      <c r="P6" s="4">
        <v>4140181</v>
      </c>
      <c r="Q6" s="4">
        <v>3866300</v>
      </c>
    </row>
    <row r="7" spans="1:17" x14ac:dyDescent="0.3">
      <c r="A7" s="2" t="s">
        <v>336</v>
      </c>
      <c r="B7">
        <f t="shared" si="0"/>
        <v>14.494636000694751</v>
      </c>
      <c r="C7" s="4">
        <v>2435403</v>
      </c>
      <c r="D7" s="4">
        <v>35300280</v>
      </c>
      <c r="N7" s="5" t="s">
        <v>178</v>
      </c>
      <c r="O7">
        <f t="shared" si="1"/>
        <v>0.9578106381802316</v>
      </c>
      <c r="P7" s="7">
        <v>9983512</v>
      </c>
      <c r="Q7" s="7">
        <v>9562314</v>
      </c>
    </row>
    <row r="8" spans="1:17" x14ac:dyDescent="0.3">
      <c r="A8" s="2" t="s">
        <v>112</v>
      </c>
      <c r="B8">
        <f t="shared" si="0"/>
        <v>13.585999256021575</v>
      </c>
      <c r="C8" s="4">
        <v>86024</v>
      </c>
      <c r="D8" s="4">
        <v>1168722</v>
      </c>
      <c r="N8" s="2" t="s">
        <v>52</v>
      </c>
      <c r="O8">
        <f t="shared" si="1"/>
        <v>0.96430527268854183</v>
      </c>
      <c r="P8" s="4">
        <v>3281381</v>
      </c>
      <c r="Q8" s="4">
        <v>3164253</v>
      </c>
    </row>
    <row r="9" spans="1:17" x14ac:dyDescent="0.3">
      <c r="A9" s="5" t="s">
        <v>202</v>
      </c>
      <c r="B9">
        <f t="shared" si="0"/>
        <v>13.536342769701607</v>
      </c>
      <c r="C9" s="7">
        <v>853471</v>
      </c>
      <c r="D9" s="7">
        <v>11552876</v>
      </c>
      <c r="N9" s="2" t="s">
        <v>340</v>
      </c>
      <c r="O9">
        <f t="shared" si="1"/>
        <v>0.99219911697438401</v>
      </c>
      <c r="P9" s="4">
        <v>6638992</v>
      </c>
      <c r="Q9" s="4">
        <v>6587202</v>
      </c>
    </row>
    <row r="10" spans="1:17" x14ac:dyDescent="0.3">
      <c r="A10" s="2" t="s">
        <v>300</v>
      </c>
      <c r="B10">
        <f t="shared" si="0"/>
        <v>9.9560553078786391</v>
      </c>
      <c r="C10" s="4">
        <v>530485</v>
      </c>
      <c r="D10" s="4">
        <v>5281538</v>
      </c>
      <c r="N10" s="2" t="s">
        <v>148</v>
      </c>
      <c r="O10">
        <f t="shared" si="1"/>
        <v>1.0077490673688831</v>
      </c>
      <c r="P10" s="4">
        <v>3645600</v>
      </c>
      <c r="Q10" s="4">
        <v>3673850</v>
      </c>
    </row>
    <row r="11" spans="1:17" x14ac:dyDescent="0.3">
      <c r="A11" s="2" t="s">
        <v>32</v>
      </c>
      <c r="B11">
        <f t="shared" si="0"/>
        <v>9.6005487167400911</v>
      </c>
      <c r="C11" s="4">
        <v>165477</v>
      </c>
      <c r="D11" s="4">
        <v>1588670</v>
      </c>
      <c r="N11" s="2" t="s">
        <v>324</v>
      </c>
      <c r="O11">
        <f t="shared" si="1"/>
        <v>1.0359883967456778</v>
      </c>
      <c r="P11" s="4">
        <v>18406905</v>
      </c>
      <c r="Q11" s="4">
        <v>19069340</v>
      </c>
    </row>
    <row r="12" spans="1:17" x14ac:dyDescent="0.3">
      <c r="A12" s="2" t="s">
        <v>76</v>
      </c>
      <c r="B12">
        <f t="shared" si="0"/>
        <v>8.8344803037494071</v>
      </c>
      <c r="C12" s="4">
        <v>8428</v>
      </c>
      <c r="D12" s="4">
        <v>74457</v>
      </c>
      <c r="N12" s="5" t="s">
        <v>234</v>
      </c>
      <c r="O12">
        <f t="shared" si="1"/>
        <v>1.0394108437854277</v>
      </c>
      <c r="P12" s="7">
        <v>2778550</v>
      </c>
      <c r="Q12" s="7">
        <v>2888055</v>
      </c>
    </row>
    <row r="13" spans="1:17" x14ac:dyDescent="0.3">
      <c r="A13" s="5" t="s">
        <v>98</v>
      </c>
      <c r="B13">
        <f t="shared" si="0"/>
        <v>8.6927418006971777</v>
      </c>
      <c r="C13" s="7">
        <v>3673666</v>
      </c>
      <c r="D13" s="7">
        <v>31934230</v>
      </c>
      <c r="N13" s="5" t="s">
        <v>38</v>
      </c>
      <c r="O13">
        <f t="shared" si="1"/>
        <v>1.1141390583069042</v>
      </c>
      <c r="P13" s="7">
        <v>8198000</v>
      </c>
      <c r="Q13" s="7">
        <v>9133712</v>
      </c>
    </row>
    <row r="14" spans="1:17" x14ac:dyDescent="0.3">
      <c r="A14" s="2" t="s">
        <v>12</v>
      </c>
      <c r="B14">
        <f t="shared" si="0"/>
        <v>8.6159831756046259</v>
      </c>
      <c r="C14" s="4">
        <v>9510</v>
      </c>
      <c r="D14" s="4">
        <v>81938</v>
      </c>
      <c r="N14" s="5" t="s">
        <v>114</v>
      </c>
      <c r="O14">
        <f t="shared" si="1"/>
        <v>1.1150879202317592</v>
      </c>
      <c r="P14" s="7">
        <v>59372</v>
      </c>
      <c r="Q14" s="7">
        <v>66205</v>
      </c>
    </row>
    <row r="15" spans="1:17" x14ac:dyDescent="0.3">
      <c r="A15" s="2" t="s">
        <v>404</v>
      </c>
      <c r="B15">
        <f t="shared" si="0"/>
        <v>8.311305590283979</v>
      </c>
      <c r="C15" s="4">
        <v>5599</v>
      </c>
      <c r="D15" s="4">
        <v>46535</v>
      </c>
      <c r="N15" s="2" t="s">
        <v>128</v>
      </c>
      <c r="O15">
        <f t="shared" si="1"/>
        <v>1.1324342550000537</v>
      </c>
      <c r="P15" s="4">
        <v>1211537</v>
      </c>
      <c r="Q15" s="4">
        <v>1371986</v>
      </c>
    </row>
    <row r="16" spans="1:17" x14ac:dyDescent="0.3">
      <c r="A16" s="5" t="s">
        <v>290</v>
      </c>
      <c r="B16">
        <f t="shared" si="0"/>
        <v>7.7124183677836262</v>
      </c>
      <c r="C16" s="7">
        <v>3505050</v>
      </c>
      <c r="D16" s="7">
        <v>27032412</v>
      </c>
      <c r="N16" s="2" t="s">
        <v>108</v>
      </c>
      <c r="O16">
        <f t="shared" si="1"/>
        <v>1.1333219329377633</v>
      </c>
      <c r="P16" s="4">
        <v>9602006</v>
      </c>
      <c r="Q16" s="4">
        <v>10882164</v>
      </c>
    </row>
    <row r="17" spans="1:17" x14ac:dyDescent="0.3">
      <c r="A17" s="2" t="s">
        <v>432</v>
      </c>
      <c r="B17">
        <f t="shared" si="0"/>
        <v>7.3356753365371841</v>
      </c>
      <c r="C17" s="4">
        <v>5532301</v>
      </c>
      <c r="D17" s="4">
        <v>40583164</v>
      </c>
      <c r="N17" s="5" t="s">
        <v>150</v>
      </c>
      <c r="O17">
        <f t="shared" si="1"/>
        <v>1.1468936989544722</v>
      </c>
      <c r="P17" s="7">
        <v>72814900</v>
      </c>
      <c r="Q17" s="7">
        <v>83510950</v>
      </c>
    </row>
    <row r="18" spans="1:17" x14ac:dyDescent="0.3">
      <c r="A18" s="5" t="s">
        <v>206</v>
      </c>
      <c r="B18">
        <f t="shared" si="0"/>
        <v>7.333423344903589</v>
      </c>
      <c r="C18" s="7">
        <v>7695307</v>
      </c>
      <c r="D18" s="7">
        <v>56432944</v>
      </c>
      <c r="N18" s="5" t="s">
        <v>262</v>
      </c>
      <c r="O18">
        <f t="shared" si="1"/>
        <v>1.1609581053634075</v>
      </c>
      <c r="P18" s="7">
        <v>2058020</v>
      </c>
      <c r="Q18" s="7">
        <v>2389275</v>
      </c>
    </row>
    <row r="19" spans="1:17" x14ac:dyDescent="0.3">
      <c r="A19" s="5" t="s">
        <v>14</v>
      </c>
      <c r="B19">
        <f t="shared" si="0"/>
        <v>7.241657991908486</v>
      </c>
      <c r="C19" s="7">
        <v>5231654</v>
      </c>
      <c r="D19" s="7">
        <v>37885849</v>
      </c>
      <c r="N19" s="2" t="s">
        <v>196</v>
      </c>
      <c r="O19">
        <f t="shared" si="1"/>
        <v>1.1750274005621548</v>
      </c>
      <c r="P19" s="4">
        <v>50199700</v>
      </c>
      <c r="Q19" s="4">
        <v>58986023</v>
      </c>
    </row>
    <row r="20" spans="1:17" x14ac:dyDescent="0.3">
      <c r="A20" s="2" t="s">
        <v>92</v>
      </c>
      <c r="B20">
        <f t="shared" si="0"/>
        <v>7.1586876801770556</v>
      </c>
      <c r="C20" s="4">
        <v>15264846</v>
      </c>
      <c r="D20" s="4">
        <v>109276265</v>
      </c>
      <c r="N20" s="2" t="s">
        <v>372</v>
      </c>
      <c r="O20">
        <f t="shared" si="1"/>
        <v>1.1923022230648908</v>
      </c>
      <c r="P20" s="4">
        <v>84388</v>
      </c>
      <c r="Q20" s="4">
        <v>100616</v>
      </c>
    </row>
    <row r="21" spans="1:17" x14ac:dyDescent="0.3">
      <c r="A21" s="2" t="s">
        <v>124</v>
      </c>
      <c r="B21">
        <f t="shared" si="0"/>
        <v>7.0143324672821681</v>
      </c>
      <c r="C21" s="4">
        <v>269807</v>
      </c>
      <c r="D21" s="4">
        <v>1892516</v>
      </c>
      <c r="N21" s="5" t="s">
        <v>326</v>
      </c>
      <c r="O21">
        <f t="shared" si="1"/>
        <v>1.1971429727182499</v>
      </c>
      <c r="P21" s="7">
        <v>119897000</v>
      </c>
      <c r="Q21" s="7">
        <v>143533851</v>
      </c>
    </row>
    <row r="22" spans="1:17" x14ac:dyDescent="0.3">
      <c r="A22" s="5" t="s">
        <v>146</v>
      </c>
      <c r="B22">
        <f t="shared" si="0"/>
        <v>6.9335979500577798</v>
      </c>
      <c r="C22" s="7">
        <v>398060</v>
      </c>
      <c r="D22" s="7">
        <v>2759988</v>
      </c>
      <c r="N22" s="5" t="s">
        <v>318</v>
      </c>
      <c r="O22">
        <f t="shared" si="1"/>
        <v>1.2081710454478334</v>
      </c>
      <c r="P22" s="7">
        <v>8857716</v>
      </c>
      <c r="Q22" s="7">
        <v>10701636</v>
      </c>
    </row>
    <row r="23" spans="1:17" x14ac:dyDescent="0.3">
      <c r="A23" s="5" t="s">
        <v>386</v>
      </c>
      <c r="B23">
        <f t="shared" si="0"/>
        <v>6.9242759042921023</v>
      </c>
      <c r="C23" s="7">
        <v>9901419</v>
      </c>
      <c r="D23" s="7">
        <v>68560157</v>
      </c>
      <c r="N23" s="2" t="s">
        <v>36</v>
      </c>
      <c r="O23">
        <f t="shared" si="1"/>
        <v>1.2233675338793293</v>
      </c>
      <c r="P23" s="4">
        <v>230893</v>
      </c>
      <c r="Q23" s="4">
        <v>282467</v>
      </c>
    </row>
    <row r="24" spans="1:17" x14ac:dyDescent="0.3">
      <c r="A24" s="5" t="s">
        <v>434</v>
      </c>
      <c r="B24">
        <f t="shared" si="0"/>
        <v>6.7586517421122743</v>
      </c>
      <c r="C24" s="7">
        <v>3153729</v>
      </c>
      <c r="D24" s="7">
        <v>21314956</v>
      </c>
      <c r="N24" s="2" t="s">
        <v>316</v>
      </c>
      <c r="O24">
        <f t="shared" si="1"/>
        <v>1.233395821840273</v>
      </c>
      <c r="P24" s="4">
        <v>29637450</v>
      </c>
      <c r="Q24" s="4">
        <v>36554707</v>
      </c>
    </row>
    <row r="25" spans="1:17" x14ac:dyDescent="0.3">
      <c r="A25" s="2" t="s">
        <v>80</v>
      </c>
      <c r="B25">
        <f t="shared" si="0"/>
        <v>6.6558036853104987</v>
      </c>
      <c r="C25" s="4">
        <v>3049838</v>
      </c>
      <c r="D25" s="4">
        <v>20299123</v>
      </c>
      <c r="N25" s="2" t="s">
        <v>160</v>
      </c>
      <c r="O25">
        <f t="shared" si="1"/>
        <v>1.2461140998107552</v>
      </c>
      <c r="P25" s="4">
        <v>94058</v>
      </c>
      <c r="Q25" s="4">
        <v>117207</v>
      </c>
    </row>
    <row r="26" spans="1:17" x14ac:dyDescent="0.3">
      <c r="A26" s="2" t="s">
        <v>356</v>
      </c>
      <c r="B26">
        <f t="shared" si="0"/>
        <v>6.6088190128326678</v>
      </c>
      <c r="C26" s="4">
        <v>2876331</v>
      </c>
      <c r="D26" s="4">
        <v>19009151</v>
      </c>
      <c r="N26" s="2" t="s">
        <v>156</v>
      </c>
      <c r="O26">
        <f t="shared" si="1"/>
        <v>1.2468972511694758</v>
      </c>
      <c r="P26" s="4">
        <v>8331725</v>
      </c>
      <c r="Q26" s="4">
        <v>10388805</v>
      </c>
    </row>
    <row r="27" spans="1:17" x14ac:dyDescent="0.3">
      <c r="A27" s="2" t="s">
        <v>188</v>
      </c>
      <c r="B27">
        <f t="shared" si="0"/>
        <v>6.5567749996724602</v>
      </c>
      <c r="C27" s="4">
        <v>7022052</v>
      </c>
      <c r="D27" s="4">
        <v>46042015</v>
      </c>
      <c r="N27" s="5" t="s">
        <v>294</v>
      </c>
      <c r="O27">
        <f t="shared" si="1"/>
        <v>1.2488538798753221</v>
      </c>
      <c r="P27" s="7">
        <v>1435059</v>
      </c>
      <c r="Q27" s="7">
        <v>1792179</v>
      </c>
    </row>
    <row r="28" spans="1:17" x14ac:dyDescent="0.3">
      <c r="A28" s="2" t="s">
        <v>408</v>
      </c>
      <c r="B28">
        <f t="shared" si="0"/>
        <v>6.5456443832480495</v>
      </c>
      <c r="C28" s="4">
        <v>7640973</v>
      </c>
      <c r="D28" s="4">
        <v>50015092</v>
      </c>
      <c r="N28" s="2" t="s">
        <v>104</v>
      </c>
      <c r="O28">
        <f t="shared" si="1"/>
        <v>1.248938522423213</v>
      </c>
      <c r="P28" s="4">
        <v>124826</v>
      </c>
      <c r="Q28" s="4">
        <v>155900</v>
      </c>
    </row>
    <row r="29" spans="1:17" x14ac:dyDescent="0.3">
      <c r="A29" s="5" t="s">
        <v>254</v>
      </c>
      <c r="B29">
        <f t="shared" si="0"/>
        <v>6.2712696136591379</v>
      </c>
      <c r="C29" s="7">
        <v>824298</v>
      </c>
      <c r="D29" s="7">
        <v>5169395</v>
      </c>
      <c r="N29" s="5" t="s">
        <v>138</v>
      </c>
      <c r="O29">
        <f t="shared" si="1"/>
        <v>1.272613945079887</v>
      </c>
      <c r="P29" s="7">
        <v>4429634</v>
      </c>
      <c r="Q29" s="7">
        <v>5637214</v>
      </c>
    </row>
    <row r="30" spans="1:17" x14ac:dyDescent="0.3">
      <c r="A30" s="2" t="s">
        <v>240</v>
      </c>
      <c r="B30">
        <f t="shared" si="0"/>
        <v>6.2541136041294232</v>
      </c>
      <c r="C30" s="4">
        <v>5111029</v>
      </c>
      <c r="D30" s="4">
        <v>31964956</v>
      </c>
      <c r="N30" s="2" t="s">
        <v>40</v>
      </c>
      <c r="O30">
        <f t="shared" si="1"/>
        <v>1.2975209780663963</v>
      </c>
      <c r="P30" s="4">
        <v>9153489</v>
      </c>
      <c r="Q30" s="4">
        <v>11876844</v>
      </c>
    </row>
    <row r="31" spans="1:17" x14ac:dyDescent="0.3">
      <c r="A31" s="2" t="s">
        <v>132</v>
      </c>
      <c r="B31">
        <f t="shared" si="0"/>
        <v>6.1777454071123161</v>
      </c>
      <c r="C31" s="4">
        <v>21376693</v>
      </c>
      <c r="D31" s="4">
        <v>132059767</v>
      </c>
      <c r="N31" s="2" t="s">
        <v>268</v>
      </c>
      <c r="O31">
        <f t="shared" si="1"/>
        <v>1.2980821051273568</v>
      </c>
      <c r="P31" s="4">
        <v>480579</v>
      </c>
      <c r="Q31" s="4">
        <v>623831</v>
      </c>
    </row>
    <row r="32" spans="1:17" x14ac:dyDescent="0.3">
      <c r="A32" s="5" t="s">
        <v>370</v>
      </c>
      <c r="B32">
        <f t="shared" si="0"/>
        <v>6.1479999999999997</v>
      </c>
      <c r="C32" s="7">
        <v>4250</v>
      </c>
      <c r="D32" s="7">
        <v>26129</v>
      </c>
      <c r="N32" s="5" t="s">
        <v>26</v>
      </c>
      <c r="O32">
        <f t="shared" si="1"/>
        <v>1.3023669681004957</v>
      </c>
      <c r="P32" s="7">
        <v>7047539</v>
      </c>
      <c r="Q32" s="7">
        <v>9178482</v>
      </c>
    </row>
    <row r="33" spans="1:17" x14ac:dyDescent="0.3">
      <c r="A33" s="5" t="s">
        <v>374</v>
      </c>
      <c r="B33">
        <f t="shared" si="0"/>
        <v>6.0313263607615477</v>
      </c>
      <c r="C33" s="7">
        <v>8364489</v>
      </c>
      <c r="D33" s="7">
        <v>50448963</v>
      </c>
      <c r="N33" s="5" t="s">
        <v>110</v>
      </c>
      <c r="O33">
        <f t="shared" si="1"/>
        <v>1.3051332178793664</v>
      </c>
      <c r="P33" s="7">
        <v>4579603</v>
      </c>
      <c r="Q33" s="7">
        <v>5976992</v>
      </c>
    </row>
    <row r="34" spans="1:17" x14ac:dyDescent="0.3">
      <c r="A34" s="5" t="s">
        <v>94</v>
      </c>
      <c r="B34">
        <f t="shared" si="0"/>
        <v>5.9929679426760991</v>
      </c>
      <c r="C34" s="7">
        <v>1056732</v>
      </c>
      <c r="D34" s="7">
        <v>6332961</v>
      </c>
      <c r="N34" s="5" t="s">
        <v>414</v>
      </c>
      <c r="O34">
        <f t="shared" si="1"/>
        <v>1.3211068702290076</v>
      </c>
      <c r="P34" s="7">
        <v>52400000</v>
      </c>
      <c r="Q34" s="7">
        <v>69226000</v>
      </c>
    </row>
    <row r="35" spans="1:17" x14ac:dyDescent="0.3">
      <c r="A35" s="5" t="s">
        <v>242</v>
      </c>
      <c r="B35">
        <f t="shared" si="0"/>
        <v>5.9687117399743226</v>
      </c>
      <c r="C35" s="7">
        <v>3628134</v>
      </c>
      <c r="D35" s="7">
        <v>21655286</v>
      </c>
      <c r="N35" s="2" t="s">
        <v>200</v>
      </c>
      <c r="O35">
        <f t="shared" si="1"/>
        <v>1.3299795206831446</v>
      </c>
      <c r="P35" s="4">
        <v>93216000</v>
      </c>
      <c r="Q35" s="4">
        <v>123975371</v>
      </c>
    </row>
    <row r="36" spans="1:17" x14ac:dyDescent="0.3">
      <c r="A36" s="5" t="s">
        <v>354</v>
      </c>
      <c r="B36">
        <f t="shared" si="0"/>
        <v>5.8644837065460171</v>
      </c>
      <c r="C36" s="7">
        <v>139688</v>
      </c>
      <c r="D36" s="7">
        <v>819198</v>
      </c>
      <c r="N36" s="5" t="s">
        <v>350</v>
      </c>
      <c r="O36">
        <f t="shared" si="1"/>
        <v>1.3328275273807519</v>
      </c>
      <c r="P36" s="7">
        <v>4068095</v>
      </c>
      <c r="Q36" s="7">
        <v>5422069</v>
      </c>
    </row>
    <row r="37" spans="1:17" x14ac:dyDescent="0.3">
      <c r="A37" s="5" t="s">
        <v>246</v>
      </c>
      <c r="B37">
        <f t="shared" si="0"/>
        <v>5.7879678469990896</v>
      </c>
      <c r="C37" s="7">
        <v>91189</v>
      </c>
      <c r="D37" s="7">
        <v>527799</v>
      </c>
      <c r="N37" s="5" t="s">
        <v>418</v>
      </c>
      <c r="O37">
        <f t="shared" si="1"/>
        <v>1.3385950828413289</v>
      </c>
      <c r="P37" s="7">
        <v>2529957</v>
      </c>
      <c r="Q37" s="7">
        <v>3386588</v>
      </c>
    </row>
    <row r="38" spans="1:17" x14ac:dyDescent="0.3">
      <c r="A38" s="2" t="s">
        <v>44</v>
      </c>
      <c r="B38">
        <f t="shared" si="0"/>
        <v>5.7453638561530154</v>
      </c>
      <c r="C38" s="4">
        <v>2517286</v>
      </c>
      <c r="D38" s="4">
        <v>14462724</v>
      </c>
      <c r="N38" s="2" t="s">
        <v>352</v>
      </c>
      <c r="O38">
        <f t="shared" si="1"/>
        <v>1.3417663688222525</v>
      </c>
      <c r="P38" s="4">
        <v>1584720</v>
      </c>
      <c r="Q38" s="4">
        <v>2126324</v>
      </c>
    </row>
    <row r="39" spans="1:17" x14ac:dyDescent="0.3">
      <c r="A39" s="2" t="s">
        <v>392</v>
      </c>
      <c r="B39">
        <f t="shared" si="0"/>
        <v>5.6871550585436701</v>
      </c>
      <c r="C39" s="4">
        <v>1673110</v>
      </c>
      <c r="D39" s="4">
        <v>9515236</v>
      </c>
      <c r="N39" s="2" t="s">
        <v>320</v>
      </c>
      <c r="O39">
        <f t="shared" si="1"/>
        <v>1.3584796437659032</v>
      </c>
      <c r="P39" s="4">
        <v>2358000</v>
      </c>
      <c r="Q39" s="4">
        <v>3203295</v>
      </c>
    </row>
    <row r="40" spans="1:17" x14ac:dyDescent="0.3">
      <c r="A40" s="2" t="s">
        <v>72</v>
      </c>
      <c r="B40">
        <f t="shared" si="0"/>
        <v>5.6451680995189628</v>
      </c>
      <c r="C40" s="4">
        <v>5159057</v>
      </c>
      <c r="D40" s="4">
        <v>29123744</v>
      </c>
      <c r="N40" s="5" t="s">
        <v>378</v>
      </c>
      <c r="O40">
        <f t="shared" si="1"/>
        <v>1.4121836728368011</v>
      </c>
      <c r="P40" s="7">
        <v>7484656</v>
      </c>
      <c r="Q40" s="7">
        <v>10569709</v>
      </c>
    </row>
    <row r="41" spans="1:17" x14ac:dyDescent="0.3">
      <c r="A41" s="5" t="s">
        <v>338</v>
      </c>
      <c r="B41">
        <f t="shared" si="0"/>
        <v>5.5380122822934013</v>
      </c>
      <c r="C41" s="7">
        <v>3340907</v>
      </c>
      <c r="D41" s="7">
        <v>18501984</v>
      </c>
      <c r="N41" s="2" t="s">
        <v>140</v>
      </c>
      <c r="O41">
        <f t="shared" si="1"/>
        <v>1.4451047397078993</v>
      </c>
      <c r="P41" s="4">
        <v>47412964</v>
      </c>
      <c r="Q41" s="4">
        <v>68516699</v>
      </c>
    </row>
    <row r="42" spans="1:17" x14ac:dyDescent="0.3">
      <c r="A42" s="5" t="s">
        <v>302</v>
      </c>
      <c r="B42">
        <f t="shared" si="0"/>
        <v>5.4971112887068303</v>
      </c>
      <c r="C42" s="7">
        <v>45709310</v>
      </c>
      <c r="D42" s="7">
        <v>251269164</v>
      </c>
      <c r="N42" s="5" t="s">
        <v>170</v>
      </c>
      <c r="O42">
        <f t="shared" si="1"/>
        <v>1.4602428563647449</v>
      </c>
      <c r="P42" s="7">
        <v>569143</v>
      </c>
      <c r="Q42" s="7">
        <v>831087</v>
      </c>
    </row>
    <row r="43" spans="1:17" x14ac:dyDescent="0.3">
      <c r="A43" s="2" t="s">
        <v>308</v>
      </c>
      <c r="B43">
        <f t="shared" si="0"/>
        <v>5.3012124644756433</v>
      </c>
      <c r="C43" s="4">
        <v>1995110</v>
      </c>
      <c r="D43" s="4">
        <v>10576502</v>
      </c>
      <c r="N43" s="5" t="s">
        <v>102</v>
      </c>
      <c r="O43">
        <f t="shared" si="1"/>
        <v>1.5169466879411821</v>
      </c>
      <c r="P43" s="7">
        <v>7238081</v>
      </c>
      <c r="Q43" s="7">
        <v>10979783</v>
      </c>
    </row>
    <row r="44" spans="1:17" x14ac:dyDescent="0.3">
      <c r="A44" s="5" t="s">
        <v>382</v>
      </c>
      <c r="B44">
        <f t="shared" si="0"/>
        <v>5.279289611640098</v>
      </c>
      <c r="C44" s="7">
        <v>4673500</v>
      </c>
      <c r="D44" s="7">
        <v>24672760</v>
      </c>
      <c r="N44" s="5" t="s">
        <v>82</v>
      </c>
      <c r="O44">
        <f t="shared" si="1"/>
        <v>1.5172731210742907</v>
      </c>
      <c r="P44" s="7">
        <v>110808</v>
      </c>
      <c r="Q44" s="7">
        <v>168126</v>
      </c>
    </row>
    <row r="45" spans="1:17" x14ac:dyDescent="0.3">
      <c r="A45" s="5" t="s">
        <v>174</v>
      </c>
      <c r="B45">
        <f t="shared" si="0"/>
        <v>5.2499456853825786</v>
      </c>
      <c r="C45" s="7">
        <v>2062060</v>
      </c>
      <c r="D45" s="7">
        <v>10825703</v>
      </c>
      <c r="N45" s="5" t="s">
        <v>46</v>
      </c>
      <c r="O45">
        <f t="shared" si="1"/>
        <v>1.5313684609552691</v>
      </c>
      <c r="P45" s="7">
        <v>42208</v>
      </c>
      <c r="Q45" s="7">
        <v>64636</v>
      </c>
    </row>
    <row r="46" spans="1:17" x14ac:dyDescent="0.3">
      <c r="A46" s="2" t="s">
        <v>60</v>
      </c>
      <c r="B46">
        <f t="shared" si="0"/>
        <v>5.2375406069249664</v>
      </c>
      <c r="C46" s="4">
        <v>88347</v>
      </c>
      <c r="D46" s="4">
        <v>462721</v>
      </c>
      <c r="N46" s="5" t="s">
        <v>214</v>
      </c>
      <c r="O46">
        <f t="shared" si="1"/>
        <v>1.5508252051589793</v>
      </c>
      <c r="P46" s="7">
        <v>984846</v>
      </c>
      <c r="Q46" s="7">
        <v>1527324</v>
      </c>
    </row>
    <row r="47" spans="1:17" x14ac:dyDescent="0.3">
      <c r="A47" s="2" t="s">
        <v>292</v>
      </c>
      <c r="B47">
        <f t="shared" si="0"/>
        <v>5.1644827064684602</v>
      </c>
      <c r="C47" s="4">
        <v>45053782</v>
      </c>
      <c r="D47" s="4">
        <v>232679478</v>
      </c>
      <c r="N47" s="5" t="s">
        <v>298</v>
      </c>
      <c r="O47">
        <f t="shared" si="1"/>
        <v>1.5559620567071899</v>
      </c>
      <c r="P47" s="7">
        <v>3581239</v>
      </c>
      <c r="Q47" s="7">
        <v>5572272</v>
      </c>
    </row>
    <row r="48" spans="1:17" x14ac:dyDescent="0.3">
      <c r="A48" s="2" t="s">
        <v>272</v>
      </c>
      <c r="B48">
        <f t="shared" si="0"/>
        <v>5.1583764231172253</v>
      </c>
      <c r="C48" s="4">
        <v>6713695</v>
      </c>
      <c r="D48" s="4">
        <v>34631766</v>
      </c>
      <c r="N48" s="5" t="s">
        <v>282</v>
      </c>
      <c r="O48">
        <f t="shared" si="1"/>
        <v>1.5665373946460019</v>
      </c>
      <c r="P48" s="7">
        <v>11486631</v>
      </c>
      <c r="Q48" s="7">
        <v>17994237</v>
      </c>
    </row>
    <row r="49" spans="1:17" x14ac:dyDescent="0.3">
      <c r="A49" s="2" t="s">
        <v>276</v>
      </c>
      <c r="B49">
        <f t="shared" si="0"/>
        <v>5.1230943504687509</v>
      </c>
      <c r="C49" s="4">
        <v>591465</v>
      </c>
      <c r="D49" s="4">
        <v>3030131</v>
      </c>
      <c r="N49" s="5" t="s">
        <v>394</v>
      </c>
      <c r="O49">
        <f t="shared" si="1"/>
        <v>1.5743539368293789</v>
      </c>
      <c r="P49" s="7">
        <v>66170</v>
      </c>
      <c r="Q49" s="7">
        <v>104175</v>
      </c>
    </row>
    <row r="50" spans="1:17" x14ac:dyDescent="0.3">
      <c r="A50" s="5" t="s">
        <v>422</v>
      </c>
      <c r="B50">
        <f t="shared" si="0"/>
        <v>5.087256134469432</v>
      </c>
      <c r="C50" s="7">
        <v>64431</v>
      </c>
      <c r="D50" s="7">
        <v>327777</v>
      </c>
      <c r="N50" s="5" t="s">
        <v>362</v>
      </c>
      <c r="O50">
        <f t="shared" si="1"/>
        <v>1.6025984895747825</v>
      </c>
      <c r="P50" s="7">
        <v>30455000</v>
      </c>
      <c r="Q50" s="7">
        <v>48807137</v>
      </c>
    </row>
    <row r="51" spans="1:17" x14ac:dyDescent="0.3">
      <c r="A51" s="5" t="s">
        <v>66</v>
      </c>
      <c r="B51">
        <f t="shared" si="0"/>
        <v>5.0819373589585339</v>
      </c>
      <c r="C51" s="7">
        <v>2764258</v>
      </c>
      <c r="D51" s="7">
        <v>14047786</v>
      </c>
      <c r="N51" s="5" t="s">
        <v>134</v>
      </c>
      <c r="O51">
        <f t="shared" si="1"/>
        <v>1.6033932077240893</v>
      </c>
      <c r="P51" s="7">
        <v>34127</v>
      </c>
      <c r="Q51" s="7">
        <v>54719</v>
      </c>
    </row>
    <row r="52" spans="1:17" x14ac:dyDescent="0.3">
      <c r="A52" s="2" t="s">
        <v>296</v>
      </c>
      <c r="B52">
        <f t="shared" si="0"/>
        <v>5.0684523809523814</v>
      </c>
      <c r="C52" s="4">
        <v>8736</v>
      </c>
      <c r="D52" s="4">
        <v>44278</v>
      </c>
      <c r="N52" s="2" t="s">
        <v>396</v>
      </c>
      <c r="O52">
        <f t="shared" si="1"/>
        <v>1.6194382342950944</v>
      </c>
      <c r="P52" s="4">
        <v>844943</v>
      </c>
      <c r="Q52" s="4">
        <v>1368333</v>
      </c>
    </row>
    <row r="53" spans="1:17" x14ac:dyDescent="0.3">
      <c r="A53" s="2" t="s">
        <v>384</v>
      </c>
      <c r="B53">
        <f t="shared" si="0"/>
        <v>5.0143324443417576</v>
      </c>
      <c r="C53" s="4">
        <v>2112131</v>
      </c>
      <c r="D53" s="4">
        <v>10590927</v>
      </c>
      <c r="N53" s="2" t="s">
        <v>20</v>
      </c>
      <c r="O53">
        <f t="shared" si="1"/>
        <v>1.6276717613570817</v>
      </c>
      <c r="P53" s="4">
        <v>1863705</v>
      </c>
      <c r="Q53" s="4">
        <v>3033500</v>
      </c>
    </row>
    <row r="54" spans="1:17" x14ac:dyDescent="0.3">
      <c r="A54" s="5" t="s">
        <v>58</v>
      </c>
      <c r="B54">
        <f t="shared" si="0"/>
        <v>4.9649056603773589</v>
      </c>
      <c r="C54" s="7">
        <v>7950</v>
      </c>
      <c r="D54" s="7">
        <v>39471</v>
      </c>
      <c r="N54" s="2" t="s">
        <v>16</v>
      </c>
      <c r="O54">
        <f t="shared" si="1"/>
        <v>1.6864557667751741</v>
      </c>
      <c r="P54" s="4">
        <v>55603</v>
      </c>
      <c r="Q54" s="4">
        <v>93772</v>
      </c>
    </row>
    <row r="55" spans="1:17" x14ac:dyDescent="0.3">
      <c r="A55" s="2" t="s">
        <v>144</v>
      </c>
      <c r="B55">
        <f t="shared" si="0"/>
        <v>4.9558319474699211</v>
      </c>
      <c r="C55" s="4">
        <v>512316</v>
      </c>
      <c r="D55" s="4">
        <v>2538952</v>
      </c>
      <c r="N55" s="5" t="s">
        <v>6</v>
      </c>
      <c r="O55">
        <f t="shared" si="1"/>
        <v>1.6873551715564397</v>
      </c>
      <c r="P55" s="7">
        <v>1608800</v>
      </c>
      <c r="Q55" s="7">
        <v>2714617</v>
      </c>
    </row>
    <row r="56" spans="1:17" x14ac:dyDescent="0.3">
      <c r="A56" s="2" t="s">
        <v>152</v>
      </c>
      <c r="B56">
        <f t="shared" si="0"/>
        <v>4.9456041797301191</v>
      </c>
      <c r="C56" s="4">
        <v>6961215</v>
      </c>
      <c r="D56" s="4">
        <v>34427414</v>
      </c>
      <c r="N56" s="2" t="s">
        <v>380</v>
      </c>
      <c r="O56">
        <f t="shared" si="1"/>
        <v>1.6956447722495493</v>
      </c>
      <c r="P56" s="4">
        <v>5327827</v>
      </c>
      <c r="Q56" s="4">
        <v>9034102</v>
      </c>
    </row>
    <row r="57" spans="1:17" x14ac:dyDescent="0.3">
      <c r="A57" s="5" t="s">
        <v>230</v>
      </c>
      <c r="B57">
        <f t="shared" si="0"/>
        <v>4.944117115125696</v>
      </c>
      <c r="C57" s="7">
        <v>1492890</v>
      </c>
      <c r="D57" s="7">
        <v>7381023</v>
      </c>
      <c r="N57" s="5" t="s">
        <v>198</v>
      </c>
      <c r="O57">
        <f t="shared" si="1"/>
        <v>1.7207069069487668</v>
      </c>
      <c r="P57" s="7">
        <v>1650005</v>
      </c>
      <c r="Q57" s="7">
        <v>2839175</v>
      </c>
    </row>
    <row r="58" spans="1:17" x14ac:dyDescent="0.3">
      <c r="A58" s="2" t="s">
        <v>64</v>
      </c>
      <c r="B58">
        <f t="shared" si="0"/>
        <v>4.9279449029332936</v>
      </c>
      <c r="C58" s="4">
        <v>4778621</v>
      </c>
      <c r="D58" s="4">
        <v>23548781</v>
      </c>
      <c r="N58" s="2" t="s">
        <v>192</v>
      </c>
      <c r="O58">
        <f t="shared" si="1"/>
        <v>1.7221903904395515</v>
      </c>
      <c r="P58" s="4">
        <v>48868</v>
      </c>
      <c r="Q58" s="4">
        <v>84160</v>
      </c>
    </row>
    <row r="59" spans="1:17" x14ac:dyDescent="0.3">
      <c r="A59" s="2" t="s">
        <v>228</v>
      </c>
      <c r="B59">
        <f t="shared" si="0"/>
        <v>4.9255889750263711</v>
      </c>
      <c r="C59" s="4">
        <v>1139522</v>
      </c>
      <c r="D59" s="4">
        <v>5612817</v>
      </c>
      <c r="N59" s="5" t="s">
        <v>406</v>
      </c>
      <c r="O59">
        <f t="shared" si="1"/>
        <v>1.7231153983565559</v>
      </c>
      <c r="P59" s="7">
        <v>5598</v>
      </c>
      <c r="Q59" s="7">
        <v>9646</v>
      </c>
    </row>
    <row r="60" spans="1:17" x14ac:dyDescent="0.3">
      <c r="A60" s="5" t="s">
        <v>54</v>
      </c>
      <c r="B60">
        <f t="shared" si="0"/>
        <v>4.8843664332141854</v>
      </c>
      <c r="C60" s="7">
        <v>516165</v>
      </c>
      <c r="D60" s="7">
        <v>2521139</v>
      </c>
      <c r="N60" s="5" t="s">
        <v>158</v>
      </c>
      <c r="O60">
        <f t="shared" si="1"/>
        <v>1.7487999999999999</v>
      </c>
      <c r="P60" s="7">
        <v>32500</v>
      </c>
      <c r="Q60" s="7">
        <v>56836</v>
      </c>
    </row>
    <row r="61" spans="1:17" x14ac:dyDescent="0.3">
      <c r="A61" s="2" t="s">
        <v>4</v>
      </c>
      <c r="B61">
        <f t="shared" si="0"/>
        <v>4.7202312152803261</v>
      </c>
      <c r="C61" s="4">
        <v>9035043</v>
      </c>
      <c r="D61" s="4">
        <v>42647492</v>
      </c>
      <c r="N61" s="5" t="s">
        <v>250</v>
      </c>
      <c r="O61">
        <f t="shared" si="1"/>
        <v>1.758830194457204</v>
      </c>
      <c r="P61" s="7">
        <v>326550</v>
      </c>
      <c r="Q61" s="7">
        <v>574346</v>
      </c>
    </row>
    <row r="62" spans="1:17" x14ac:dyDescent="0.3">
      <c r="A62" s="5" t="s">
        <v>194</v>
      </c>
      <c r="B62">
        <f t="shared" si="0"/>
        <v>4.718214586427754</v>
      </c>
      <c r="C62" s="7">
        <v>2114020</v>
      </c>
      <c r="D62" s="7">
        <v>9974400</v>
      </c>
      <c r="N62" s="2" t="s">
        <v>264</v>
      </c>
      <c r="O62">
        <f t="shared" si="1"/>
        <v>1.771414159941306</v>
      </c>
      <c r="P62" s="4">
        <v>21808</v>
      </c>
      <c r="Q62" s="4">
        <v>38631</v>
      </c>
    </row>
    <row r="63" spans="1:17" x14ac:dyDescent="0.3">
      <c r="A63" s="2" t="s">
        <v>328</v>
      </c>
      <c r="B63">
        <f t="shared" si="0"/>
        <v>4.7171344018814851</v>
      </c>
      <c r="C63" s="4">
        <v>3022294</v>
      </c>
      <c r="D63" s="4">
        <v>14256567</v>
      </c>
      <c r="N63" s="5" t="s">
        <v>154</v>
      </c>
      <c r="O63">
        <f t="shared" si="1"/>
        <v>1.8008608452767985</v>
      </c>
      <c r="P63" s="7">
        <v>21839</v>
      </c>
      <c r="Q63" s="7">
        <v>39329</v>
      </c>
    </row>
    <row r="64" spans="1:17" x14ac:dyDescent="0.3">
      <c r="A64" s="5" t="s">
        <v>42</v>
      </c>
      <c r="B64">
        <f t="shared" si="0"/>
        <v>4.5672485161742484</v>
      </c>
      <c r="C64" s="7">
        <v>91318</v>
      </c>
      <c r="D64" s="7">
        <v>417072</v>
      </c>
      <c r="N64" s="2" t="s">
        <v>256</v>
      </c>
      <c r="O64">
        <f t="shared" si="1"/>
        <v>1.8513179614040813</v>
      </c>
      <c r="P64" s="4">
        <v>680331</v>
      </c>
      <c r="Q64" s="4">
        <v>1259509</v>
      </c>
    </row>
    <row r="65" spans="1:17" x14ac:dyDescent="0.3">
      <c r="A65" s="5" t="s">
        <v>402</v>
      </c>
      <c r="B65">
        <f t="shared" si="0"/>
        <v>4.5602032788201941</v>
      </c>
      <c r="C65" s="7">
        <v>1643457</v>
      </c>
      <c r="D65" s="7">
        <v>7494498</v>
      </c>
      <c r="N65" s="2" t="s">
        <v>416</v>
      </c>
      <c r="O65">
        <f t="shared" si="1"/>
        <v>1.882487991985432</v>
      </c>
      <c r="P65" s="4">
        <v>180671000</v>
      </c>
      <c r="Q65" s="4">
        <v>340110988</v>
      </c>
    </row>
    <row r="66" spans="1:17" x14ac:dyDescent="0.3">
      <c r="A66" s="2" t="s">
        <v>248</v>
      </c>
      <c r="B66">
        <f t="shared" ref="B66:B129" si="2">IFERROR(D66/C66,"No Data")</f>
        <v>4.5309335406428444</v>
      </c>
      <c r="C66" s="4">
        <v>5402550</v>
      </c>
      <c r="D66" s="4">
        <v>24478595</v>
      </c>
      <c r="N66" s="2" t="s">
        <v>304</v>
      </c>
      <c r="O66">
        <f t="shared" ref="O66:O129" si="3">IFERROR(Q66/P66,"No Data")</f>
        <v>1.8969768439108061</v>
      </c>
      <c r="P66" s="4">
        <v>9328</v>
      </c>
      <c r="Q66" s="4">
        <v>17695</v>
      </c>
    </row>
    <row r="67" spans="1:17" x14ac:dyDescent="0.3">
      <c r="A67" s="2" t="s">
        <v>164</v>
      </c>
      <c r="B67">
        <f t="shared" si="2"/>
        <v>4.529508287489957</v>
      </c>
      <c r="C67" s="4">
        <v>4063655</v>
      </c>
      <c r="D67" s="4">
        <v>18406359</v>
      </c>
      <c r="N67" s="5" t="s">
        <v>190</v>
      </c>
      <c r="O67">
        <f t="shared" si="3"/>
        <v>1.9020918475570954</v>
      </c>
      <c r="P67" s="7">
        <v>2828600</v>
      </c>
      <c r="Q67" s="7">
        <v>5380257</v>
      </c>
    </row>
    <row r="68" spans="1:17" x14ac:dyDescent="0.3">
      <c r="A68" s="2" t="s">
        <v>244</v>
      </c>
      <c r="B68">
        <f t="shared" si="2"/>
        <v>4.4691795590280128</v>
      </c>
      <c r="C68" s="4">
        <v>7956197</v>
      </c>
      <c r="D68" s="4">
        <v>35557673</v>
      </c>
      <c r="N68" s="5" t="s">
        <v>330</v>
      </c>
      <c r="O68">
        <f t="shared" si="3"/>
        <v>1.938118943906125</v>
      </c>
      <c r="P68" s="7">
        <v>112490</v>
      </c>
      <c r="Q68" s="7">
        <v>218019</v>
      </c>
    </row>
    <row r="69" spans="1:17" x14ac:dyDescent="0.3">
      <c r="A69" s="2" t="s">
        <v>420</v>
      </c>
      <c r="B69">
        <f t="shared" si="2"/>
        <v>4.4294525751820322</v>
      </c>
      <c r="C69" s="4">
        <v>8209109</v>
      </c>
      <c r="D69" s="4">
        <v>36361859</v>
      </c>
      <c r="N69" s="2" t="s">
        <v>368</v>
      </c>
      <c r="O69">
        <f t="shared" si="3"/>
        <v>1.941394394340336</v>
      </c>
      <c r="P69" s="4">
        <v>92585</v>
      </c>
      <c r="Q69" s="4">
        <v>179744</v>
      </c>
    </row>
    <row r="70" spans="1:17" x14ac:dyDescent="0.3">
      <c r="A70" s="5" t="s">
        <v>90</v>
      </c>
      <c r="B70">
        <f t="shared" si="2"/>
        <v>4.3835508345978758</v>
      </c>
      <c r="C70" s="7">
        <v>197700</v>
      </c>
      <c r="D70" s="7">
        <v>866628</v>
      </c>
      <c r="N70" s="5" t="s">
        <v>22</v>
      </c>
      <c r="O70">
        <f t="shared" si="3"/>
        <v>1.9595790393649175</v>
      </c>
      <c r="P70" s="7">
        <v>54922</v>
      </c>
      <c r="Q70" s="7">
        <v>107624</v>
      </c>
    </row>
    <row r="71" spans="1:17" x14ac:dyDescent="0.3">
      <c r="A71" s="2" t="s">
        <v>436</v>
      </c>
      <c r="B71">
        <f t="shared" si="2"/>
        <v>4.3666774382978479</v>
      </c>
      <c r="C71" s="4">
        <v>3809389</v>
      </c>
      <c r="D71" s="4">
        <v>16634373</v>
      </c>
      <c r="N71" s="2" t="s">
        <v>212</v>
      </c>
      <c r="O71">
        <f t="shared" si="3"/>
        <v>2.0690185185940368</v>
      </c>
      <c r="P71" s="4">
        <v>25012374</v>
      </c>
      <c r="Q71" s="4">
        <v>51751065</v>
      </c>
    </row>
    <row r="72" spans="1:17" x14ac:dyDescent="0.3">
      <c r="A72" s="2" t="s">
        <v>120</v>
      </c>
      <c r="B72">
        <f t="shared" si="2"/>
        <v>4.3328443845753934</v>
      </c>
      <c r="C72" s="4">
        <v>26896479</v>
      </c>
      <c r="D72" s="4">
        <v>116538258</v>
      </c>
      <c r="N72" s="5" t="s">
        <v>86</v>
      </c>
      <c r="O72">
        <f t="shared" si="3"/>
        <v>2.1121846282998784</v>
      </c>
      <c r="P72" s="7">
        <v>667070000</v>
      </c>
      <c r="Q72" s="7">
        <v>1408975000</v>
      </c>
    </row>
    <row r="73" spans="1:17" x14ac:dyDescent="0.3">
      <c r="A73" s="5" t="s">
        <v>186</v>
      </c>
      <c r="B73">
        <f t="shared" si="2"/>
        <v>4.2648293928292276</v>
      </c>
      <c r="C73" s="7">
        <v>21470434</v>
      </c>
      <c r="D73" s="7">
        <v>91567738</v>
      </c>
      <c r="N73" s="2" t="s">
        <v>236</v>
      </c>
      <c r="O73">
        <f t="shared" si="3"/>
        <v>2.1585406249004682</v>
      </c>
      <c r="P73" s="4">
        <v>313970</v>
      </c>
      <c r="Q73" s="4">
        <v>677717</v>
      </c>
    </row>
    <row r="74" spans="1:17" x14ac:dyDescent="0.3">
      <c r="A74" s="5" t="s">
        <v>314</v>
      </c>
      <c r="B74">
        <f t="shared" si="2"/>
        <v>4.1533091133959088</v>
      </c>
      <c r="C74" s="7">
        <v>27891897</v>
      </c>
      <c r="D74" s="7">
        <v>115843670</v>
      </c>
      <c r="N74" s="2" t="s">
        <v>204</v>
      </c>
      <c r="O74">
        <f t="shared" si="3"/>
        <v>2.183734092359253</v>
      </c>
      <c r="P74" s="4">
        <v>9429981</v>
      </c>
      <c r="Q74" s="4">
        <v>20592571</v>
      </c>
    </row>
    <row r="75" spans="1:17" x14ac:dyDescent="0.3">
      <c r="A75" s="5" t="s">
        <v>166</v>
      </c>
      <c r="B75">
        <f t="shared" si="2"/>
        <v>4.148390847934448</v>
      </c>
      <c r="C75" s="7">
        <v>3556749</v>
      </c>
      <c r="D75" s="7">
        <v>14754785</v>
      </c>
      <c r="N75" s="2" t="s">
        <v>332</v>
      </c>
      <c r="O75">
        <f t="shared" si="3"/>
        <v>2.2022945294270158</v>
      </c>
      <c r="P75" s="4">
        <v>15428</v>
      </c>
      <c r="Q75" s="4">
        <v>33977</v>
      </c>
    </row>
    <row r="76" spans="1:17" x14ac:dyDescent="0.3">
      <c r="A76" s="2" t="s">
        <v>8</v>
      </c>
      <c r="B76">
        <f t="shared" si="2"/>
        <v>4.0975604034758399</v>
      </c>
      <c r="C76" s="4">
        <v>11424922</v>
      </c>
      <c r="D76" s="4">
        <v>46814308</v>
      </c>
      <c r="N76" s="5" t="s">
        <v>18</v>
      </c>
      <c r="O76">
        <f t="shared" si="3"/>
        <v>2.2415411621037822</v>
      </c>
      <c r="P76" s="7">
        <v>20386045</v>
      </c>
      <c r="Q76" s="7">
        <v>45696159</v>
      </c>
    </row>
    <row r="77" spans="1:17" x14ac:dyDescent="0.3">
      <c r="A77" s="2" t="s">
        <v>360</v>
      </c>
      <c r="B77">
        <f t="shared" si="2"/>
        <v>4.0740807195079478</v>
      </c>
      <c r="C77" s="4">
        <v>2931559</v>
      </c>
      <c r="D77" s="4">
        <v>11943408</v>
      </c>
      <c r="N77" s="5" t="s">
        <v>286</v>
      </c>
      <c r="O77">
        <f t="shared" si="3"/>
        <v>2.250822160384518</v>
      </c>
      <c r="P77" s="7">
        <v>2371800</v>
      </c>
      <c r="Q77" s="7">
        <v>5338500</v>
      </c>
    </row>
    <row r="78" spans="1:17" x14ac:dyDescent="0.3">
      <c r="A78" s="5" t="s">
        <v>306</v>
      </c>
      <c r="B78">
        <f t="shared" si="2"/>
        <v>4.0102637199657192</v>
      </c>
      <c r="C78" s="7">
        <v>1126005</v>
      </c>
      <c r="D78" s="7">
        <v>4515577</v>
      </c>
      <c r="N78" s="5" t="s">
        <v>210</v>
      </c>
      <c r="O78">
        <f t="shared" si="3"/>
        <v>2.2604221820218848</v>
      </c>
      <c r="P78" s="7">
        <v>11722953</v>
      </c>
      <c r="Q78" s="7">
        <v>26498823</v>
      </c>
    </row>
    <row r="79" spans="1:17" x14ac:dyDescent="0.3">
      <c r="A79" s="5" t="s">
        <v>238</v>
      </c>
      <c r="B79">
        <f t="shared" si="2"/>
        <v>3.9638807950840955</v>
      </c>
      <c r="C79" s="7">
        <v>173315</v>
      </c>
      <c r="D79" s="7">
        <v>687000</v>
      </c>
      <c r="N79" s="2" t="s">
        <v>364</v>
      </c>
      <c r="O79">
        <f t="shared" si="3"/>
        <v>2.2684108879168408</v>
      </c>
      <c r="P79" s="4">
        <v>9661389</v>
      </c>
      <c r="Q79" s="4">
        <v>21916000</v>
      </c>
    </row>
    <row r="80" spans="1:17" x14ac:dyDescent="0.3">
      <c r="A80" s="5" t="s">
        <v>118</v>
      </c>
      <c r="B80">
        <f t="shared" si="2"/>
        <v>3.9503177052123433</v>
      </c>
      <c r="C80" s="7">
        <v>4590891</v>
      </c>
      <c r="D80" s="7">
        <v>18135478</v>
      </c>
      <c r="N80" s="5" t="s">
        <v>122</v>
      </c>
      <c r="O80">
        <f t="shared" si="3"/>
        <v>2.2705663955659028</v>
      </c>
      <c r="P80" s="7">
        <v>2791459</v>
      </c>
      <c r="Q80" s="7">
        <v>6338193</v>
      </c>
    </row>
    <row r="81" spans="1:17" x14ac:dyDescent="0.3">
      <c r="A81" s="5" t="s">
        <v>358</v>
      </c>
      <c r="B81">
        <f t="shared" si="2"/>
        <v>3.8933404711337571</v>
      </c>
      <c r="C81" s="7">
        <v>16440172</v>
      </c>
      <c r="D81" s="7">
        <v>64007187</v>
      </c>
      <c r="N81" s="2" t="s">
        <v>136</v>
      </c>
      <c r="O81">
        <f t="shared" si="3"/>
        <v>2.29393386302845</v>
      </c>
      <c r="P81" s="4">
        <v>404887</v>
      </c>
      <c r="Q81" s="4">
        <v>928784</v>
      </c>
    </row>
    <row r="82" spans="1:17" x14ac:dyDescent="0.3">
      <c r="A82" s="2" t="s">
        <v>288</v>
      </c>
      <c r="B82">
        <f t="shared" si="2"/>
        <v>3.8803054360205795</v>
      </c>
      <c r="C82" s="4">
        <v>1782370</v>
      </c>
      <c r="D82" s="4">
        <v>6916140</v>
      </c>
      <c r="N82" s="2" t="s">
        <v>180</v>
      </c>
      <c r="O82">
        <f t="shared" si="3"/>
        <v>2.3044983881440304</v>
      </c>
      <c r="P82" s="4">
        <v>175574</v>
      </c>
      <c r="Q82" s="4">
        <v>404610</v>
      </c>
    </row>
    <row r="83" spans="1:17" x14ac:dyDescent="0.3">
      <c r="A83" s="2" t="s">
        <v>96</v>
      </c>
      <c r="B83">
        <f t="shared" si="2"/>
        <v>3.8643506270452037</v>
      </c>
      <c r="C83" s="4">
        <v>1327496</v>
      </c>
      <c r="D83" s="4">
        <v>5129910</v>
      </c>
      <c r="N83" s="5" t="s">
        <v>74</v>
      </c>
      <c r="O83">
        <f t="shared" si="3"/>
        <v>2.3054206415909091</v>
      </c>
      <c r="P83" s="7">
        <v>17909356</v>
      </c>
      <c r="Q83" s="7">
        <v>41288599</v>
      </c>
    </row>
    <row r="84" spans="1:17" x14ac:dyDescent="0.3">
      <c r="A84" s="2" t="s">
        <v>168</v>
      </c>
      <c r="B84">
        <f t="shared" si="2"/>
        <v>3.8109872531520881</v>
      </c>
      <c r="C84" s="4">
        <v>577633</v>
      </c>
      <c r="D84" s="4">
        <v>2201352</v>
      </c>
      <c r="N84" s="5" t="s">
        <v>106</v>
      </c>
      <c r="O84">
        <f t="shared" si="3"/>
        <v>2.3159508261010417</v>
      </c>
      <c r="P84" s="7">
        <v>586490</v>
      </c>
      <c r="Q84" s="7">
        <v>1358282</v>
      </c>
    </row>
    <row r="85" spans="1:17" x14ac:dyDescent="0.3">
      <c r="A85" s="2" t="s">
        <v>344</v>
      </c>
      <c r="B85">
        <f t="shared" si="2"/>
        <v>3.8098173302603295</v>
      </c>
      <c r="C85" s="4">
        <v>2268356</v>
      </c>
      <c r="D85" s="4">
        <v>8642022</v>
      </c>
      <c r="N85" s="5" t="s">
        <v>10</v>
      </c>
      <c r="O85">
        <f t="shared" si="3"/>
        <v>2.3228033576714848</v>
      </c>
      <c r="P85" s="7">
        <v>20133</v>
      </c>
      <c r="Q85" s="7">
        <v>46765</v>
      </c>
    </row>
    <row r="86" spans="1:17" x14ac:dyDescent="0.3">
      <c r="A86" s="5" t="s">
        <v>310</v>
      </c>
      <c r="B86">
        <f t="shared" si="2"/>
        <v>3.6788433746709606</v>
      </c>
      <c r="C86" s="7">
        <v>1883514</v>
      </c>
      <c r="D86" s="7">
        <v>6929153</v>
      </c>
      <c r="N86" s="2" t="s">
        <v>376</v>
      </c>
      <c r="O86">
        <f t="shared" si="3"/>
        <v>2.4038943914397652</v>
      </c>
      <c r="P86" s="4">
        <v>263918</v>
      </c>
      <c r="Q86" s="4">
        <v>634431</v>
      </c>
    </row>
    <row r="87" spans="1:17" x14ac:dyDescent="0.3">
      <c r="A87" s="5" t="s">
        <v>346</v>
      </c>
      <c r="B87">
        <f t="shared" si="2"/>
        <v>3.6667031098153546</v>
      </c>
      <c r="C87" s="7">
        <v>1646400</v>
      </c>
      <c r="D87" s="7">
        <v>6036860</v>
      </c>
      <c r="N87" s="5" t="s">
        <v>162</v>
      </c>
      <c r="O87">
        <f t="shared" si="3"/>
        <v>2.4131895001797914</v>
      </c>
      <c r="P87" s="7">
        <v>69525</v>
      </c>
      <c r="Q87" s="7">
        <v>167777</v>
      </c>
    </row>
    <row r="88" spans="1:17" x14ac:dyDescent="0.3">
      <c r="A88" s="2" t="s">
        <v>284</v>
      </c>
      <c r="B88">
        <f t="shared" si="2"/>
        <v>3.6662824640749698</v>
      </c>
      <c r="C88" s="4">
        <v>79819</v>
      </c>
      <c r="D88" s="4">
        <v>292639</v>
      </c>
      <c r="N88" s="2" t="s">
        <v>84</v>
      </c>
      <c r="O88">
        <f t="shared" si="3"/>
        <v>2.4241288550105171</v>
      </c>
      <c r="P88" s="4">
        <v>8153350</v>
      </c>
      <c r="Q88" s="4">
        <v>19764771</v>
      </c>
    </row>
    <row r="89" spans="1:17" x14ac:dyDescent="0.3">
      <c r="A89" s="2" t="s">
        <v>220</v>
      </c>
      <c r="B89">
        <f t="shared" si="2"/>
        <v>3.6623934605192328</v>
      </c>
      <c r="C89" s="4">
        <v>2121514</v>
      </c>
      <c r="D89" s="4">
        <v>7769819</v>
      </c>
      <c r="N89" s="2" t="s">
        <v>176</v>
      </c>
      <c r="O89">
        <f t="shared" si="3"/>
        <v>2.4311757635289708</v>
      </c>
      <c r="P89" s="4">
        <v>3094840</v>
      </c>
      <c r="Q89" s="4">
        <v>7524100</v>
      </c>
    </row>
    <row r="90" spans="1:17" x14ac:dyDescent="0.3">
      <c r="A90" s="5" t="s">
        <v>126</v>
      </c>
      <c r="B90">
        <f t="shared" si="2"/>
        <v>3.635405795298325</v>
      </c>
      <c r="C90" s="7">
        <v>972547</v>
      </c>
      <c r="D90" s="7">
        <v>3535603</v>
      </c>
      <c r="N90" s="2" t="s">
        <v>232</v>
      </c>
      <c r="O90">
        <f t="shared" si="3"/>
        <v>2.4434380888699776</v>
      </c>
      <c r="P90" s="4">
        <v>16451</v>
      </c>
      <c r="Q90" s="4">
        <v>40197</v>
      </c>
    </row>
    <row r="91" spans="1:17" x14ac:dyDescent="0.3">
      <c r="A91" s="5" t="s">
        <v>266</v>
      </c>
      <c r="B91">
        <f t="shared" si="2"/>
        <v>3.6055708140896794</v>
      </c>
      <c r="C91" s="7">
        <v>977595</v>
      </c>
      <c r="D91" s="7">
        <v>3524788</v>
      </c>
      <c r="N91" s="2" t="s">
        <v>68</v>
      </c>
      <c r="O91">
        <f t="shared" si="3"/>
        <v>2.4991286710090277</v>
      </c>
      <c r="P91" s="4">
        <v>210024</v>
      </c>
      <c r="Q91" s="4">
        <v>524877</v>
      </c>
    </row>
    <row r="92" spans="1:17" x14ac:dyDescent="0.3">
      <c r="A92" s="5" t="s">
        <v>130</v>
      </c>
      <c r="B92">
        <f t="shared" si="2"/>
        <v>3.5988671934950496</v>
      </c>
      <c r="C92" s="7">
        <v>345337</v>
      </c>
      <c r="D92" s="7">
        <v>1242822</v>
      </c>
      <c r="N92" s="5" t="s">
        <v>274</v>
      </c>
      <c r="O92">
        <f t="shared" si="3"/>
        <v>2.5080287157303758</v>
      </c>
      <c r="P92" s="7">
        <v>21730250</v>
      </c>
      <c r="Q92" s="7">
        <v>54500091</v>
      </c>
    </row>
    <row r="93" spans="1:17" x14ac:dyDescent="0.3">
      <c r="A93" s="5" t="s">
        <v>258</v>
      </c>
      <c r="B93">
        <f t="shared" si="2"/>
        <v>3.5633050748115398</v>
      </c>
      <c r="C93" s="7">
        <v>36724615</v>
      </c>
      <c r="D93" s="7">
        <v>130861007</v>
      </c>
      <c r="N93" s="2" t="s">
        <v>252</v>
      </c>
      <c r="O93">
        <f t="shared" si="3"/>
        <v>2.5537645378494185</v>
      </c>
      <c r="P93" s="4">
        <v>14703</v>
      </c>
      <c r="Q93" s="4">
        <v>37548</v>
      </c>
    </row>
    <row r="94" spans="1:17" x14ac:dyDescent="0.3">
      <c r="A94" s="2" t="s">
        <v>48</v>
      </c>
      <c r="B94">
        <f t="shared" si="2"/>
        <v>3.5322646864568643</v>
      </c>
      <c r="C94" s="4">
        <v>224084</v>
      </c>
      <c r="D94" s="4">
        <v>791524</v>
      </c>
      <c r="N94" s="5" t="s">
        <v>278</v>
      </c>
      <c r="O94">
        <f t="shared" si="3"/>
        <v>2.593227696982852</v>
      </c>
      <c r="P94" s="7">
        <v>4607</v>
      </c>
      <c r="Q94" s="7">
        <v>11947</v>
      </c>
    </row>
    <row r="95" spans="1:17" x14ac:dyDescent="0.3">
      <c r="A95" s="2" t="s">
        <v>116</v>
      </c>
      <c r="B95">
        <f t="shared" si="2"/>
        <v>3.4964449799531017</v>
      </c>
      <c r="C95" s="4">
        <v>3268336</v>
      </c>
      <c r="D95" s="4">
        <v>11427557</v>
      </c>
      <c r="N95" s="2" t="s">
        <v>28</v>
      </c>
      <c r="O95">
        <f t="shared" si="3"/>
        <v>2.6198099884452435</v>
      </c>
      <c r="P95" s="4">
        <v>3894500</v>
      </c>
      <c r="Q95" s="4">
        <v>10202850</v>
      </c>
    </row>
    <row r="96" spans="1:17" x14ac:dyDescent="0.3">
      <c r="A96" s="2" t="s">
        <v>424</v>
      </c>
      <c r="B96">
        <f t="shared" si="2"/>
        <v>3.4810330523315307</v>
      </c>
      <c r="C96" s="4">
        <v>8160090</v>
      </c>
      <c r="D96" s="4">
        <v>28405543</v>
      </c>
      <c r="N96" s="2" t="s">
        <v>260</v>
      </c>
      <c r="O96">
        <f t="shared" si="3"/>
        <v>2.627899955876547</v>
      </c>
      <c r="P96" s="4">
        <v>43061</v>
      </c>
      <c r="Q96" s="4">
        <v>113160</v>
      </c>
    </row>
    <row r="97" spans="1:17" x14ac:dyDescent="0.3">
      <c r="A97" s="5" t="s">
        <v>334</v>
      </c>
      <c r="B97">
        <f t="shared" si="2"/>
        <v>3.46315356113627</v>
      </c>
      <c r="C97" s="7">
        <v>68012</v>
      </c>
      <c r="D97" s="7">
        <v>235536</v>
      </c>
      <c r="N97" s="2" t="s">
        <v>24</v>
      </c>
      <c r="O97">
        <f t="shared" si="3"/>
        <v>2.6472894358640611</v>
      </c>
      <c r="P97" s="4">
        <v>10276477</v>
      </c>
      <c r="Q97" s="4">
        <v>27204809</v>
      </c>
    </row>
    <row r="98" spans="1:17" x14ac:dyDescent="0.3">
      <c r="A98" s="5" t="s">
        <v>30</v>
      </c>
      <c r="B98">
        <f t="shared" si="2"/>
        <v>3.4499084398669155</v>
      </c>
      <c r="C98" s="7">
        <v>116317</v>
      </c>
      <c r="D98" s="7">
        <v>401283</v>
      </c>
      <c r="N98" s="2" t="s">
        <v>388</v>
      </c>
      <c r="O98">
        <f t="shared" si="3"/>
        <v>2.6690260041553349</v>
      </c>
      <c r="P98" s="4">
        <v>26851747</v>
      </c>
      <c r="Q98" s="4">
        <v>71668011</v>
      </c>
    </row>
    <row r="99" spans="1:17" x14ac:dyDescent="0.3">
      <c r="A99" s="2" t="s">
        <v>88</v>
      </c>
      <c r="B99">
        <f t="shared" si="2"/>
        <v>3.3888026874431838</v>
      </c>
      <c r="C99" s="4">
        <v>15606209</v>
      </c>
      <c r="D99" s="4">
        <v>52886363</v>
      </c>
      <c r="N99" s="2" t="s">
        <v>208</v>
      </c>
      <c r="O99">
        <f t="shared" si="3"/>
        <v>2.8525563543058294</v>
      </c>
      <c r="P99" s="4">
        <v>47157</v>
      </c>
      <c r="Q99" s="4">
        <v>134518</v>
      </c>
    </row>
    <row r="100" spans="1:17" x14ac:dyDescent="0.3">
      <c r="A100" s="5" t="s">
        <v>142</v>
      </c>
      <c r="B100">
        <f t="shared" si="2"/>
        <v>3.3680367152298887</v>
      </c>
      <c r="C100" s="7">
        <v>83671</v>
      </c>
      <c r="D100" s="7">
        <v>281807</v>
      </c>
      <c r="N100" s="5" t="s">
        <v>398</v>
      </c>
      <c r="O100">
        <f t="shared" si="3"/>
        <v>2.8770284546062981</v>
      </c>
      <c r="P100" s="7">
        <v>4267288</v>
      </c>
      <c r="Q100" s="7">
        <v>12277109</v>
      </c>
    </row>
    <row r="101" spans="1:17" x14ac:dyDescent="0.3">
      <c r="A101" s="2" t="s">
        <v>312</v>
      </c>
      <c r="B101">
        <f t="shared" si="2"/>
        <v>3.363222023865045</v>
      </c>
      <c r="C101" s="4">
        <v>10174127</v>
      </c>
      <c r="D101" s="4">
        <v>34217848</v>
      </c>
      <c r="N101" s="5" t="s">
        <v>342</v>
      </c>
      <c r="O101">
        <f t="shared" si="3"/>
        <v>2.9101678657074341</v>
      </c>
      <c r="P101" s="7">
        <v>41700</v>
      </c>
      <c r="Q101" s="7">
        <v>121354</v>
      </c>
    </row>
    <row r="102" spans="1:17" x14ac:dyDescent="0.3">
      <c r="A102" s="5" t="s">
        <v>50</v>
      </c>
      <c r="B102">
        <f t="shared" si="2"/>
        <v>3.3528449570715466</v>
      </c>
      <c r="C102" s="7">
        <v>3702323</v>
      </c>
      <c r="D102" s="7">
        <v>12413315</v>
      </c>
      <c r="N102" s="2" t="s">
        <v>56</v>
      </c>
      <c r="O102">
        <f t="shared" si="3"/>
        <v>2.9286373983490055</v>
      </c>
      <c r="P102" s="4">
        <v>72388126</v>
      </c>
      <c r="Q102" s="4">
        <v>211998573</v>
      </c>
    </row>
    <row r="103" spans="1:17" x14ac:dyDescent="0.3">
      <c r="A103" s="5" t="s">
        <v>34</v>
      </c>
      <c r="B103">
        <f t="shared" si="2"/>
        <v>3.3487719728814134</v>
      </c>
      <c r="C103" s="7">
        <v>51828660</v>
      </c>
      <c r="D103" s="7">
        <v>173562364</v>
      </c>
      <c r="N103" s="2" t="s">
        <v>280</v>
      </c>
      <c r="O103">
        <f t="shared" si="3"/>
        <v>2.9288873646265015</v>
      </c>
      <c r="P103" s="4">
        <v>10123658</v>
      </c>
      <c r="Q103" s="4">
        <v>29651054</v>
      </c>
    </row>
    <row r="104" spans="1:17" x14ac:dyDescent="0.3">
      <c r="A104" s="5" t="s">
        <v>182</v>
      </c>
      <c r="B104">
        <f t="shared" si="2"/>
        <v>3.3279081313035888</v>
      </c>
      <c r="C104" s="7">
        <v>435990338</v>
      </c>
      <c r="D104" s="7">
        <v>1450935791</v>
      </c>
      <c r="N104" s="5" t="s">
        <v>390</v>
      </c>
      <c r="O104">
        <f t="shared" si="3"/>
        <v>2.9920618305640887</v>
      </c>
      <c r="P104" s="7">
        <v>468118</v>
      </c>
      <c r="Q104" s="7">
        <v>1400638</v>
      </c>
    </row>
    <row r="105" spans="1:17" x14ac:dyDescent="0.3">
      <c r="A105" s="5" t="s">
        <v>218</v>
      </c>
      <c r="B105">
        <f t="shared" si="2"/>
        <v>3.3257901763108224</v>
      </c>
      <c r="C105" s="7">
        <v>2172300</v>
      </c>
      <c r="D105" s="7">
        <v>7224614</v>
      </c>
      <c r="N105" s="2" t="s">
        <v>400</v>
      </c>
      <c r="O105">
        <f t="shared" si="3"/>
        <v>3.0186716874165942</v>
      </c>
      <c r="P105" s="4">
        <v>28329898</v>
      </c>
      <c r="Q105" s="4">
        <v>85518661</v>
      </c>
    </row>
    <row r="106" spans="1:17" x14ac:dyDescent="0.3">
      <c r="A106" s="5" t="s">
        <v>270</v>
      </c>
      <c r="B106">
        <f t="shared" si="2"/>
        <v>3.2758187079443815</v>
      </c>
      <c r="C106" s="7">
        <v>11624933</v>
      </c>
      <c r="D106" s="7">
        <v>38081173</v>
      </c>
      <c r="N106" s="2" t="s">
        <v>172</v>
      </c>
      <c r="O106">
        <f t="shared" si="3"/>
        <v>3.0511159553218747</v>
      </c>
      <c r="P106" s="4">
        <v>3858443</v>
      </c>
      <c r="Q106" s="4">
        <v>11772557</v>
      </c>
    </row>
    <row r="107" spans="1:17" x14ac:dyDescent="0.3">
      <c r="A107" s="5" t="s">
        <v>70</v>
      </c>
      <c r="B107">
        <f t="shared" si="2"/>
        <v>3.2364974386996175</v>
      </c>
      <c r="C107" s="7">
        <v>5449966</v>
      </c>
      <c r="D107" s="7">
        <v>17638801</v>
      </c>
      <c r="N107" s="5" t="s">
        <v>426</v>
      </c>
      <c r="O107">
        <f t="shared" si="3"/>
        <v>3.1042633095303622</v>
      </c>
      <c r="P107" s="7">
        <v>32531933</v>
      </c>
      <c r="Q107" s="7">
        <v>100987686</v>
      </c>
    </row>
    <row r="108" spans="1:17" x14ac:dyDescent="0.3">
      <c r="A108" s="2" t="s">
        <v>224</v>
      </c>
      <c r="B108">
        <f t="shared" si="2"/>
        <v>3.2355899389547291</v>
      </c>
      <c r="C108" s="4">
        <v>1794406</v>
      </c>
      <c r="D108" s="4">
        <v>5805962</v>
      </c>
      <c r="N108" s="5" t="s">
        <v>78</v>
      </c>
      <c r="O108">
        <f t="shared" si="3"/>
        <v>3.1313786973975914</v>
      </c>
      <c r="P108" s="7">
        <v>1702346</v>
      </c>
      <c r="Q108" s="7">
        <v>5330690</v>
      </c>
    </row>
    <row r="109" spans="1:17" x14ac:dyDescent="0.3">
      <c r="A109" s="2" t="s">
        <v>428</v>
      </c>
      <c r="B109">
        <f t="shared" si="2"/>
        <v>3.2115999999999998</v>
      </c>
      <c r="C109" s="4">
        <v>32500</v>
      </c>
      <c r="D109" s="4">
        <v>104377</v>
      </c>
      <c r="N109" s="5" t="s">
        <v>226</v>
      </c>
      <c r="O109">
        <f t="shared" si="3"/>
        <v>3.1736904276985745</v>
      </c>
      <c r="P109" s="7">
        <v>736500</v>
      </c>
      <c r="Q109" s="7">
        <v>2337423</v>
      </c>
    </row>
    <row r="110" spans="1:17" x14ac:dyDescent="0.3">
      <c r="A110" s="2" t="s">
        <v>184</v>
      </c>
      <c r="B110">
        <f t="shared" si="2"/>
        <v>3.2106517424841221</v>
      </c>
      <c r="C110" s="4">
        <v>88296070</v>
      </c>
      <c r="D110" s="4">
        <v>283487931</v>
      </c>
      <c r="N110" s="2" t="s">
        <v>184</v>
      </c>
      <c r="O110">
        <f t="shared" si="3"/>
        <v>3.2106517424841221</v>
      </c>
      <c r="P110" s="4">
        <v>88296070</v>
      </c>
      <c r="Q110" s="4">
        <v>283487931</v>
      </c>
    </row>
    <row r="111" spans="1:17" x14ac:dyDescent="0.3">
      <c r="A111" s="5" t="s">
        <v>226</v>
      </c>
      <c r="B111">
        <f t="shared" si="2"/>
        <v>3.1736904276985745</v>
      </c>
      <c r="C111" s="7">
        <v>736500</v>
      </c>
      <c r="D111" s="7">
        <v>2337423</v>
      </c>
      <c r="N111" s="2" t="s">
        <v>428</v>
      </c>
      <c r="O111">
        <f t="shared" si="3"/>
        <v>3.2115999999999998</v>
      </c>
      <c r="P111" s="4">
        <v>32500</v>
      </c>
      <c r="Q111" s="4">
        <v>104377</v>
      </c>
    </row>
    <row r="112" spans="1:17" x14ac:dyDescent="0.3">
      <c r="A112" s="5" t="s">
        <v>78</v>
      </c>
      <c r="B112">
        <f t="shared" si="2"/>
        <v>3.1313786973975914</v>
      </c>
      <c r="C112" s="7">
        <v>1702346</v>
      </c>
      <c r="D112" s="7">
        <v>5330690</v>
      </c>
      <c r="N112" s="2" t="s">
        <v>224</v>
      </c>
      <c r="O112">
        <f t="shared" si="3"/>
        <v>3.2355899389547291</v>
      </c>
      <c r="P112" s="4">
        <v>1794406</v>
      </c>
      <c r="Q112" s="4">
        <v>5805962</v>
      </c>
    </row>
    <row r="113" spans="1:17" x14ac:dyDescent="0.3">
      <c r="A113" s="5" t="s">
        <v>426</v>
      </c>
      <c r="B113">
        <f t="shared" si="2"/>
        <v>3.1042633095303622</v>
      </c>
      <c r="C113" s="7">
        <v>32531933</v>
      </c>
      <c r="D113" s="7">
        <v>100987686</v>
      </c>
      <c r="N113" s="5" t="s">
        <v>70</v>
      </c>
      <c r="O113">
        <f t="shared" si="3"/>
        <v>3.2364974386996175</v>
      </c>
      <c r="P113" s="7">
        <v>5449966</v>
      </c>
      <c r="Q113" s="7">
        <v>17638801</v>
      </c>
    </row>
    <row r="114" spans="1:17" x14ac:dyDescent="0.3">
      <c r="A114" s="2" t="s">
        <v>172</v>
      </c>
      <c r="B114">
        <f t="shared" si="2"/>
        <v>3.0511159553218747</v>
      </c>
      <c r="C114" s="4">
        <v>3858443</v>
      </c>
      <c r="D114" s="4">
        <v>11772557</v>
      </c>
      <c r="N114" s="5" t="s">
        <v>270</v>
      </c>
      <c r="O114">
        <f t="shared" si="3"/>
        <v>3.2758187079443815</v>
      </c>
      <c r="P114" s="7">
        <v>11624933</v>
      </c>
      <c r="Q114" s="7">
        <v>38081173</v>
      </c>
    </row>
    <row r="115" spans="1:17" x14ac:dyDescent="0.3">
      <c r="A115" s="2" t="s">
        <v>400</v>
      </c>
      <c r="B115">
        <f t="shared" si="2"/>
        <v>3.0186716874165942</v>
      </c>
      <c r="C115" s="4">
        <v>28329898</v>
      </c>
      <c r="D115" s="4">
        <v>85518661</v>
      </c>
      <c r="N115" s="5" t="s">
        <v>218</v>
      </c>
      <c r="O115">
        <f t="shared" si="3"/>
        <v>3.3257901763108224</v>
      </c>
      <c r="P115" s="7">
        <v>2172300</v>
      </c>
      <c r="Q115" s="7">
        <v>7224614</v>
      </c>
    </row>
    <row r="116" spans="1:17" x14ac:dyDescent="0.3">
      <c r="A116" s="5" t="s">
        <v>390</v>
      </c>
      <c r="B116">
        <f t="shared" si="2"/>
        <v>2.9920618305640887</v>
      </c>
      <c r="C116" s="7">
        <v>468118</v>
      </c>
      <c r="D116" s="7">
        <v>1400638</v>
      </c>
      <c r="N116" s="5" t="s">
        <v>182</v>
      </c>
      <c r="O116">
        <f t="shared" si="3"/>
        <v>3.3279081313035888</v>
      </c>
      <c r="P116" s="7">
        <v>435990338</v>
      </c>
      <c r="Q116" s="7">
        <v>1450935791</v>
      </c>
    </row>
    <row r="117" spans="1:17" x14ac:dyDescent="0.3">
      <c r="A117" s="2" t="s">
        <v>280</v>
      </c>
      <c r="B117">
        <f t="shared" si="2"/>
        <v>2.9288873646265015</v>
      </c>
      <c r="C117" s="4">
        <v>10123658</v>
      </c>
      <c r="D117" s="4">
        <v>29651054</v>
      </c>
      <c r="N117" s="5" t="s">
        <v>34</v>
      </c>
      <c r="O117">
        <f t="shared" si="3"/>
        <v>3.3487719728814134</v>
      </c>
      <c r="P117" s="7">
        <v>51828660</v>
      </c>
      <c r="Q117" s="7">
        <v>173562364</v>
      </c>
    </row>
    <row r="118" spans="1:17" x14ac:dyDescent="0.3">
      <c r="A118" s="2" t="s">
        <v>56</v>
      </c>
      <c r="B118">
        <f t="shared" si="2"/>
        <v>2.9286373983490055</v>
      </c>
      <c r="C118" s="4">
        <v>72388126</v>
      </c>
      <c r="D118" s="4">
        <v>211998573</v>
      </c>
      <c r="N118" s="5" t="s">
        <v>50</v>
      </c>
      <c r="O118">
        <f t="shared" si="3"/>
        <v>3.3528449570715466</v>
      </c>
      <c r="P118" s="7">
        <v>3702323</v>
      </c>
      <c r="Q118" s="7">
        <v>12413315</v>
      </c>
    </row>
    <row r="119" spans="1:17" x14ac:dyDescent="0.3">
      <c r="A119" s="5" t="s">
        <v>342</v>
      </c>
      <c r="B119">
        <f t="shared" si="2"/>
        <v>2.9101678657074341</v>
      </c>
      <c r="C119" s="7">
        <v>41700</v>
      </c>
      <c r="D119" s="7">
        <v>121354</v>
      </c>
      <c r="N119" s="2" t="s">
        <v>312</v>
      </c>
      <c r="O119">
        <f t="shared" si="3"/>
        <v>3.363222023865045</v>
      </c>
      <c r="P119" s="4">
        <v>10174127</v>
      </c>
      <c r="Q119" s="4">
        <v>34217848</v>
      </c>
    </row>
    <row r="120" spans="1:17" x14ac:dyDescent="0.3">
      <c r="A120" s="5" t="s">
        <v>398</v>
      </c>
      <c r="B120">
        <f t="shared" si="2"/>
        <v>2.8770284546062981</v>
      </c>
      <c r="C120" s="7">
        <v>4267288</v>
      </c>
      <c r="D120" s="7">
        <v>12277109</v>
      </c>
      <c r="N120" s="5" t="s">
        <v>142</v>
      </c>
      <c r="O120">
        <f t="shared" si="3"/>
        <v>3.3680367152298887</v>
      </c>
      <c r="P120" s="7">
        <v>83671</v>
      </c>
      <c r="Q120" s="7">
        <v>281807</v>
      </c>
    </row>
    <row r="121" spans="1:17" x14ac:dyDescent="0.3">
      <c r="A121" s="2" t="s">
        <v>208</v>
      </c>
      <c r="B121">
        <f t="shared" si="2"/>
        <v>2.8525563543058294</v>
      </c>
      <c r="C121" s="4">
        <v>47157</v>
      </c>
      <c r="D121" s="4">
        <v>134518</v>
      </c>
      <c r="N121" s="2" t="s">
        <v>88</v>
      </c>
      <c r="O121">
        <f t="shared" si="3"/>
        <v>3.3888026874431838</v>
      </c>
      <c r="P121" s="4">
        <v>15606209</v>
      </c>
      <c r="Q121" s="4">
        <v>52886363</v>
      </c>
    </row>
    <row r="122" spans="1:17" x14ac:dyDescent="0.3">
      <c r="A122" s="2" t="s">
        <v>388</v>
      </c>
      <c r="B122">
        <f t="shared" si="2"/>
        <v>2.6690260041553349</v>
      </c>
      <c r="C122" s="4">
        <v>26851747</v>
      </c>
      <c r="D122" s="4">
        <v>71668011</v>
      </c>
      <c r="N122" s="5" t="s">
        <v>30</v>
      </c>
      <c r="O122">
        <f t="shared" si="3"/>
        <v>3.4499084398669155</v>
      </c>
      <c r="P122" s="7">
        <v>116317</v>
      </c>
      <c r="Q122" s="7">
        <v>401283</v>
      </c>
    </row>
    <row r="123" spans="1:17" x14ac:dyDescent="0.3">
      <c r="A123" s="2" t="s">
        <v>24</v>
      </c>
      <c r="B123">
        <f t="shared" si="2"/>
        <v>2.6472894358640611</v>
      </c>
      <c r="C123" s="4">
        <v>10276477</v>
      </c>
      <c r="D123" s="4">
        <v>27204809</v>
      </c>
      <c r="N123" s="5" t="s">
        <v>334</v>
      </c>
      <c r="O123">
        <f t="shared" si="3"/>
        <v>3.46315356113627</v>
      </c>
      <c r="P123" s="7">
        <v>68012</v>
      </c>
      <c r="Q123" s="7">
        <v>235536</v>
      </c>
    </row>
    <row r="124" spans="1:17" x14ac:dyDescent="0.3">
      <c r="A124" s="2" t="s">
        <v>260</v>
      </c>
      <c r="B124">
        <f t="shared" si="2"/>
        <v>2.627899955876547</v>
      </c>
      <c r="C124" s="4">
        <v>43061</v>
      </c>
      <c r="D124" s="4">
        <v>113160</v>
      </c>
      <c r="N124" s="2" t="s">
        <v>424</v>
      </c>
      <c r="O124">
        <f t="shared" si="3"/>
        <v>3.4810330523315307</v>
      </c>
      <c r="P124" s="4">
        <v>8160090</v>
      </c>
      <c r="Q124" s="4">
        <v>28405543</v>
      </c>
    </row>
    <row r="125" spans="1:17" x14ac:dyDescent="0.3">
      <c r="A125" s="2" t="s">
        <v>28</v>
      </c>
      <c r="B125">
        <f t="shared" si="2"/>
        <v>2.6198099884452435</v>
      </c>
      <c r="C125" s="4">
        <v>3894500</v>
      </c>
      <c r="D125" s="4">
        <v>10202850</v>
      </c>
      <c r="N125" s="2" t="s">
        <v>116</v>
      </c>
      <c r="O125">
        <f t="shared" si="3"/>
        <v>3.4964449799531017</v>
      </c>
      <c r="P125" s="4">
        <v>3268336</v>
      </c>
      <c r="Q125" s="4">
        <v>11427557</v>
      </c>
    </row>
    <row r="126" spans="1:17" x14ac:dyDescent="0.3">
      <c r="A126" s="5" t="s">
        <v>278</v>
      </c>
      <c r="B126">
        <f t="shared" si="2"/>
        <v>2.593227696982852</v>
      </c>
      <c r="C126" s="7">
        <v>4607</v>
      </c>
      <c r="D126" s="7">
        <v>11947</v>
      </c>
      <c r="N126" s="2" t="s">
        <v>48</v>
      </c>
      <c r="O126">
        <f t="shared" si="3"/>
        <v>3.5322646864568643</v>
      </c>
      <c r="P126" s="4">
        <v>224084</v>
      </c>
      <c r="Q126" s="4">
        <v>791524</v>
      </c>
    </row>
    <row r="127" spans="1:17" x14ac:dyDescent="0.3">
      <c r="A127" s="2" t="s">
        <v>252</v>
      </c>
      <c r="B127">
        <f t="shared" si="2"/>
        <v>2.5537645378494185</v>
      </c>
      <c r="C127" s="4">
        <v>14703</v>
      </c>
      <c r="D127" s="4">
        <v>37548</v>
      </c>
      <c r="N127" s="5" t="s">
        <v>258</v>
      </c>
      <c r="O127">
        <f t="shared" si="3"/>
        <v>3.5633050748115398</v>
      </c>
      <c r="P127" s="7">
        <v>36724615</v>
      </c>
      <c r="Q127" s="7">
        <v>130861007</v>
      </c>
    </row>
    <row r="128" spans="1:17" x14ac:dyDescent="0.3">
      <c r="A128" s="5" t="s">
        <v>274</v>
      </c>
      <c r="B128">
        <f t="shared" si="2"/>
        <v>2.5080287157303758</v>
      </c>
      <c r="C128" s="7">
        <v>21730250</v>
      </c>
      <c r="D128" s="7">
        <v>54500091</v>
      </c>
      <c r="N128" s="5" t="s">
        <v>130</v>
      </c>
      <c r="O128">
        <f t="shared" si="3"/>
        <v>3.5988671934950496</v>
      </c>
      <c r="P128" s="7">
        <v>345337</v>
      </c>
      <c r="Q128" s="7">
        <v>1242822</v>
      </c>
    </row>
    <row r="129" spans="1:17" x14ac:dyDescent="0.3">
      <c r="A129" s="2" t="s">
        <v>68</v>
      </c>
      <c r="B129">
        <f t="shared" si="2"/>
        <v>2.4991286710090277</v>
      </c>
      <c r="C129" s="4">
        <v>210024</v>
      </c>
      <c r="D129" s="4">
        <v>524877</v>
      </c>
      <c r="N129" s="5" t="s">
        <v>266</v>
      </c>
      <c r="O129">
        <f t="shared" si="3"/>
        <v>3.6055708140896794</v>
      </c>
      <c r="P129" s="7">
        <v>977595</v>
      </c>
      <c r="Q129" s="7">
        <v>3524788</v>
      </c>
    </row>
    <row r="130" spans="1:17" x14ac:dyDescent="0.3">
      <c r="A130" s="2" t="s">
        <v>232</v>
      </c>
      <c r="B130">
        <f t="shared" ref="B130:B193" si="4">IFERROR(D130/C130,"No Data")</f>
        <v>2.4434380888699776</v>
      </c>
      <c r="C130" s="4">
        <v>16451</v>
      </c>
      <c r="D130" s="4">
        <v>40197</v>
      </c>
      <c r="N130" s="5" t="s">
        <v>126</v>
      </c>
      <c r="O130">
        <f t="shared" ref="O130:O193" si="5">IFERROR(Q130/P130,"No Data")</f>
        <v>3.635405795298325</v>
      </c>
      <c r="P130" s="7">
        <v>972547</v>
      </c>
      <c r="Q130" s="7">
        <v>3535603</v>
      </c>
    </row>
    <row r="131" spans="1:17" x14ac:dyDescent="0.3">
      <c r="A131" s="2" t="s">
        <v>176</v>
      </c>
      <c r="B131">
        <f t="shared" si="4"/>
        <v>2.4311757635289708</v>
      </c>
      <c r="C131" s="4">
        <v>3094840</v>
      </c>
      <c r="D131" s="4">
        <v>7524100</v>
      </c>
      <c r="N131" s="2" t="s">
        <v>220</v>
      </c>
      <c r="O131">
        <f t="shared" si="5"/>
        <v>3.6623934605192328</v>
      </c>
      <c r="P131" s="4">
        <v>2121514</v>
      </c>
      <c r="Q131" s="4">
        <v>7769819</v>
      </c>
    </row>
    <row r="132" spans="1:17" x14ac:dyDescent="0.3">
      <c r="A132" s="2" t="s">
        <v>84</v>
      </c>
      <c r="B132">
        <f t="shared" si="4"/>
        <v>2.4241288550105171</v>
      </c>
      <c r="C132" s="4">
        <v>8153350</v>
      </c>
      <c r="D132" s="4">
        <v>19764771</v>
      </c>
      <c r="N132" s="2" t="s">
        <v>284</v>
      </c>
      <c r="O132">
        <f t="shared" si="5"/>
        <v>3.6662824640749698</v>
      </c>
      <c r="P132" s="4">
        <v>79819</v>
      </c>
      <c r="Q132" s="4">
        <v>292639</v>
      </c>
    </row>
    <row r="133" spans="1:17" x14ac:dyDescent="0.3">
      <c r="A133" s="5" t="s">
        <v>162</v>
      </c>
      <c r="B133">
        <f t="shared" si="4"/>
        <v>2.4131895001797914</v>
      </c>
      <c r="C133" s="7">
        <v>69525</v>
      </c>
      <c r="D133" s="7">
        <v>167777</v>
      </c>
      <c r="N133" s="5" t="s">
        <v>346</v>
      </c>
      <c r="O133">
        <f t="shared" si="5"/>
        <v>3.6667031098153546</v>
      </c>
      <c r="P133" s="7">
        <v>1646400</v>
      </c>
      <c r="Q133" s="7">
        <v>6036860</v>
      </c>
    </row>
    <row r="134" spans="1:17" x14ac:dyDescent="0.3">
      <c r="A134" s="2" t="s">
        <v>376</v>
      </c>
      <c r="B134">
        <f t="shared" si="4"/>
        <v>2.4038943914397652</v>
      </c>
      <c r="C134" s="4">
        <v>263918</v>
      </c>
      <c r="D134" s="4">
        <v>634431</v>
      </c>
      <c r="N134" s="5" t="s">
        <v>310</v>
      </c>
      <c r="O134">
        <f t="shared" si="5"/>
        <v>3.6788433746709606</v>
      </c>
      <c r="P134" s="7">
        <v>1883514</v>
      </c>
      <c r="Q134" s="7">
        <v>6929153</v>
      </c>
    </row>
    <row r="135" spans="1:17" x14ac:dyDescent="0.3">
      <c r="A135" s="5" t="s">
        <v>10</v>
      </c>
      <c r="B135">
        <f t="shared" si="4"/>
        <v>2.3228033576714848</v>
      </c>
      <c r="C135" s="7">
        <v>20133</v>
      </c>
      <c r="D135" s="7">
        <v>46765</v>
      </c>
      <c r="N135" s="2" t="s">
        <v>344</v>
      </c>
      <c r="O135">
        <f t="shared" si="5"/>
        <v>3.8098173302603295</v>
      </c>
      <c r="P135" s="4">
        <v>2268356</v>
      </c>
      <c r="Q135" s="4">
        <v>8642022</v>
      </c>
    </row>
    <row r="136" spans="1:17" x14ac:dyDescent="0.3">
      <c r="A136" s="5" t="s">
        <v>106</v>
      </c>
      <c r="B136">
        <f t="shared" si="4"/>
        <v>2.3159508261010417</v>
      </c>
      <c r="C136" s="7">
        <v>586490</v>
      </c>
      <c r="D136" s="7">
        <v>1358282</v>
      </c>
      <c r="N136" s="2" t="s">
        <v>168</v>
      </c>
      <c r="O136">
        <f t="shared" si="5"/>
        <v>3.8109872531520881</v>
      </c>
      <c r="P136" s="4">
        <v>577633</v>
      </c>
      <c r="Q136" s="4">
        <v>2201352</v>
      </c>
    </row>
    <row r="137" spans="1:17" x14ac:dyDescent="0.3">
      <c r="A137" s="5" t="s">
        <v>74</v>
      </c>
      <c r="B137">
        <f t="shared" si="4"/>
        <v>2.3054206415909091</v>
      </c>
      <c r="C137" s="7">
        <v>17909356</v>
      </c>
      <c r="D137" s="7">
        <v>41288599</v>
      </c>
      <c r="N137" s="2" t="s">
        <v>96</v>
      </c>
      <c r="O137">
        <f t="shared" si="5"/>
        <v>3.8643506270452037</v>
      </c>
      <c r="P137" s="4">
        <v>1327496</v>
      </c>
      <c r="Q137" s="4">
        <v>5129910</v>
      </c>
    </row>
    <row r="138" spans="1:17" x14ac:dyDescent="0.3">
      <c r="A138" s="2" t="s">
        <v>180</v>
      </c>
      <c r="B138">
        <f t="shared" si="4"/>
        <v>2.3044983881440304</v>
      </c>
      <c r="C138" s="4">
        <v>175574</v>
      </c>
      <c r="D138" s="4">
        <v>404610</v>
      </c>
      <c r="N138" s="2" t="s">
        <v>288</v>
      </c>
      <c r="O138">
        <f t="shared" si="5"/>
        <v>3.8803054360205795</v>
      </c>
      <c r="P138" s="4">
        <v>1782370</v>
      </c>
      <c r="Q138" s="4">
        <v>6916140</v>
      </c>
    </row>
    <row r="139" spans="1:17" x14ac:dyDescent="0.3">
      <c r="A139" s="2" t="s">
        <v>136</v>
      </c>
      <c r="B139">
        <f t="shared" si="4"/>
        <v>2.29393386302845</v>
      </c>
      <c r="C139" s="4">
        <v>404887</v>
      </c>
      <c r="D139" s="4">
        <v>928784</v>
      </c>
      <c r="N139" s="5" t="s">
        <v>358</v>
      </c>
      <c r="O139">
        <f t="shared" si="5"/>
        <v>3.8933404711337571</v>
      </c>
      <c r="P139" s="7">
        <v>16440172</v>
      </c>
      <c r="Q139" s="7">
        <v>64007187</v>
      </c>
    </row>
    <row r="140" spans="1:17" x14ac:dyDescent="0.3">
      <c r="A140" s="5" t="s">
        <v>122</v>
      </c>
      <c r="B140">
        <f t="shared" si="4"/>
        <v>2.2705663955659028</v>
      </c>
      <c r="C140" s="7">
        <v>2791459</v>
      </c>
      <c r="D140" s="7">
        <v>6338193</v>
      </c>
      <c r="N140" s="5" t="s">
        <v>118</v>
      </c>
      <c r="O140">
        <f t="shared" si="5"/>
        <v>3.9503177052123433</v>
      </c>
      <c r="P140" s="7">
        <v>4590891</v>
      </c>
      <c r="Q140" s="7">
        <v>18135478</v>
      </c>
    </row>
    <row r="141" spans="1:17" x14ac:dyDescent="0.3">
      <c r="A141" s="2" t="s">
        <v>364</v>
      </c>
      <c r="B141">
        <f t="shared" si="4"/>
        <v>2.2684108879168408</v>
      </c>
      <c r="C141" s="4">
        <v>9661389</v>
      </c>
      <c r="D141" s="4">
        <v>21916000</v>
      </c>
      <c r="N141" s="5" t="s">
        <v>238</v>
      </c>
      <c r="O141">
        <f t="shared" si="5"/>
        <v>3.9638807950840955</v>
      </c>
      <c r="P141" s="7">
        <v>173315</v>
      </c>
      <c r="Q141" s="7">
        <v>687000</v>
      </c>
    </row>
    <row r="142" spans="1:17" x14ac:dyDescent="0.3">
      <c r="A142" s="5" t="s">
        <v>210</v>
      </c>
      <c r="B142">
        <f t="shared" si="4"/>
        <v>2.2604221820218848</v>
      </c>
      <c r="C142" s="7">
        <v>11722953</v>
      </c>
      <c r="D142" s="7">
        <v>26498823</v>
      </c>
      <c r="N142" s="5" t="s">
        <v>306</v>
      </c>
      <c r="O142">
        <f t="shared" si="5"/>
        <v>4.0102637199657192</v>
      </c>
      <c r="P142" s="7">
        <v>1126005</v>
      </c>
      <c r="Q142" s="7">
        <v>4515577</v>
      </c>
    </row>
    <row r="143" spans="1:17" x14ac:dyDescent="0.3">
      <c r="A143" s="5" t="s">
        <v>286</v>
      </c>
      <c r="B143">
        <f t="shared" si="4"/>
        <v>2.250822160384518</v>
      </c>
      <c r="C143" s="7">
        <v>2371800</v>
      </c>
      <c r="D143" s="7">
        <v>5338500</v>
      </c>
      <c r="N143" s="2" t="s">
        <v>360</v>
      </c>
      <c r="O143">
        <f t="shared" si="5"/>
        <v>4.0740807195079478</v>
      </c>
      <c r="P143" s="4">
        <v>2931559</v>
      </c>
      <c r="Q143" s="4">
        <v>11943408</v>
      </c>
    </row>
    <row r="144" spans="1:17" x14ac:dyDescent="0.3">
      <c r="A144" s="5" t="s">
        <v>18</v>
      </c>
      <c r="B144">
        <f t="shared" si="4"/>
        <v>2.2415411621037822</v>
      </c>
      <c r="C144" s="7">
        <v>20386045</v>
      </c>
      <c r="D144" s="7">
        <v>45696159</v>
      </c>
      <c r="N144" s="2" t="s">
        <v>8</v>
      </c>
      <c r="O144">
        <f t="shared" si="5"/>
        <v>4.0975604034758399</v>
      </c>
      <c r="P144" s="4">
        <v>11424922</v>
      </c>
      <c r="Q144" s="4">
        <v>46814308</v>
      </c>
    </row>
    <row r="145" spans="1:17" x14ac:dyDescent="0.3">
      <c r="A145" s="2" t="s">
        <v>332</v>
      </c>
      <c r="B145">
        <f t="shared" si="4"/>
        <v>2.2022945294270158</v>
      </c>
      <c r="C145" s="4">
        <v>15428</v>
      </c>
      <c r="D145" s="4">
        <v>33977</v>
      </c>
      <c r="N145" s="5" t="s">
        <v>166</v>
      </c>
      <c r="O145">
        <f t="shared" si="5"/>
        <v>4.148390847934448</v>
      </c>
      <c r="P145" s="7">
        <v>3556749</v>
      </c>
      <c r="Q145" s="7">
        <v>14754785</v>
      </c>
    </row>
    <row r="146" spans="1:17" x14ac:dyDescent="0.3">
      <c r="A146" s="2" t="s">
        <v>204</v>
      </c>
      <c r="B146">
        <f t="shared" si="4"/>
        <v>2.183734092359253</v>
      </c>
      <c r="C146" s="4">
        <v>9429981</v>
      </c>
      <c r="D146" s="4">
        <v>20592571</v>
      </c>
      <c r="N146" s="5" t="s">
        <v>314</v>
      </c>
      <c r="O146">
        <f t="shared" si="5"/>
        <v>4.1533091133959088</v>
      </c>
      <c r="P146" s="7">
        <v>27891897</v>
      </c>
      <c r="Q146" s="7">
        <v>115843670</v>
      </c>
    </row>
    <row r="147" spans="1:17" x14ac:dyDescent="0.3">
      <c r="A147" s="2" t="s">
        <v>236</v>
      </c>
      <c r="B147">
        <f t="shared" si="4"/>
        <v>2.1585406249004682</v>
      </c>
      <c r="C147" s="4">
        <v>313970</v>
      </c>
      <c r="D147" s="4">
        <v>677717</v>
      </c>
      <c r="N147" s="5" t="s">
        <v>186</v>
      </c>
      <c r="O147">
        <f t="shared" si="5"/>
        <v>4.2648293928292276</v>
      </c>
      <c r="P147" s="7">
        <v>21470434</v>
      </c>
      <c r="Q147" s="7">
        <v>91567738</v>
      </c>
    </row>
    <row r="148" spans="1:17" x14ac:dyDescent="0.3">
      <c r="A148" s="5" t="s">
        <v>86</v>
      </c>
      <c r="B148">
        <f t="shared" si="4"/>
        <v>2.1121846282998784</v>
      </c>
      <c r="C148" s="7">
        <v>667070000</v>
      </c>
      <c r="D148" s="7">
        <v>1408975000</v>
      </c>
      <c r="N148" s="2" t="s">
        <v>120</v>
      </c>
      <c r="O148">
        <f t="shared" si="5"/>
        <v>4.3328443845753934</v>
      </c>
      <c r="P148" s="4">
        <v>26896479</v>
      </c>
      <c r="Q148" s="4">
        <v>116538258</v>
      </c>
    </row>
    <row r="149" spans="1:17" x14ac:dyDescent="0.3">
      <c r="A149" s="2" t="s">
        <v>212</v>
      </c>
      <c r="B149">
        <f t="shared" si="4"/>
        <v>2.0690185185940368</v>
      </c>
      <c r="C149" s="4">
        <v>25012374</v>
      </c>
      <c r="D149" s="4">
        <v>51751065</v>
      </c>
      <c r="N149" s="2" t="s">
        <v>436</v>
      </c>
      <c r="O149">
        <f t="shared" si="5"/>
        <v>4.3666774382978479</v>
      </c>
      <c r="P149" s="4">
        <v>3809389</v>
      </c>
      <c r="Q149" s="4">
        <v>16634373</v>
      </c>
    </row>
    <row r="150" spans="1:17" x14ac:dyDescent="0.3">
      <c r="A150" s="5" t="s">
        <v>22</v>
      </c>
      <c r="B150">
        <f t="shared" si="4"/>
        <v>1.9595790393649175</v>
      </c>
      <c r="C150" s="7">
        <v>54922</v>
      </c>
      <c r="D150" s="7">
        <v>107624</v>
      </c>
      <c r="N150" s="5" t="s">
        <v>90</v>
      </c>
      <c r="O150">
        <f t="shared" si="5"/>
        <v>4.3835508345978758</v>
      </c>
      <c r="P150" s="7">
        <v>197700</v>
      </c>
      <c r="Q150" s="7">
        <v>866628</v>
      </c>
    </row>
    <row r="151" spans="1:17" x14ac:dyDescent="0.3">
      <c r="A151" s="2" t="s">
        <v>368</v>
      </c>
      <c r="B151">
        <f t="shared" si="4"/>
        <v>1.941394394340336</v>
      </c>
      <c r="C151" s="4">
        <v>92585</v>
      </c>
      <c r="D151" s="4">
        <v>179744</v>
      </c>
      <c r="N151" s="2" t="s">
        <v>420</v>
      </c>
      <c r="O151">
        <f t="shared" si="5"/>
        <v>4.4294525751820322</v>
      </c>
      <c r="P151" s="4">
        <v>8209109</v>
      </c>
      <c r="Q151" s="4">
        <v>36361859</v>
      </c>
    </row>
    <row r="152" spans="1:17" x14ac:dyDescent="0.3">
      <c r="A152" s="5" t="s">
        <v>330</v>
      </c>
      <c r="B152">
        <f t="shared" si="4"/>
        <v>1.938118943906125</v>
      </c>
      <c r="C152" s="7">
        <v>112490</v>
      </c>
      <c r="D152" s="7">
        <v>218019</v>
      </c>
      <c r="N152" s="2" t="s">
        <v>244</v>
      </c>
      <c r="O152">
        <f t="shared" si="5"/>
        <v>4.4691795590280128</v>
      </c>
      <c r="P152" s="4">
        <v>7956197</v>
      </c>
      <c r="Q152" s="4">
        <v>35557673</v>
      </c>
    </row>
    <row r="153" spans="1:17" x14ac:dyDescent="0.3">
      <c r="A153" s="5" t="s">
        <v>190</v>
      </c>
      <c r="B153">
        <f t="shared" si="4"/>
        <v>1.9020918475570954</v>
      </c>
      <c r="C153" s="7">
        <v>2828600</v>
      </c>
      <c r="D153" s="7">
        <v>5380257</v>
      </c>
      <c r="N153" s="2" t="s">
        <v>164</v>
      </c>
      <c r="O153">
        <f t="shared" si="5"/>
        <v>4.529508287489957</v>
      </c>
      <c r="P153" s="4">
        <v>4063655</v>
      </c>
      <c r="Q153" s="4">
        <v>18406359</v>
      </c>
    </row>
    <row r="154" spans="1:17" x14ac:dyDescent="0.3">
      <c r="A154" s="2" t="s">
        <v>304</v>
      </c>
      <c r="B154">
        <f t="shared" si="4"/>
        <v>1.8969768439108061</v>
      </c>
      <c r="C154" s="4">
        <v>9328</v>
      </c>
      <c r="D154" s="4">
        <v>17695</v>
      </c>
      <c r="N154" s="2" t="s">
        <v>248</v>
      </c>
      <c r="O154">
        <f t="shared" si="5"/>
        <v>4.5309335406428444</v>
      </c>
      <c r="P154" s="4">
        <v>5402550</v>
      </c>
      <c r="Q154" s="4">
        <v>24478595</v>
      </c>
    </row>
    <row r="155" spans="1:17" x14ac:dyDescent="0.3">
      <c r="A155" s="2" t="s">
        <v>416</v>
      </c>
      <c r="B155">
        <f t="shared" si="4"/>
        <v>1.882487991985432</v>
      </c>
      <c r="C155" s="4">
        <v>180671000</v>
      </c>
      <c r="D155" s="4">
        <v>340110988</v>
      </c>
      <c r="N155" s="5" t="s">
        <v>402</v>
      </c>
      <c r="O155">
        <f t="shared" si="5"/>
        <v>4.5602032788201941</v>
      </c>
      <c r="P155" s="7">
        <v>1643457</v>
      </c>
      <c r="Q155" s="7">
        <v>7494498</v>
      </c>
    </row>
    <row r="156" spans="1:17" x14ac:dyDescent="0.3">
      <c r="A156" s="2" t="s">
        <v>256</v>
      </c>
      <c r="B156">
        <f t="shared" si="4"/>
        <v>1.8513179614040813</v>
      </c>
      <c r="C156" s="4">
        <v>680331</v>
      </c>
      <c r="D156" s="4">
        <v>1259509</v>
      </c>
      <c r="N156" s="5" t="s">
        <v>42</v>
      </c>
      <c r="O156">
        <f t="shared" si="5"/>
        <v>4.5672485161742484</v>
      </c>
      <c r="P156" s="7">
        <v>91318</v>
      </c>
      <c r="Q156" s="7">
        <v>417072</v>
      </c>
    </row>
    <row r="157" spans="1:17" x14ac:dyDescent="0.3">
      <c r="A157" s="5" t="s">
        <v>154</v>
      </c>
      <c r="B157">
        <f t="shared" si="4"/>
        <v>1.8008608452767985</v>
      </c>
      <c r="C157" s="7">
        <v>21839</v>
      </c>
      <c r="D157" s="7">
        <v>39329</v>
      </c>
      <c r="N157" s="2" t="s">
        <v>328</v>
      </c>
      <c r="O157">
        <f t="shared" si="5"/>
        <v>4.7171344018814851</v>
      </c>
      <c r="P157" s="4">
        <v>3022294</v>
      </c>
      <c r="Q157" s="4">
        <v>14256567</v>
      </c>
    </row>
    <row r="158" spans="1:17" x14ac:dyDescent="0.3">
      <c r="A158" s="2" t="s">
        <v>264</v>
      </c>
      <c r="B158">
        <f t="shared" si="4"/>
        <v>1.771414159941306</v>
      </c>
      <c r="C158" s="4">
        <v>21808</v>
      </c>
      <c r="D158" s="4">
        <v>38631</v>
      </c>
      <c r="N158" s="5" t="s">
        <v>194</v>
      </c>
      <c r="O158">
        <f t="shared" si="5"/>
        <v>4.718214586427754</v>
      </c>
      <c r="P158" s="7">
        <v>2114020</v>
      </c>
      <c r="Q158" s="7">
        <v>9974400</v>
      </c>
    </row>
    <row r="159" spans="1:17" x14ac:dyDescent="0.3">
      <c r="A159" s="5" t="s">
        <v>250</v>
      </c>
      <c r="B159">
        <f t="shared" si="4"/>
        <v>1.758830194457204</v>
      </c>
      <c r="C159" s="7">
        <v>326550</v>
      </c>
      <c r="D159" s="7">
        <v>574346</v>
      </c>
      <c r="N159" s="2" t="s">
        <v>4</v>
      </c>
      <c r="O159">
        <f t="shared" si="5"/>
        <v>4.7202312152803261</v>
      </c>
      <c r="P159" s="4">
        <v>9035043</v>
      </c>
      <c r="Q159" s="4">
        <v>42647492</v>
      </c>
    </row>
    <row r="160" spans="1:17" x14ac:dyDescent="0.3">
      <c r="A160" s="5" t="s">
        <v>158</v>
      </c>
      <c r="B160">
        <f t="shared" si="4"/>
        <v>1.7487999999999999</v>
      </c>
      <c r="C160" s="7">
        <v>32500</v>
      </c>
      <c r="D160" s="7">
        <v>56836</v>
      </c>
      <c r="N160" s="5" t="s">
        <v>54</v>
      </c>
      <c r="O160">
        <f t="shared" si="5"/>
        <v>4.8843664332141854</v>
      </c>
      <c r="P160" s="7">
        <v>516165</v>
      </c>
      <c r="Q160" s="7">
        <v>2521139</v>
      </c>
    </row>
    <row r="161" spans="1:17" x14ac:dyDescent="0.3">
      <c r="A161" s="5" t="s">
        <v>406</v>
      </c>
      <c r="B161">
        <f t="shared" si="4"/>
        <v>1.7231153983565559</v>
      </c>
      <c r="C161" s="7">
        <v>5598</v>
      </c>
      <c r="D161" s="7">
        <v>9646</v>
      </c>
      <c r="N161" s="2" t="s">
        <v>228</v>
      </c>
      <c r="O161">
        <f t="shared" si="5"/>
        <v>4.9255889750263711</v>
      </c>
      <c r="P161" s="4">
        <v>1139522</v>
      </c>
      <c r="Q161" s="4">
        <v>5612817</v>
      </c>
    </row>
    <row r="162" spans="1:17" x14ac:dyDescent="0.3">
      <c r="A162" s="2" t="s">
        <v>192</v>
      </c>
      <c r="B162">
        <f t="shared" si="4"/>
        <v>1.7221903904395515</v>
      </c>
      <c r="C162" s="4">
        <v>48868</v>
      </c>
      <c r="D162" s="4">
        <v>84160</v>
      </c>
      <c r="N162" s="2" t="s">
        <v>64</v>
      </c>
      <c r="O162">
        <f t="shared" si="5"/>
        <v>4.9279449029332936</v>
      </c>
      <c r="P162" s="4">
        <v>4778621</v>
      </c>
      <c r="Q162" s="4">
        <v>23548781</v>
      </c>
    </row>
    <row r="163" spans="1:17" x14ac:dyDescent="0.3">
      <c r="A163" s="5" t="s">
        <v>198</v>
      </c>
      <c r="B163">
        <f t="shared" si="4"/>
        <v>1.7207069069487668</v>
      </c>
      <c r="C163" s="7">
        <v>1650005</v>
      </c>
      <c r="D163" s="7">
        <v>2839175</v>
      </c>
      <c r="N163" s="5" t="s">
        <v>230</v>
      </c>
      <c r="O163">
        <f t="shared" si="5"/>
        <v>4.944117115125696</v>
      </c>
      <c r="P163" s="7">
        <v>1492890</v>
      </c>
      <c r="Q163" s="7">
        <v>7381023</v>
      </c>
    </row>
    <row r="164" spans="1:17" x14ac:dyDescent="0.3">
      <c r="A164" s="2" t="s">
        <v>380</v>
      </c>
      <c r="B164">
        <f t="shared" si="4"/>
        <v>1.6956447722495493</v>
      </c>
      <c r="C164" s="4">
        <v>5327827</v>
      </c>
      <c r="D164" s="4">
        <v>9034102</v>
      </c>
      <c r="N164" s="2" t="s">
        <v>152</v>
      </c>
      <c r="O164">
        <f t="shared" si="5"/>
        <v>4.9456041797301191</v>
      </c>
      <c r="P164" s="4">
        <v>6961215</v>
      </c>
      <c r="Q164" s="4">
        <v>34427414</v>
      </c>
    </row>
    <row r="165" spans="1:17" x14ac:dyDescent="0.3">
      <c r="A165" s="5" t="s">
        <v>6</v>
      </c>
      <c r="B165">
        <f t="shared" si="4"/>
        <v>1.6873551715564397</v>
      </c>
      <c r="C165" s="7">
        <v>1608800</v>
      </c>
      <c r="D165" s="7">
        <v>2714617</v>
      </c>
      <c r="N165" s="2" t="s">
        <v>144</v>
      </c>
      <c r="O165">
        <f t="shared" si="5"/>
        <v>4.9558319474699211</v>
      </c>
      <c r="P165" s="4">
        <v>512316</v>
      </c>
      <c r="Q165" s="4">
        <v>2538952</v>
      </c>
    </row>
    <row r="166" spans="1:17" x14ac:dyDescent="0.3">
      <c r="A166" s="2" t="s">
        <v>16</v>
      </c>
      <c r="B166">
        <f t="shared" si="4"/>
        <v>1.6864557667751741</v>
      </c>
      <c r="C166" s="4">
        <v>55603</v>
      </c>
      <c r="D166" s="4">
        <v>93772</v>
      </c>
      <c r="N166" s="5" t="s">
        <v>58</v>
      </c>
      <c r="O166">
        <f t="shared" si="5"/>
        <v>4.9649056603773589</v>
      </c>
      <c r="P166" s="7">
        <v>7950</v>
      </c>
      <c r="Q166" s="7">
        <v>39471</v>
      </c>
    </row>
    <row r="167" spans="1:17" x14ac:dyDescent="0.3">
      <c r="A167" s="2" t="s">
        <v>20</v>
      </c>
      <c r="B167">
        <f t="shared" si="4"/>
        <v>1.6276717613570817</v>
      </c>
      <c r="C167" s="4">
        <v>1863705</v>
      </c>
      <c r="D167" s="4">
        <v>3033500</v>
      </c>
      <c r="N167" s="2" t="s">
        <v>384</v>
      </c>
      <c r="O167">
        <f t="shared" si="5"/>
        <v>5.0143324443417576</v>
      </c>
      <c r="P167" s="4">
        <v>2112131</v>
      </c>
      <c r="Q167" s="4">
        <v>10590927</v>
      </c>
    </row>
    <row r="168" spans="1:17" x14ac:dyDescent="0.3">
      <c r="A168" s="2" t="s">
        <v>396</v>
      </c>
      <c r="B168">
        <f t="shared" si="4"/>
        <v>1.6194382342950944</v>
      </c>
      <c r="C168" s="4">
        <v>844943</v>
      </c>
      <c r="D168" s="4">
        <v>1368333</v>
      </c>
      <c r="N168" s="2" t="s">
        <v>296</v>
      </c>
      <c r="O168">
        <f t="shared" si="5"/>
        <v>5.0684523809523814</v>
      </c>
      <c r="P168" s="4">
        <v>8736</v>
      </c>
      <c r="Q168" s="4">
        <v>44278</v>
      </c>
    </row>
    <row r="169" spans="1:17" x14ac:dyDescent="0.3">
      <c r="A169" s="5" t="s">
        <v>134</v>
      </c>
      <c r="B169">
        <f t="shared" si="4"/>
        <v>1.6033932077240893</v>
      </c>
      <c r="C169" s="7">
        <v>34127</v>
      </c>
      <c r="D169" s="7">
        <v>54719</v>
      </c>
      <c r="N169" s="5" t="s">
        <v>66</v>
      </c>
      <c r="O169">
        <f t="shared" si="5"/>
        <v>5.0819373589585339</v>
      </c>
      <c r="P169" s="7">
        <v>2764258</v>
      </c>
      <c r="Q169" s="7">
        <v>14047786</v>
      </c>
    </row>
    <row r="170" spans="1:17" x14ac:dyDescent="0.3">
      <c r="A170" s="5" t="s">
        <v>362</v>
      </c>
      <c r="B170">
        <f t="shared" si="4"/>
        <v>1.6025984895747825</v>
      </c>
      <c r="C170" s="7">
        <v>30455000</v>
      </c>
      <c r="D170" s="7">
        <v>48807137</v>
      </c>
      <c r="N170" s="5" t="s">
        <v>422</v>
      </c>
      <c r="O170">
        <f t="shared" si="5"/>
        <v>5.087256134469432</v>
      </c>
      <c r="P170" s="7">
        <v>64431</v>
      </c>
      <c r="Q170" s="7">
        <v>327777</v>
      </c>
    </row>
    <row r="171" spans="1:17" x14ac:dyDescent="0.3">
      <c r="A171" s="5" t="s">
        <v>394</v>
      </c>
      <c r="B171">
        <f t="shared" si="4"/>
        <v>1.5743539368293789</v>
      </c>
      <c r="C171" s="7">
        <v>66170</v>
      </c>
      <c r="D171" s="7">
        <v>104175</v>
      </c>
      <c r="N171" s="2" t="s">
        <v>276</v>
      </c>
      <c r="O171">
        <f t="shared" si="5"/>
        <v>5.1230943504687509</v>
      </c>
      <c r="P171" s="4">
        <v>591465</v>
      </c>
      <c r="Q171" s="4">
        <v>3030131</v>
      </c>
    </row>
    <row r="172" spans="1:17" x14ac:dyDescent="0.3">
      <c r="A172" s="5" t="s">
        <v>282</v>
      </c>
      <c r="B172">
        <f t="shared" si="4"/>
        <v>1.5665373946460019</v>
      </c>
      <c r="C172" s="7">
        <v>11486631</v>
      </c>
      <c r="D172" s="7">
        <v>17994237</v>
      </c>
      <c r="N172" s="2" t="s">
        <v>272</v>
      </c>
      <c r="O172">
        <f t="shared" si="5"/>
        <v>5.1583764231172253</v>
      </c>
      <c r="P172" s="4">
        <v>6713695</v>
      </c>
      <c r="Q172" s="4">
        <v>34631766</v>
      </c>
    </row>
    <row r="173" spans="1:17" x14ac:dyDescent="0.3">
      <c r="A173" s="5" t="s">
        <v>298</v>
      </c>
      <c r="B173">
        <f t="shared" si="4"/>
        <v>1.5559620567071899</v>
      </c>
      <c r="C173" s="7">
        <v>3581239</v>
      </c>
      <c r="D173" s="7">
        <v>5572272</v>
      </c>
      <c r="N173" s="2" t="s">
        <v>292</v>
      </c>
      <c r="O173">
        <f t="shared" si="5"/>
        <v>5.1644827064684602</v>
      </c>
      <c r="P173" s="4">
        <v>45053782</v>
      </c>
      <c r="Q173" s="4">
        <v>232679478</v>
      </c>
    </row>
    <row r="174" spans="1:17" x14ac:dyDescent="0.3">
      <c r="A174" s="5" t="s">
        <v>214</v>
      </c>
      <c r="B174">
        <f t="shared" si="4"/>
        <v>1.5508252051589793</v>
      </c>
      <c r="C174" s="7">
        <v>984846</v>
      </c>
      <c r="D174" s="7">
        <v>1527324</v>
      </c>
      <c r="N174" s="2" t="s">
        <v>60</v>
      </c>
      <c r="O174">
        <f t="shared" si="5"/>
        <v>5.2375406069249664</v>
      </c>
      <c r="P174" s="4">
        <v>88347</v>
      </c>
      <c r="Q174" s="4">
        <v>462721</v>
      </c>
    </row>
    <row r="175" spans="1:17" x14ac:dyDescent="0.3">
      <c r="A175" s="5" t="s">
        <v>46</v>
      </c>
      <c r="B175">
        <f t="shared" si="4"/>
        <v>1.5313684609552691</v>
      </c>
      <c r="C175" s="7">
        <v>42208</v>
      </c>
      <c r="D175" s="7">
        <v>64636</v>
      </c>
      <c r="N175" s="5" t="s">
        <v>174</v>
      </c>
      <c r="O175">
        <f t="shared" si="5"/>
        <v>5.2499456853825786</v>
      </c>
      <c r="P175" s="7">
        <v>2062060</v>
      </c>
      <c r="Q175" s="7">
        <v>10825703</v>
      </c>
    </row>
    <row r="176" spans="1:17" x14ac:dyDescent="0.3">
      <c r="A176" s="5" t="s">
        <v>82</v>
      </c>
      <c r="B176">
        <f t="shared" si="4"/>
        <v>1.5172731210742907</v>
      </c>
      <c r="C176" s="7">
        <v>110808</v>
      </c>
      <c r="D176" s="7">
        <v>168126</v>
      </c>
      <c r="N176" s="5" t="s">
        <v>382</v>
      </c>
      <c r="O176">
        <f t="shared" si="5"/>
        <v>5.279289611640098</v>
      </c>
      <c r="P176" s="7">
        <v>4673500</v>
      </c>
      <c r="Q176" s="7">
        <v>24672760</v>
      </c>
    </row>
    <row r="177" spans="1:17" x14ac:dyDescent="0.3">
      <c r="A177" s="5" t="s">
        <v>102</v>
      </c>
      <c r="B177">
        <f t="shared" si="4"/>
        <v>1.5169466879411821</v>
      </c>
      <c r="C177" s="7">
        <v>7238081</v>
      </c>
      <c r="D177" s="7">
        <v>10979783</v>
      </c>
      <c r="N177" s="2" t="s">
        <v>308</v>
      </c>
      <c r="O177">
        <f t="shared" si="5"/>
        <v>5.3012124644756433</v>
      </c>
      <c r="P177" s="4">
        <v>1995110</v>
      </c>
      <c r="Q177" s="4">
        <v>10576502</v>
      </c>
    </row>
    <row r="178" spans="1:17" x14ac:dyDescent="0.3">
      <c r="A178" s="5" t="s">
        <v>170</v>
      </c>
      <c r="B178">
        <f t="shared" si="4"/>
        <v>1.4602428563647449</v>
      </c>
      <c r="C178" s="7">
        <v>569143</v>
      </c>
      <c r="D178" s="7">
        <v>831087</v>
      </c>
      <c r="N178" s="5" t="s">
        <v>302</v>
      </c>
      <c r="O178">
        <f t="shared" si="5"/>
        <v>5.4971112887068303</v>
      </c>
      <c r="P178" s="7">
        <v>45709310</v>
      </c>
      <c r="Q178" s="7">
        <v>251269164</v>
      </c>
    </row>
    <row r="179" spans="1:17" x14ac:dyDescent="0.3">
      <c r="A179" s="2" t="s">
        <v>140</v>
      </c>
      <c r="B179">
        <f t="shared" si="4"/>
        <v>1.4451047397078993</v>
      </c>
      <c r="C179" s="4">
        <v>47412964</v>
      </c>
      <c r="D179" s="4">
        <v>68516699</v>
      </c>
      <c r="N179" s="5" t="s">
        <v>338</v>
      </c>
      <c r="O179">
        <f t="shared" si="5"/>
        <v>5.5380122822934013</v>
      </c>
      <c r="P179" s="7">
        <v>3340907</v>
      </c>
      <c r="Q179" s="7">
        <v>18501984</v>
      </c>
    </row>
    <row r="180" spans="1:17" x14ac:dyDescent="0.3">
      <c r="A180" s="5" t="s">
        <v>378</v>
      </c>
      <c r="B180">
        <f t="shared" si="4"/>
        <v>1.4121836728368011</v>
      </c>
      <c r="C180" s="7">
        <v>7484656</v>
      </c>
      <c r="D180" s="7">
        <v>10569709</v>
      </c>
      <c r="N180" s="2" t="s">
        <v>72</v>
      </c>
      <c r="O180">
        <f t="shared" si="5"/>
        <v>5.6451680995189628</v>
      </c>
      <c r="P180" s="4">
        <v>5159057</v>
      </c>
      <c r="Q180" s="4">
        <v>29123744</v>
      </c>
    </row>
    <row r="181" spans="1:17" x14ac:dyDescent="0.3">
      <c r="A181" s="2" t="s">
        <v>320</v>
      </c>
      <c r="B181">
        <f t="shared" si="4"/>
        <v>1.3584796437659032</v>
      </c>
      <c r="C181" s="4">
        <v>2358000</v>
      </c>
      <c r="D181" s="4">
        <v>3203295</v>
      </c>
      <c r="N181" s="2" t="s">
        <v>392</v>
      </c>
      <c r="O181">
        <f t="shared" si="5"/>
        <v>5.6871550585436701</v>
      </c>
      <c r="P181" s="4">
        <v>1673110</v>
      </c>
      <c r="Q181" s="4">
        <v>9515236</v>
      </c>
    </row>
    <row r="182" spans="1:17" x14ac:dyDescent="0.3">
      <c r="A182" s="2" t="s">
        <v>352</v>
      </c>
      <c r="B182">
        <f t="shared" si="4"/>
        <v>1.3417663688222525</v>
      </c>
      <c r="C182" s="4">
        <v>1584720</v>
      </c>
      <c r="D182" s="4">
        <v>2126324</v>
      </c>
      <c r="N182" s="2" t="s">
        <v>44</v>
      </c>
      <c r="O182">
        <f t="shared" si="5"/>
        <v>5.7453638561530154</v>
      </c>
      <c r="P182" s="4">
        <v>2517286</v>
      </c>
      <c r="Q182" s="4">
        <v>14462724</v>
      </c>
    </row>
    <row r="183" spans="1:17" x14ac:dyDescent="0.3">
      <c r="A183" s="5" t="s">
        <v>418</v>
      </c>
      <c r="B183">
        <f t="shared" si="4"/>
        <v>1.3385950828413289</v>
      </c>
      <c r="C183" s="7">
        <v>2529957</v>
      </c>
      <c r="D183" s="7">
        <v>3386588</v>
      </c>
      <c r="N183" s="5" t="s">
        <v>246</v>
      </c>
      <c r="O183">
        <f t="shared" si="5"/>
        <v>5.7879678469990896</v>
      </c>
      <c r="P183" s="7">
        <v>91189</v>
      </c>
      <c r="Q183" s="7">
        <v>527799</v>
      </c>
    </row>
    <row r="184" spans="1:17" x14ac:dyDescent="0.3">
      <c r="A184" s="5" t="s">
        <v>350</v>
      </c>
      <c r="B184">
        <f t="shared" si="4"/>
        <v>1.3328275273807519</v>
      </c>
      <c r="C184" s="7">
        <v>4068095</v>
      </c>
      <c r="D184" s="7">
        <v>5422069</v>
      </c>
      <c r="N184" s="5" t="s">
        <v>354</v>
      </c>
      <c r="O184">
        <f t="shared" si="5"/>
        <v>5.8644837065460171</v>
      </c>
      <c r="P184" s="7">
        <v>139688</v>
      </c>
      <c r="Q184" s="7">
        <v>819198</v>
      </c>
    </row>
    <row r="185" spans="1:17" x14ac:dyDescent="0.3">
      <c r="A185" s="2" t="s">
        <v>200</v>
      </c>
      <c r="B185">
        <f t="shared" si="4"/>
        <v>1.3299795206831446</v>
      </c>
      <c r="C185" s="4">
        <v>93216000</v>
      </c>
      <c r="D185" s="4">
        <v>123975371</v>
      </c>
      <c r="N185" s="5" t="s">
        <v>242</v>
      </c>
      <c r="O185">
        <f t="shared" si="5"/>
        <v>5.9687117399743226</v>
      </c>
      <c r="P185" s="7">
        <v>3628134</v>
      </c>
      <c r="Q185" s="7">
        <v>21655286</v>
      </c>
    </row>
    <row r="186" spans="1:17" x14ac:dyDescent="0.3">
      <c r="A186" s="5" t="s">
        <v>414</v>
      </c>
      <c r="B186">
        <f t="shared" si="4"/>
        <v>1.3211068702290076</v>
      </c>
      <c r="C186" s="7">
        <v>52400000</v>
      </c>
      <c r="D186" s="7">
        <v>69226000</v>
      </c>
      <c r="N186" s="5" t="s">
        <v>94</v>
      </c>
      <c r="O186">
        <f t="shared" si="5"/>
        <v>5.9929679426760991</v>
      </c>
      <c r="P186" s="7">
        <v>1056732</v>
      </c>
      <c r="Q186" s="7">
        <v>6332961</v>
      </c>
    </row>
    <row r="187" spans="1:17" x14ac:dyDescent="0.3">
      <c r="A187" s="5" t="s">
        <v>110</v>
      </c>
      <c r="B187">
        <f t="shared" si="4"/>
        <v>1.3051332178793664</v>
      </c>
      <c r="C187" s="7">
        <v>4579603</v>
      </c>
      <c r="D187" s="7">
        <v>5976992</v>
      </c>
      <c r="N187" s="5" t="s">
        <v>374</v>
      </c>
      <c r="O187">
        <f t="shared" si="5"/>
        <v>6.0313263607615477</v>
      </c>
      <c r="P187" s="7">
        <v>8364489</v>
      </c>
      <c r="Q187" s="7">
        <v>50448963</v>
      </c>
    </row>
    <row r="188" spans="1:17" x14ac:dyDescent="0.3">
      <c r="A188" s="5" t="s">
        <v>26</v>
      </c>
      <c r="B188">
        <f t="shared" si="4"/>
        <v>1.3023669681004957</v>
      </c>
      <c r="C188" s="7">
        <v>7047539</v>
      </c>
      <c r="D188" s="7">
        <v>9178482</v>
      </c>
      <c r="N188" s="5" t="s">
        <v>370</v>
      </c>
      <c r="O188">
        <f t="shared" si="5"/>
        <v>6.1479999999999997</v>
      </c>
      <c r="P188" s="7">
        <v>4250</v>
      </c>
      <c r="Q188" s="7">
        <v>26129</v>
      </c>
    </row>
    <row r="189" spans="1:17" x14ac:dyDescent="0.3">
      <c r="A189" s="2" t="s">
        <v>268</v>
      </c>
      <c r="B189">
        <f t="shared" si="4"/>
        <v>1.2980821051273568</v>
      </c>
      <c r="C189" s="4">
        <v>480579</v>
      </c>
      <c r="D189" s="4">
        <v>623831</v>
      </c>
      <c r="N189" s="2" t="s">
        <v>132</v>
      </c>
      <c r="O189">
        <f t="shared" si="5"/>
        <v>6.1777454071123161</v>
      </c>
      <c r="P189" s="4">
        <v>21376693</v>
      </c>
      <c r="Q189" s="4">
        <v>132059767</v>
      </c>
    </row>
    <row r="190" spans="1:17" x14ac:dyDescent="0.3">
      <c r="A190" s="2" t="s">
        <v>40</v>
      </c>
      <c r="B190">
        <f t="shared" si="4"/>
        <v>1.2975209780663963</v>
      </c>
      <c r="C190" s="4">
        <v>9153489</v>
      </c>
      <c r="D190" s="4">
        <v>11876844</v>
      </c>
      <c r="N190" s="2" t="s">
        <v>240</v>
      </c>
      <c r="O190">
        <f t="shared" si="5"/>
        <v>6.2541136041294232</v>
      </c>
      <c r="P190" s="4">
        <v>5111029</v>
      </c>
      <c r="Q190" s="4">
        <v>31964956</v>
      </c>
    </row>
    <row r="191" spans="1:17" x14ac:dyDescent="0.3">
      <c r="A191" s="5" t="s">
        <v>138</v>
      </c>
      <c r="B191">
        <f t="shared" si="4"/>
        <v>1.272613945079887</v>
      </c>
      <c r="C191" s="7">
        <v>4429634</v>
      </c>
      <c r="D191" s="7">
        <v>5637214</v>
      </c>
      <c r="N191" s="5" t="s">
        <v>254</v>
      </c>
      <c r="O191">
        <f t="shared" si="5"/>
        <v>6.2712696136591379</v>
      </c>
      <c r="P191" s="7">
        <v>824298</v>
      </c>
      <c r="Q191" s="7">
        <v>5169395</v>
      </c>
    </row>
    <row r="192" spans="1:17" x14ac:dyDescent="0.3">
      <c r="A192" s="2" t="s">
        <v>104</v>
      </c>
      <c r="B192">
        <f t="shared" si="4"/>
        <v>1.248938522423213</v>
      </c>
      <c r="C192" s="4">
        <v>124826</v>
      </c>
      <c r="D192" s="4">
        <v>155900</v>
      </c>
      <c r="N192" s="2" t="s">
        <v>408</v>
      </c>
      <c r="O192">
        <f t="shared" si="5"/>
        <v>6.5456443832480495</v>
      </c>
      <c r="P192" s="4">
        <v>7640973</v>
      </c>
      <c r="Q192" s="4">
        <v>50015092</v>
      </c>
    </row>
    <row r="193" spans="1:17" x14ac:dyDescent="0.3">
      <c r="A193" s="5" t="s">
        <v>294</v>
      </c>
      <c r="B193">
        <f t="shared" si="4"/>
        <v>1.2488538798753221</v>
      </c>
      <c r="C193" s="7">
        <v>1435059</v>
      </c>
      <c r="D193" s="7">
        <v>1792179</v>
      </c>
      <c r="N193" s="2" t="s">
        <v>188</v>
      </c>
      <c r="O193">
        <f t="shared" si="5"/>
        <v>6.5567749996724602</v>
      </c>
      <c r="P193" s="4">
        <v>7022052</v>
      </c>
      <c r="Q193" s="4">
        <v>46042015</v>
      </c>
    </row>
    <row r="194" spans="1:17" x14ac:dyDescent="0.3">
      <c r="A194" s="2" t="s">
        <v>156</v>
      </c>
      <c r="B194">
        <f t="shared" ref="B194:B218" si="6">IFERROR(D194/C194,"No Data")</f>
        <v>1.2468972511694758</v>
      </c>
      <c r="C194" s="4">
        <v>8331725</v>
      </c>
      <c r="D194" s="4">
        <v>10388805</v>
      </c>
      <c r="N194" s="2" t="s">
        <v>356</v>
      </c>
      <c r="O194">
        <f t="shared" ref="O194:O218" si="7">IFERROR(Q194/P194,"No Data")</f>
        <v>6.6088190128326678</v>
      </c>
      <c r="P194" s="4">
        <v>2876331</v>
      </c>
      <c r="Q194" s="4">
        <v>19009151</v>
      </c>
    </row>
    <row r="195" spans="1:17" x14ac:dyDescent="0.3">
      <c r="A195" s="2" t="s">
        <v>160</v>
      </c>
      <c r="B195">
        <f t="shared" si="6"/>
        <v>1.2461140998107552</v>
      </c>
      <c r="C195" s="4">
        <v>94058</v>
      </c>
      <c r="D195" s="4">
        <v>117207</v>
      </c>
      <c r="N195" s="2" t="s">
        <v>80</v>
      </c>
      <c r="O195">
        <f t="shared" si="7"/>
        <v>6.6558036853104987</v>
      </c>
      <c r="P195" s="4">
        <v>3049838</v>
      </c>
      <c r="Q195" s="4">
        <v>20299123</v>
      </c>
    </row>
    <row r="196" spans="1:17" x14ac:dyDescent="0.3">
      <c r="A196" s="2" t="s">
        <v>316</v>
      </c>
      <c r="B196">
        <f t="shared" si="6"/>
        <v>1.233395821840273</v>
      </c>
      <c r="C196" s="4">
        <v>29637450</v>
      </c>
      <c r="D196" s="4">
        <v>36554707</v>
      </c>
      <c r="N196" s="5" t="s">
        <v>434</v>
      </c>
      <c r="O196">
        <f t="shared" si="7"/>
        <v>6.7586517421122743</v>
      </c>
      <c r="P196" s="7">
        <v>3153729</v>
      </c>
      <c r="Q196" s="7">
        <v>21314956</v>
      </c>
    </row>
    <row r="197" spans="1:17" x14ac:dyDescent="0.3">
      <c r="A197" s="2" t="s">
        <v>36</v>
      </c>
      <c r="B197">
        <f t="shared" si="6"/>
        <v>1.2233675338793293</v>
      </c>
      <c r="C197" s="4">
        <v>230893</v>
      </c>
      <c r="D197" s="4">
        <v>282467</v>
      </c>
      <c r="N197" s="5" t="s">
        <v>386</v>
      </c>
      <c r="O197">
        <f t="shared" si="7"/>
        <v>6.9242759042921023</v>
      </c>
      <c r="P197" s="7">
        <v>9901419</v>
      </c>
      <c r="Q197" s="7">
        <v>68560157</v>
      </c>
    </row>
    <row r="198" spans="1:17" x14ac:dyDescent="0.3">
      <c r="A198" s="5" t="s">
        <v>318</v>
      </c>
      <c r="B198">
        <f t="shared" si="6"/>
        <v>1.2081710454478334</v>
      </c>
      <c r="C198" s="7">
        <v>8857716</v>
      </c>
      <c r="D198" s="7">
        <v>10701636</v>
      </c>
      <c r="N198" s="5" t="s">
        <v>146</v>
      </c>
      <c r="O198">
        <f t="shared" si="7"/>
        <v>6.9335979500577798</v>
      </c>
      <c r="P198" s="7">
        <v>398060</v>
      </c>
      <c r="Q198" s="7">
        <v>2759988</v>
      </c>
    </row>
    <row r="199" spans="1:17" x14ac:dyDescent="0.3">
      <c r="A199" s="5" t="s">
        <v>326</v>
      </c>
      <c r="B199">
        <f t="shared" si="6"/>
        <v>1.1971429727182499</v>
      </c>
      <c r="C199" s="7">
        <v>119897000</v>
      </c>
      <c r="D199" s="7">
        <v>143533851</v>
      </c>
      <c r="N199" s="2" t="s">
        <v>124</v>
      </c>
      <c r="O199">
        <f t="shared" si="7"/>
        <v>7.0143324672821681</v>
      </c>
      <c r="P199" s="4">
        <v>269807</v>
      </c>
      <c r="Q199" s="4">
        <v>1892516</v>
      </c>
    </row>
    <row r="200" spans="1:17" x14ac:dyDescent="0.3">
      <c r="A200" s="2" t="s">
        <v>372</v>
      </c>
      <c r="B200">
        <f t="shared" si="6"/>
        <v>1.1923022230648908</v>
      </c>
      <c r="C200" s="4">
        <v>84388</v>
      </c>
      <c r="D200" s="4">
        <v>100616</v>
      </c>
      <c r="N200" s="2" t="s">
        <v>92</v>
      </c>
      <c r="O200">
        <f t="shared" si="7"/>
        <v>7.1586876801770556</v>
      </c>
      <c r="P200" s="4">
        <v>15264846</v>
      </c>
      <c r="Q200" s="4">
        <v>109276265</v>
      </c>
    </row>
    <row r="201" spans="1:17" x14ac:dyDescent="0.3">
      <c r="A201" s="2" t="s">
        <v>196</v>
      </c>
      <c r="B201">
        <f t="shared" si="6"/>
        <v>1.1750274005621548</v>
      </c>
      <c r="C201" s="4">
        <v>50199700</v>
      </c>
      <c r="D201" s="4">
        <v>58986023</v>
      </c>
      <c r="N201" s="5" t="s">
        <v>14</v>
      </c>
      <c r="O201">
        <f t="shared" si="7"/>
        <v>7.241657991908486</v>
      </c>
      <c r="P201" s="7">
        <v>5231654</v>
      </c>
      <c r="Q201" s="7">
        <v>37885849</v>
      </c>
    </row>
    <row r="202" spans="1:17" x14ac:dyDescent="0.3">
      <c r="A202" s="5" t="s">
        <v>262</v>
      </c>
      <c r="B202">
        <f t="shared" si="6"/>
        <v>1.1609581053634075</v>
      </c>
      <c r="C202" s="7">
        <v>2058020</v>
      </c>
      <c r="D202" s="7">
        <v>2389275</v>
      </c>
      <c r="N202" s="5" t="s">
        <v>206</v>
      </c>
      <c r="O202">
        <f t="shared" si="7"/>
        <v>7.333423344903589</v>
      </c>
      <c r="P202" s="7">
        <v>7695307</v>
      </c>
      <c r="Q202" s="7">
        <v>56432944</v>
      </c>
    </row>
    <row r="203" spans="1:17" x14ac:dyDescent="0.3">
      <c r="A203" s="5" t="s">
        <v>150</v>
      </c>
      <c r="B203">
        <f t="shared" si="6"/>
        <v>1.1468936989544722</v>
      </c>
      <c r="C203" s="7">
        <v>72814900</v>
      </c>
      <c r="D203" s="7">
        <v>83510950</v>
      </c>
      <c r="N203" s="2" t="s">
        <v>432</v>
      </c>
      <c r="O203">
        <f t="shared" si="7"/>
        <v>7.3356753365371841</v>
      </c>
      <c r="P203" s="4">
        <v>5532301</v>
      </c>
      <c r="Q203" s="4">
        <v>40583164</v>
      </c>
    </row>
    <row r="204" spans="1:17" x14ac:dyDescent="0.3">
      <c r="A204" s="2" t="s">
        <v>108</v>
      </c>
      <c r="B204">
        <f t="shared" si="6"/>
        <v>1.1333219329377633</v>
      </c>
      <c r="C204" s="4">
        <v>9602006</v>
      </c>
      <c r="D204" s="4">
        <v>10882164</v>
      </c>
      <c r="N204" s="5" t="s">
        <v>290</v>
      </c>
      <c r="O204">
        <f t="shared" si="7"/>
        <v>7.7124183677836262</v>
      </c>
      <c r="P204" s="7">
        <v>3505050</v>
      </c>
      <c r="Q204" s="7">
        <v>27032412</v>
      </c>
    </row>
    <row r="205" spans="1:17" x14ac:dyDescent="0.3">
      <c r="A205" s="2" t="s">
        <v>128</v>
      </c>
      <c r="B205">
        <f t="shared" si="6"/>
        <v>1.1324342550000537</v>
      </c>
      <c r="C205" s="4">
        <v>1211537</v>
      </c>
      <c r="D205" s="4">
        <v>1371986</v>
      </c>
      <c r="N205" s="2" t="s">
        <v>404</v>
      </c>
      <c r="O205">
        <f t="shared" si="7"/>
        <v>8.311305590283979</v>
      </c>
      <c r="P205" s="4">
        <v>5599</v>
      </c>
      <c r="Q205" s="4">
        <v>46535</v>
      </c>
    </row>
    <row r="206" spans="1:17" x14ac:dyDescent="0.3">
      <c r="A206" s="5" t="s">
        <v>114</v>
      </c>
      <c r="B206">
        <f t="shared" si="6"/>
        <v>1.1150879202317592</v>
      </c>
      <c r="C206" s="7">
        <v>59372</v>
      </c>
      <c r="D206" s="7">
        <v>66205</v>
      </c>
      <c r="N206" s="2" t="s">
        <v>12</v>
      </c>
      <c r="O206">
        <f t="shared" si="7"/>
        <v>8.6159831756046259</v>
      </c>
      <c r="P206" s="4">
        <v>9510</v>
      </c>
      <c r="Q206" s="4">
        <v>81938</v>
      </c>
    </row>
    <row r="207" spans="1:17" x14ac:dyDescent="0.3">
      <c r="A207" s="5" t="s">
        <v>38</v>
      </c>
      <c r="B207">
        <f t="shared" si="6"/>
        <v>1.1141390583069042</v>
      </c>
      <c r="C207" s="7">
        <v>8198000</v>
      </c>
      <c r="D207" s="7">
        <v>9133712</v>
      </c>
      <c r="N207" s="5" t="s">
        <v>98</v>
      </c>
      <c r="O207">
        <f t="shared" si="7"/>
        <v>8.6927418006971777</v>
      </c>
      <c r="P207" s="7">
        <v>3673666</v>
      </c>
      <c r="Q207" s="7">
        <v>31934230</v>
      </c>
    </row>
    <row r="208" spans="1:17" x14ac:dyDescent="0.3">
      <c r="A208" s="5" t="s">
        <v>234</v>
      </c>
      <c r="B208">
        <f t="shared" si="6"/>
        <v>1.0394108437854277</v>
      </c>
      <c r="C208" s="7">
        <v>2778550</v>
      </c>
      <c r="D208" s="7">
        <v>2888055</v>
      </c>
      <c r="N208" s="2" t="s">
        <v>76</v>
      </c>
      <c r="O208">
        <f t="shared" si="7"/>
        <v>8.8344803037494071</v>
      </c>
      <c r="P208" s="4">
        <v>8428</v>
      </c>
      <c r="Q208" s="4">
        <v>74457</v>
      </c>
    </row>
    <row r="209" spans="1:17" x14ac:dyDescent="0.3">
      <c r="A209" s="2" t="s">
        <v>324</v>
      </c>
      <c r="B209">
        <f t="shared" si="6"/>
        <v>1.0359883967456778</v>
      </c>
      <c r="C209" s="4">
        <v>18406905</v>
      </c>
      <c r="D209" s="4">
        <v>19069340</v>
      </c>
      <c r="N209" s="2" t="s">
        <v>32</v>
      </c>
      <c r="O209">
        <f t="shared" si="7"/>
        <v>9.6005487167400911</v>
      </c>
      <c r="P209" s="4">
        <v>165477</v>
      </c>
      <c r="Q209" s="4">
        <v>1588670</v>
      </c>
    </row>
    <row r="210" spans="1:17" x14ac:dyDescent="0.3">
      <c r="A210" s="2" t="s">
        <v>148</v>
      </c>
      <c r="B210">
        <f t="shared" si="6"/>
        <v>1.0077490673688831</v>
      </c>
      <c r="C210" s="4">
        <v>3645600</v>
      </c>
      <c r="D210" s="4">
        <v>3673850</v>
      </c>
      <c r="N210" s="2" t="s">
        <v>300</v>
      </c>
      <c r="O210">
        <f t="shared" si="7"/>
        <v>9.9560553078786391</v>
      </c>
      <c r="P210" s="4">
        <v>530485</v>
      </c>
      <c r="Q210" s="4">
        <v>5281538</v>
      </c>
    </row>
    <row r="211" spans="1:17" x14ac:dyDescent="0.3">
      <c r="A211" s="2" t="s">
        <v>340</v>
      </c>
      <c r="B211">
        <f t="shared" si="6"/>
        <v>0.99219911697438401</v>
      </c>
      <c r="C211" s="4">
        <v>6638992</v>
      </c>
      <c r="D211" s="4">
        <v>6587202</v>
      </c>
      <c r="N211" s="5" t="s">
        <v>202</v>
      </c>
      <c r="O211">
        <f t="shared" si="7"/>
        <v>13.536342769701607</v>
      </c>
      <c r="P211" s="7">
        <v>853471</v>
      </c>
      <c r="Q211" s="7">
        <v>11552876</v>
      </c>
    </row>
    <row r="212" spans="1:17" x14ac:dyDescent="0.3">
      <c r="A212" s="2" t="s">
        <v>52</v>
      </c>
      <c r="B212">
        <f t="shared" si="6"/>
        <v>0.96430527268854183</v>
      </c>
      <c r="C212" s="4">
        <v>3281381</v>
      </c>
      <c r="D212" s="4">
        <v>3164253</v>
      </c>
      <c r="N212" s="2" t="s">
        <v>112</v>
      </c>
      <c r="O212">
        <f t="shared" si="7"/>
        <v>13.585999256021575</v>
      </c>
      <c r="P212" s="4">
        <v>86024</v>
      </c>
      <c r="Q212" s="4">
        <v>1168722</v>
      </c>
    </row>
    <row r="213" spans="1:17" x14ac:dyDescent="0.3">
      <c r="A213" s="5" t="s">
        <v>178</v>
      </c>
      <c r="B213">
        <f t="shared" si="6"/>
        <v>0.9578106381802316</v>
      </c>
      <c r="C213" s="7">
        <v>9983512</v>
      </c>
      <c r="D213" s="7">
        <v>9562314</v>
      </c>
      <c r="N213" s="2" t="s">
        <v>336</v>
      </c>
      <c r="O213">
        <f t="shared" si="7"/>
        <v>14.494636000694751</v>
      </c>
      <c r="P213" s="4">
        <v>2435403</v>
      </c>
      <c r="Q213" s="4">
        <v>35300280</v>
      </c>
    </row>
    <row r="214" spans="1:17" x14ac:dyDescent="0.3">
      <c r="A214" s="2" t="s">
        <v>100</v>
      </c>
      <c r="B214">
        <f t="shared" si="6"/>
        <v>0.93384806123210551</v>
      </c>
      <c r="C214" s="4">
        <v>4140181</v>
      </c>
      <c r="D214" s="4">
        <v>3866300</v>
      </c>
      <c r="N214" s="2" t="s">
        <v>348</v>
      </c>
      <c r="O214">
        <f t="shared" si="7"/>
        <v>15.966850828729282</v>
      </c>
      <c r="P214" s="4">
        <v>2715</v>
      </c>
      <c r="Q214" s="4">
        <v>43350</v>
      </c>
    </row>
    <row r="215" spans="1:17" x14ac:dyDescent="0.3">
      <c r="A215" s="5" t="s">
        <v>410</v>
      </c>
      <c r="B215">
        <f t="shared" si="6"/>
        <v>0.88408693209217526</v>
      </c>
      <c r="C215" s="17">
        <v>42824093</v>
      </c>
      <c r="D215" s="7">
        <v>37860221</v>
      </c>
      <c r="N215" s="2" t="s">
        <v>216</v>
      </c>
      <c r="O215">
        <f t="shared" si="7"/>
        <v>15.990037291840803</v>
      </c>
      <c r="P215" s="18">
        <v>311060</v>
      </c>
      <c r="Q215" s="4">
        <v>4973861</v>
      </c>
    </row>
    <row r="216" spans="1:17" x14ac:dyDescent="0.3">
      <c r="A216" s="5" t="s">
        <v>222</v>
      </c>
      <c r="B216">
        <f t="shared" si="6"/>
        <v>0.87810440367396381</v>
      </c>
      <c r="C216" s="7">
        <v>2120979</v>
      </c>
      <c r="D216" s="7">
        <v>1862441</v>
      </c>
      <c r="N216" s="5" t="s">
        <v>322</v>
      </c>
      <c r="O216">
        <f t="shared" si="7"/>
        <v>79.36189947236879</v>
      </c>
      <c r="P216" s="7">
        <v>36010</v>
      </c>
      <c r="Q216" s="7">
        <v>2857822</v>
      </c>
    </row>
    <row r="217" spans="1:17" x14ac:dyDescent="0.3">
      <c r="A217" s="5" t="s">
        <v>366</v>
      </c>
      <c r="B217">
        <f t="shared" si="6"/>
        <v>0.83932986919906827</v>
      </c>
      <c r="C217" s="7">
        <v>55810</v>
      </c>
      <c r="D217" s="7">
        <v>46843</v>
      </c>
      <c r="N217" s="2" t="s">
        <v>412</v>
      </c>
      <c r="O217">
        <f t="shared" si="7"/>
        <v>82.819231882071662</v>
      </c>
      <c r="P217" s="4">
        <v>131334</v>
      </c>
      <c r="Q217" s="4">
        <v>10876981</v>
      </c>
    </row>
    <row r="218" spans="1:17" x14ac:dyDescent="0.3">
      <c r="A218" s="5" t="s">
        <v>62</v>
      </c>
      <c r="B218">
        <f t="shared" si="6"/>
        <v>0.81912541592658494</v>
      </c>
      <c r="C218" s="7">
        <v>7867374</v>
      </c>
      <c r="D218" s="7">
        <v>6444366</v>
      </c>
      <c r="N218" s="5" t="s">
        <v>430</v>
      </c>
      <c r="O218" t="str">
        <f t="shared" si="7"/>
        <v>No Data</v>
      </c>
      <c r="P218" s="16"/>
      <c r="Q218" s="7">
        <v>5289152</v>
      </c>
    </row>
  </sheetData>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BC72-E9B0-40C2-99E9-F831A27C27A7}">
  <dimension ref="A1:M34"/>
  <sheetViews>
    <sheetView showGridLines="0" showRowColHeaders="0" tabSelected="1" zoomScale="104" zoomScaleNormal="120" zoomScaleSheetLayoutView="102" workbookViewId="0">
      <selection activeCell="G4" sqref="G4:H4"/>
    </sheetView>
  </sheetViews>
  <sheetFormatPr defaultRowHeight="14.4" x14ac:dyDescent="0.3"/>
  <cols>
    <col min="2" max="2" width="20" bestFit="1" customWidth="1"/>
    <col min="3" max="3" width="6.33203125" customWidth="1"/>
    <col min="4" max="4" width="24.33203125" customWidth="1"/>
    <col min="5" max="5" width="6.6640625" customWidth="1"/>
    <col min="6" max="6" width="24.33203125" bestFit="1" customWidth="1"/>
    <col min="7" max="7" width="6.77734375" customWidth="1"/>
    <col min="8" max="8" width="21.77734375" bestFit="1" customWidth="1"/>
    <col min="9" max="9" width="6.77734375" customWidth="1"/>
    <col min="10" max="10" width="20.33203125" bestFit="1" customWidth="1"/>
    <col min="11" max="11" width="6.88671875" customWidth="1"/>
    <col min="12" max="12" width="20" bestFit="1" customWidth="1"/>
    <col min="13" max="13" width="7.21875" customWidth="1"/>
  </cols>
  <sheetData>
    <row r="1" spans="1:13" ht="25.8" x14ac:dyDescent="0.5">
      <c r="A1" s="24" t="s">
        <v>468</v>
      </c>
      <c r="B1" s="24"/>
      <c r="C1" s="24"/>
      <c r="D1" s="24"/>
      <c r="E1" s="24"/>
      <c r="F1" s="24"/>
      <c r="G1" s="24"/>
      <c r="H1" s="24"/>
      <c r="I1" s="24"/>
      <c r="J1" s="24"/>
      <c r="K1" s="24"/>
      <c r="L1" s="24"/>
      <c r="M1" s="24"/>
    </row>
    <row r="2" spans="1:13" x14ac:dyDescent="0.3">
      <c r="A2" s="25" t="s">
        <v>469</v>
      </c>
      <c r="B2" s="26"/>
      <c r="C2" s="26"/>
      <c r="D2" s="26"/>
      <c r="E2" s="26"/>
      <c r="F2" s="26"/>
      <c r="G2" s="26"/>
      <c r="H2" s="26"/>
      <c r="I2" s="26"/>
      <c r="J2" s="26"/>
      <c r="K2" s="26"/>
      <c r="L2" s="26"/>
      <c r="M2" s="26"/>
    </row>
    <row r="4" spans="1:13" x14ac:dyDescent="0.3">
      <c r="D4" s="29" t="s">
        <v>461</v>
      </c>
      <c r="F4" s="21" t="s">
        <v>467</v>
      </c>
      <c r="G4" s="27">
        <v>1973</v>
      </c>
      <c r="H4" s="28"/>
    </row>
    <row r="5" spans="1:13" x14ac:dyDescent="0.3">
      <c r="D5" s="29"/>
    </row>
    <row r="6" spans="1:13" x14ac:dyDescent="0.3">
      <c r="D6" s="22">
        <f>SUMIF('data table'!C:C,2024,'data table'!D:D)</f>
        <v>8118643547</v>
      </c>
    </row>
    <row r="32" spans="4:12" x14ac:dyDescent="0.3">
      <c r="D32" s="29" t="s">
        <v>462</v>
      </c>
      <c r="F32" s="30" t="s">
        <v>463</v>
      </c>
      <c r="H32" s="29" t="s">
        <v>464</v>
      </c>
      <c r="J32" s="29" t="s">
        <v>465</v>
      </c>
      <c r="L32" s="29" t="s">
        <v>453</v>
      </c>
    </row>
    <row r="33" spans="4:12" x14ac:dyDescent="0.3">
      <c r="D33" s="29"/>
      <c r="F33" s="30"/>
      <c r="H33" s="29"/>
      <c r="J33" s="29"/>
      <c r="L33" s="29"/>
    </row>
    <row r="34" spans="4:12" x14ac:dyDescent="0.3">
      <c r="D34" s="22" t="str">
        <f>INDEX('data table'!A:A,MATCH(MAX('data table'!D:D),'data table'!D:D,0))</f>
        <v>India</v>
      </c>
      <c r="F34" s="23" t="str">
        <f>INDEX('data table'!A:A,MATCH(MIN('data table'!D:D),'data table'!D:D,0))</f>
        <v>Sint Maarten (Dutch part)</v>
      </c>
      <c r="H34" s="22" t="str">
        <f>INDEX('Growth rate'!A:A,MATCH(MAX('Growth rate'!B:B),'Growth rate'!B:B,0))</f>
        <v>United Arab Emirates</v>
      </c>
      <c r="J34" s="22" t="str">
        <f>INDEX('Growth rate'!N:N,MATCH(MIN('Growth rate'!O:O),'Growth rate'!O:O,0))</f>
        <v>Bulgaria</v>
      </c>
      <c r="L34" s="22">
        <f>MAX('data table'!D:D)-MIN('data table'!D:D)</f>
        <v>1450933076</v>
      </c>
    </row>
  </sheetData>
  <mergeCells count="9">
    <mergeCell ref="A1:M1"/>
    <mergeCell ref="A2:M2"/>
    <mergeCell ref="G4:H4"/>
    <mergeCell ref="J32:J33"/>
    <mergeCell ref="D4:D5"/>
    <mergeCell ref="D32:D33"/>
    <mergeCell ref="F32:F33"/>
    <mergeCell ref="L32:L33"/>
    <mergeCell ref="H32:H33"/>
  </mergeCells>
  <phoneticPr fontId="6" type="noConversion"/>
  <conditionalFormatting sqref="A1">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5ABF042-00D9-4E9E-B3EC-C4112F2705B2}">
          <x14:formula1>
            <xm:f>'population range'!$M$2:$M$66</xm:f>
          </x14:formula1>
          <xm:sqref>G4</xm:sqref>
        </x14:dataValidation>
      </x14:dataValidation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table</vt:lpstr>
      <vt:lpstr>Most populated</vt:lpstr>
      <vt:lpstr>least populated</vt:lpstr>
      <vt:lpstr>population range</vt:lpstr>
      <vt:lpstr>Growth rate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Alagu Padma sri</cp:lastModifiedBy>
  <dcterms:created xsi:type="dcterms:W3CDTF">2026-06-13T10:30:11Z</dcterms:created>
  <dcterms:modified xsi:type="dcterms:W3CDTF">2026-06-20T17:38:32Z</dcterms:modified>
</cp:coreProperties>
</file>